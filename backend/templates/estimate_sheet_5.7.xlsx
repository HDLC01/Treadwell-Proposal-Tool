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1840" windowHeight="13020" tabRatio="690" firstSheet="0" activeTab="0" autoFilterDateGrouping="1"/>
  </bookViews>
  <sheets>
    <sheet xmlns:r="http://schemas.openxmlformats.org/officeDocument/2006/relationships" name="Epoxy" sheetId="1" state="visible" r:id="rId1"/>
    <sheet xmlns:r="http://schemas.openxmlformats.org/officeDocument/2006/relationships" name="Polish" sheetId="2" state="visible" r:id="rId2"/>
    <sheet xmlns:r="http://schemas.openxmlformats.org/officeDocument/2006/relationships" name="Gyp (USG 1-8&quot;)" sheetId="3" state="visible" r:id="rId3"/>
    <sheet xmlns:r="http://schemas.openxmlformats.org/officeDocument/2006/relationships" name="Takeoff" sheetId="4" state="visible" r:id="rId4"/>
    <sheet xmlns:r="http://schemas.openxmlformats.org/officeDocument/2006/relationships" name="Seal" sheetId="5" state="visible" r:id="rId5"/>
    <sheet xmlns:r="http://schemas.openxmlformats.org/officeDocument/2006/relationships" name="Seal (+Jnts)" sheetId="6" state="visible" r:id="rId6"/>
    <sheet xmlns:r="http://schemas.openxmlformats.org/officeDocument/2006/relationships" name="Epoxy blank" sheetId="7" state="visible" r:id="rId7"/>
    <sheet xmlns:r="http://schemas.openxmlformats.org/officeDocument/2006/relationships" name="Stnd Alts" sheetId="8" state="visible" r:id="rId8"/>
    <sheet xmlns:r="http://schemas.openxmlformats.org/officeDocument/2006/relationships" name="Leveling" sheetId="9" state="visible" r:id="rId9"/>
    <sheet xmlns:r="http://schemas.openxmlformats.org/officeDocument/2006/relationships" name="Gyp (USG N12ULTRA)" sheetId="10" state="visible" r:id="rId10"/>
    <sheet xmlns:r="http://schemas.openxmlformats.org/officeDocument/2006/relationships" name="Gyp (USG N25 1-4&quot;)" sheetId="11" state="visible" r:id="rId11"/>
    <sheet xmlns:r="http://schemas.openxmlformats.org/officeDocument/2006/relationships" name="Gyp (GWorx SC190)" sheetId="12" state="visible" r:id="rId12"/>
    <sheet xmlns:r="http://schemas.openxmlformats.org/officeDocument/2006/relationships" name="Specs+Dwgs+Addn" sheetId="13" state="visible" r:id="rId13"/>
    <sheet xmlns:r="http://schemas.openxmlformats.org/officeDocument/2006/relationships" name="Gyp (FR)" sheetId="14" state="visible" r:id="rId14"/>
    <sheet xmlns:r="http://schemas.openxmlformats.org/officeDocument/2006/relationships" name="validation" sheetId="15" state="visible" r:id="rId15"/>
    <sheet xmlns:r="http://schemas.openxmlformats.org/officeDocument/2006/relationships" name="Unit Layouts" sheetId="16" state="visible" r:id="rId16"/>
  </sheets>
  <definedNames>
    <definedName name="Accelera_Clear_SATIN_additional_topcoat">Epoxy!$T$170</definedName>
    <definedName name="Accelera_ClearEXT">Epoxy!$T$168</definedName>
    <definedName name="Accelera_PgmntEXT">Epoxy!$T$169</definedName>
    <definedName name="AT_Clear_Satin_w_Grit">Epoxy!$T$158</definedName>
    <definedName name="AT_ClearGloss_wGrit">Epoxy!$T$159</definedName>
    <definedName name="AT_ClearSatin_wGrit">Epoxy!$O$24</definedName>
    <definedName name="AT_Pgmt_Gloss_w_Grit">Epoxy!$T$161</definedName>
    <definedName name="AT_Pgmt_Satin_w_Grit">Epoxy!$T$160</definedName>
    <definedName name="ColorFast">Epoxy!$T$164</definedName>
    <definedName name="CoveRez">Epoxy!$T$152</definedName>
    <definedName name="Elast_O_Coat_Clear">Epoxy!$T$147</definedName>
    <definedName name="Fiberglass_Mat">Epoxy!$W$151</definedName>
    <definedName name="Gard_No_Sag">Epoxy!$T$150</definedName>
    <definedName name="GardReg">Epoxy!$T$149</definedName>
    <definedName name="Glaze4">Epoxy!$T$153</definedName>
    <definedName name="HP_Block_Filler_Primer">Epoxy!$T$174</definedName>
    <definedName name="HP_Eggshell_Topcoat">Epoxy!$T$175</definedName>
    <definedName name="HP_Gripper_Primer">Epoxy!$T$173</definedName>
    <definedName name="HP_Satin_Topcoat">Epoxy!$T$176</definedName>
    <definedName name="MACROFlake">Epoxy!$W$146</definedName>
    <definedName name="MD">Epoxy!$T$163</definedName>
    <definedName name="microFlake">Epoxy!$W$147</definedName>
    <definedName name="MVP">Epoxy!$T$146</definedName>
    <definedName name="NovolacGard">Epoxy!$T$155</definedName>
    <definedName name="OPF">Epoxy!$T$151</definedName>
    <definedName name="Q11_25a">Epoxy!$W$149</definedName>
    <definedName name="Q28_40s">Epoxy!$W$148</definedName>
    <definedName name="ShopFloor">Epoxy!$T$154</definedName>
    <definedName name="Silica">Epoxy!$W$145</definedName>
    <definedName name="SL">Epoxy!$T$162</definedName>
    <definedName name="TF_Reg">Epoxy!$T$165</definedName>
    <definedName name="WB">Epoxy!$T$145</definedName>
    <definedName name="WR">Epoxy!$T$167</definedName>
    <definedName name="ZincCoveCap">Epoxy!$W$150</definedName>
    <definedName name="_xlnm.Print_Area" localSheetId="0">'Epoxy'!$A$1:$H$88</definedName>
    <definedName name="_xlnm.Print_Area" localSheetId="1">'Polish'!$A$1:$H$82</definedName>
    <definedName name="_xlnm.Print_Area" localSheetId="2">'Gyp (USG 1-8")'!$A$3:$I$87</definedName>
    <definedName name="_xlnm.Print_Area" localSheetId="4">'Seal'!$A$1:$H$82</definedName>
    <definedName name="_xlnm.Print_Area" localSheetId="5">'Seal (+Jnts)'!$A$1:$H$82</definedName>
    <definedName name="_xlnm.Print_Area" localSheetId="6">'Epoxy blank'!$A$1:$H$85</definedName>
    <definedName name="_xlnm.Print_Area" localSheetId="8">'Leveling'!$A$1:$H$84</definedName>
    <definedName name="_xlnm.Print_Area" localSheetId="9">'Gyp (USG N12ULTRA)'!$A$3:$I$87</definedName>
    <definedName name="_xlnm.Print_Area" localSheetId="10">'Gyp (USG N25 1-4")'!$A$3:$I$87</definedName>
    <definedName name="_xlnm.Print_Area" localSheetId="11">'Gyp (GWorx SC190)'!$A$3:$I$87</definedName>
    <definedName name="_xlnm.Print_Area" localSheetId="13">'Gyp (FR)'!$A$3:$I$87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_(&quot;$&quot;* #,##0.00_);_(&quot;$&quot;* \(#,##0.00\);_(&quot;$&quot;* &quot;-&quot;??_);_(@_)"/>
    <numFmt numFmtId="165" formatCode="_-* #,##0_-;\-* #,##0_-;_-* &quot;-&quot;??_-;_-@_-"/>
    <numFmt numFmtId="166" formatCode="_-* #,##0.00_-;\-* #,##0.00_-;_-* &quot;-&quot;??_-;_-@_-"/>
    <numFmt numFmtId="167" formatCode="_-&quot;$&quot;* #,##0.00_-;\-&quot;$&quot;* #,##0.00_-;_-&quot;$&quot;* &quot;-&quot;??_-;_-@_-"/>
    <numFmt numFmtId="168" formatCode="_-&quot;$&quot;* #,##0_-;\-&quot;$&quot;* #,##0_-;_-&quot;$&quot;* &quot;-&quot;??_-;_-@_-"/>
    <numFmt numFmtId="169" formatCode="0.000%"/>
    <numFmt numFmtId="170" formatCode="_-* #,##0.0_-;\-* #,##0.0_-;_-* &quot;-&quot;??_-;_-@_-"/>
    <numFmt numFmtId="171" formatCode="0.0%"/>
    <numFmt numFmtId="172" formatCode="_(&quot;$&quot;* #,##0_);_(&quot;$&quot;* \(#,##0\);_(&quot;$&quot;* &quot;-&quot;??_);_(@_)"/>
    <numFmt numFmtId="173" formatCode="_([$$-409]* #,##0.00_);_([$$-409]* \(#,##0.00\);_([$$-409]* &quot;-&quot;??_);_(@_)"/>
    <numFmt numFmtId="174" formatCode="_(* #,##0.00_);_(* \(#,##0.00\);_(* &quot;-&quot;???_);_(@_)"/>
    <numFmt numFmtId="175" formatCode="_(&quot;$&quot;* #,##0.000_);_(&quot;$&quot;* \(#,##0.000\);_(&quot;$&quot;* &quot;-&quot;??_);_(@_)"/>
    <numFmt numFmtId="176" formatCode="0.0000%"/>
    <numFmt numFmtId="177" formatCode="&quot;$&quot;#,##0.00"/>
    <numFmt numFmtId="178" formatCode="0.0"/>
    <numFmt numFmtId="179" formatCode="0.000"/>
    <numFmt numFmtId="180" formatCode="_-&quot;$&quot;* #,##0.000_-;\-&quot;$&quot;* #,##0.000_-;_-&quot;$&quot;* &quot;-&quot;??_-;_-@_-"/>
  </numFmts>
  <fonts count="114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charset val="134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b val="1"/>
      <color theme="1"/>
      <sz val="12"/>
      <u val="single"/>
    </font>
    <font>
      <name val="Calibri"/>
      <family val="2"/>
      <color theme="1"/>
      <sz val="12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b val="1"/>
      <i val="1"/>
      <color theme="1"/>
      <sz val="12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  <font>
      <name val="ArialMT"/>
      <color theme="1"/>
      <sz val="8"/>
    </font>
    <font>
      <name val="Calibri"/>
      <family val="2"/>
      <i val="1"/>
      <color theme="1"/>
      <sz val="12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rgb="FF000000"/>
      <sz val="12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theme="1"/>
      <sz val="12"/>
      <u val="single"/>
      <scheme val="minor"/>
    </font>
    <font>
      <name val="Arial"/>
      <family val="2"/>
      <color theme="1"/>
      <sz val="7"/>
    </font>
    <font>
      <name val="Calibri"/>
      <family val="2"/>
      <color theme="1"/>
      <sz val="12"/>
      <u val="single"/>
    </font>
    <font>
      <name val="Calibri"/>
      <family val="2"/>
      <color theme="1"/>
      <sz val="12"/>
      <vertAlign val="superscript"/>
    </font>
    <font>
      <name val="Calibri"/>
      <family val="2"/>
      <b val="1"/>
      <i val="1"/>
      <color theme="1"/>
      <sz val="12"/>
      <u val="single"/>
    </font>
    <font>
      <name val="Lucida Grande"/>
      <family val="2"/>
      <b val="1"/>
      <color rgb="FF000000"/>
      <sz val="10"/>
    </font>
    <font>
      <name val="Lucida Grande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i val="1"/>
      <color theme="1"/>
      <sz val="12"/>
      <scheme val="minor"/>
    </font>
    <font>
      <name val="Calibri"/>
      <family val="2"/>
      <i val="1"/>
      <color theme="1"/>
      <sz val="11"/>
    </font>
    <font>
      <name val="Calibri"/>
      <family val="2"/>
      <i val="1"/>
      <color theme="1"/>
      <sz val="12"/>
      <u val="single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2"/>
      <u val="single"/>
      <scheme val="minor"/>
    </font>
    <font>
      <name val="Calibri"/>
      <family val="2"/>
      <i val="1"/>
      <color theme="1"/>
      <sz val="12"/>
      <u val="single"/>
    </font>
    <font>
      <name val="Calibri"/>
      <family val="2"/>
      <b val="1"/>
      <color theme="1"/>
      <sz val="25"/>
      <u val="single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"/>
      <family val="2"/>
      <color rgb="FFFF0000"/>
      <sz val="12"/>
    </font>
    <font>
      <name val="Calibri"/>
      <family val="2"/>
      <sz val="12"/>
    </font>
    <font>
      <name val="Calibri"/>
      <family val="2"/>
      <i val="1"/>
      <color theme="1"/>
      <sz val="11"/>
      <scheme val="minor"/>
    </font>
    <font>
      <name val="Calibri (Body)"/>
      <color theme="1"/>
      <sz val="12"/>
      <u val="single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10"/>
    </font>
    <font>
      <name val="Calibri (Body)"/>
      <i val="1"/>
      <color theme="1"/>
      <sz val="12"/>
      <u val="single"/>
    </font>
    <font>
      <name val="Calibri"/>
      <family val="2"/>
      <b val="1"/>
      <i val="1"/>
      <color theme="1"/>
      <sz val="12"/>
      <u val="single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theme="1"/>
      <sz val="16"/>
      <u val="single"/>
      <scheme val="minor"/>
    </font>
    <font>
      <name val="Calibri (Body)"/>
      <color theme="1"/>
      <sz val="11"/>
    </font>
    <font>
      <name val="Calibri (Body)"/>
      <color theme="1"/>
      <sz val="10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u val="single"/>
      <scheme val="minor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color theme="1"/>
      <sz val="16"/>
      <scheme val="minor"/>
    </font>
    <font>
      <name val="Calibri (Body)"/>
      <b val="1"/>
      <color theme="1"/>
      <sz val="12"/>
    </font>
    <font>
      <name val="Calibri"/>
      <family val="2"/>
      <color theme="1"/>
      <sz val="10"/>
    </font>
    <font>
      <name val="Calibri (Body)"/>
      <b val="1"/>
      <i val="1"/>
      <color theme="1"/>
      <sz val="12"/>
      <u val="single"/>
    </font>
    <font>
      <name val="Calibri (Body)"/>
      <color theme="1"/>
      <sz val="12"/>
    </font>
    <font>
      <name val="Calibri (Body)"/>
      <i val="1"/>
      <color rgb="FF000000"/>
      <sz val="12"/>
      <u val="single"/>
    </font>
    <font>
      <name val="Calibri (Body)"/>
      <b val="1"/>
      <color theme="1"/>
      <sz val="12"/>
      <u val="single"/>
    </font>
    <font>
      <name val="Calibri (Body)"/>
      <i val="1"/>
      <color theme="1"/>
      <sz val="12"/>
    </font>
    <font>
      <name val="Calibri"/>
      <family val="2"/>
      <color theme="1"/>
      <sz val="11.5"/>
      <scheme val="minor"/>
    </font>
    <font>
      <name val="Calibri (Body)"/>
      <i val="1"/>
      <color theme="1"/>
      <sz val="10"/>
    </font>
    <font>
      <name val="Calibri"/>
      <family val="2"/>
      <i val="1"/>
      <strike val="1"/>
      <color theme="1"/>
      <sz val="12"/>
    </font>
    <font>
      <name val="Calibri"/>
      <family val="2"/>
      <b val="1"/>
      <color theme="1"/>
      <sz val="16"/>
      <scheme val="minor"/>
    </font>
    <font>
      <name val="Calibri"/>
      <family val="2"/>
      <b val="1"/>
      <i val="1"/>
      <color theme="1"/>
      <sz val="16"/>
      <scheme val="minor"/>
    </font>
    <font>
      <name val="Calibri"/>
      <family val="2"/>
      <b val="1"/>
      <i val="1"/>
      <color theme="1"/>
      <sz val="16"/>
      <u val="single"/>
      <scheme val="minor"/>
    </font>
    <font>
      <name val="Calibri"/>
      <family val="2"/>
      <color theme="1"/>
      <sz val="20"/>
      <scheme val="minor"/>
    </font>
    <font>
      <name val="Calibri (Body)"/>
      <b val="1"/>
      <i val="1"/>
      <color theme="1"/>
      <sz val="12"/>
    </font>
    <font>
      <name val="Calibri"/>
      <family val="2"/>
      <i val="1"/>
      <color theme="1"/>
      <sz val="14"/>
      <u val="single"/>
      <scheme val="minor"/>
    </font>
    <font>
      <name val="Calibri"/>
      <family val="2"/>
      <i val="1"/>
      <color theme="1"/>
      <sz val="9"/>
      <u val="single"/>
    </font>
    <font>
      <name val="Calibri"/>
      <family val="2"/>
      <i val="1"/>
      <color rgb="FF000000"/>
      <sz val="12"/>
      <u val="single"/>
      <scheme val="minor"/>
    </font>
    <font>
      <name val="Calibri"/>
      <family val="2"/>
      <i val="1"/>
      <color theme="1"/>
      <sz val="11"/>
      <u val="single"/>
    </font>
    <font>
      <name val="Calibri"/>
      <family val="2"/>
      <color rgb="FF000000"/>
      <sz val="12"/>
      <u val="single"/>
      <scheme val="minor"/>
    </font>
    <font>
      <name val="Calibri (Body)"/>
      <color rgb="FF000000"/>
      <sz val="12"/>
      <u val="single"/>
    </font>
    <font>
      <name val="Calibri (Body)"/>
      <b val="1"/>
      <color rgb="FF000000"/>
      <sz val="12"/>
      <u val="single"/>
    </font>
    <font>
      <name val="Calibri"/>
      <family val="2"/>
      <b val="1"/>
      <i val="1"/>
      <color theme="1"/>
      <sz val="11"/>
      <u val="single"/>
    </font>
    <font>
      <name val="Calibri"/>
      <family val="2"/>
      <b val="1"/>
      <color theme="1"/>
      <sz val="10"/>
      <u val="single"/>
      <scheme val="minor"/>
    </font>
    <font>
      <name val="Calibri (Body)"/>
      <b val="1"/>
      <color theme="1"/>
      <sz val="11"/>
    </font>
    <font>
      <name val="Tahoma"/>
      <family val="2"/>
      <b val="1"/>
      <color rgb="FF000000"/>
      <sz val="9"/>
    </font>
    <font>
      <name val="Calibri"/>
      <family val="2"/>
      <b val="1"/>
      <color rgb="FF000000"/>
      <sz val="12"/>
    </font>
    <font>
      <name val="Calibri (Body)"/>
      <color theme="1"/>
      <sz val="11"/>
      <u val="single"/>
    </font>
    <font>
      <name val="Calibri (Body)"/>
      <b val="1"/>
      <color theme="1"/>
      <sz val="11"/>
      <u val="single"/>
    </font>
    <font>
      <name val="Calibri"/>
      <family val="2"/>
      <b val="1"/>
      <i val="1"/>
      <color theme="1"/>
      <sz val="11"/>
    </font>
    <font>
      <name val="Calibri"/>
      <family val="2"/>
      <b val="1"/>
      <i val="1"/>
      <color rgb="FF000000"/>
      <sz val="12"/>
    </font>
    <font>
      <name val="Calibri (Body)"/>
      <b val="1"/>
      <i val="1"/>
      <color theme="1"/>
      <sz val="16"/>
      <u val="single"/>
    </font>
    <font>
      <name val="Calibri"/>
      <family val="2"/>
      <b val="1"/>
      <i val="1"/>
      <color theme="0"/>
      <sz val="10"/>
    </font>
    <font>
      <name val="Calibri"/>
      <family val="2"/>
      <b val="1"/>
      <i val="1"/>
      <color theme="0"/>
      <sz val="12"/>
      <scheme val="minor"/>
    </font>
    <font>
      <name val="Calibri"/>
      <family val="2"/>
      <i val="1"/>
      <strike val="1"/>
      <color theme="1"/>
      <sz val="12"/>
      <scheme val="minor"/>
    </font>
    <font>
      <name val="Calibri (Body)"/>
      <i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i val="1"/>
      <strike val="1"/>
      <color theme="1"/>
      <sz val="11"/>
      <scheme val="minor"/>
    </font>
    <font>
      <name val="Calibri"/>
      <family val="2"/>
      <strike val="1"/>
      <color theme="1"/>
      <sz val="12"/>
      <scheme val="minor"/>
    </font>
    <font>
      <name val="Calibri"/>
      <family val="2"/>
      <color theme="1"/>
      <sz val="10"/>
      <scheme val="minor"/>
    </font>
    <font>
      <name val="Calibri (Body)"/>
      <b val="1"/>
      <color theme="1"/>
      <sz val="10"/>
      <u val="single"/>
    </font>
    <font>
      <name val="Calibri"/>
      <family val="2"/>
      <i val="1"/>
      <color theme="1"/>
      <sz val="14"/>
    </font>
    <font>
      <name val="Calibri"/>
      <family val="2"/>
      <b val="1"/>
      <i val="1"/>
      <color theme="1"/>
      <sz val="14"/>
      <u val="single"/>
    </font>
    <font>
      <name val="Calibri"/>
      <family val="2"/>
      <i val="1"/>
      <color theme="1"/>
      <sz val="14"/>
      <u val="single"/>
    </font>
    <font>
      <name val="Calibri"/>
      <family val="2"/>
      <b val="1"/>
      <i val="1"/>
      <color theme="1"/>
      <sz val="10"/>
      <scheme val="minor"/>
    </font>
    <font>
      <name val="Calibri (Body)"/>
      <b val="1"/>
      <i val="1"/>
      <color theme="1"/>
      <sz val="10"/>
      <u val="single"/>
    </font>
  </fonts>
  <fills count="5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5DE5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7BEA"/>
        <bgColor indexed="64"/>
      </patternFill>
    </fill>
    <fill>
      <patternFill patternType="solid">
        <fgColor rgb="FF41ECFF"/>
        <bgColor indexed="64"/>
      </patternFill>
    </fill>
    <fill>
      <patternFill patternType="solid">
        <fgColor rgb="FF18FFC8"/>
        <bgColor indexed="64"/>
      </patternFill>
    </fill>
    <fill>
      <patternFill patternType="solid">
        <fgColor rgb="FFD4BEFF"/>
        <bgColor indexed="64"/>
      </patternFill>
    </fill>
    <fill>
      <patternFill patternType="solid">
        <fgColor rgb="FF00F74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595B"/>
        <bgColor indexed="64"/>
      </patternFill>
    </fill>
    <fill>
      <patternFill patternType="solid">
        <fgColor rgb="FF18FFC8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3FF00"/>
        <bgColor indexed="64"/>
      </patternFill>
    </fill>
    <fill>
      <patternFill patternType="solid">
        <fgColor rgb="FFFFF4A3"/>
        <bgColor indexed="64"/>
      </patternFill>
    </fill>
    <fill>
      <patternFill patternType="solid">
        <fgColor rgb="FF41ECFF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ABE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FFBBD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thin">
        <color auto="1"/>
      </right>
      <top/>
      <bottom style="dashDotDot">
        <color indexed="64"/>
      </bottom>
      <diagonal/>
    </border>
    <border>
      <left style="thin">
        <color auto="1"/>
      </left>
      <right/>
      <top style="dashDotDot">
        <color indexed="64"/>
      </top>
      <bottom style="dashDot">
        <color indexed="64"/>
      </bottom>
      <diagonal/>
    </border>
    <border>
      <left/>
      <right/>
      <top style="dashDotDot">
        <color indexed="64"/>
      </top>
      <bottom style="dashDot">
        <color indexed="64"/>
      </bottom>
      <diagonal/>
    </border>
    <border>
      <left/>
      <right style="thin">
        <color auto="1"/>
      </right>
      <top style="dashDotDot">
        <color indexed="64"/>
      </top>
      <bottom style="dashDot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</borders>
  <cellStyleXfs count="15">
    <xf numFmtId="0" fontId="7" fillId="0" borderId="0"/>
    <xf numFmtId="0" fontId="8" fillId="0" borderId="0"/>
    <xf numFmtId="0" fontId="9" fillId="0" borderId="0"/>
    <xf numFmtId="166" fontId="7" fillId="0" borderId="0"/>
    <xf numFmtId="167" fontId="7" fillId="0" borderId="0"/>
    <xf numFmtId="166" fontId="7" fillId="0" borderId="0"/>
    <xf numFmtId="167" fontId="7" fillId="0" borderId="0"/>
    <xf numFmtId="9" fontId="7" fillId="0" borderId="0"/>
    <xf numFmtId="166" fontId="4" fillId="0" borderId="0"/>
    <xf numFmtId="9" fontId="4" fillId="0" borderId="0"/>
    <xf numFmtId="167" fontId="4" fillId="0" borderId="0"/>
    <xf numFmtId="9" fontId="7" fillId="0" borderId="0"/>
    <xf numFmtId="44" fontId="7" fillId="0" borderId="0"/>
    <xf numFmtId="167" fontId="7" fillId="0" borderId="0"/>
    <xf numFmtId="166" fontId="7" fillId="0" borderId="0"/>
  </cellStyleXfs>
  <cellXfs count="2516">
    <xf numFmtId="0" fontId="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0" fillId="0" borderId="1" pivotButton="0" quotePrefix="0" xfId="0"/>
    <xf numFmtId="0" fontId="11" fillId="0" borderId="4" pivotButton="0" quotePrefix="0" xfId="0"/>
    <xf numFmtId="164" fontId="11" fillId="0" borderId="0" pivotButton="0" quotePrefix="0" xfId="0"/>
    <xf numFmtId="9" fontId="11" fillId="0" borderId="0" pivotButton="0" quotePrefix="0" xfId="0"/>
    <xf numFmtId="164" fontId="11" fillId="0" borderId="5" pivotButton="0" quotePrefix="0" xfId="0"/>
    <xf numFmtId="0" fontId="15" fillId="2" borderId="6" pivotButton="0" quotePrefix="0" xfId="0"/>
    <xf numFmtId="0" fontId="10" fillId="0" borderId="2" pivotButton="0" quotePrefix="0" xfId="0"/>
    <xf numFmtId="164" fontId="10" fillId="0" borderId="3" pivotButton="0" quotePrefix="0" xfId="0"/>
    <xf numFmtId="164" fontId="15" fillId="2" borderId="7" pivotButton="0" quotePrefix="0" xfId="0"/>
    <xf numFmtId="164" fontId="10" fillId="0" borderId="2" pivotButton="0" quotePrefix="0" xfId="0"/>
    <xf numFmtId="164" fontId="11" fillId="0" borderId="7" pivotButton="0" quotePrefix="0" xfId="0"/>
    <xf numFmtId="164" fontId="15" fillId="2" borderId="8" pivotButton="0" quotePrefix="0" xfId="0"/>
    <xf numFmtId="0" fontId="19" fillId="0" borderId="1" pivotButton="0" quotePrefix="0" xfId="0"/>
    <xf numFmtId="164" fontId="19" fillId="0" borderId="2" pivotButton="0" quotePrefix="0" xfId="0"/>
    <xf numFmtId="164" fontId="19" fillId="0" borderId="3" pivotButton="0" quotePrefix="0" xfId="0"/>
    <xf numFmtId="0" fontId="19" fillId="0" borderId="4" pivotButton="0" quotePrefix="0" xfId="0"/>
    <xf numFmtId="164" fontId="19" fillId="0" borderId="0" pivotButton="0" quotePrefix="0" xfId="0"/>
    <xf numFmtId="164" fontId="19" fillId="0" borderId="5" pivotButton="0" quotePrefix="0" xfId="0"/>
    <xf numFmtId="0" fontId="10" fillId="0" borderId="0" pivotButton="0" quotePrefix="0" xfId="0"/>
    <xf numFmtId="0" fontId="20" fillId="0" borderId="0" pivotButton="0" quotePrefix="0" xfId="0"/>
    <xf numFmtId="0" fontId="10" fillId="0" borderId="4" pivotButton="0" quotePrefix="0" xfId="0"/>
    <xf numFmtId="164" fontId="11" fillId="0" borderId="17" pivotButton="0" quotePrefix="0" xfId="0"/>
    <xf numFmtId="164" fontId="11" fillId="0" borderId="16" pivotButton="0" quotePrefix="0" xfId="0"/>
    <xf numFmtId="164" fontId="0" fillId="0" borderId="0" pivotButton="0" quotePrefix="0" xfId="0"/>
    <xf numFmtId="0" fontId="10" fillId="0" borderId="5" pivotButton="0" quotePrefix="0" xfId="0"/>
    <xf numFmtId="0" fontId="1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164" fontId="11" fillId="0" borderId="5" applyAlignment="1" pivotButton="0" quotePrefix="0" xfId="0">
      <alignment horizontal="center"/>
    </xf>
    <xf numFmtId="0" fontId="19" fillId="0" borderId="2" applyAlignment="1" pivotButton="0" quotePrefix="0" xfId="0">
      <alignment horizontal="center"/>
    </xf>
    <xf numFmtId="0" fontId="15" fillId="2" borderId="7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9" fillId="0" borderId="9" pivotButton="0" quotePrefix="0" xfId="0"/>
    <xf numFmtId="9" fontId="19" fillId="0" borderId="10" applyAlignment="1" pivotButton="0" quotePrefix="0" xfId="0">
      <alignment horizontal="center"/>
    </xf>
    <xf numFmtId="164" fontId="19" fillId="0" borderId="10" pivotButton="0" quotePrefix="0" xfId="0"/>
    <xf numFmtId="164" fontId="19" fillId="0" borderId="11" pivotButton="0" quotePrefix="0" xfId="0"/>
    <xf numFmtId="0" fontId="21" fillId="0" borderId="0" pivotButton="0" quotePrefix="0" xfId="0"/>
    <xf numFmtId="0" fontId="11" fillId="0" borderId="4" applyAlignment="1" pivotButton="0" quotePrefix="0" xfId="0">
      <alignment horizontal="center"/>
    </xf>
    <xf numFmtId="0" fontId="11" fillId="0" borderId="6" pivotButton="0" quotePrefix="0" xfId="0"/>
    <xf numFmtId="10" fontId="11" fillId="0" borderId="7" applyAlignment="1" pivotButton="0" quotePrefix="0" xfId="0">
      <alignment horizontal="center"/>
    </xf>
    <xf numFmtId="0" fontId="11" fillId="0" borderId="4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0" fontId="22" fillId="3" borderId="19" applyAlignment="1" pivotButton="0" quotePrefix="0" xfId="0">
      <alignment horizontal="center"/>
    </xf>
    <xf numFmtId="0" fontId="22" fillId="3" borderId="8" applyAlignment="1" pivotButton="0" quotePrefix="0" xfId="0">
      <alignment horizontal="center"/>
    </xf>
    <xf numFmtId="0" fontId="17" fillId="0" borderId="0" pivotButton="0" quotePrefix="0" xfId="0"/>
    <xf numFmtId="164" fontId="20" fillId="0" borderId="3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165" fontId="0" fillId="0" borderId="0" pivotButton="0" quotePrefix="0" xfId="285"/>
    <xf numFmtId="165" fontId="0" fillId="0" borderId="7" pivotButton="0" quotePrefix="0" xfId="285"/>
    <xf numFmtId="165" fontId="11" fillId="0" borderId="0" applyAlignment="1" pivotButton="0" quotePrefix="0" xfId="285">
      <alignment horizontal="center"/>
    </xf>
    <xf numFmtId="165" fontId="11" fillId="0" borderId="17" applyAlignment="1" pivotButton="0" quotePrefix="0" xfId="285">
      <alignment horizontal="center"/>
    </xf>
    <xf numFmtId="0" fontId="21" fillId="0" borderId="19" applyAlignment="1" pivotButton="0" quotePrefix="0" xfId="0">
      <alignment horizontal="center"/>
    </xf>
    <xf numFmtId="0" fontId="0" fillId="0" borderId="15" applyAlignment="1" pivotButton="0" quotePrefix="0" xfId="0">
      <alignment horizontal="left"/>
    </xf>
    <xf numFmtId="0" fontId="0" fillId="0" borderId="15" applyAlignment="1" pivotButton="0" quotePrefix="0" xfId="0">
      <alignment horizontal="center"/>
    </xf>
    <xf numFmtId="0" fontId="21" fillId="0" borderId="8" applyAlignment="1" pivotButton="0" quotePrefix="0" xfId="0">
      <alignment horizontal="left"/>
    </xf>
    <xf numFmtId="0" fontId="21" fillId="0" borderId="8" applyAlignment="1" pivotButton="0" quotePrefix="0" xfId="0">
      <alignment horizontal="center"/>
    </xf>
    <xf numFmtId="0" fontId="21" fillId="0" borderId="8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11" fillId="5" borderId="0" pivotButton="0" quotePrefix="0" xfId="0"/>
    <xf numFmtId="0" fontId="11" fillId="5" borderId="2" pivotButton="0" quotePrefix="0" xfId="0"/>
    <xf numFmtId="0" fontId="11" fillId="0" borderId="4" applyAlignment="1" pivotButton="0" quotePrefix="0" xfId="0">
      <alignment horizontal="right"/>
    </xf>
    <xf numFmtId="42" fontId="0" fillId="0" borderId="5" pivotButton="0" quotePrefix="0" xfId="0"/>
    <xf numFmtId="0" fontId="11" fillId="5" borderId="5" pivotButton="0" quotePrefix="0" xfId="0"/>
    <xf numFmtId="14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9" fillId="0" borderId="0" pivotButton="0" quotePrefix="0" xfId="0"/>
    <xf numFmtId="0" fontId="12" fillId="0" borderId="9" applyAlignment="1" pivotButton="0" quotePrefix="0" xfId="0">
      <alignment horizontal="left"/>
    </xf>
    <xf numFmtId="42" fontId="0" fillId="0" borderId="0" pivotButton="0" quotePrefix="0" xfId="0"/>
    <xf numFmtId="165" fontId="14" fillId="0" borderId="10" pivotButton="0" quotePrefix="0" xfId="285"/>
    <xf numFmtId="165" fontId="14" fillId="0" borderId="11" pivotButton="0" quotePrefix="0" xfId="285"/>
    <xf numFmtId="164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/>
    </xf>
    <xf numFmtId="165" fontId="14" fillId="2" borderId="15" pivotButton="0" quotePrefix="0" xfId="285"/>
    <xf numFmtId="0" fontId="14" fillId="2" borderId="15" pivotButton="0" quotePrefix="0" xfId="0"/>
    <xf numFmtId="165" fontId="17" fillId="2" borderId="15" pivotButton="0" quotePrefix="0" xfId="285"/>
    <xf numFmtId="0" fontId="17" fillId="2" borderId="15" pivotButton="0" quotePrefix="0" xfId="0"/>
    <xf numFmtId="0" fontId="14" fillId="5" borderId="1" applyAlignment="1" pivotButton="0" quotePrefix="0" xfId="0">
      <alignment horizontal="center"/>
    </xf>
    <xf numFmtId="0" fontId="14" fillId="5" borderId="4" applyAlignment="1" pivotButton="0" quotePrefix="0" xfId="0">
      <alignment horizontal="center"/>
    </xf>
    <xf numFmtId="0" fontId="14" fillId="5" borderId="3" pivotButton="0" quotePrefix="0" xfId="0"/>
    <xf numFmtId="0" fontId="22" fillId="6" borderId="4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165" fontId="11" fillId="0" borderId="0" pivotButton="0" quotePrefix="0" xfId="285"/>
    <xf numFmtId="3" fontId="11" fillId="0" borderId="0" applyAlignment="1" pivotButton="0" quotePrefix="0" xfId="0">
      <alignment horizontal="left"/>
    </xf>
    <xf numFmtId="164" fontId="0" fillId="2" borderId="5" pivotButton="0" quotePrefix="0" xfId="0"/>
    <xf numFmtId="164" fontId="0" fillId="2" borderId="8" pivotButton="0" quotePrefix="0" xfId="0"/>
    <xf numFmtId="0" fontId="10" fillId="0" borderId="15" pivotButton="0" quotePrefix="0" xfId="0"/>
    <xf numFmtId="43" fontId="11" fillId="0" borderId="0" pivotButton="0" quotePrefix="0" xfId="0"/>
    <xf numFmtId="0" fontId="25" fillId="0" borderId="0" pivotButton="0" quotePrefix="0" xfId="0"/>
    <xf numFmtId="165" fontId="14" fillId="0" borderId="0" pivotButton="0" quotePrefix="0" xfId="285"/>
    <xf numFmtId="166" fontId="11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left"/>
    </xf>
    <xf numFmtId="165" fontId="11" fillId="0" borderId="0" applyAlignment="1" pivotButton="0" quotePrefix="0" xfId="285">
      <alignment horizontal="left"/>
    </xf>
    <xf numFmtId="0" fontId="19" fillId="0" borderId="0" applyAlignment="1" pivotButton="0" quotePrefix="0" xfId="0">
      <alignment horizontal="left"/>
    </xf>
    <xf numFmtId="164" fontId="19" fillId="0" borderId="0" applyAlignment="1" pivotButton="0" quotePrefix="0" xfId="0">
      <alignment horizontal="left"/>
    </xf>
    <xf numFmtId="9" fontId="19" fillId="0" borderId="0" applyAlignment="1" pivotButton="0" quotePrefix="0" xfId="0">
      <alignment horizontal="left"/>
    </xf>
    <xf numFmtId="42" fontId="0" fillId="0" borderId="0" applyAlignment="1" pivotButton="0" quotePrefix="0" xfId="0">
      <alignment horizontal="left"/>
    </xf>
    <xf numFmtId="42" fontId="21" fillId="0" borderId="0" applyAlignment="1" pivotButton="0" quotePrefix="0" xfId="0">
      <alignment horizontal="left"/>
    </xf>
    <xf numFmtId="9" fontId="11" fillId="0" borderId="0" applyAlignment="1" pivotButton="0" quotePrefix="0" xfId="647">
      <alignment horizontal="left"/>
    </xf>
    <xf numFmtId="167" fontId="0" fillId="0" borderId="0" applyAlignment="1" pivotButton="0" quotePrefix="0" xfId="286">
      <alignment horizontal="left"/>
    </xf>
    <xf numFmtId="43" fontId="11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10" fontId="11" fillId="0" borderId="0" applyAlignment="1" pivotButton="0" quotePrefix="0" xfId="0">
      <alignment horizontal="left"/>
    </xf>
    <xf numFmtId="9" fontId="11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26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165" fontId="0" fillId="0" borderId="0" applyAlignment="1" pivotButton="0" quotePrefix="0" xfId="285">
      <alignment horizontal="left"/>
    </xf>
    <xf numFmtId="166" fontId="11" fillId="0" borderId="0" applyAlignment="1" pivotButton="0" quotePrefix="0" xfId="0">
      <alignment horizontal="left"/>
    </xf>
    <xf numFmtId="168" fontId="11" fillId="0" borderId="0" applyAlignment="1" pivotButton="0" quotePrefix="0" xfId="286">
      <alignment horizontal="left"/>
    </xf>
    <xf numFmtId="169" fontId="11" fillId="0" borderId="0" applyAlignment="1" pivotButton="0" quotePrefix="0" xfId="0">
      <alignment horizontal="left"/>
    </xf>
    <xf numFmtId="165" fontId="11" fillId="0" borderId="0" applyAlignment="1" pivotButton="0" quotePrefix="0" xfId="285">
      <alignment horizontal="center"/>
    </xf>
    <xf numFmtId="9" fontId="11" fillId="0" borderId="0" applyAlignment="1" pivotButton="0" quotePrefix="0" xfId="0">
      <alignment horizontal="center"/>
    </xf>
    <xf numFmtId="0" fontId="11" fillId="2" borderId="9" pivotButton="0" quotePrefix="0" xfId="0"/>
    <xf numFmtId="0" fontId="11" fillId="2" borderId="11" pivotButton="0" quotePrefix="0" xfId="0"/>
    <xf numFmtId="0" fontId="14" fillId="8" borderId="9" applyAlignment="1" pivotButton="0" quotePrefix="0" xfId="0">
      <alignment horizontal="left"/>
    </xf>
    <xf numFmtId="9" fontId="14" fillId="8" borderId="11" pivotButton="0" quotePrefix="0" xfId="647"/>
    <xf numFmtId="0" fontId="10" fillId="9" borderId="4" pivotButton="0" quotePrefix="0" xfId="0"/>
    <xf numFmtId="0" fontId="10" fillId="9" borderId="5" applyAlignment="1" pivotButton="0" quotePrefix="0" xfId="0">
      <alignment horizontal="center"/>
    </xf>
    <xf numFmtId="0" fontId="11" fillId="9" borderId="9" pivotButton="0" quotePrefix="0" xfId="0"/>
    <xf numFmtId="3" fontId="11" fillId="9" borderId="11" applyAlignment="1" pivotButton="0" quotePrefix="0" xfId="0">
      <alignment horizontal="center"/>
    </xf>
    <xf numFmtId="164" fontId="11" fillId="0" borderId="20" pivotButton="0" quotePrefix="0" xfId="0"/>
    <xf numFmtId="0" fontId="14" fillId="0" borderId="0" applyAlignment="1" pivotButton="0" quotePrefix="0" xfId="0">
      <alignment horizontal="left"/>
    </xf>
    <xf numFmtId="0" fontId="14" fillId="0" borderId="0" pivotButton="0" quotePrefix="0" xfId="0"/>
    <xf numFmtId="42" fontId="17" fillId="0" borderId="0" pivotButton="0" quotePrefix="0" xfId="0"/>
    <xf numFmtId="9" fontId="14" fillId="8" borderId="21" pivotButton="0" quotePrefix="0" xfId="647"/>
    <xf numFmtId="0" fontId="14" fillId="8" borderId="1" applyAlignment="1" pivotButton="0" quotePrefix="0" xfId="0">
      <alignment horizontal="left"/>
    </xf>
    <xf numFmtId="9" fontId="14" fillId="8" borderId="3" pivotButton="0" quotePrefix="0" xfId="647"/>
    <xf numFmtId="166" fontId="0" fillId="10" borderId="22" pivotButton="0" quotePrefix="0" xfId="0"/>
    <xf numFmtId="0" fontId="0" fillId="10" borderId="2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7" fillId="8" borderId="0" pivotButton="0" quotePrefix="0" xfId="0"/>
    <xf numFmtId="0" fontId="17" fillId="8" borderId="26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11" fillId="7" borderId="15" applyAlignment="1" pivotButton="0" quotePrefix="0" xfId="0">
      <alignment horizontal="left"/>
    </xf>
    <xf numFmtId="0" fontId="11" fillId="7" borderId="15" pivotButton="0" quotePrefix="0" xfId="0"/>
    <xf numFmtId="37" fontId="17" fillId="7" borderId="15" pivotButton="0" quotePrefix="0" xfId="0"/>
    <xf numFmtId="170" fontId="11" fillId="7" borderId="15" applyAlignment="1" pivotButton="0" quotePrefix="0" xfId="0">
      <alignment horizontal="right"/>
    </xf>
    <xf numFmtId="4" fontId="14" fillId="8" borderId="15" applyAlignment="1" pivotButton="0" quotePrefix="0" xfId="0">
      <alignment horizontal="center"/>
    </xf>
    <xf numFmtId="4" fontId="11" fillId="0" borderId="0" applyAlignment="1" pivotButton="0" quotePrefix="0" xfId="0">
      <alignment horizontal="center"/>
    </xf>
    <xf numFmtId="0" fontId="14" fillId="10" borderId="15" pivotButton="0" quotePrefix="0" xfId="0"/>
    <xf numFmtId="0" fontId="10" fillId="9" borderId="15" applyAlignment="1" pivotButton="0" quotePrefix="0" xfId="0">
      <alignment horizontal="center"/>
    </xf>
    <xf numFmtId="4" fontId="14" fillId="9" borderId="15" applyAlignment="1" pivotButton="0" quotePrefix="0" xfId="0">
      <alignment horizontal="center"/>
    </xf>
    <xf numFmtId="2" fontId="11" fillId="0" borderId="9" pivotButton="0" quotePrefix="0" xfId="0"/>
    <xf numFmtId="9" fontId="14" fillId="8" borderId="15" pivotButton="0" quotePrefix="0" xfId="647"/>
    <xf numFmtId="164" fontId="11" fillId="0" borderId="2" pivotButton="0" quotePrefix="0" xfId="0"/>
    <xf numFmtId="165" fontId="0" fillId="0" borderId="2" pivotButton="0" quotePrefix="0" xfId="285"/>
    <xf numFmtId="164" fontId="0" fillId="2" borderId="3" pivotButton="0" quotePrefix="0" xfId="0"/>
    <xf numFmtId="0" fontId="0" fillId="0" borderId="15" pivotButton="0" quotePrefix="0" xfId="0"/>
    <xf numFmtId="0" fontId="11" fillId="2" borderId="10" pivotButton="0" quotePrefix="0" xfId="0"/>
    <xf numFmtId="0" fontId="14" fillId="11" borderId="9" pivotButton="0" quotePrefix="0" xfId="0"/>
    <xf numFmtId="0" fontId="11" fillId="11" borderId="10" applyAlignment="1" pivotButton="0" quotePrefix="0" xfId="0">
      <alignment horizontal="center"/>
    </xf>
    <xf numFmtId="164" fontId="15" fillId="11" borderId="11" pivotButton="0" quotePrefix="0" xfId="0"/>
    <xf numFmtId="171" fontId="31" fillId="0" borderId="7" pivotButton="0" quotePrefix="0" xfId="647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30" fillId="0" borderId="4" pivotButton="0" quotePrefix="0" xfId="0"/>
    <xf numFmtId="171" fontId="31" fillId="0" borderId="0" pivotButton="0" quotePrefix="0" xfId="647"/>
    <xf numFmtId="0" fontId="31" fillId="0" borderId="4" pivotButton="0" quotePrefix="0" xfId="0"/>
    <xf numFmtId="171" fontId="31" fillId="0" borderId="0" pivotButton="0" quotePrefix="0" xfId="647"/>
    <xf numFmtId="0" fontId="30" fillId="0" borderId="6" pivotButton="0" quotePrefix="0" xfId="0"/>
    <xf numFmtId="171" fontId="30" fillId="0" borderId="7" pivotButton="0" quotePrefix="0" xfId="647"/>
    <xf numFmtId="0" fontId="0" fillId="0" borderId="7" pivotButton="0" quotePrefix="0" xfId="0"/>
    <xf numFmtId="0" fontId="0" fillId="0" borderId="8" pivotButton="0" quotePrefix="0" xfId="0"/>
    <xf numFmtId="0" fontId="12" fillId="10" borderId="12" applyAlignment="1" pivotButton="0" quotePrefix="0" xfId="0">
      <alignment horizontal="right"/>
    </xf>
    <xf numFmtId="164" fontId="11" fillId="10" borderId="13" pivotButton="0" quotePrefix="0" xfId="0"/>
    <xf numFmtId="0" fontId="14" fillId="10" borderId="13" applyAlignment="1" pivotButton="0" quotePrefix="0" xfId="0">
      <alignment horizontal="right"/>
    </xf>
    <xf numFmtId="164" fontId="11" fillId="10" borderId="14" pivotButton="0" quotePrefix="0" xfId="0"/>
    <xf numFmtId="0" fontId="14" fillId="11" borderId="12" pivotButton="0" quotePrefix="0" xfId="0"/>
    <xf numFmtId="0" fontId="11" fillId="11" borderId="13" pivotButton="0" quotePrefix="0" xfId="0"/>
    <xf numFmtId="164" fontId="11" fillId="11" borderId="13" pivotButton="0" quotePrefix="0" xfId="0"/>
    <xf numFmtId="0" fontId="32" fillId="0" borderId="0" pivotButton="0" quotePrefix="0" xfId="0"/>
    <xf numFmtId="0" fontId="33" fillId="0" borderId="0" pivotButton="0" quotePrefix="0" xfId="0"/>
    <xf numFmtId="0" fontId="14" fillId="0" borderId="15" applyAlignment="1" pivotButton="0" quotePrefix="0" xfId="0">
      <alignment horizontal="center"/>
    </xf>
    <xf numFmtId="9" fontId="0" fillId="0" borderId="0" pivotButton="0" quotePrefix="0" xfId="647"/>
    <xf numFmtId="168" fontId="0" fillId="0" borderId="0" pivotButton="0" quotePrefix="0" xfId="286"/>
    <xf numFmtId="172" fontId="0" fillId="0" borderId="0" pivotButton="0" quotePrefix="0" xfId="0"/>
    <xf numFmtId="168" fontId="0" fillId="0" borderId="0" pivotButton="0" quotePrefix="0" xfId="0"/>
    <xf numFmtId="171" fontId="0" fillId="0" borderId="0" pivotButton="0" quotePrefix="0" xfId="647"/>
    <xf numFmtId="168" fontId="0" fillId="10" borderId="0" pivotButton="0" quotePrefix="0" xfId="286"/>
    <xf numFmtId="9" fontId="0" fillId="10" borderId="0" pivotButton="0" quotePrefix="0" xfId="647"/>
    <xf numFmtId="0" fontId="0" fillId="10" borderId="0" pivotButton="0" quotePrefix="0" xfId="0"/>
    <xf numFmtId="172" fontId="0" fillId="10" borderId="0" pivotButton="0" quotePrefix="0" xfId="0"/>
    <xf numFmtId="168" fontId="0" fillId="10" borderId="0" pivotButton="0" quotePrefix="0" xfId="0"/>
    <xf numFmtId="171" fontId="0" fillId="4" borderId="0" pivotButton="0" quotePrefix="0" xfId="647"/>
    <xf numFmtId="170" fontId="11" fillId="0" borderId="0" pivotButton="0" quotePrefix="0" xfId="0"/>
    <xf numFmtId="0" fontId="11" fillId="0" borderId="0" applyAlignment="1" pivotButton="0" quotePrefix="0" xfId="0">
      <alignment horizontal="left" vertical="center"/>
    </xf>
    <xf numFmtId="14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7" fontId="11" fillId="0" borderId="0" pivotButton="0" quotePrefix="0" xfId="286"/>
    <xf numFmtId="169" fontId="11" fillId="0" borderId="0" applyAlignment="1" pivotButton="0" quotePrefix="0" xfId="0">
      <alignment horizontal="center"/>
    </xf>
    <xf numFmtId="164" fontId="10" fillId="0" borderId="0" pivotButton="0" quotePrefix="0" xfId="0"/>
    <xf numFmtId="164" fontId="0" fillId="0" borderId="8" pivotButton="0" quotePrefix="0" xfId="0"/>
    <xf numFmtId="173" fontId="11" fillId="0" borderId="0" pivotButton="0" quotePrefix="0" xfId="286"/>
    <xf numFmtId="0" fontId="35" fillId="0" borderId="0" applyAlignment="1" pivotButton="0" quotePrefix="0" xfId="0">
      <alignment horizontal="center"/>
    </xf>
    <xf numFmtId="0" fontId="0" fillId="0" borderId="0" pivotButton="0" quotePrefix="1" xfId="0"/>
    <xf numFmtId="0" fontId="34" fillId="10" borderId="0" pivotButton="0" quotePrefix="0" xfId="0"/>
    <xf numFmtId="0" fontId="12" fillId="0" borderId="1" applyAlignment="1" pivotButton="0" quotePrefix="0" xfId="0">
      <alignment horizontal="left"/>
    </xf>
    <xf numFmtId="165" fontId="14" fillId="0" borderId="2" pivotButton="0" quotePrefix="0" xfId="285"/>
    <xf numFmtId="165" fontId="14" fillId="0" borderId="3" pivotButton="0" quotePrefix="0" xfId="285"/>
    <xf numFmtId="42" fontId="0" fillId="0" borderId="8" pivotButton="0" quotePrefix="0" xfId="0"/>
    <xf numFmtId="0" fontId="25" fillId="0" borderId="0" pivotButton="0" quotePrefix="1" xfId="0"/>
    <xf numFmtId="0" fontId="34" fillId="0" borderId="0" pivotButton="0" quotePrefix="0" xfId="0"/>
    <xf numFmtId="0" fontId="11" fillId="0" borderId="0" applyAlignment="1" pivotButton="0" quotePrefix="0" xfId="0">
      <alignment horizontal="right"/>
    </xf>
    <xf numFmtId="2" fontId="14" fillId="0" borderId="10" pivotButton="0" quotePrefix="0" xfId="0"/>
    <xf numFmtId="164" fontId="0" fillId="0" borderId="15" pivotButton="0" quotePrefix="0" xfId="0"/>
    <xf numFmtId="0" fontId="14" fillId="2" borderId="1" applyAlignment="1" pivotButton="0" quotePrefix="0" xfId="0">
      <alignment horizontal="right"/>
    </xf>
    <xf numFmtId="0" fontId="11" fillId="2" borderId="2" pivotButton="0" quotePrefix="0" xfId="0"/>
    <xf numFmtId="0" fontId="14" fillId="2" borderId="9" applyAlignment="1" pivotButton="0" quotePrefix="0" xfId="0">
      <alignment horizontal="right"/>
    </xf>
    <xf numFmtId="9" fontId="11" fillId="2" borderId="10" pivotButton="0" quotePrefix="0" xfId="647"/>
    <xf numFmtId="0" fontId="14" fillId="2" borderId="6" pivotButton="0" quotePrefix="0" xfId="0"/>
    <xf numFmtId="164" fontId="14" fillId="10" borderId="15" pivotButton="0" quotePrefix="0" xfId="0"/>
    <xf numFmtId="0" fontId="14" fillId="10" borderId="15" applyAlignment="1" pivotButton="0" quotePrefix="0" xfId="0">
      <alignment horizontal="center"/>
    </xf>
    <xf numFmtId="164" fontId="11" fillId="10" borderId="15" pivotButton="0" quotePrefix="0" xfId="0"/>
    <xf numFmtId="0" fontId="17" fillId="0" borderId="15" applyAlignment="1" pivotButton="0" quotePrefix="0" xfId="0">
      <alignment horizontal="center"/>
    </xf>
    <xf numFmtId="9" fontId="11" fillId="0" borderId="0" applyAlignment="1" pivotButton="0" quotePrefix="0" xfId="647">
      <alignment horizontal="right"/>
    </xf>
    <xf numFmtId="3" fontId="11" fillId="0" borderId="9" applyAlignment="1" pivotButton="0" quotePrefix="0" xfId="0">
      <alignment horizontal="left"/>
    </xf>
    <xf numFmtId="0" fontId="11" fillId="0" borderId="11" pivotButton="0" quotePrefix="0" xfId="0"/>
    <xf numFmtId="3" fontId="14" fillId="0" borderId="9" applyAlignment="1" pivotButton="0" quotePrefix="0" xfId="0">
      <alignment horizontal="left"/>
    </xf>
    <xf numFmtId="0" fontId="0" fillId="0" borderId="11" pivotButton="0" quotePrefix="0" xfId="0"/>
    <xf numFmtId="164" fontId="11" fillId="0" borderId="11" pivotButton="0" quotePrefix="0" xfId="0"/>
    <xf numFmtId="165" fontId="0" fillId="0" borderId="0" pivotButton="0" quotePrefix="0" xfId="0"/>
    <xf numFmtId="166" fontId="0" fillId="0" borderId="0" pivotButton="0" quotePrefix="0" xfId="285"/>
    <xf numFmtId="10" fontId="11" fillId="0" borderId="0" applyAlignment="1" pivotButton="0" quotePrefix="0" xfId="0">
      <alignment horizontal="center"/>
    </xf>
    <xf numFmtId="9" fontId="0" fillId="0" borderId="15" pivotButton="0" quotePrefix="0" xfId="647"/>
    <xf numFmtId="168" fontId="0" fillId="0" borderId="0" pivotButton="0" quotePrefix="0" xfId="286"/>
    <xf numFmtId="0" fontId="14" fillId="0" borderId="15" pivotButton="0" quotePrefix="0" xfId="0"/>
    <xf numFmtId="171" fontId="0" fillId="0" borderId="0" pivotButton="0" quotePrefix="0" xfId="647"/>
    <xf numFmtId="9" fontId="0" fillId="0" borderId="0" pivotButton="0" quotePrefix="0" xfId="0"/>
    <xf numFmtId="1" fontId="0" fillId="0" borderId="0" pivotButton="0" quotePrefix="0" xfId="0"/>
    <xf numFmtId="0" fontId="11" fillId="0" borderId="26" applyAlignment="1" pivotButton="0" quotePrefix="0" xfId="0">
      <alignment horizontal="center"/>
    </xf>
    <xf numFmtId="0" fontId="12" fillId="0" borderId="0" pivotButton="0" quotePrefix="0" xfId="0"/>
    <xf numFmtId="14" fontId="0" fillId="0" borderId="0" applyAlignment="1" pivotButton="0" quotePrefix="0" xfId="0">
      <alignment horizontal="left"/>
    </xf>
    <xf numFmtId="0" fontId="22" fillId="0" borderId="12" pivotButton="0" quotePrefix="0" xfId="0"/>
    <xf numFmtId="165" fontId="17" fillId="0" borderId="13" pivotButton="0" quotePrefix="0" xfId="285"/>
    <xf numFmtId="165" fontId="17" fillId="0" borderId="14" pivotButton="0" quotePrefix="0" xfId="285"/>
    <xf numFmtId="0" fontId="17" fillId="0" borderId="12" pivotButton="0" quotePrefix="0" xfId="0"/>
    <xf numFmtId="165" fontId="17" fillId="0" borderId="14" pivotButton="0" quotePrefix="0" xfId="285"/>
    <xf numFmtId="165" fontId="17" fillId="0" borderId="13" pivotButton="0" quotePrefix="0" xfId="285"/>
    <xf numFmtId="167" fontId="0" fillId="0" borderId="0" pivotButton="0" quotePrefix="0" xfId="286"/>
    <xf numFmtId="167" fontId="11" fillId="0" borderId="0" applyAlignment="1" pivotButton="0" quotePrefix="0" xfId="286">
      <alignment horizontal="left"/>
    </xf>
    <xf numFmtId="167" fontId="11" fillId="0" borderId="0" applyAlignment="1" pivotButton="0" quotePrefix="0" xfId="286">
      <alignment horizontal="center"/>
    </xf>
    <xf numFmtId="167" fontId="21" fillId="0" borderId="0" pivotButton="0" quotePrefix="0" xfId="286"/>
    <xf numFmtId="0" fontId="39" fillId="0" borderId="0" pivotButton="0" quotePrefix="0" xfId="0"/>
    <xf numFmtId="164" fontId="17" fillId="13" borderId="9" pivotButton="0" quotePrefix="0" xfId="0"/>
    <xf numFmtId="0" fontId="17" fillId="13" borderId="11" pivotButton="0" quotePrefix="0" xfId="0"/>
    <xf numFmtId="0" fontId="27" fillId="0" borderId="0" applyAlignment="1" pivotButton="0" quotePrefix="0" xfId="0">
      <alignment horizontal="left"/>
    </xf>
    <xf numFmtId="165" fontId="11" fillId="0" borderId="0" applyAlignment="1" pivotButton="0" quotePrefix="0" xfId="852">
      <alignment horizontal="center"/>
    </xf>
    <xf numFmtId="165" fontId="11" fillId="0" borderId="0" applyAlignment="1" pivotButton="0" quotePrefix="0" xfId="852">
      <alignment horizontal="center"/>
    </xf>
    <xf numFmtId="165" fontId="10" fillId="0" borderId="0" applyAlignment="1" pivotButton="0" quotePrefix="0" xfId="852">
      <alignment horizontal="center"/>
    </xf>
    <xf numFmtId="165" fontId="14" fillId="2" borderId="15" pivotButton="0" quotePrefix="0" xfId="852"/>
    <xf numFmtId="165" fontId="11" fillId="0" borderId="17" applyAlignment="1" pivotButton="0" quotePrefix="0" xfId="852">
      <alignment horizontal="center"/>
    </xf>
    <xf numFmtId="9" fontId="19" fillId="0" borderId="0" applyAlignment="1" pivotButton="0" quotePrefix="0" xfId="0">
      <alignment horizontal="center"/>
    </xf>
    <xf numFmtId="165" fontId="14" fillId="0" borderId="10" pivotButton="0" quotePrefix="0" xfId="852"/>
    <xf numFmtId="165" fontId="14" fillId="0" borderId="11" pivotButton="0" quotePrefix="0" xfId="852"/>
    <xf numFmtId="9" fontId="14" fillId="8" borderId="15" pivotButton="0" quotePrefix="0" xfId="853"/>
    <xf numFmtId="0" fontId="27" fillId="0" borderId="0" applyAlignment="1" pivotButton="0" quotePrefix="0" xfId="0">
      <alignment horizontal="center"/>
    </xf>
    <xf numFmtId="0" fontId="14" fillId="9" borderId="15" applyAlignment="1" pivotButton="0" quotePrefix="0" xfId="0">
      <alignment horizontal="center"/>
    </xf>
    <xf numFmtId="0" fontId="21" fillId="6" borderId="0" pivotButton="0" quotePrefix="0" xfId="0"/>
    <xf numFmtId="0" fontId="14" fillId="2" borderId="6" applyAlignment="1" pivotButton="0" quotePrefix="0" xfId="0">
      <alignment horizontal="right"/>
    </xf>
    <xf numFmtId="0" fontId="11" fillId="2" borderId="7" pivotButton="0" quotePrefix="0" xfId="0"/>
    <xf numFmtId="167" fontId="17" fillId="2" borderId="7" pivotButton="0" quotePrefix="0" xfId="854"/>
    <xf numFmtId="0" fontId="14" fillId="2" borderId="9" pivotButton="0" quotePrefix="0" xfId="0"/>
    <xf numFmtId="0" fontId="11" fillId="2" borderId="10" applyAlignment="1" pivotButton="0" quotePrefix="0" xfId="0">
      <alignment horizontal="center"/>
    </xf>
    <xf numFmtId="164" fontId="11" fillId="2" borderId="10" pivotButton="0" quotePrefix="0" xfId="0"/>
    <xf numFmtId="164" fontId="15" fillId="2" borderId="11" pivotButton="0" quotePrefix="0" xfId="0"/>
    <xf numFmtId="0" fontId="8" fillId="0" borderId="4" pivotButton="0" quotePrefix="0" xfId="645"/>
    <xf numFmtId="0" fontId="40" fillId="0" borderId="0" applyAlignment="1" pivotButton="0" quotePrefix="0" xfId="0">
      <alignment horizontal="right"/>
    </xf>
    <xf numFmtId="0" fontId="14" fillId="0" borderId="21" applyAlignment="1" pivotButton="0" quotePrefix="0" xfId="0">
      <alignment horizontal="center"/>
    </xf>
    <xf numFmtId="0" fontId="14" fillId="0" borderId="0" applyAlignment="1" pivotButton="0" quotePrefix="0" xfId="0">
      <alignment horizontal="right"/>
    </xf>
    <xf numFmtId="165" fontId="14" fillId="0" borderId="0" pivotButton="0" quotePrefix="0" xfId="852"/>
    <xf numFmtId="0" fontId="14" fillId="13" borderId="12" pivotButton="0" quotePrefix="0" xfId="0"/>
    <xf numFmtId="0" fontId="11" fillId="13" borderId="13" pivotButton="0" quotePrefix="0" xfId="0"/>
    <xf numFmtId="164" fontId="11" fillId="13" borderId="13" pivotButton="0" quotePrefix="0" xfId="0"/>
    <xf numFmtId="164" fontId="11" fillId="13" borderId="14" pivotButton="0" quotePrefix="0" xfId="0"/>
    <xf numFmtId="9" fontId="11" fillId="0" borderId="20" pivotButton="0" quotePrefix="0" xfId="853"/>
    <xf numFmtId="9" fontId="11" fillId="0" borderId="0" pivotButton="0" quotePrefix="0" xfId="853"/>
    <xf numFmtId="0" fontId="0" fillId="0" borderId="19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74" fontId="11" fillId="0" borderId="0" pivotButton="0" quotePrefix="0" xfId="0"/>
    <xf numFmtId="0" fontId="11" fillId="14" borderId="4" applyAlignment="1" pivotButton="0" quotePrefix="0" xfId="0">
      <alignment horizontal="right"/>
    </xf>
    <xf numFmtId="0" fontId="21" fillId="4" borderId="0" pivotButton="0" quotePrefix="0" xfId="0"/>
    <xf numFmtId="165" fontId="11" fillId="14" borderId="0" applyAlignment="1" pivotButton="0" quotePrefix="0" xfId="852">
      <alignment horizontal="center"/>
    </xf>
    <xf numFmtId="43" fontId="0" fillId="0" borderId="0" pivotButton="0" quotePrefix="0" xfId="0"/>
    <xf numFmtId="165" fontId="21" fillId="0" borderId="0" applyAlignment="1" pivotButton="0" quotePrefix="0" xfId="0">
      <alignment horizontal="center"/>
    </xf>
    <xf numFmtId="164" fontId="21" fillId="0" borderId="0" applyAlignment="1" pivotButton="0" quotePrefix="0" xfId="0">
      <alignment horizontal="center"/>
    </xf>
    <xf numFmtId="165" fontId="14" fillId="16" borderId="15" pivotButton="0" quotePrefix="0" xfId="852"/>
    <xf numFmtId="0" fontId="14" fillId="16" borderId="15" pivotButton="0" quotePrefix="0" xfId="0"/>
    <xf numFmtId="164" fontId="21" fillId="0" borderId="0" pivotButton="0" quotePrefix="0" xfId="0"/>
    <xf numFmtId="0" fontId="11" fillId="4" borderId="0" pivotButton="0" quotePrefix="0" xfId="0"/>
    <xf numFmtId="0" fontId="11" fillId="17" borderId="4" pivotButton="0" quotePrefix="0" xfId="0"/>
    <xf numFmtId="3" fontId="11" fillId="17" borderId="0" applyAlignment="1" pivotButton="0" quotePrefix="0" xfId="0">
      <alignment horizontal="center"/>
    </xf>
    <xf numFmtId="164" fontId="11" fillId="17" borderId="0" pivotButton="0" quotePrefix="0" xfId="0"/>
    <xf numFmtId="164" fontId="11" fillId="17" borderId="5" pivotButton="0" quotePrefix="0" xfId="0"/>
    <xf numFmtId="0" fontId="21" fillId="18" borderId="4" pivotButton="0" quotePrefix="0" xfId="0"/>
    <xf numFmtId="3" fontId="11" fillId="14" borderId="0" applyAlignment="1" pivotButton="0" quotePrefix="0" xfId="0">
      <alignment horizontal="center"/>
    </xf>
    <xf numFmtId="0" fontId="41" fillId="19" borderId="9" pivotButton="0" quotePrefix="0" xfId="0"/>
    <xf numFmtId="0" fontId="0" fillId="19" borderId="10" pivotButton="0" quotePrefix="0" xfId="0"/>
    <xf numFmtId="0" fontId="39" fillId="0" borderId="4" pivotButton="0" quotePrefix="0" xfId="0"/>
    <xf numFmtId="0" fontId="39" fillId="0" borderId="0" applyAlignment="1" pivotButton="0" quotePrefix="0" xfId="0">
      <alignment horizontal="center"/>
    </xf>
    <xf numFmtId="0" fontId="39" fillId="0" borderId="5" applyAlignment="1" pivotButton="0" quotePrefix="0" xfId="0">
      <alignment horizontal="center"/>
    </xf>
    <xf numFmtId="0" fontId="21" fillId="0" borderId="4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164" fontId="21" fillId="0" borderId="5" applyAlignment="1" pivotButton="0" quotePrefix="0" xfId="0">
      <alignment horizontal="center"/>
    </xf>
    <xf numFmtId="0" fontId="11" fillId="0" borderId="18" pivotButton="0" quotePrefix="0" xfId="0"/>
    <xf numFmtId="0" fontId="11" fillId="0" borderId="17" applyAlignment="1" pivotButton="0" quotePrefix="0" xfId="0">
      <alignment horizontal="center"/>
    </xf>
    <xf numFmtId="0" fontId="21" fillId="0" borderId="6" pivotButton="0" quotePrefix="0" xfId="0"/>
    <xf numFmtId="0" fontId="21" fillId="0" borderId="17" applyAlignment="1" pivotButton="0" quotePrefix="0" xfId="0">
      <alignment horizontal="center"/>
    </xf>
    <xf numFmtId="164" fontId="21" fillId="0" borderId="17" pivotButton="0" quotePrefix="0" xfId="0"/>
    <xf numFmtId="164" fontId="21" fillId="0" borderId="16" pivotButton="0" quotePrefix="0" xfId="0"/>
    <xf numFmtId="0" fontId="42" fillId="0" borderId="1" pivotButton="0" quotePrefix="0" xfId="0"/>
    <xf numFmtId="0" fontId="42" fillId="0" borderId="2" pivotButton="0" quotePrefix="0" xfId="0"/>
    <xf numFmtId="164" fontId="42" fillId="0" borderId="2" pivotButton="0" quotePrefix="0" xfId="0"/>
    <xf numFmtId="164" fontId="42" fillId="0" borderId="3" pivotButton="0" quotePrefix="0" xfId="0"/>
    <xf numFmtId="0" fontId="42" fillId="0" borderId="4" pivotButton="0" quotePrefix="0" xfId="0"/>
    <xf numFmtId="9" fontId="42" fillId="0" borderId="0" applyAlignment="1" pivotButton="0" quotePrefix="0" xfId="0">
      <alignment horizontal="center"/>
    </xf>
    <xf numFmtId="164" fontId="42" fillId="0" borderId="0" pivotButton="0" quotePrefix="0" xfId="0"/>
    <xf numFmtId="164" fontId="42" fillId="0" borderId="5" pivotButton="0" quotePrefix="0" xfId="0"/>
    <xf numFmtId="0" fontId="43" fillId="20" borderId="6" pivotButton="0" quotePrefix="0" xfId="0"/>
    <xf numFmtId="0" fontId="43" fillId="20" borderId="7" applyAlignment="1" pivotButton="0" quotePrefix="0" xfId="0">
      <alignment horizontal="center"/>
    </xf>
    <xf numFmtId="164" fontId="43" fillId="20" borderId="7" pivotButton="0" quotePrefix="0" xfId="0"/>
    <xf numFmtId="164" fontId="43" fillId="20" borderId="8" pivotButton="0" quotePrefix="0" xfId="0"/>
    <xf numFmtId="0" fontId="42" fillId="0" borderId="6" pivotButton="0" quotePrefix="0" xfId="0"/>
    <xf numFmtId="9" fontId="42" fillId="0" borderId="7" applyAlignment="1" pivotButton="0" quotePrefix="0" xfId="0">
      <alignment horizontal="center"/>
    </xf>
    <xf numFmtId="164" fontId="42" fillId="0" borderId="7" pivotButton="0" quotePrefix="0" xfId="0"/>
    <xf numFmtId="164" fontId="42" fillId="0" borderId="8" pivotButton="0" quotePrefix="0" xfId="0"/>
    <xf numFmtId="164" fontId="10" fillId="0" borderId="3" applyAlignment="1" pivotButton="0" quotePrefix="0" xfId="0">
      <alignment horizontal="left"/>
    </xf>
    <xf numFmtId="0" fontId="39" fillId="0" borderId="1" pivotButton="0" quotePrefix="0" xfId="0"/>
    <xf numFmtId="0" fontId="39" fillId="0" borderId="2" applyAlignment="1" pivotButton="0" quotePrefix="0" xfId="0">
      <alignment horizontal="center"/>
    </xf>
    <xf numFmtId="0" fontId="39" fillId="0" borderId="2" pivotButton="0" quotePrefix="0" xfId="0"/>
    <xf numFmtId="164" fontId="39" fillId="0" borderId="3" applyAlignment="1" pivotButton="0" quotePrefix="0" xfId="0">
      <alignment horizontal="left"/>
    </xf>
    <xf numFmtId="0" fontId="21" fillId="0" borderId="4" pivotButton="0" quotePrefix="0" xfId="0"/>
    <xf numFmtId="175" fontId="11" fillId="0" borderId="0" pivotButton="0" quotePrefix="0" xfId="0"/>
    <xf numFmtId="3" fontId="21" fillId="0" borderId="0" applyAlignment="1" pivotButton="0" quotePrefix="0" xfId="0">
      <alignment horizontal="center"/>
    </xf>
    <xf numFmtId="175" fontId="21" fillId="0" borderId="0" pivotButton="0" quotePrefix="0" xfId="0"/>
    <xf numFmtId="164" fontId="21" fillId="0" borderId="5" pivotButton="0" quotePrefix="0" xfId="0"/>
    <xf numFmtId="0" fontId="39" fillId="5" borderId="4" applyAlignment="1" pivotButton="0" quotePrefix="0" xfId="0">
      <alignment horizontal="left"/>
    </xf>
    <xf numFmtId="3" fontId="39" fillId="5" borderId="0" applyAlignment="1" pivotButton="0" quotePrefix="0" xfId="0">
      <alignment horizontal="left"/>
    </xf>
    <xf numFmtId="164" fontId="39" fillId="5" borderId="0" applyAlignment="1" pivotButton="0" quotePrefix="0" xfId="0">
      <alignment horizontal="left"/>
    </xf>
    <xf numFmtId="164" fontId="11" fillId="5" borderId="5" pivotButton="0" quotePrefix="0" xfId="0"/>
    <xf numFmtId="0" fontId="22" fillId="20" borderId="9" pivotButton="0" quotePrefix="0" xfId="0"/>
    <xf numFmtId="0" fontId="22" fillId="20" borderId="10" pivotButton="0" quotePrefix="0" xfId="0"/>
    <xf numFmtId="164" fontId="21" fillId="20" borderId="10" pivotButton="0" quotePrefix="0" xfId="0"/>
    <xf numFmtId="164" fontId="43" fillId="20" borderId="11" pivotButton="0" quotePrefix="0" xfId="0"/>
    <xf numFmtId="164" fontId="39" fillId="0" borderId="2" pivotButton="0" quotePrefix="0" xfId="0"/>
    <xf numFmtId="164" fontId="39" fillId="0" borderId="3" pivotButton="0" quotePrefix="0" xfId="0"/>
    <xf numFmtId="164" fontId="39" fillId="0" borderId="0" pivotButton="0" quotePrefix="0" xfId="0"/>
    <xf numFmtId="10" fontId="21" fillId="0" borderId="0" applyAlignment="1" pivotButton="0" quotePrefix="0" xfId="0">
      <alignment horizontal="center"/>
    </xf>
    <xf numFmtId="9" fontId="21" fillId="0" borderId="0" applyAlignment="1" pivotButton="0" quotePrefix="0" xfId="0">
      <alignment horizontal="center"/>
    </xf>
    <xf numFmtId="10" fontId="21" fillId="0" borderId="7" applyAlignment="1" pivotButton="0" quotePrefix="0" xfId="0">
      <alignment horizontal="center"/>
    </xf>
    <xf numFmtId="164" fontId="21" fillId="0" borderId="7" pivotButton="0" quotePrefix="0" xfId="0"/>
    <xf numFmtId="164" fontId="21" fillId="0" borderId="8" pivotButton="0" quotePrefix="0" xfId="0"/>
    <xf numFmtId="9" fontId="21" fillId="0" borderId="0" pivotButton="0" quotePrefix="0" xfId="0"/>
    <xf numFmtId="164" fontId="17" fillId="0" borderId="0" pivotButton="0" quotePrefix="0" xfId="0"/>
    <xf numFmtId="0" fontId="22" fillId="21" borderId="12" pivotButton="0" quotePrefix="0" xfId="0"/>
    <xf numFmtId="0" fontId="21" fillId="21" borderId="13" pivotButton="0" quotePrefix="0" xfId="0"/>
    <xf numFmtId="164" fontId="21" fillId="21" borderId="13" pivotButton="0" quotePrefix="0" xfId="0"/>
    <xf numFmtId="164" fontId="21" fillId="21" borderId="14" pivotButton="0" quotePrefix="0" xfId="0"/>
    <xf numFmtId="0" fontId="11" fillId="4" borderId="4" pivotButton="0" quotePrefix="0" xfId="0"/>
    <xf numFmtId="3" fontId="11" fillId="4" borderId="0" applyAlignment="1" pivotButton="0" quotePrefix="0" xfId="0">
      <alignment horizontal="center"/>
    </xf>
    <xf numFmtId="9" fontId="11" fillId="4" borderId="0" applyAlignment="1" pivotButton="0" quotePrefix="0" xfId="0">
      <alignment horizontal="center"/>
    </xf>
    <xf numFmtId="0" fontId="44" fillId="0" borderId="4" pivotButton="0" quotePrefix="0" xfId="0"/>
    <xf numFmtId="3" fontId="44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center"/>
    </xf>
    <xf numFmtId="0" fontId="27" fillId="0" borderId="0" pivotButton="0" quotePrefix="0" xfId="0"/>
    <xf numFmtId="167" fontId="14" fillId="0" borderId="0" pivotButton="0" quotePrefix="0" xfId="1183"/>
    <xf numFmtId="167" fontId="0" fillId="0" borderId="0" pivotButton="0" quotePrefix="0" xfId="1183"/>
    <xf numFmtId="167" fontId="17" fillId="0" borderId="0" pivotButton="0" quotePrefix="0" xfId="1183"/>
    <xf numFmtId="0" fontId="21" fillId="0" borderId="0" applyAlignment="1" pivotButton="0" quotePrefix="0" xfId="0">
      <alignment horizontal="right"/>
    </xf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4" borderId="0" pivotButton="0" quotePrefix="0" xfId="0"/>
    <xf numFmtId="0" fontId="0" fillId="29" borderId="0" pivotButton="0" quotePrefix="0" xfId="0"/>
    <xf numFmtId="167" fontId="11" fillId="0" borderId="9" pivotButton="0" quotePrefix="0" xfId="286"/>
    <xf numFmtId="42" fontId="34" fillId="23" borderId="0" applyAlignment="1" pivotButton="0" quotePrefix="0" xfId="0">
      <alignment horizontal="left"/>
    </xf>
    <xf numFmtId="0" fontId="0" fillId="23" borderId="0" pivotButton="0" quotePrefix="0" xfId="0"/>
    <xf numFmtId="42" fontId="34" fillId="22" borderId="0" applyAlignment="1" pivotButton="0" quotePrefix="0" xfId="0">
      <alignment horizontal="center"/>
    </xf>
    <xf numFmtId="0" fontId="46" fillId="0" borderId="0" pivotButton="0" quotePrefix="0" xfId="0"/>
    <xf numFmtId="0" fontId="0" fillId="30" borderId="0" pivotButton="0" quotePrefix="0" xfId="0"/>
    <xf numFmtId="0" fontId="0" fillId="2" borderId="0" pivotButton="0" quotePrefix="0" xfId="0"/>
    <xf numFmtId="164" fontId="11" fillId="0" borderId="0" applyAlignment="1" pivotButton="0" quotePrefix="0" xfId="286">
      <alignment horizontal="left"/>
    </xf>
    <xf numFmtId="164" fontId="11" fillId="0" borderId="0" applyAlignment="1" pivotButton="0" quotePrefix="0" xfId="286">
      <alignment horizontal="left"/>
    </xf>
    <xf numFmtId="167" fontId="34" fillId="0" borderId="0" pivotButton="0" quotePrefix="0" xfId="286"/>
    <xf numFmtId="0" fontId="49" fillId="0" borderId="4" pivotButton="0" quotePrefix="0" xfId="0"/>
    <xf numFmtId="164" fontId="19" fillId="11" borderId="10" applyAlignment="1" pivotButton="0" quotePrefix="0" xfId="0">
      <alignment horizontal="right"/>
    </xf>
    <xf numFmtId="167" fontId="34" fillId="0" borderId="0" pivotButton="0" quotePrefix="0" xfId="1183"/>
    <xf numFmtId="164" fontId="20" fillId="0" borderId="0" applyAlignment="1" pivotButton="0" quotePrefix="0" xfId="0">
      <alignment horizontal="left"/>
    </xf>
    <xf numFmtId="0" fontId="3" fillId="0" borderId="0" pivotButton="0" quotePrefix="0" xfId="285"/>
    <xf numFmtId="164" fontId="0" fillId="0" borderId="0" applyAlignment="1" pivotButton="0" quotePrefix="0" xfId="0">
      <alignment horizontal="right"/>
    </xf>
    <xf numFmtId="164" fontId="0" fillId="0" borderId="0" pivotButton="0" quotePrefix="0" xfId="286"/>
    <xf numFmtId="0" fontId="42" fillId="0" borderId="0" pivotButton="0" quotePrefix="0" xfId="0"/>
    <xf numFmtId="164" fontId="11" fillId="4" borderId="0" pivotButton="0" quotePrefix="0" xfId="0"/>
    <xf numFmtId="164" fontId="11" fillId="28" borderId="0" pivotButton="0" quotePrefix="0" xfId="0"/>
    <xf numFmtId="0" fontId="11" fillId="28" borderId="4" pivotButton="0" quotePrefix="0" xfId="0"/>
    <xf numFmtId="0" fontId="21" fillId="28" borderId="0" pivotButton="0" quotePrefix="0" xfId="0"/>
    <xf numFmtId="0" fontId="19" fillId="0" borderId="18" applyAlignment="1" pivotButton="0" quotePrefix="0" xfId="0">
      <alignment horizontal="left"/>
    </xf>
    <xf numFmtId="165" fontId="19" fillId="0" borderId="17" applyAlignment="1" pivotButton="0" quotePrefix="0" xfId="852">
      <alignment horizontal="center"/>
    </xf>
    <xf numFmtId="164" fontId="19" fillId="0" borderId="17" pivotButton="0" quotePrefix="0" xfId="0"/>
    <xf numFmtId="164" fontId="11" fillId="26" borderId="0" pivotButton="0" quotePrefix="0" xfId="0"/>
    <xf numFmtId="0" fontId="40" fillId="26" borderId="0" applyAlignment="1" pivotButton="0" quotePrefix="0" xfId="0">
      <alignment horizontal="center"/>
    </xf>
    <xf numFmtId="0" fontId="19" fillId="26" borderId="0" pivotButton="0" quotePrefix="0" xfId="0"/>
    <xf numFmtId="0" fontId="19" fillId="0" borderId="4" applyAlignment="1" pivotButton="0" quotePrefix="0" xfId="0">
      <alignment horizontal="left"/>
    </xf>
    <xf numFmtId="165" fontId="19" fillId="14" borderId="0" applyAlignment="1" pivotButton="0" quotePrefix="0" xfId="852">
      <alignment horizontal="center"/>
    </xf>
    <xf numFmtId="0" fontId="11" fillId="26" borderId="4" applyAlignment="1" pivotButton="0" quotePrefix="0" xfId="0">
      <alignment horizontal="left"/>
    </xf>
    <xf numFmtId="165" fontId="11" fillId="26" borderId="0" applyAlignment="1" pivotButton="0" quotePrefix="0" xfId="852">
      <alignment horizontal="center"/>
    </xf>
    <xf numFmtId="0" fontId="19" fillId="26" borderId="4" applyAlignment="1" pivotButton="0" quotePrefix="0" xfId="0">
      <alignment horizontal="left"/>
    </xf>
    <xf numFmtId="164" fontId="11" fillId="26" borderId="0" applyAlignment="1" pivotButton="0" quotePrefix="0" xfId="0">
      <alignment horizontal="center"/>
    </xf>
    <xf numFmtId="0" fontId="49" fillId="27" borderId="4" pivotButton="0" quotePrefix="0" xfId="0"/>
    <xf numFmtId="10" fontId="11" fillId="27" borderId="0" applyAlignment="1" pivotButton="0" quotePrefix="0" xfId="0">
      <alignment horizontal="center"/>
    </xf>
    <xf numFmtId="10" fontId="11" fillId="29" borderId="7" applyAlignment="1" pivotButton="0" quotePrefix="0" xfId="0">
      <alignment horizontal="center"/>
    </xf>
    <xf numFmtId="0" fontId="11" fillId="29" borderId="6" pivotButton="0" quotePrefix="0" xfId="0"/>
    <xf numFmtId="0" fontId="19" fillId="29" borderId="0" pivotButton="0" quotePrefix="0" xfId="0"/>
    <xf numFmtId="10" fontId="11" fillId="29" borderId="0" pivotButton="0" quotePrefix="0" xfId="0"/>
    <xf numFmtId="0" fontId="34" fillId="24" borderId="0" pivotButton="0" quotePrefix="0" xfId="0"/>
    <xf numFmtId="0" fontId="19" fillId="23" borderId="0" pivotButton="0" quotePrefix="0" xfId="0"/>
    <xf numFmtId="0" fontId="0" fillId="0" borderId="15" applyAlignment="1" pivotButton="0" quotePrefix="0" xfId="0">
      <alignment wrapText="1"/>
    </xf>
    <xf numFmtId="164" fontId="0" fillId="0" borderId="15" pivotButton="0" quotePrefix="0" xfId="1080"/>
    <xf numFmtId="164" fontId="0" fillId="2" borderId="15" pivotButton="0" quotePrefix="0" xfId="1080"/>
    <xf numFmtId="0" fontId="34" fillId="2" borderId="0" pivotButton="0" quotePrefix="0" xfId="0"/>
    <xf numFmtId="0" fontId="51" fillId="29" borderId="0" pivotButton="0" quotePrefix="0" xfId="0"/>
    <xf numFmtId="0" fontId="34" fillId="0" borderId="0" applyAlignment="1" pivotButton="0" quotePrefix="0" xfId="0">
      <alignment horizontal="right"/>
    </xf>
    <xf numFmtId="165" fontId="0" fillId="0" borderId="15" pivotButton="0" quotePrefix="0" xfId="285"/>
    <xf numFmtId="165" fontId="0" fillId="0" borderId="0" pivotButton="0" quotePrefix="0" xfId="285"/>
    <xf numFmtId="165" fontId="0" fillId="0" borderId="15" pivotButton="0" quotePrefix="0" xfId="285"/>
    <xf numFmtId="49" fontId="0" fillId="0" borderId="15" pivotButton="0" quotePrefix="0" xfId="0"/>
    <xf numFmtId="164" fontId="11" fillId="0" borderId="0" pivotButton="0" quotePrefix="0" xfId="286"/>
    <xf numFmtId="0" fontId="19" fillId="32" borderId="9" pivotButton="0" quotePrefix="0" xfId="0"/>
    <xf numFmtId="9" fontId="19" fillId="32" borderId="10" applyAlignment="1" pivotButton="0" quotePrefix="0" xfId="0">
      <alignment horizontal="center"/>
    </xf>
    <xf numFmtId="0" fontId="0" fillId="34" borderId="0" pivotButton="0" quotePrefix="0" xfId="0"/>
    <xf numFmtId="0" fontId="11" fillId="34" borderId="0" applyAlignment="1" pivotButton="0" quotePrefix="0" xfId="0">
      <alignment horizontal="left"/>
    </xf>
    <xf numFmtId="0" fontId="11" fillId="34" borderId="0" pivotButton="0" quotePrefix="0" xfId="0"/>
    <xf numFmtId="164" fontId="11" fillId="34" borderId="0" pivotButton="0" quotePrefix="0" xfId="0"/>
    <xf numFmtId="0" fontId="11" fillId="34" borderId="4" pivotButton="0" quotePrefix="0" xfId="0"/>
    <xf numFmtId="0" fontId="38" fillId="0" borderId="0" pivotButton="0" quotePrefix="0" xfId="0"/>
    <xf numFmtId="0" fontId="42" fillId="31" borderId="0" pivotButton="0" quotePrefix="1" xfId="0"/>
    <xf numFmtId="9" fontId="19" fillId="27" borderId="10" applyAlignment="1" pivotButton="0" quotePrefix="0" xfId="0">
      <alignment horizontal="center"/>
    </xf>
    <xf numFmtId="0" fontId="42" fillId="35" borderId="0" pivotButton="0" quotePrefix="1" xfId="0"/>
    <xf numFmtId="0" fontId="19" fillId="27" borderId="9" pivotButton="0" quotePrefix="0" xfId="0"/>
    <xf numFmtId="0" fontId="0" fillId="4" borderId="0" pivotButton="0" quotePrefix="0" xfId="0"/>
    <xf numFmtId="166" fontId="11" fillId="0" borderId="0" pivotButton="0" quotePrefix="0" xfId="285"/>
    <xf numFmtId="0" fontId="11" fillId="34" borderId="4" applyAlignment="1" pivotButton="0" quotePrefix="0" xfId="0">
      <alignment horizontal="left"/>
    </xf>
    <xf numFmtId="0" fontId="11" fillId="34" borderId="0" applyAlignment="1" pivotButton="0" quotePrefix="0" xfId="852">
      <alignment horizontal="center"/>
    </xf>
    <xf numFmtId="9" fontId="11" fillId="29" borderId="0" applyAlignment="1" pivotButton="0" quotePrefix="0" xfId="0">
      <alignment horizontal="center"/>
    </xf>
    <xf numFmtId="0" fontId="15" fillId="25" borderId="0" applyAlignment="1" pivotButton="0" quotePrefix="1" xfId="0">
      <alignment horizontal="right"/>
    </xf>
    <xf numFmtId="0" fontId="19" fillId="25" borderId="0" pivotButton="0" quotePrefix="1" xfId="0"/>
    <xf numFmtId="0" fontId="11" fillId="25" borderId="0" applyAlignment="1" pivotButton="0" quotePrefix="0" xfId="852">
      <alignment horizontal="center"/>
    </xf>
    <xf numFmtId="0" fontId="11" fillId="29" borderId="0" applyAlignment="1" pivotButton="0" quotePrefix="0" xfId="852">
      <alignment horizontal="center"/>
    </xf>
    <xf numFmtId="0" fontId="19" fillId="23" borderId="0" pivotButton="0" quotePrefix="1" xfId="0"/>
    <xf numFmtId="0" fontId="11" fillId="23" borderId="0" applyAlignment="1" pivotButton="0" quotePrefix="0" xfId="852">
      <alignment horizontal="center"/>
    </xf>
    <xf numFmtId="0" fontId="15" fillId="23" borderId="0" applyAlignment="1" pivotButton="0" quotePrefix="1" xfId="0">
      <alignment horizontal="right"/>
    </xf>
    <xf numFmtId="0" fontId="29" fillId="23" borderId="0" applyAlignment="1" pivotButton="0" quotePrefix="1" xfId="0">
      <alignment horizontal="center"/>
    </xf>
    <xf numFmtId="0" fontId="19" fillId="28" borderId="18" applyAlignment="1" pivotButton="0" quotePrefix="0" xfId="0">
      <alignment horizontal="left"/>
    </xf>
    <xf numFmtId="0" fontId="11" fillId="28" borderId="17" applyAlignment="1" pivotButton="0" quotePrefix="0" xfId="852">
      <alignment horizontal="center"/>
    </xf>
    <xf numFmtId="0" fontId="29" fillId="29" borderId="0" applyAlignment="1" pivotButton="0" quotePrefix="1" xfId="0">
      <alignment horizontal="center"/>
    </xf>
    <xf numFmtId="0" fontId="29" fillId="25" borderId="0" applyAlignment="1" pivotButton="0" quotePrefix="1" xfId="0">
      <alignment horizontal="center"/>
    </xf>
    <xf numFmtId="2" fontId="11" fillId="0" borderId="0" pivotButton="0" quotePrefix="0" xfId="285"/>
    <xf numFmtId="2" fontId="19" fillId="28" borderId="0" pivotButton="0" quotePrefix="0" xfId="0"/>
    <xf numFmtId="2" fontId="19" fillId="0" borderId="0" pivotButton="0" quotePrefix="0" xfId="285"/>
    <xf numFmtId="0" fontId="15" fillId="29" borderId="0" pivotButton="0" quotePrefix="1" xfId="0"/>
    <xf numFmtId="0" fontId="12" fillId="0" borderId="0" applyAlignment="1" pivotButton="0" quotePrefix="0" xfId="0">
      <alignment horizontal="right"/>
    </xf>
    <xf numFmtId="0" fontId="58" fillId="0" borderId="15" applyAlignment="1" pivotButton="0" quotePrefix="0" xfId="0">
      <alignment horizontal="center"/>
    </xf>
    <xf numFmtId="3" fontId="11" fillId="8" borderId="15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right"/>
    </xf>
    <xf numFmtId="0" fontId="34" fillId="0" borderId="15" applyAlignment="1" pivotButton="0" quotePrefix="0" xfId="0">
      <alignment horizontal="right"/>
    </xf>
    <xf numFmtId="164" fontId="34" fillId="0" borderId="15" pivotButton="0" quotePrefix="0" xfId="0"/>
    <xf numFmtId="0" fontId="11" fillId="27" borderId="9" pivotButton="0" quotePrefix="0" xfId="0"/>
    <xf numFmtId="0" fontId="15" fillId="27" borderId="10" applyAlignment="1" pivotButton="0" quotePrefix="0" xfId="0">
      <alignment horizontal="center"/>
    </xf>
    <xf numFmtId="164" fontId="15" fillId="27" borderId="10" pivotButton="0" quotePrefix="0" xfId="0"/>
    <xf numFmtId="0" fontId="48" fillId="27" borderId="10" applyAlignment="1" pivotButton="0" quotePrefix="0" xfId="0">
      <alignment horizontal="right"/>
    </xf>
    <xf numFmtId="0" fontId="15" fillId="27" borderId="0" pivotButton="0" quotePrefix="0" xfId="0"/>
    <xf numFmtId="0" fontId="15" fillId="27" borderId="0" applyAlignment="1" pivotButton="0" quotePrefix="0" xfId="0">
      <alignment horizontal="right"/>
    </xf>
    <xf numFmtId="164" fontId="11" fillId="27" borderId="0" pivotButton="0" quotePrefix="0" xfId="0"/>
    <xf numFmtId="0" fontId="19" fillId="29" borderId="0" applyAlignment="1" pivotButton="0" quotePrefix="1" xfId="0">
      <alignment horizontal="right"/>
    </xf>
    <xf numFmtId="0" fontId="19" fillId="34" borderId="0" applyAlignment="1" pivotButton="0" quotePrefix="1" xfId="0">
      <alignment horizontal="right"/>
    </xf>
    <xf numFmtId="0" fontId="40" fillId="34" borderId="0" applyAlignment="1" pivotButton="0" quotePrefix="0" xfId="0">
      <alignment horizontal="center"/>
    </xf>
    <xf numFmtId="176" fontId="11" fillId="34" borderId="0" pivotButton="0" quotePrefix="0" xfId="647"/>
    <xf numFmtId="0" fontId="8" fillId="34" borderId="4" pivotButton="0" quotePrefix="0" xfId="645"/>
    <xf numFmtId="10" fontId="11" fillId="34" borderId="0" applyAlignment="1" pivotButton="0" quotePrefix="0" xfId="0">
      <alignment horizontal="center"/>
    </xf>
    <xf numFmtId="0" fontId="15" fillId="2" borderId="9" pivotButton="0" quotePrefix="0" xfId="0"/>
    <xf numFmtId="0" fontId="15" fillId="2" borderId="10" applyAlignment="1" pivotButton="0" quotePrefix="0" xfId="0">
      <alignment horizontal="center"/>
    </xf>
    <xf numFmtId="164" fontId="15" fillId="2" borderId="10" pivotButton="0" quotePrefix="0" xfId="0"/>
    <xf numFmtId="0" fontId="48" fillId="25" borderId="0" pivotButton="0" quotePrefix="0" xfId="0"/>
    <xf numFmtId="0" fontId="15" fillId="25" borderId="9" pivotButton="0" quotePrefix="0" xfId="0"/>
    <xf numFmtId="164" fontId="15" fillId="25" borderId="11" pivotButton="0" quotePrefix="0" xfId="0"/>
    <xf numFmtId="0" fontId="11" fillId="23" borderId="9" pivotButton="0" quotePrefix="0" xfId="0"/>
    <xf numFmtId="0" fontId="34" fillId="23" borderId="10" applyAlignment="1" pivotButton="0" quotePrefix="0" xfId="0">
      <alignment horizontal="right"/>
    </xf>
    <xf numFmtId="0" fontId="15" fillId="23" borderId="9" pivotButton="0" quotePrefix="0" xfId="0"/>
    <xf numFmtId="0" fontId="15" fillId="23" borderId="10" applyAlignment="1" pivotButton="0" quotePrefix="0" xfId="0">
      <alignment horizontal="center"/>
    </xf>
    <xf numFmtId="164" fontId="15" fillId="23" borderId="10" pivotButton="0" quotePrefix="0" xfId="0"/>
    <xf numFmtId="164" fontId="15" fillId="23" borderId="11" pivotButton="0" quotePrefix="0" xfId="0"/>
    <xf numFmtId="167" fontId="19" fillId="32" borderId="9" pivotButton="0" quotePrefix="0" xfId="286"/>
    <xf numFmtId="0" fontId="19" fillId="32" borderId="11" applyAlignment="1" pivotButton="0" quotePrefix="0" xfId="0">
      <alignment horizontal="left"/>
    </xf>
    <xf numFmtId="164" fontId="14" fillId="27" borderId="0" pivotButton="0" quotePrefix="0" xfId="0"/>
    <xf numFmtId="0" fontId="59" fillId="0" borderId="0" applyAlignment="1" pivotButton="0" quotePrefix="0" xfId="0">
      <alignment horizontal="left"/>
    </xf>
    <xf numFmtId="165" fontId="11" fillId="0" borderId="0" pivotButton="0" quotePrefix="0" xfId="285"/>
    <xf numFmtId="165" fontId="0" fillId="0" borderId="6" pivotButton="0" quotePrefix="0" xfId="0"/>
    <xf numFmtId="165" fontId="49" fillId="0" borderId="0" pivotButton="0" quotePrefix="0" xfId="285"/>
    <xf numFmtId="0" fontId="60" fillId="8" borderId="15" applyAlignment="1" pivotButton="0" quotePrefix="0" xfId="0">
      <alignment horizontal="center"/>
    </xf>
    <xf numFmtId="167" fontId="17" fillId="2" borderId="3" pivotButton="0" quotePrefix="0" xfId="286"/>
    <xf numFmtId="167" fontId="17" fillId="2" borderId="11" pivotButton="0" quotePrefix="0" xfId="286"/>
    <xf numFmtId="177" fontId="11" fillId="0" borderId="0" pivotButton="0" quotePrefix="0" xfId="286"/>
    <xf numFmtId="177" fontId="11" fillId="0" borderId="0" pivotButton="0" quotePrefix="0" xfId="0"/>
    <xf numFmtId="177" fontId="21" fillId="0" borderId="0" pivotButton="0" quotePrefix="0" xfId="0"/>
    <xf numFmtId="165" fontId="0" fillId="0" borderId="7" pivotButton="0" quotePrefix="0" xfId="0"/>
    <xf numFmtId="0" fontId="17" fillId="0" borderId="9" applyAlignment="1" pivotButton="0" quotePrefix="0" xfId="0">
      <alignment horizontal="center"/>
    </xf>
    <xf numFmtId="0" fontId="17" fillId="0" borderId="10" applyAlignment="1" pivotButton="0" quotePrefix="0" xfId="0">
      <alignment horizontal="center"/>
    </xf>
    <xf numFmtId="0" fontId="17" fillId="0" borderId="11" applyAlignment="1" pivotButton="0" quotePrefix="0" xfId="0">
      <alignment horizontal="center"/>
    </xf>
    <xf numFmtId="3" fontId="49" fillId="0" borderId="9" applyAlignment="1" pivotButton="0" quotePrefix="0" xfId="0">
      <alignment horizontal="right"/>
    </xf>
    <xf numFmtId="0" fontId="11" fillId="4" borderId="7" pivotButton="0" quotePrefix="0" xfId="0"/>
    <xf numFmtId="10" fontId="19" fillId="0" borderId="0" applyAlignment="1" pivotButton="0" quotePrefix="0" xfId="647">
      <alignment horizontal="center"/>
    </xf>
    <xf numFmtId="10" fontId="34" fillId="0" borderId="0" applyAlignment="1" pivotButton="0" quotePrefix="0" xfId="647">
      <alignment horizontal="center"/>
    </xf>
    <xf numFmtId="2" fontId="11" fillId="0" borderId="0" pivotButton="0" quotePrefix="0" xfId="0"/>
    <xf numFmtId="0" fontId="11" fillId="0" borderId="6" applyAlignment="1" pivotButton="0" quotePrefix="0" xfId="0">
      <alignment horizontal="right"/>
    </xf>
    <xf numFmtId="165" fontId="11" fillId="0" borderId="15" pivotButton="0" quotePrefix="0" xfId="285"/>
    <xf numFmtId="167" fontId="34" fillId="0" borderId="0" pivotButton="0" quotePrefix="0" xfId="1183"/>
    <xf numFmtId="167" fontId="11" fillId="0" borderId="0" pivotButton="0" quotePrefix="0" xfId="1183"/>
    <xf numFmtId="168" fontId="0" fillId="0" borderId="0" pivotButton="0" quotePrefix="0" xfId="1183"/>
    <xf numFmtId="167" fontId="11" fillId="0" borderId="0" pivotButton="0" quotePrefix="0" xfId="1183"/>
    <xf numFmtId="165" fontId="11" fillId="0" borderId="0" applyAlignment="1" pivotButton="0" quotePrefix="0" xfId="1184">
      <alignment horizontal="left"/>
    </xf>
    <xf numFmtId="9" fontId="11" fillId="0" borderId="0" applyAlignment="1" pivotButton="0" quotePrefix="0" xfId="1079">
      <alignment horizontal="left"/>
    </xf>
    <xf numFmtId="167" fontId="0" fillId="0" borderId="0" applyAlignment="1" pivotButton="0" quotePrefix="0" xfId="1183">
      <alignment horizontal="left"/>
    </xf>
    <xf numFmtId="164" fontId="11" fillId="16" borderId="0" pivotButton="0" quotePrefix="0" xfId="0"/>
    <xf numFmtId="0" fontId="0" fillId="40" borderId="0" pivotButton="0" quotePrefix="0" xfId="0"/>
    <xf numFmtId="0" fontId="11" fillId="40" borderId="0" applyAlignment="1" pivotButton="0" quotePrefix="0" xfId="0">
      <alignment horizontal="left"/>
    </xf>
    <xf numFmtId="164" fontId="11" fillId="16" borderId="5" pivotButton="0" quotePrefix="0" xfId="0"/>
    <xf numFmtId="0" fontId="10" fillId="16" borderId="5" pivotButton="0" quotePrefix="0" xfId="0"/>
    <xf numFmtId="0" fontId="10" fillId="16" borderId="0" pivotButton="0" quotePrefix="0" xfId="0"/>
    <xf numFmtId="165" fontId="10" fillId="16" borderId="0" applyAlignment="1" pivotButton="0" quotePrefix="0" xfId="285">
      <alignment horizontal="center"/>
    </xf>
    <xf numFmtId="0" fontId="10" fillId="16" borderId="4" pivotButton="0" quotePrefix="0" xfId="0"/>
    <xf numFmtId="165" fontId="11" fillId="16" borderId="0" applyAlignment="1" pivotButton="0" quotePrefix="0" xfId="285">
      <alignment horizontal="center"/>
    </xf>
    <xf numFmtId="0" fontId="10" fillId="16" borderId="4" applyAlignment="1" pivotButton="0" quotePrefix="0" xfId="0">
      <alignment horizontal="left"/>
    </xf>
    <xf numFmtId="165" fontId="19" fillId="0" borderId="0" applyAlignment="1" pivotButton="0" quotePrefix="0" xfId="0">
      <alignment horizontal="center"/>
    </xf>
    <xf numFmtId="177" fontId="15" fillId="0" borderId="7" pivotButton="0" quotePrefix="0" xfId="0"/>
    <xf numFmtId="177" fontId="15" fillId="0" borderId="0" pivotButton="0" quotePrefix="0" xfId="0"/>
    <xf numFmtId="166" fontId="0" fillId="0" borderId="0" pivotButton="0" quotePrefix="0" xfId="285"/>
    <xf numFmtId="164" fontId="20" fillId="0" borderId="0" applyAlignment="1" pivotButton="0" quotePrefix="0" xfId="0">
      <alignment horizontal="center"/>
    </xf>
    <xf numFmtId="165" fontId="0" fillId="0" borderId="0" pivotButton="0" quotePrefix="0" xfId="285"/>
    <xf numFmtId="164" fontId="0" fillId="0" borderId="0" pivotButton="0" quotePrefix="0" xfId="286"/>
    <xf numFmtId="166" fontId="0" fillId="0" borderId="0" pivotButton="0" quotePrefix="0" xfId="1184"/>
    <xf numFmtId="0" fontId="65" fillId="0" borderId="0" applyAlignment="1" pivotButton="0" quotePrefix="0" xfId="0">
      <alignment vertical="center"/>
    </xf>
    <xf numFmtId="0" fontId="51" fillId="0" borderId="15" applyAlignment="1" pivotButton="0" quotePrefix="0" xfId="0">
      <alignment horizontal="center"/>
    </xf>
    <xf numFmtId="177" fontId="43" fillId="22" borderId="0" pivotButton="0" quotePrefix="0" xfId="0"/>
    <xf numFmtId="177" fontId="43" fillId="23" borderId="0" pivotButton="0" quotePrefix="0" xfId="0"/>
    <xf numFmtId="0" fontId="11" fillId="0" borderId="15" applyAlignment="1" pivotButton="0" quotePrefix="0" xfId="0">
      <alignment horizontal="left"/>
    </xf>
    <xf numFmtId="0" fontId="17" fillId="29" borderId="15" applyAlignment="1" pivotButton="0" quotePrefix="0" xfId="0">
      <alignment horizontal="right"/>
    </xf>
    <xf numFmtId="0" fontId="25" fillId="0" borderId="4" applyAlignment="1" pivotButton="0" quotePrefix="1" xfId="0">
      <alignment horizontal="center"/>
    </xf>
    <xf numFmtId="0" fontId="20" fillId="0" borderId="0" pivotButton="0" quotePrefix="1" xfId="0"/>
    <xf numFmtId="0" fontId="0" fillId="0" borderId="4" applyAlignment="1" pivotButton="0" quotePrefix="0" xfId="0">
      <alignment horizontal="center"/>
    </xf>
    <xf numFmtId="0" fontId="34" fillId="4" borderId="15" applyAlignment="1" pivotButton="0" quotePrefix="0" xfId="0">
      <alignment horizontal="center"/>
    </xf>
    <xf numFmtId="0" fontId="19" fillId="4" borderId="0" pivotButton="0" quotePrefix="0" xfId="0"/>
    <xf numFmtId="42" fontId="51" fillId="0" borderId="0" applyAlignment="1" pivotButton="0" quotePrefix="0" xfId="0">
      <alignment horizontal="center"/>
    </xf>
    <xf numFmtId="3" fontId="69" fillId="0" borderId="2" applyAlignment="1" pivotButton="0" quotePrefix="0" xfId="0">
      <alignment horizontal="center"/>
    </xf>
    <xf numFmtId="3" fontId="69" fillId="0" borderId="0" applyAlignment="1" pivotButton="0" quotePrefix="0" xfId="0">
      <alignment horizontal="center"/>
    </xf>
    <xf numFmtId="4" fontId="11" fillId="2" borderId="6" applyAlignment="1" pivotButton="0" quotePrefix="0" xfId="0">
      <alignment horizontal="center"/>
    </xf>
    <xf numFmtId="0" fontId="47" fillId="2" borderId="1" applyAlignment="1" pivotButton="0" quotePrefix="0" xfId="0">
      <alignment horizontal="center"/>
    </xf>
    <xf numFmtId="4" fontId="27" fillId="4" borderId="15" applyAlignment="1" pivotButton="0" quotePrefix="0" xfId="0">
      <alignment horizontal="center"/>
    </xf>
    <xf numFmtId="4" fontId="11" fillId="0" borderId="1" applyAlignment="1" pivotButton="0" quotePrefix="0" xfId="0">
      <alignment horizontal="right"/>
    </xf>
    <xf numFmtId="4" fontId="11" fillId="0" borderId="3" applyAlignment="1" pivotButton="0" quotePrefix="0" xfId="0">
      <alignment horizontal="left"/>
    </xf>
    <xf numFmtId="4" fontId="11" fillId="0" borderId="5" applyAlignment="1" pivotButton="0" quotePrefix="0" xfId="0">
      <alignment horizontal="left"/>
    </xf>
    <xf numFmtId="4" fontId="11" fillId="0" borderId="8" applyAlignment="1" pivotButton="0" quotePrefix="0" xfId="0">
      <alignment horizontal="left"/>
    </xf>
    <xf numFmtId="0" fontId="11" fillId="0" borderId="1" applyAlignment="1" pivotButton="0" quotePrefix="0" xfId="0">
      <alignment horizontal="right"/>
    </xf>
    <xf numFmtId="164" fontId="11" fillId="4" borderId="0" applyAlignment="1" pivotButton="0" quotePrefix="0" xfId="0">
      <alignment horizontal="center"/>
    </xf>
    <xf numFmtId="0" fontId="19" fillId="4" borderId="0" pivotButton="0" quotePrefix="0" xfId="285"/>
    <xf numFmtId="0" fontId="1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9" fillId="0" borderId="0" applyAlignment="1" applyProtection="1" pivotButton="0" quotePrefix="0" xfId="0">
      <alignment horizontal="left"/>
      <protection locked="0" hidden="0"/>
    </xf>
    <xf numFmtId="14" fontId="0" fillId="0" borderId="0" applyAlignment="1" applyProtection="1" pivotButton="0" quotePrefix="0" xfId="0">
      <alignment horizontal="left"/>
      <protection locked="0" hidden="0"/>
    </xf>
    <xf numFmtId="0" fontId="20" fillId="0" borderId="0" applyAlignment="1" applyProtection="1" pivotButton="0" quotePrefix="0" xfId="0">
      <alignment horizontal="right"/>
      <protection locked="0" hidden="0"/>
    </xf>
    <xf numFmtId="0" fontId="12" fillId="0" borderId="0" applyAlignment="1" applyProtection="1" pivotButton="0" quotePrefix="0" xfId="0">
      <alignment horizontal="left"/>
      <protection locked="0" hidden="0"/>
    </xf>
    <xf numFmtId="0" fontId="34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4" fontId="11" fillId="0" borderId="0" applyAlignment="1" applyProtection="1" pivotButton="0" quotePrefix="0" xfId="0">
      <alignment horizontal="left"/>
      <protection locked="0" hidden="0"/>
    </xf>
    <xf numFmtId="0" fontId="11" fillId="0" borderId="0" applyAlignment="1" applyProtection="1" pivotButton="0" quotePrefix="0" xfId="0">
      <alignment horizontal="left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168" fontId="0" fillId="0" borderId="0" applyProtection="1" pivotButton="0" quotePrefix="0" xfId="286">
      <protection locked="0" hidden="0"/>
    </xf>
    <xf numFmtId="9" fontId="0" fillId="0" borderId="0" applyProtection="1" pivotButton="0" quotePrefix="0" xfId="647">
      <protection locked="0" hidden="0"/>
    </xf>
    <xf numFmtId="171" fontId="0" fillId="0" borderId="0" applyProtection="1" pivotButton="0" quotePrefix="0" xfId="647">
      <protection locked="0" hidden="0"/>
    </xf>
    <xf numFmtId="172" fontId="0" fillId="0" borderId="0" applyProtection="1" pivotButton="0" quotePrefix="0" xfId="0">
      <protection locked="0" hidden="0"/>
    </xf>
    <xf numFmtId="168" fontId="0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12" fillId="0" borderId="0" applyProtection="1" pivotButton="0" quotePrefix="0" xfId="0">
      <protection locked="0" hidden="0"/>
    </xf>
    <xf numFmtId="0" fontId="13" fillId="0" borderId="0" applyAlignment="1" applyProtection="1" pivotButton="0" quotePrefix="0" xfId="0">
      <alignment horizontal="left"/>
      <protection locked="0" hidden="0"/>
    </xf>
    <xf numFmtId="164" fontId="0" fillId="0" borderId="0" applyAlignment="1" applyProtection="1" pivotButton="0" quotePrefix="0" xfId="0">
      <alignment horizontal="left"/>
      <protection locked="0" hidden="0"/>
    </xf>
    <xf numFmtId="164" fontId="11" fillId="0" borderId="0" applyAlignment="1" applyProtection="1" pivotButton="0" quotePrefix="0" xfId="0">
      <alignment horizontal="left"/>
      <protection locked="0" hidden="0"/>
    </xf>
    <xf numFmtId="0" fontId="14" fillId="0" borderId="0" applyAlignment="1" applyProtection="1" pivotButton="0" quotePrefix="0" xfId="0">
      <alignment horizontal="left"/>
      <protection locked="0" hidden="0"/>
    </xf>
    <xf numFmtId="164" fontId="11" fillId="0" borderId="0" applyAlignment="1" applyProtection="1" pivotButton="0" quotePrefix="0" xfId="286">
      <alignment horizontal="left"/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286">
      <alignment horizontal="left"/>
      <protection locked="0" hidden="0"/>
    </xf>
    <xf numFmtId="164" fontId="20" fillId="0" borderId="0" applyAlignment="1" applyProtection="1" pivotButton="0" quotePrefix="0" xfId="0">
      <alignment horizontal="left"/>
      <protection locked="0" hidden="0"/>
    </xf>
    <xf numFmtId="0" fontId="12" fillId="10" borderId="12" applyAlignment="1" applyProtection="1" pivotButton="0" quotePrefix="0" xfId="0">
      <alignment horizontal="right"/>
      <protection locked="0" hidden="0"/>
    </xf>
    <xf numFmtId="164" fontId="11" fillId="10" borderId="13" applyProtection="1" pivotButton="0" quotePrefix="0" xfId="0">
      <protection locked="0" hidden="0"/>
    </xf>
    <xf numFmtId="0" fontId="14" fillId="10" borderId="13" applyAlignment="1" applyProtection="1" pivotButton="0" quotePrefix="0" xfId="0">
      <alignment horizontal="right"/>
      <protection locked="0" hidden="0"/>
    </xf>
    <xf numFmtId="164" fontId="11" fillId="10" borderId="14" applyProtection="1" pivotButton="0" quotePrefix="0" xfId="0">
      <protection locked="0" hidden="0"/>
    </xf>
    <xf numFmtId="0" fontId="10" fillId="0" borderId="4" applyProtection="1" pivotButton="0" quotePrefix="0" xfId="0"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10" fillId="0" borderId="5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0" fillId="0" borderId="0" applyAlignment="1" applyProtection="1" pivotButton="0" quotePrefix="0" xfId="0">
      <alignment horizontal="left"/>
      <protection locked="0" hidden="0"/>
    </xf>
    <xf numFmtId="0" fontId="10" fillId="0" borderId="1" applyProtection="1" pivotButton="0" quotePrefix="0" xfId="0">
      <protection locked="0" hidden="0"/>
    </xf>
    <xf numFmtId="0" fontId="10" fillId="0" borderId="2" applyAlignment="1" applyProtection="1" pivotButton="0" quotePrefix="0" xfId="0">
      <alignment horizontal="center"/>
      <protection locked="0" hidden="0"/>
    </xf>
    <xf numFmtId="164" fontId="20" fillId="0" borderId="3" applyAlignment="1" applyProtection="1" pivotButton="0" quotePrefix="0" xfId="0">
      <alignment horizontal="center"/>
      <protection locked="0" hidden="0"/>
    </xf>
    <xf numFmtId="0" fontId="11" fillId="0" borderId="4" applyAlignment="1" applyProtection="1" pivotButton="0" quotePrefix="0" xfId="0">
      <alignment horizontal="center"/>
      <protection locked="0" hidden="0"/>
    </xf>
    <xf numFmtId="165" fontId="11" fillId="0" borderId="0" applyAlignment="1" applyProtection="1" pivotButton="0" quotePrefix="0" xfId="285">
      <alignment horizontal="center"/>
      <protection locked="0" hidden="0"/>
    </xf>
    <xf numFmtId="164" fontId="11" fillId="0" borderId="0" applyAlignment="1" applyProtection="1" pivotButton="0" quotePrefix="0" xfId="0">
      <alignment horizontal="center"/>
      <protection locked="0" hidden="0"/>
    </xf>
    <xf numFmtId="164" fontId="11" fillId="0" borderId="5" applyAlignment="1" applyProtection="1" pivotButton="0" quotePrefix="0" xfId="0">
      <alignment horizontal="center"/>
      <protection locked="0" hidden="0"/>
    </xf>
    <xf numFmtId="0" fontId="11" fillId="0" borderId="4" applyProtection="1" pivotButton="0" quotePrefix="0" xfId="0">
      <protection locked="0" hidden="0"/>
    </xf>
    <xf numFmtId="164" fontId="11" fillId="0" borderId="0" applyProtection="1" pivotButton="0" quotePrefix="0" xfId="0">
      <protection locked="0" hidden="0"/>
    </xf>
    <xf numFmtId="165" fontId="0" fillId="0" borderId="0" applyProtection="1" pivotButton="0" quotePrefix="0" xfId="285">
      <protection locked="0" hidden="0"/>
    </xf>
    <xf numFmtId="164" fontId="0" fillId="2" borderId="5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right"/>
      <protection locked="0" hidden="0"/>
    </xf>
    <xf numFmtId="0" fontId="0" fillId="0" borderId="0" applyAlignment="1" applyProtection="1" pivotButton="0" quotePrefix="0" xfId="0">
      <alignment horizontal="right"/>
      <protection locked="0" hidden="0"/>
    </xf>
    <xf numFmtId="165" fontId="11" fillId="0" borderId="0" applyAlignment="1" applyProtection="1" pivotButton="0" quotePrefix="0" xfId="285">
      <alignment horizontal="center"/>
      <protection locked="0" hidden="0"/>
    </xf>
    <xf numFmtId="0" fontId="11" fillId="0" borderId="6" applyProtection="1" pivotButton="0" quotePrefix="0" xfId="0">
      <protection locked="0" hidden="0"/>
    </xf>
    <xf numFmtId="164" fontId="11" fillId="0" borderId="7" applyProtection="1" pivotButton="0" quotePrefix="0" xfId="0">
      <protection locked="0" hidden="0"/>
    </xf>
    <xf numFmtId="165" fontId="0" fillId="0" borderId="7" applyProtection="1" pivotButton="0" quotePrefix="0" xfId="285">
      <protection locked="0" hidden="0"/>
    </xf>
    <xf numFmtId="164" fontId="0" fillId="2" borderId="8" applyProtection="1" pivotButton="0" quotePrefix="0" xfId="0">
      <protection locked="0" hidden="0"/>
    </xf>
    <xf numFmtId="166" fontId="0" fillId="0" borderId="0" applyProtection="1" pivotButton="0" quotePrefix="0" xfId="285">
      <protection locked="0" hidden="0"/>
    </xf>
    <xf numFmtId="164" fontId="0" fillId="0" borderId="0" applyProtection="1" pivotButton="0" quotePrefix="0" xfId="286">
      <protection locked="0" hidden="0"/>
    </xf>
    <xf numFmtId="0" fontId="10" fillId="16" borderId="4" applyProtection="1" pivotButton="0" quotePrefix="0" xfId="0">
      <protection locked="0" hidden="0"/>
    </xf>
    <xf numFmtId="165" fontId="10" fillId="16" borderId="0" applyAlignment="1" applyProtection="1" pivotButton="0" quotePrefix="0" xfId="285">
      <alignment horizontal="center"/>
      <protection locked="0" hidden="0"/>
    </xf>
    <xf numFmtId="0" fontId="10" fillId="16" borderId="0" applyProtection="1" pivotButton="0" quotePrefix="0" xfId="0">
      <protection locked="0" hidden="0"/>
    </xf>
    <xf numFmtId="0" fontId="10" fillId="16" borderId="5" applyProtection="1" pivotButton="0" quotePrefix="0" xfId="0">
      <protection locked="0" hidden="0"/>
    </xf>
    <xf numFmtId="165" fontId="14" fillId="2" borderId="15" applyProtection="1" pivotButton="0" quotePrefix="0" xfId="285">
      <protection locked="0" hidden="0"/>
    </xf>
    <xf numFmtId="0" fontId="14" fillId="2" borderId="15" applyProtection="1" pivotButton="0" quotePrefix="0" xfId="0">
      <protection locked="0" hidden="0"/>
    </xf>
    <xf numFmtId="0" fontId="11" fillId="0" borderId="4" applyAlignment="1" applyProtection="1" pivotButton="0" quotePrefix="0" xfId="0">
      <alignment horizontal="left"/>
      <protection locked="0" hidden="0"/>
    </xf>
    <xf numFmtId="164" fontId="11" fillId="0" borderId="5" applyProtection="1" pivotButton="0" quotePrefix="0" xfId="0">
      <protection locked="0" hidden="0"/>
    </xf>
    <xf numFmtId="170" fontId="11" fillId="0" borderId="0" applyProtection="1" pivotButton="0" quotePrefix="0" xfId="0">
      <protection locked="0" hidden="0"/>
    </xf>
    <xf numFmtId="0" fontId="17" fillId="23" borderId="15" applyAlignment="1" applyProtection="1" pivotButton="0" quotePrefix="0" xfId="0">
      <alignment horizontal="right"/>
      <protection locked="0" hidden="0"/>
    </xf>
    <xf numFmtId="164" fontId="0" fillId="0" borderId="15" applyProtection="1" pivotButton="0" quotePrefix="0" xfId="0">
      <protection locked="0" hidden="0"/>
    </xf>
    <xf numFmtId="0" fontId="11" fillId="0" borderId="15" applyAlignment="1" applyProtection="1" pivotButton="0" quotePrefix="0" xfId="0">
      <alignment horizontal="left"/>
      <protection locked="0" hidden="0"/>
    </xf>
    <xf numFmtId="0" fontId="11" fillId="0" borderId="1" applyProtection="1" pivotButton="0" quotePrefix="0" xfId="0">
      <protection locked="0" hidden="0"/>
    </xf>
    <xf numFmtId="164" fontId="11" fillId="0" borderId="2" applyProtection="1" pivotButton="0" quotePrefix="0" xfId="0">
      <protection locked="0" hidden="0"/>
    </xf>
    <xf numFmtId="165" fontId="0" fillId="0" borderId="2" applyProtection="1" pivotButton="0" quotePrefix="0" xfId="285">
      <protection locked="0" hidden="0"/>
    </xf>
    <xf numFmtId="164" fontId="0" fillId="2" borderId="3" applyProtection="1" pivotButton="0" quotePrefix="0" xfId="0">
      <protection locked="0" hidden="0"/>
    </xf>
    <xf numFmtId="0" fontId="34" fillId="4" borderId="15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167" fontId="34" fillId="24" borderId="2" applyProtection="1" pivotButton="0" quotePrefix="0" xfId="1183">
      <protection locked="0" hidden="0"/>
    </xf>
    <xf numFmtId="167" fontId="11" fillId="0" borderId="2" applyProtection="1" pivotButton="0" quotePrefix="0" xfId="1183">
      <protection locked="0" hidden="0"/>
    </xf>
    <xf numFmtId="166" fontId="0" fillId="2" borderId="3" applyProtection="1" pivotButton="0" quotePrefix="0" xfId="1184">
      <protection locked="0" hidden="0"/>
    </xf>
    <xf numFmtId="0" fontId="19" fillId="0" borderId="0" applyProtection="1" pivotButton="0" quotePrefix="0" xfId="0">
      <protection locked="0" hidden="0"/>
    </xf>
    <xf numFmtId="0" fontId="51" fillId="25" borderId="0" applyAlignment="1" applyProtection="1" pivotButton="0" quotePrefix="0" xfId="0">
      <alignment horizontal="center"/>
      <protection locked="0" hidden="0"/>
    </xf>
    <xf numFmtId="168" fontId="0" fillId="10" borderId="0" applyProtection="1" pivotButton="0" quotePrefix="0" xfId="286">
      <protection locked="0" hidden="0"/>
    </xf>
    <xf numFmtId="9" fontId="0" fillId="10" borderId="0" applyProtection="1" pivotButton="0" quotePrefix="0" xfId="647">
      <protection locked="0" hidden="0"/>
    </xf>
    <xf numFmtId="171" fontId="0" fillId="4" borderId="0" applyProtection="1" pivotButton="0" quotePrefix="0" xfId="647">
      <protection locked="0" hidden="0"/>
    </xf>
    <xf numFmtId="0" fontId="0" fillId="10" borderId="0" applyProtection="1" pivotButton="0" quotePrefix="0" xfId="0">
      <protection locked="0" hidden="0"/>
    </xf>
    <xf numFmtId="172" fontId="0" fillId="10" borderId="0" applyProtection="1" pivotButton="0" quotePrefix="0" xfId="0">
      <protection locked="0" hidden="0"/>
    </xf>
    <xf numFmtId="168" fontId="0" fillId="1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7" fontId="34" fillId="24" borderId="7" applyProtection="1" pivotButton="0" quotePrefix="0" xfId="1183">
      <protection locked="0" hidden="0"/>
    </xf>
    <xf numFmtId="167" fontId="11" fillId="0" borderId="7" applyProtection="1" pivotButton="0" quotePrefix="0" xfId="1183">
      <protection locked="0" hidden="0"/>
    </xf>
    <xf numFmtId="166" fontId="0" fillId="2" borderId="8" applyProtection="1" pivotButton="0" quotePrefix="0" xfId="1184">
      <protection locked="0" hidden="0"/>
    </xf>
    <xf numFmtId="0" fontId="34" fillId="0" borderId="0" applyAlignment="1" applyProtection="1" pivotButton="0" quotePrefix="0" xfId="0">
      <alignment horizontal="right"/>
      <protection locked="0" hidden="0"/>
    </xf>
    <xf numFmtId="49" fontId="0" fillId="0" borderId="15" applyProtection="1" pivotButton="0" quotePrefix="0" xfId="0">
      <protection locked="0" hidden="0"/>
    </xf>
    <xf numFmtId="165" fontId="0" fillId="0" borderId="15" applyProtection="1" pivotButton="0" quotePrefix="0" xfId="285">
      <protection locked="0" hidden="0"/>
    </xf>
    <xf numFmtId="165" fontId="0" fillId="0" borderId="0" applyProtection="1" pivotButton="0" quotePrefix="0" xfId="285">
      <protection locked="0" hidden="0"/>
    </xf>
    <xf numFmtId="165" fontId="11" fillId="16" borderId="0" applyAlignment="1" applyProtection="1" pivotButton="0" quotePrefix="0" xfId="285">
      <alignment horizontal="center"/>
      <protection locked="0" hidden="0"/>
    </xf>
    <xf numFmtId="164" fontId="11" fillId="16" borderId="0" applyProtection="1" pivotButton="0" quotePrefix="0" xfId="0">
      <protection locked="0" hidden="0"/>
    </xf>
    <xf numFmtId="164" fontId="11" fillId="16" borderId="5" applyProtection="1" pivotButton="0" quotePrefix="0" xfId="0">
      <protection locked="0" hidden="0"/>
    </xf>
    <xf numFmtId="165" fontId="0" fillId="0" borderId="15" applyProtection="1" pivotButton="0" quotePrefix="0" xfId="285">
      <protection locked="0" hidden="0"/>
    </xf>
    <xf numFmtId="165" fontId="11" fillId="0" borderId="15" applyProtection="1" pivotButton="0" quotePrefix="0" xfId="285">
      <protection locked="0" hidden="0"/>
    </xf>
    <xf numFmtId="0" fontId="10" fillId="16" borderId="4" applyAlignment="1" applyProtection="1" pivotButton="0" quotePrefix="0" xfId="0">
      <alignment horizontal="left"/>
      <protection locked="0" hidden="0"/>
    </xf>
    <xf numFmtId="165" fontId="19" fillId="0" borderId="15" applyProtection="1" pivotButton="0" quotePrefix="0" xfId="285">
      <protection locked="0" hidden="0"/>
    </xf>
    <xf numFmtId="0" fontId="34" fillId="0" borderId="15" applyProtection="1" pivotButton="0" quotePrefix="0" xfId="0">
      <protection locked="0" hidden="0"/>
    </xf>
    <xf numFmtId="0" fontId="0" fillId="2" borderId="15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1" fillId="0" borderId="18" applyAlignment="1" applyProtection="1" pivotButton="0" quotePrefix="0" xfId="0">
      <alignment horizontal="left"/>
      <protection locked="0" hidden="0"/>
    </xf>
    <xf numFmtId="165" fontId="11" fillId="0" borderId="17" applyAlignment="1" applyProtection="1" pivotButton="0" quotePrefix="0" xfId="285">
      <alignment horizontal="center"/>
      <protection locked="0" hidden="0"/>
    </xf>
    <xf numFmtId="164" fontId="11" fillId="0" borderId="17" applyProtection="1" pivotButton="0" quotePrefix="0" xfId="0">
      <protection locked="0" hidden="0"/>
    </xf>
    <xf numFmtId="164" fontId="11" fillId="0" borderId="16" applyProtection="1" pivotButton="0" quotePrefix="0" xfId="0">
      <protection locked="0" hidden="0"/>
    </xf>
    <xf numFmtId="164" fontId="19" fillId="0" borderId="3" applyProtection="1" pivotButton="0" quotePrefix="0" xfId="0">
      <protection locked="0" hidden="0"/>
    </xf>
    <xf numFmtId="0" fontId="19" fillId="0" borderId="4" applyProtection="1" pivotButton="0" quotePrefix="0" xfId="0">
      <protection locked="0" hidden="0"/>
    </xf>
    <xf numFmtId="9" fontId="19" fillId="23" borderId="0" applyAlignment="1" applyProtection="1" pivotButton="0" quotePrefix="0" xfId="0">
      <alignment horizontal="center"/>
      <protection locked="0" hidden="0"/>
    </xf>
    <xf numFmtId="164" fontId="19" fillId="0" borderId="0" applyProtection="1" pivotButton="0" quotePrefix="0" xfId="0">
      <protection locked="0" hidden="0"/>
    </xf>
    <xf numFmtId="164" fontId="19" fillId="0" borderId="5" applyProtection="1" pivotButton="0" quotePrefix="0" xfId="0">
      <protection locked="0" hidden="0"/>
    </xf>
    <xf numFmtId="0" fontId="19" fillId="24" borderId="0" applyProtection="1" pivotButton="0" quotePrefix="0" xfId="0">
      <protection locked="0" hidden="0"/>
    </xf>
    <xf numFmtId="0" fontId="0" fillId="0" borderId="15" applyAlignment="1" applyProtection="1" pivotButton="0" quotePrefix="0" xfId="0">
      <alignment horizontal="center"/>
      <protection locked="0" hidden="0"/>
    </xf>
    <xf numFmtId="0" fontId="0" fillId="0" borderId="11" applyProtection="1" pivotButton="0" quotePrefix="0" xfId="0">
      <protection locked="0" hidden="0"/>
    </xf>
    <xf numFmtId="0" fontId="25" fillId="0" borderId="0" applyProtection="1" pivotButton="0" quotePrefix="1" xfId="0">
      <protection locked="0" hidden="0"/>
    </xf>
    <xf numFmtId="0" fontId="19" fillId="32" borderId="9" applyProtection="1" pivotButton="0" quotePrefix="0" xfId="0">
      <protection locked="0" hidden="0"/>
    </xf>
    <xf numFmtId="9" fontId="19" fillId="32" borderId="10" applyAlignment="1" applyProtection="1" pivotButton="0" quotePrefix="0" xfId="0">
      <alignment horizontal="center"/>
      <protection locked="0" hidden="0"/>
    </xf>
    <xf numFmtId="164" fontId="19" fillId="0" borderId="10" applyProtection="1" pivotButton="0" quotePrefix="0" xfId="0">
      <protection locked="0" hidden="0"/>
    </xf>
    <xf numFmtId="164" fontId="19" fillId="0" borderId="11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/>
      <protection locked="0" hidden="0"/>
    </xf>
    <xf numFmtId="0" fontId="14" fillId="10" borderId="15" applyAlignment="1" applyProtection="1" pivotButton="0" quotePrefix="0" xfId="0">
      <alignment horizontal="center"/>
      <protection locked="0" hidden="0"/>
    </xf>
    <xf numFmtId="0" fontId="14" fillId="0" borderId="0" applyProtection="1" pivotButton="0" quotePrefix="0" xfId="0">
      <protection locked="0" hidden="0"/>
    </xf>
    <xf numFmtId="0" fontId="14" fillId="2" borderId="6" applyProtection="1" pivotButton="0" quotePrefix="0" xfId="0">
      <protection locked="0" hidden="0"/>
    </xf>
    <xf numFmtId="0" fontId="15" fillId="2" borderId="7" applyAlignment="1" applyProtection="1" pivotButton="0" quotePrefix="0" xfId="0">
      <alignment horizontal="center"/>
      <protection locked="0" hidden="0"/>
    </xf>
    <xf numFmtId="164" fontId="15" fillId="2" borderId="7" applyProtection="1" pivotButton="0" quotePrefix="0" xfId="0">
      <protection locked="0" hidden="0"/>
    </xf>
    <xf numFmtId="0" fontId="11" fillId="2" borderId="9" applyProtection="1" pivotButton="0" quotePrefix="0" xfId="0">
      <protection locked="0" hidden="0"/>
    </xf>
    <xf numFmtId="0" fontId="11" fillId="2" borderId="11" applyProtection="1" pivotButton="0" quotePrefix="0" xfId="0">
      <protection locked="0" hidden="0"/>
    </xf>
    <xf numFmtId="164" fontId="14" fillId="10" borderId="15" applyProtection="1" pivotButton="0" quotePrefix="0" xfId="0">
      <protection locked="0" hidden="0"/>
    </xf>
    <xf numFmtId="0" fontId="19" fillId="0" borderId="0" applyAlignment="1" applyProtection="1" pivotButton="0" quotePrefix="0" xfId="0">
      <alignment horizontal="right"/>
      <protection locked="0" hidden="0"/>
    </xf>
    <xf numFmtId="165" fontId="19" fillId="0" borderId="0" applyAlignment="1" applyProtection="1" pivotButton="0" quotePrefix="0" xfId="0">
      <alignment horizontal="center"/>
      <protection locked="0" hidden="0"/>
    </xf>
    <xf numFmtId="9" fontId="11" fillId="0" borderId="0" applyAlignment="1" applyProtection="1" pivotButton="0" quotePrefix="0" xfId="647">
      <alignment horizontal="right"/>
      <protection locked="0" hidden="0"/>
    </xf>
    <xf numFmtId="0" fontId="20" fillId="23" borderId="0" applyProtection="1" pivotButton="0" quotePrefix="1" xfId="0">
      <protection locked="0" hidden="0"/>
    </xf>
    <xf numFmtId="0" fontId="0" fillId="23" borderId="0" applyProtection="1" pivotButton="0" quotePrefix="0" xfId="0">
      <protection locked="0" hidden="0"/>
    </xf>
    <xf numFmtId="0" fontId="12" fillId="0" borderId="1" applyAlignment="1" applyProtection="1" pivotButton="0" quotePrefix="0" xfId="0">
      <alignment horizontal="left"/>
      <protection locked="0" hidden="0"/>
    </xf>
    <xf numFmtId="165" fontId="14" fillId="0" borderId="2" applyProtection="1" pivotButton="0" quotePrefix="0" xfId="285">
      <protection locked="0" hidden="0"/>
    </xf>
    <xf numFmtId="165" fontId="14" fillId="0" borderId="3" applyProtection="1" pivotButton="0" quotePrefix="0" xfId="285">
      <protection locked="0" hidden="0"/>
    </xf>
    <xf numFmtId="0" fontId="51" fillId="0" borderId="15" applyAlignment="1" applyProtection="1" pivotButton="0" quotePrefix="0" xfId="0">
      <alignment horizontal="center"/>
      <protection locked="0" hidden="0"/>
    </xf>
    <xf numFmtId="9" fontId="14" fillId="8" borderId="15" applyProtection="1" pivotButton="0" quotePrefix="0" xfId="647">
      <protection locked="0" hidden="0"/>
    </xf>
    <xf numFmtId="0" fontId="14" fillId="8" borderId="9" applyAlignment="1" applyProtection="1" pivotButton="0" quotePrefix="0" xfId="0">
      <alignment horizontal="left"/>
      <protection locked="0" hidden="0"/>
    </xf>
    <xf numFmtId="9" fontId="14" fillId="8" borderId="11" applyProtection="1" pivotButton="0" quotePrefix="0" xfId="647">
      <protection locked="0" hidden="0"/>
    </xf>
    <xf numFmtId="0" fontId="17" fillId="0" borderId="9" applyAlignment="1" applyProtection="1" pivotButton="0" quotePrefix="0" xfId="0">
      <alignment horizontal="center"/>
      <protection locked="0" hidden="0"/>
    </xf>
    <xf numFmtId="0" fontId="17" fillId="0" borderId="10" applyAlignment="1" applyProtection="1" pivotButton="0" quotePrefix="0" xfId="0">
      <alignment horizontal="center"/>
      <protection locked="0" hidden="0"/>
    </xf>
    <xf numFmtId="0" fontId="17" fillId="0" borderId="11" applyAlignment="1" applyProtection="1" pivotButton="0" quotePrefix="0" xfId="0">
      <alignment horizontal="center"/>
      <protection locked="0" hidden="0"/>
    </xf>
    <xf numFmtId="0" fontId="25" fillId="0" borderId="4" applyAlignment="1" applyProtection="1" pivotButton="0" quotePrefix="1" xfId="0">
      <alignment horizontal="center"/>
      <protection locked="0" hidden="0"/>
    </xf>
    <xf numFmtId="0" fontId="14" fillId="5" borderId="1" applyAlignment="1" applyProtection="1" pivotButton="0" quotePrefix="0" xfId="0">
      <alignment horizontal="center"/>
      <protection locked="0" hidden="0"/>
    </xf>
    <xf numFmtId="0" fontId="11" fillId="5" borderId="2" applyProtection="1" pivotButton="0" quotePrefix="0" xfId="0">
      <protection locked="0" hidden="0"/>
    </xf>
    <xf numFmtId="0" fontId="14" fillId="5" borderId="3" applyProtection="1" pivotButton="0" quotePrefix="0" xfId="0">
      <protection locked="0" hidden="0"/>
    </xf>
    <xf numFmtId="0" fontId="38" fillId="0" borderId="0" applyProtection="1" pivotButton="0" quotePrefix="0" xfId="0">
      <protection locked="0" hidden="0"/>
    </xf>
    <xf numFmtId="0" fontId="10" fillId="9" borderId="15" applyAlignment="1" applyProtection="1" pivotButton="0" quotePrefix="0" xfId="0">
      <alignment horizontal="center"/>
      <protection locked="0" hidden="0"/>
    </xf>
    <xf numFmtId="0" fontId="10" fillId="9" borderId="4" applyProtection="1" pivotButton="0" quotePrefix="0" xfId="0">
      <protection locked="0" hidden="0"/>
    </xf>
    <xf numFmtId="0" fontId="10" fillId="9" borderId="5" applyAlignment="1" applyProtection="1" pivotButton="0" quotePrefix="0" xfId="0">
      <alignment horizontal="center"/>
      <protection locked="0" hidden="0"/>
    </xf>
    <xf numFmtId="10" fontId="19" fillId="0" borderId="0" applyAlignment="1" applyProtection="1" pivotButton="0" quotePrefix="0" xfId="647">
      <alignment horizontal="center"/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0" fontId="11" fillId="0" borderId="4" applyAlignment="1" applyProtection="1" pivotButton="0" quotePrefix="0" xfId="0">
      <alignment horizontal="right"/>
      <protection locked="0" hidden="0"/>
    </xf>
    <xf numFmtId="177" fontId="15" fillId="0" borderId="0" applyProtection="1" pivotButton="0" quotePrefix="0" xfId="0">
      <protection locked="0" hidden="0"/>
    </xf>
    <xf numFmtId="42" fontId="0" fillId="0" borderId="5" applyProtection="1" pivotButton="0" quotePrefix="0" xfId="0">
      <protection locked="0" hidden="0"/>
    </xf>
    <xf numFmtId="4" fontId="14" fillId="9" borderId="15" applyAlignment="1" applyProtection="1" pivotButton="0" quotePrefix="0" xfId="0">
      <alignment horizontal="center"/>
      <protection locked="0" hidden="0"/>
    </xf>
    <xf numFmtId="0" fontId="11" fillId="9" borderId="9" applyProtection="1" pivotButton="0" quotePrefix="0" xfId="0">
      <protection locked="0" hidden="0"/>
    </xf>
    <xf numFmtId="3" fontId="11" fillId="9" borderId="11" applyAlignment="1" applyProtection="1" pivotButton="0" quotePrefix="0" xfId="0">
      <alignment horizontal="center"/>
      <protection locked="0" hidden="0"/>
    </xf>
    <xf numFmtId="165" fontId="0" fillId="0" borderId="0" applyProtection="1" pivotButton="0" quotePrefix="0" xfId="0">
      <protection locked="0" hidden="0"/>
    </xf>
    <xf numFmtId="177" fontId="11" fillId="0" borderId="0" applyProtection="1" pivotButton="0" quotePrefix="0" xfId="0">
      <protection locked="0" hidden="0"/>
    </xf>
    <xf numFmtId="10" fontId="34" fillId="0" borderId="0" applyAlignment="1" applyProtection="1" pivotButton="0" quotePrefix="0" xfId="647">
      <alignment horizontal="center"/>
      <protection locked="0" hidden="0"/>
    </xf>
    <xf numFmtId="165" fontId="0" fillId="0" borderId="6" applyProtection="1" pivotButton="0" quotePrefix="0" xfId="0">
      <protection locked="0" hidden="0"/>
    </xf>
    <xf numFmtId="165" fontId="0" fillId="0" borderId="7" applyProtection="1" pivotButton="0" quotePrefix="0" xfId="0">
      <protection locked="0" hidden="0"/>
    </xf>
    <xf numFmtId="0" fontId="14" fillId="5" borderId="4" applyAlignment="1" applyProtection="1" pivotButton="0" quotePrefix="0" xfId="0">
      <alignment horizontal="center"/>
      <protection locked="0" hidden="0"/>
    </xf>
    <xf numFmtId="0" fontId="11" fillId="5" borderId="0" applyProtection="1" pivotButton="0" quotePrefix="0" xfId="0">
      <protection locked="0" hidden="0"/>
    </xf>
    <xf numFmtId="0" fontId="11" fillId="5" borderId="5" applyProtection="1" pivotButton="0" quotePrefix="0" xfId="0">
      <protection locked="0" hidden="0"/>
    </xf>
    <xf numFmtId="0" fontId="32" fillId="0" borderId="0" applyProtection="1" pivotButton="0" quotePrefix="0" xfId="0">
      <protection locked="0" hidden="0"/>
    </xf>
    <xf numFmtId="165" fontId="49" fillId="0" borderId="0" applyProtection="1" pivotButton="0" quotePrefix="0" xfId="285">
      <protection locked="0" hidden="0"/>
    </xf>
    <xf numFmtId="0" fontId="11" fillId="0" borderId="6" applyAlignment="1" applyProtection="1" pivotButton="0" quotePrefix="0" xfId="0">
      <alignment horizontal="right"/>
      <protection locked="0" hidden="0"/>
    </xf>
    <xf numFmtId="177" fontId="15" fillId="0" borderId="7" applyProtection="1" pivotButton="0" quotePrefix="0" xfId="286">
      <protection locked="0" hidden="0"/>
    </xf>
    <xf numFmtId="42" fontId="0" fillId="0" borderId="8" applyProtection="1" pivotButton="0" quotePrefix="0" xfId="0">
      <protection locked="0" hidden="0"/>
    </xf>
    <xf numFmtId="0" fontId="35" fillId="0" borderId="0" applyProtection="1" pivotButton="0" quotePrefix="0" xfId="0">
      <protection locked="0" hidden="0"/>
    </xf>
    <xf numFmtId="0" fontId="14" fillId="0" borderId="15" applyAlignment="1" applyProtection="1" pivotButton="0" quotePrefix="0" xfId="0">
      <alignment horizontal="center"/>
      <protection locked="0" hidden="0"/>
    </xf>
    <xf numFmtId="2" fontId="11" fillId="0" borderId="10" applyProtection="1" pivotButton="0" quotePrefix="0" xfId="0">
      <protection locked="0" hidden="0"/>
    </xf>
    <xf numFmtId="3" fontId="11" fillId="0" borderId="9" applyAlignment="1" applyProtection="1" pivotButton="0" quotePrefix="0" xfId="0">
      <alignment horizontal="left"/>
      <protection locked="0" hidden="0"/>
    </xf>
    <xf numFmtId="164" fontId="11" fillId="0" borderId="11" applyProtection="1" pivotButton="0" quotePrefix="0" xfId="0">
      <protection locked="0" hidden="0"/>
    </xf>
    <xf numFmtId="42" fontId="0" fillId="0" borderId="0" applyProtection="1" pivotButton="0" quotePrefix="0" xfId="0">
      <protection locked="0" hidden="0"/>
    </xf>
    <xf numFmtId="0" fontId="14" fillId="2" borderId="1" applyAlignment="1" applyProtection="1" pivotButton="0" quotePrefix="0" xfId="0">
      <alignment horizontal="right"/>
      <protection locked="0" hidden="0"/>
    </xf>
    <xf numFmtId="0" fontId="11" fillId="2" borderId="2" applyProtection="1" pivotButton="0" quotePrefix="0" xfId="0">
      <protection locked="0" hidden="0"/>
    </xf>
    <xf numFmtId="0" fontId="11" fillId="2" borderId="10" applyProtection="1" pivotButton="0" quotePrefix="0" xfId="0">
      <protection locked="0" hidden="0"/>
    </xf>
    <xf numFmtId="167" fontId="17" fillId="2" borderId="3" applyProtection="1" pivotButton="0" quotePrefix="0" xfId="286">
      <protection locked="0" hidden="0"/>
    </xf>
    <xf numFmtId="2" fontId="14" fillId="0" borderId="10" applyProtection="1" pivotButton="0" quotePrefix="0" xfId="0">
      <protection locked="0" hidden="0"/>
    </xf>
    <xf numFmtId="3" fontId="14" fillId="0" borderId="9" applyAlignment="1" applyProtection="1" pivotButton="0" quotePrefix="0" xfId="0">
      <alignment horizontal="left"/>
      <protection locked="0" hidden="0"/>
    </xf>
    <xf numFmtId="42" fontId="51" fillId="0" borderId="0" applyAlignment="1" applyProtection="1" pivotButton="0" quotePrefix="0" xfId="0">
      <alignment horizontal="center"/>
      <protection locked="0" hidden="0"/>
    </xf>
    <xf numFmtId="0" fontId="14" fillId="2" borderId="9" applyAlignment="1" applyProtection="1" pivotButton="0" quotePrefix="0" xfId="0">
      <alignment horizontal="right"/>
      <protection locked="0" hidden="0"/>
    </xf>
    <xf numFmtId="9" fontId="11" fillId="2" borderId="10" applyProtection="1" pivotButton="0" quotePrefix="0" xfId="647">
      <protection locked="0" hidden="0"/>
    </xf>
    <xf numFmtId="167" fontId="17" fillId="2" borderId="11" applyProtection="1" pivotButton="0" quotePrefix="0" xfId="286">
      <protection locked="0" hidden="0"/>
    </xf>
    <xf numFmtId="3" fontId="11" fillId="0" borderId="0" applyAlignment="1" applyProtection="1" pivotButton="0" quotePrefix="0" xfId="0">
      <alignment horizontal="center"/>
      <protection locked="0" hidden="0"/>
    </xf>
    <xf numFmtId="0" fontId="11" fillId="0" borderId="0" applyAlignment="1" applyProtection="1" pivotButton="0" quotePrefix="0" xfId="0">
      <alignment horizontal="center"/>
      <protection locked="0" hidden="0"/>
    </xf>
    <xf numFmtId="0" fontId="25" fillId="2" borderId="0" applyAlignment="1" applyProtection="1" pivotButton="0" quotePrefix="0" xfId="0">
      <alignment horizontal="center"/>
      <protection locked="0" hidden="0"/>
    </xf>
    <xf numFmtId="167" fontId="34" fillId="0" borderId="0" applyProtection="1" pivotButton="0" quotePrefix="0" xfId="286">
      <protection locked="0" hidden="0"/>
    </xf>
    <xf numFmtId="0" fontId="10" fillId="0" borderId="2" applyProtection="1" pivotButton="0" quotePrefix="0" xfId="0">
      <protection locked="0" hidden="0"/>
    </xf>
    <xf numFmtId="164" fontId="10" fillId="0" borderId="3" applyProtection="1" pivotButton="0" quotePrefix="0" xfId="0">
      <protection locked="0" hidden="0"/>
    </xf>
    <xf numFmtId="43" fontId="11" fillId="0" borderId="0" applyProtection="1" pivotButton="0" quotePrefix="0" xfId="0">
      <protection locked="0" hidden="0"/>
    </xf>
    <xf numFmtId="165" fontId="11" fillId="0" borderId="0" applyProtection="1" pivotButton="0" quotePrefix="0" xfId="285">
      <protection locked="0" hidden="0"/>
    </xf>
    <xf numFmtId="3" fontId="11" fillId="0" borderId="0" applyAlignment="1" applyProtection="1" pivotButton="0" quotePrefix="0" xfId="0">
      <alignment horizontal="left"/>
      <protection locked="0" hidden="0"/>
    </xf>
    <xf numFmtId="167" fontId="11" fillId="0" borderId="7" applyProtection="1" pivotButton="0" quotePrefix="0" xfId="286">
      <protection locked="0" hidden="0"/>
    </xf>
    <xf numFmtId="0" fontId="0" fillId="0" borderId="7" applyProtection="1" pivotButton="0" quotePrefix="0" xfId="0">
      <protection locked="0" hidden="0"/>
    </xf>
    <xf numFmtId="167" fontId="11" fillId="2" borderId="0" applyProtection="1" pivotButton="0" quotePrefix="0" xfId="286">
      <protection locked="0" hidden="0"/>
    </xf>
    <xf numFmtId="0" fontId="0" fillId="2" borderId="0" applyProtection="1" pivotButton="0" quotePrefix="0" xfId="0">
      <protection locked="0" hidden="0"/>
    </xf>
    <xf numFmtId="0" fontId="37" fillId="0" borderId="0" applyProtection="1" pivotButton="0" quotePrefix="0" xfId="0">
      <protection locked="0" hidden="0"/>
    </xf>
    <xf numFmtId="167" fontId="34" fillId="2" borderId="0" applyProtection="1" pivotButton="0" quotePrefix="0" xfId="286">
      <protection locked="0" hidden="0"/>
    </xf>
    <xf numFmtId="0" fontId="14" fillId="10" borderId="6" applyProtection="1" pivotButton="0" quotePrefix="0" xfId="0">
      <protection locked="0" hidden="0"/>
    </xf>
    <xf numFmtId="0" fontId="15" fillId="10" borderId="7" applyAlignment="1" applyProtection="1" pivotButton="0" quotePrefix="0" xfId="0">
      <alignment horizontal="center"/>
      <protection locked="0" hidden="0"/>
    </xf>
    <xf numFmtId="164" fontId="15" fillId="10" borderId="7" applyProtection="1" pivotButton="0" quotePrefix="0" xfId="0">
      <protection locked="0" hidden="0"/>
    </xf>
    <xf numFmtId="164" fontId="15" fillId="10" borderId="8" applyProtection="1" pivotButton="0" quotePrefix="0" xfId="0">
      <protection locked="0" hidden="0"/>
    </xf>
    <xf numFmtId="0" fontId="19" fillId="0" borderId="0" applyAlignment="1" applyProtection="1" pivotButton="0" quotePrefix="0" xfId="0">
      <alignment horizontal="center"/>
      <protection locked="0" hidden="0"/>
    </xf>
    <xf numFmtId="167" fontId="34" fillId="2" borderId="7" applyProtection="1" pivotButton="0" quotePrefix="0" xfId="286">
      <protection locked="0" hidden="0"/>
    </xf>
    <xf numFmtId="0" fontId="21" fillId="0" borderId="0" applyProtection="1" pivotButton="0" quotePrefix="0" xfId="0">
      <protection locked="0" hidden="0"/>
    </xf>
    <xf numFmtId="0" fontId="14" fillId="11" borderId="9" applyProtection="1" pivotButton="0" quotePrefix="0" xfId="0">
      <protection locked="0" hidden="0"/>
    </xf>
    <xf numFmtId="0" fontId="11" fillId="11" borderId="10" applyAlignment="1" applyProtection="1" pivotButton="0" quotePrefix="0" xfId="0">
      <alignment horizontal="center"/>
      <protection locked="0" hidden="0"/>
    </xf>
    <xf numFmtId="164" fontId="19" fillId="11" borderId="10" applyAlignment="1" applyProtection="1" pivotButton="0" quotePrefix="0" xfId="0">
      <alignment horizontal="right"/>
      <protection locked="0" hidden="0"/>
    </xf>
    <xf numFmtId="164" fontId="15" fillId="11" borderId="11" applyProtection="1" pivotButton="0" quotePrefix="0" xfId="0">
      <protection locked="0" hidden="0"/>
    </xf>
    <xf numFmtId="167" fontId="11" fillId="0" borderId="9" applyProtection="1" pivotButton="0" quotePrefix="0" xfId="286">
      <protection locked="0" hidden="0"/>
    </xf>
    <xf numFmtId="0" fontId="11" fillId="0" borderId="11" applyProtection="1" pivotButton="0" quotePrefix="0" xfId="0">
      <protection locked="0" hidden="0"/>
    </xf>
    <xf numFmtId="169" fontId="11" fillId="0" borderId="0" applyAlignment="1" applyProtection="1" pivotButton="0" quotePrefix="0" xfId="0">
      <alignment horizontal="center"/>
      <protection locked="0" hidden="0"/>
    </xf>
    <xf numFmtId="164" fontId="10" fillId="0" borderId="0" applyProtection="1" pivotButton="0" quotePrefix="0" xfId="0">
      <protection locked="0" hidden="0"/>
    </xf>
    <xf numFmtId="0" fontId="8" fillId="0" borderId="4" applyProtection="1" pivotButton="0" quotePrefix="0" xfId="645">
      <protection locked="0" hidden="0"/>
    </xf>
    <xf numFmtId="176" fontId="11" fillId="0" borderId="0" applyAlignment="1" applyProtection="1" pivotButton="0" quotePrefix="0" xfId="0">
      <alignment horizontal="center"/>
      <protection locked="0" hidden="0"/>
    </xf>
    <xf numFmtId="10" fontId="11" fillId="0" borderId="7" applyAlignment="1" applyProtection="1" pivotButton="0" quotePrefix="0" xfId="0">
      <alignment horizontal="center"/>
      <protection locked="0" hidden="0"/>
    </xf>
    <xf numFmtId="164" fontId="0" fillId="0" borderId="8" applyProtection="1" pivotButton="0" quotePrefix="0" xfId="0">
      <protection locked="0" hidden="0"/>
    </xf>
    <xf numFmtId="165" fontId="25" fillId="0" borderId="0" applyProtection="1" pivotButton="0" quotePrefix="0" xfId="0">
      <protection locked="0" hidden="0"/>
    </xf>
    <xf numFmtId="0" fontId="25" fillId="0" borderId="0" applyProtection="1" pivotButton="0" quotePrefix="0" xfId="0">
      <protection locked="0" hidden="0"/>
    </xf>
    <xf numFmtId="164" fontId="11" fillId="33" borderId="15" applyProtection="1" pivotButton="0" quotePrefix="0" xfId="0">
      <protection locked="0" hidden="0"/>
    </xf>
    <xf numFmtId="0" fontId="19" fillId="33" borderId="9" applyProtection="1" pivotButton="0" quotePrefix="0" xfId="0">
      <protection locked="0" hidden="0"/>
    </xf>
    <xf numFmtId="0" fontId="0" fillId="33" borderId="11" applyProtection="1" pivotButton="0" quotePrefix="0" xfId="0">
      <protection locked="0" hidden="0"/>
    </xf>
    <xf numFmtId="164" fontId="34" fillId="0" borderId="15" applyProtection="1" pivotButton="0" quotePrefix="0" xfId="286">
      <protection locked="0" hidden="0"/>
    </xf>
    <xf numFmtId="166" fontId="11" fillId="9" borderId="15" applyProtection="1" pivotButton="0" quotePrefix="0" xfId="285">
      <protection locked="0" hidden="0"/>
    </xf>
    <xf numFmtId="0" fontId="19" fillId="9" borderId="15" applyProtection="1" pivotButton="0" quotePrefix="0" xfId="0">
      <protection locked="0" hidden="0"/>
    </xf>
    <xf numFmtId="164" fontId="10" fillId="0" borderId="2" applyProtection="1" pivotButton="0" quotePrefix="0" xfId="0">
      <protection locked="0" hidden="0"/>
    </xf>
    <xf numFmtId="0" fontId="11" fillId="7" borderId="4" applyProtection="1" pivotButton="0" quotePrefix="0" xfId="0">
      <protection locked="0" hidden="0"/>
    </xf>
    <xf numFmtId="171" fontId="11" fillId="0" borderId="0" applyAlignment="1" applyProtection="1" pivotButton="0" quotePrefix="0" xfId="0">
      <alignment horizontal="center"/>
      <protection locked="0" hidden="0"/>
    </xf>
    <xf numFmtId="10" fontId="11" fillId="0" borderId="0" applyAlignment="1" applyProtection="1" pivotButton="0" quotePrefix="0" xfId="0">
      <alignment horizontal="center"/>
      <protection locked="0" hidden="0"/>
    </xf>
    <xf numFmtId="0" fontId="11" fillId="7" borderId="6" applyProtection="1" pivotButton="0" quotePrefix="0" xfId="0">
      <protection locked="0" hidden="0"/>
    </xf>
    <xf numFmtId="9" fontId="11" fillId="0" borderId="0" applyProtection="1" pivotButton="0" quotePrefix="0" xfId="0">
      <protection locked="0" hidden="0"/>
    </xf>
    <xf numFmtId="0" fontId="17" fillId="0" borderId="15" applyAlignment="1" applyProtection="1" pivotButton="0" quotePrefix="0" xfId="0">
      <alignment horizontal="center"/>
      <protection locked="0" hidden="0"/>
    </xf>
    <xf numFmtId="0" fontId="17" fillId="0" borderId="0" applyAlignment="1" applyProtection="1" pivotButton="0" quotePrefix="0" xfId="0">
      <alignment horizontal="center"/>
      <protection locked="0" hidden="0"/>
    </xf>
    <xf numFmtId="0" fontId="58" fillId="0" borderId="15" applyAlignment="1" applyProtection="1" pivotButton="0" quotePrefix="0" xfId="0">
      <alignment horizontal="center"/>
      <protection locked="0" hidden="0"/>
    </xf>
    <xf numFmtId="0" fontId="33" fillId="0" borderId="0" applyProtection="1" pivotButton="0" quotePrefix="0" xfId="0">
      <protection locked="0" hidden="0"/>
    </xf>
    <xf numFmtId="165" fontId="14" fillId="0" borderId="0" applyProtection="1" pivotButton="0" quotePrefix="0" xfId="285">
      <protection locked="0" hidden="0"/>
    </xf>
    <xf numFmtId="164" fontId="0" fillId="0" borderId="0" applyProtection="1" pivotButton="0" quotePrefix="0" xfId="0">
      <protection locked="0" hidden="0"/>
    </xf>
    <xf numFmtId="9" fontId="0" fillId="0" borderId="15" applyProtection="1" pivotButton="0" quotePrefix="0" xfId="647">
      <protection locked="0" hidden="0"/>
    </xf>
    <xf numFmtId="0" fontId="14" fillId="11" borderId="12" applyProtection="1" pivotButton="0" quotePrefix="0" xfId="0">
      <protection locked="0" hidden="0"/>
    </xf>
    <xf numFmtId="0" fontId="11" fillId="11" borderId="13" applyProtection="1" pivotButton="0" quotePrefix="0" xfId="0">
      <protection locked="0" hidden="0"/>
    </xf>
    <xf numFmtId="164" fontId="11" fillId="11" borderId="13" applyProtection="1" pivotButton="0" quotePrefix="0" xfId="0">
      <protection locked="0" hidden="0"/>
    </xf>
    <xf numFmtId="167" fontId="11" fillId="11" borderId="14" applyProtection="1" pivotButton="0" quotePrefix="0" xfId="286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285">
      <protection locked="0" hidden="0"/>
    </xf>
    <xf numFmtId="164" fontId="11" fillId="0" borderId="0" applyProtection="1" pivotButton="0" quotePrefix="0" xfId="286">
      <protection locked="0" hidden="0"/>
    </xf>
    <xf numFmtId="0" fontId="20" fillId="0" borderId="15" applyAlignment="1" applyProtection="1" pivotButton="0" quotePrefix="0" xfId="0">
      <alignment horizontal="center"/>
      <protection locked="0" hidden="0"/>
    </xf>
    <xf numFmtId="168" fontId="0" fillId="0" borderId="0" applyProtection="1" pivotButton="0" quotePrefix="0" xfId="286">
      <protection locked="0" hidden="0"/>
    </xf>
    <xf numFmtId="0" fontId="0" fillId="25" borderId="0" applyProtection="1" pivotButton="0" quotePrefix="0" xfId="0">
      <protection locked="0" hidden="0"/>
    </xf>
    <xf numFmtId="0" fontId="0" fillId="26" borderId="0" applyProtection="1" pivotButton="0" quotePrefix="0" xfId="0">
      <protection locked="0" hidden="0"/>
    </xf>
    <xf numFmtId="171" fontId="0" fillId="0" borderId="0" applyProtection="1" pivotButton="0" quotePrefix="0" xfId="647">
      <protection locked="0" hidden="0"/>
    </xf>
    <xf numFmtId="0" fontId="0" fillId="27" borderId="0" applyProtection="1" pivotButton="0" quotePrefix="0" xfId="0">
      <protection locked="0" hidden="0"/>
    </xf>
    <xf numFmtId="9" fontId="0" fillId="0" borderId="0" applyProtection="1" pivotButton="0" quotePrefix="0" xfId="0">
      <protection locked="0" hidden="0"/>
    </xf>
    <xf numFmtId="0" fontId="0" fillId="28" borderId="0" applyProtection="1" pivotButton="0" quotePrefix="0" xfId="0">
      <protection locked="0" hidden="0"/>
    </xf>
    <xf numFmtId="0" fontId="0" fillId="24" borderId="0" applyProtection="1" pivotButton="0" quotePrefix="0" xfId="0">
      <protection locked="0" hidden="0"/>
    </xf>
    <xf numFmtId="0" fontId="0" fillId="29" borderId="0" applyProtection="1" pivotButton="0" quotePrefix="0" xfId="0">
      <protection locked="0" hidden="0"/>
    </xf>
    <xf numFmtId="0" fontId="0" fillId="34" borderId="0" applyProtection="1" pivotButton="0" quotePrefix="0" xfId="0">
      <protection locked="0" hidden="0"/>
    </xf>
    <xf numFmtId="1" fontId="0" fillId="0" borderId="0" applyProtection="1" pivotButton="0" quotePrefix="0" xfId="0">
      <protection locked="0" hidden="0"/>
    </xf>
    <xf numFmtId="0" fontId="0" fillId="40" borderId="0" applyProtection="1" pivotButton="0" quotePrefix="0" xfId="0">
      <protection locked="0" hidden="0"/>
    </xf>
    <xf numFmtId="168" fontId="0" fillId="0" borderId="0" applyProtection="1" pivotButton="0" quotePrefix="0" xfId="286">
      <protection locked="0" hidden="0"/>
    </xf>
    <xf numFmtId="0" fontId="20" fillId="0" borderId="0" applyProtection="1" pivotButton="0" quotePrefix="0" xfId="0">
      <protection locked="0" hidden="0"/>
    </xf>
    <xf numFmtId="167" fontId="0" fillId="0" borderId="0" applyProtection="1" pivotButton="0" quotePrefix="0" xfId="286">
      <protection locked="0" hidden="0"/>
    </xf>
    <xf numFmtId="165" fontId="11" fillId="0" borderId="0" applyAlignment="1" applyProtection="1" pivotButton="0" quotePrefix="0" xfId="1184">
      <alignment horizontal="center"/>
      <protection locked="0" hidden="0"/>
    </xf>
    <xf numFmtId="165" fontId="11" fillId="0" borderId="0" applyAlignment="1" applyProtection="1" pivotButton="0" quotePrefix="0" xfId="1184">
      <alignment horizontal="center"/>
      <protection locked="0" hidden="0"/>
    </xf>
    <xf numFmtId="0" fontId="0" fillId="4" borderId="0" applyProtection="1" pivotButton="0" quotePrefix="0" xfId="0">
      <protection locked="0" hidden="0"/>
    </xf>
    <xf numFmtId="0" fontId="21" fillId="0" borderId="0" applyAlignment="1" applyProtection="1" pivotButton="0" quotePrefix="0" xfId="0">
      <alignment horizontal="left"/>
      <protection locked="0" hidden="0"/>
    </xf>
    <xf numFmtId="0" fontId="20" fillId="26" borderId="0" applyProtection="1" pivotButton="0" quotePrefix="0" xfId="0">
      <protection locked="0" hidden="0"/>
    </xf>
    <xf numFmtId="0" fontId="34" fillId="2" borderId="0" applyProtection="1" pivotButton="0" quotePrefix="0" xfId="0">
      <protection locked="0" hidden="0"/>
    </xf>
    <xf numFmtId="165" fontId="11" fillId="0" borderId="0" applyAlignment="1" applyProtection="1" pivotButton="0" quotePrefix="0" xfId="285">
      <alignment horizontal="left"/>
      <protection locked="0" hidden="0"/>
    </xf>
    <xf numFmtId="166" fontId="0" fillId="10" borderId="22" applyProtection="1" pivotButton="0" quotePrefix="0" xfId="0">
      <protection locked="0" hidden="0"/>
    </xf>
    <xf numFmtId="0" fontId="0" fillId="10" borderId="23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11" fillId="0" borderId="26" applyAlignment="1" applyProtection="1" pivotButton="0" quotePrefix="0" xfId="0">
      <alignment horizontal="center"/>
      <protection locked="0" hidden="0"/>
    </xf>
    <xf numFmtId="0" fontId="17" fillId="8" borderId="0" applyProtection="1" pivotButton="0" quotePrefix="0" xfId="0">
      <protection locked="0" hidden="0"/>
    </xf>
    <xf numFmtId="0" fontId="17" fillId="8" borderId="26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20" fillId="0" borderId="0" applyAlignment="1" applyProtection="1" pivotButton="0" quotePrefix="0" xfId="0">
      <alignment horizontal="left"/>
      <protection locked="0" hidden="0"/>
    </xf>
    <xf numFmtId="0" fontId="10" fillId="0" borderId="3" applyAlignment="1" applyProtection="1" pivotButton="0" quotePrefix="0" xfId="0">
      <alignment horizontal="center"/>
      <protection locked="0" hidden="0"/>
    </xf>
    <xf numFmtId="165" fontId="17" fillId="2" borderId="15" applyProtection="1" pivotButton="0" quotePrefix="0" xfId="285">
      <protection locked="0" hidden="0"/>
    </xf>
    <xf numFmtId="0" fontId="17" fillId="2" borderId="15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17" fillId="29" borderId="15" applyAlignment="1" applyProtection="1" pivotButton="0" quotePrefix="0" xfId="0">
      <alignment horizontal="right"/>
      <protection locked="0" hidden="0"/>
    </xf>
    <xf numFmtId="0" fontId="10" fillId="0" borderId="15" applyProtection="1" pivotButton="0" quotePrefix="0" xfId="0">
      <protection locked="0" hidden="0"/>
    </xf>
    <xf numFmtId="0" fontId="14" fillId="10" borderId="15" applyProtection="1" pivotButton="0" quotePrefix="0" xfId="0">
      <protection locked="0" hidden="0"/>
    </xf>
    <xf numFmtId="0" fontId="20" fillId="0" borderId="22" applyProtection="1" pivotButton="0" quotePrefix="0" xfId="0">
      <protection locked="0" hidden="0"/>
    </xf>
    <xf numFmtId="0" fontId="34" fillId="0" borderId="22" applyAlignment="1" applyProtection="1" pivotButton="0" quotePrefix="0" xfId="0">
      <alignment horizontal="center"/>
      <protection locked="0" hidden="0"/>
    </xf>
    <xf numFmtId="0" fontId="34" fillId="0" borderId="23" applyAlignment="1" applyProtection="1" pivotButton="0" quotePrefix="0" xfId="0">
      <alignment horizontal="center"/>
      <protection locked="0" hidden="0"/>
    </xf>
    <xf numFmtId="165" fontId="17" fillId="2" borderId="30" applyAlignment="1" applyProtection="1" pivotButton="0" quotePrefix="0" xfId="0">
      <alignment horizontal="right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2" borderId="26" applyAlignment="1" applyProtection="1" pivotButton="0" quotePrefix="0" xfId="0">
      <alignment horizontal="center"/>
      <protection locked="0" hidden="0"/>
    </xf>
    <xf numFmtId="0" fontId="25" fillId="0" borderId="25" applyAlignment="1" applyProtection="1" pivotButton="0" quotePrefix="0" xfId="0">
      <alignment horizontal="center"/>
      <protection locked="0" hidden="0"/>
    </xf>
    <xf numFmtId="0" fontId="20" fillId="0" borderId="26" applyAlignment="1" applyProtection="1" pivotButton="0" quotePrefix="0" xfId="0">
      <alignment horizontal="center"/>
      <protection locked="0" hidden="0"/>
    </xf>
    <xf numFmtId="0" fontId="14" fillId="0" borderId="15" applyProtection="1" pivotButton="0" quotePrefix="0" xfId="0">
      <protection locked="0" hidden="0"/>
    </xf>
    <xf numFmtId="0" fontId="17" fillId="0" borderId="25" applyAlignment="1" applyProtection="1" pivotButton="0" quotePrefix="0" xfId="0">
      <alignment horizontal="right"/>
      <protection locked="0" hidden="0"/>
    </xf>
    <xf numFmtId="167" fontId="0" fillId="0" borderId="0" applyProtection="1" pivotButton="0" quotePrefix="0" xfId="286">
      <protection locked="0" hidden="0"/>
    </xf>
    <xf numFmtId="167" fontId="17" fillId="2" borderId="26" applyProtection="1" pivotButton="0" quotePrefix="0" xfId="286">
      <protection locked="0" hidden="0"/>
    </xf>
    <xf numFmtId="0" fontId="11" fillId="0" borderId="25" applyAlignment="1" applyProtection="1" pivotButton="0" quotePrefix="0" xfId="0">
      <alignment horizontal="center"/>
      <protection locked="0" hidden="0"/>
    </xf>
    <xf numFmtId="167" fontId="11" fillId="0" borderId="26" applyProtection="1" pivotButton="0" quotePrefix="0" xfId="286">
      <protection locked="0" hidden="0"/>
    </xf>
    <xf numFmtId="0" fontId="17" fillId="0" borderId="27" applyAlignment="1" applyProtection="1" pivotButton="0" quotePrefix="0" xfId="0">
      <alignment horizontal="right"/>
      <protection locked="0" hidden="0"/>
    </xf>
    <xf numFmtId="167" fontId="11" fillId="0" borderId="28" applyProtection="1" pivotButton="0" quotePrefix="0" xfId="286">
      <protection locked="0" hidden="0"/>
    </xf>
    <xf numFmtId="167" fontId="17" fillId="2" borderId="29" applyProtection="1" pivotButton="0" quotePrefix="0" xfId="286">
      <protection locked="0" hidden="0"/>
    </xf>
    <xf numFmtId="0" fontId="11" fillId="0" borderId="27" applyAlignment="1" applyProtection="1" pivotButton="0" quotePrefix="0" xfId="0">
      <alignment horizontal="center"/>
      <protection locked="0" hidden="0"/>
    </xf>
    <xf numFmtId="164" fontId="11" fillId="0" borderId="28" applyProtection="1" pivotButton="0" quotePrefix="0" xfId="0">
      <protection locked="0" hidden="0"/>
    </xf>
    <xf numFmtId="167" fontId="11" fillId="0" borderId="29" applyProtection="1" pivotButton="0" quotePrefix="0" xfId="286">
      <protection locked="0" hidden="0"/>
    </xf>
    <xf numFmtId="0" fontId="19" fillId="0" borderId="9" applyProtection="1" pivotButton="0" quotePrefix="0" xfId="0">
      <protection locked="0" hidden="0"/>
    </xf>
    <xf numFmtId="9" fontId="19" fillId="0" borderId="10" applyAlignment="1" applyProtection="1" pivotButton="0" quotePrefix="0" xfId="0">
      <alignment horizontal="center"/>
      <protection locked="0" hidden="0"/>
    </xf>
    <xf numFmtId="0" fontId="15" fillId="2" borderId="6" applyProtection="1" pivotButton="0" quotePrefix="0" xfId="0">
      <protection locked="0" hidden="0"/>
    </xf>
    <xf numFmtId="164" fontId="15" fillId="2" borderId="8" applyProtection="1" pivotButton="0" quotePrefix="0" xfId="0">
      <protection locked="0" hidden="0"/>
    </xf>
    <xf numFmtId="164" fontId="11" fillId="10" borderId="15" applyProtection="1" pivotButton="0" quotePrefix="0" xfId="0">
      <protection locked="0" hidden="0"/>
    </xf>
    <xf numFmtId="166" fontId="11" fillId="0" borderId="0" applyAlignment="1" applyProtection="1" pivotButton="0" quotePrefix="0" xfId="0">
      <alignment horizontal="right"/>
      <protection locked="0" hidden="0"/>
    </xf>
    <xf numFmtId="0" fontId="12" fillId="0" borderId="9" applyAlignment="1" applyProtection="1" pivotButton="0" quotePrefix="0" xfId="0">
      <alignment horizontal="left"/>
      <protection locked="0" hidden="0"/>
    </xf>
    <xf numFmtId="165" fontId="14" fillId="0" borderId="10" applyProtection="1" pivotButton="0" quotePrefix="0" xfId="285">
      <protection locked="0" hidden="0"/>
    </xf>
    <xf numFmtId="165" fontId="14" fillId="0" borderId="11" applyProtection="1" pivotButton="0" quotePrefix="0" xfId="285">
      <protection locked="0" hidden="0"/>
    </xf>
    <xf numFmtId="9" fontId="14" fillId="8" borderId="21" applyProtection="1" pivotButton="0" quotePrefix="0" xfId="647">
      <protection locked="0" hidden="0"/>
    </xf>
    <xf numFmtId="0" fontId="14" fillId="8" borderId="1" applyAlignment="1" applyProtection="1" pivotButton="0" quotePrefix="0" xfId="0">
      <alignment horizontal="left"/>
      <protection locked="0" hidden="0"/>
    </xf>
    <xf numFmtId="9" fontId="14" fillId="8" borderId="3" applyProtection="1" pivotButton="0" quotePrefix="0" xfId="647">
      <protection locked="0" hidden="0"/>
    </xf>
    <xf numFmtId="0" fontId="35" fillId="0" borderId="0" applyAlignment="1" applyProtection="1" pivotButton="0" quotePrefix="0" xfId="0">
      <alignment horizontal="center"/>
      <protection locked="0" hidden="0"/>
    </xf>
    <xf numFmtId="0" fontId="11" fillId="7" borderId="15" applyAlignment="1" applyProtection="1" pivotButton="0" quotePrefix="0" xfId="0">
      <alignment horizontal="left"/>
      <protection locked="0" hidden="0"/>
    </xf>
    <xf numFmtId="0" fontId="11" fillId="7" borderId="15" applyProtection="1" pivotButton="0" quotePrefix="0" xfId="0">
      <protection locked="0" hidden="0"/>
    </xf>
    <xf numFmtId="0" fontId="60" fillId="8" borderId="15" applyAlignment="1" applyProtection="1" pivotButton="0" quotePrefix="0" xfId="0">
      <alignment horizontal="center"/>
      <protection locked="0" hidden="0"/>
    </xf>
    <xf numFmtId="0" fontId="60" fillId="8" borderId="15" applyProtection="1" pivotButton="0" quotePrefix="0" xfId="0">
      <protection locked="0" hidden="0"/>
    </xf>
    <xf numFmtId="177" fontId="15" fillId="0" borderId="0" applyProtection="1" pivotButton="0" quotePrefix="0" xfId="286">
      <protection locked="0" hidden="0"/>
    </xf>
    <xf numFmtId="37" fontId="17" fillId="7" borderId="15" applyProtection="1" pivotButton="0" quotePrefix="0" xfId="0">
      <protection locked="0" hidden="0"/>
    </xf>
    <xf numFmtId="170" fontId="11" fillId="7" borderId="15" applyAlignment="1" applyProtection="1" pivotButton="0" quotePrefix="0" xfId="0">
      <alignment horizontal="right"/>
      <protection locked="0" hidden="0"/>
    </xf>
    <xf numFmtId="4" fontId="14" fillId="8" borderId="15" applyAlignment="1" applyProtection="1" pivotButton="0" quotePrefix="0" xfId="0">
      <alignment horizontal="center"/>
      <protection locked="0" hidden="0"/>
    </xf>
    <xf numFmtId="3" fontId="11" fillId="8" borderId="15" applyAlignment="1" applyProtection="1" pivotButton="0" quotePrefix="0" xfId="0">
      <alignment horizontal="left"/>
      <protection locked="0" hidden="0"/>
    </xf>
    <xf numFmtId="177" fontId="11" fillId="0" borderId="0" applyProtection="1" pivotButton="0" quotePrefix="0" xfId="286">
      <protection locked="0" hidden="0"/>
    </xf>
    <xf numFmtId="0" fontId="47" fillId="2" borderId="21" applyAlignment="1" applyProtection="1" pivotButton="0" quotePrefix="0" xfId="0">
      <alignment horizontal="center"/>
      <protection locked="0" hidden="0"/>
    </xf>
    <xf numFmtId="4" fontId="10" fillId="30" borderId="1" applyAlignment="1" applyProtection="1" pivotButton="0" quotePrefix="0" xfId="0">
      <alignment horizontal="center"/>
      <protection locked="0" hidden="0"/>
    </xf>
    <xf numFmtId="3" fontId="47" fillId="30" borderId="3" applyAlignment="1" applyProtection="1" pivotButton="0" quotePrefix="0" xfId="0">
      <alignment horizontal="center"/>
      <protection locked="0" hidden="0"/>
    </xf>
    <xf numFmtId="4" fontId="10" fillId="27" borderId="1" applyAlignment="1" applyProtection="1" pivotButton="0" quotePrefix="0" xfId="0">
      <alignment horizontal="center"/>
      <protection locked="0" hidden="0"/>
    </xf>
    <xf numFmtId="3" fontId="47" fillId="27" borderId="3" applyAlignment="1" applyProtection="1" pivotButton="0" quotePrefix="0" xfId="0">
      <alignment horizontal="center"/>
      <protection locked="0" hidden="0"/>
    </xf>
    <xf numFmtId="4" fontId="11" fillId="2" borderId="19" applyAlignment="1" applyProtection="1" pivotButton="0" quotePrefix="0" xfId="0">
      <alignment horizontal="center"/>
      <protection locked="0" hidden="0"/>
    </xf>
    <xf numFmtId="4" fontId="11" fillId="30" borderId="6" applyAlignment="1" applyProtection="1" pivotButton="0" quotePrefix="0" xfId="0">
      <alignment horizontal="right"/>
      <protection locked="0" hidden="0"/>
    </xf>
    <xf numFmtId="4" fontId="11" fillId="30" borderId="8" applyAlignment="1" applyProtection="1" pivotButton="0" quotePrefix="0" xfId="0">
      <alignment horizontal="center"/>
      <protection locked="0" hidden="0"/>
    </xf>
    <xf numFmtId="49" fontId="0" fillId="27" borderId="6" applyAlignment="1" applyProtection="1" pivotButton="0" quotePrefix="0" xfId="0">
      <alignment horizontal="right"/>
      <protection locked="0" hidden="0"/>
    </xf>
    <xf numFmtId="4" fontId="11" fillId="27" borderId="8" applyAlignment="1" applyProtection="1" pivotButton="0" quotePrefix="0" xfId="0">
      <alignment horizontal="center"/>
      <protection locked="0" hidden="0"/>
    </xf>
    <xf numFmtId="0" fontId="40" fillId="4" borderId="0" applyAlignment="1" applyProtection="1" pivotButton="0" quotePrefix="0" xfId="0">
      <alignment horizontal="left"/>
      <protection locked="0" hidden="0"/>
    </xf>
    <xf numFmtId="0" fontId="19" fillId="4" borderId="0" applyProtection="1" pivotButton="0" quotePrefix="0" xfId="0">
      <protection locked="0" hidden="0"/>
    </xf>
    <xf numFmtId="0" fontId="11" fillId="4" borderId="0" applyProtection="1" pivotButton="0" quotePrefix="0" xfId="0">
      <protection locked="0" hidden="0"/>
    </xf>
    <xf numFmtId="42" fontId="0" fillId="4" borderId="0" applyProtection="1" pivotButton="0" quotePrefix="0" xfId="0">
      <protection locked="0" hidden="0"/>
    </xf>
    <xf numFmtId="0" fontId="11" fillId="28" borderId="9" applyAlignment="1" applyProtection="1" pivotButton="0" quotePrefix="0" xfId="0">
      <alignment horizontal="center"/>
      <protection locked="0" hidden="0"/>
    </xf>
    <xf numFmtId="4" fontId="11" fillId="28" borderId="11" applyAlignment="1" applyProtection="1" pivotButton="0" quotePrefix="0" xfId="0">
      <alignment horizontal="center"/>
      <protection locked="0" hidden="0"/>
    </xf>
    <xf numFmtId="164" fontId="35" fillId="25" borderId="15" applyAlignment="1" applyProtection="1" pivotButton="0" quotePrefix="0" xfId="0">
      <alignment horizontal="center"/>
      <protection locked="0" hidden="0"/>
    </xf>
    <xf numFmtId="49" fontId="0" fillId="0" borderId="0" applyProtection="1" pivotButton="0" quotePrefix="0" xfId="0">
      <protection locked="0" hidden="0"/>
    </xf>
    <xf numFmtId="0" fontId="22" fillId="6" borderId="4" applyAlignment="1" applyProtection="1" pivotButton="0" quotePrefix="0" xfId="0">
      <alignment horizontal="center"/>
      <protection locked="0" hidden="0"/>
    </xf>
    <xf numFmtId="49" fontId="11" fillId="0" borderId="0" applyProtection="1" pivotButton="0" quotePrefix="0" xfId="0">
      <protection locked="0" hidden="0"/>
    </xf>
    <xf numFmtId="2" fontId="11" fillId="0" borderId="9" applyProtection="1" pivotButton="0" quotePrefix="0" xfId="0">
      <protection locked="0" hidden="0"/>
    </xf>
    <xf numFmtId="0" fontId="0" fillId="30" borderId="0" applyProtection="1" pivotButton="0" quotePrefix="0" xfId="0">
      <protection locked="0" hidden="0"/>
    </xf>
    <xf numFmtId="164" fontId="11" fillId="2" borderId="0" applyProtection="1" pivotButton="0" quotePrefix="0" xfId="0">
      <protection locked="0" hidden="0"/>
    </xf>
    <xf numFmtId="0" fontId="19" fillId="2" borderId="0" applyProtection="1" pivotButton="0" quotePrefix="0" xfId="0">
      <protection locked="0" hidden="0"/>
    </xf>
    <xf numFmtId="0" fontId="11" fillId="2" borderId="0" applyProtection="1" pivotButton="0" quotePrefix="0" xfId="0">
      <protection locked="0" hidden="0"/>
    </xf>
    <xf numFmtId="4" fontId="11" fillId="0" borderId="0" applyAlignment="1" applyProtection="1" pivotButton="0" quotePrefix="0" xfId="0">
      <alignment horizontal="center"/>
      <protection locked="0" hidden="0"/>
    </xf>
    <xf numFmtId="0" fontId="11" fillId="0" borderId="0" applyProtection="1" pivotButton="0" quotePrefix="1" xfId="0">
      <protection locked="0" hidden="0"/>
    </xf>
    <xf numFmtId="164" fontId="34" fillId="41" borderId="15" applyProtection="1" pivotButton="0" quotePrefix="0" xfId="286">
      <protection locked="0" hidden="0"/>
    </xf>
    <xf numFmtId="0" fontId="34" fillId="41" borderId="10" applyProtection="1" pivotButton="0" quotePrefix="0" xfId="0">
      <protection locked="0" hidden="0"/>
    </xf>
    <xf numFmtId="0" fontId="0" fillId="41" borderId="10" applyProtection="1" pivotButton="0" quotePrefix="0" xfId="0">
      <protection locked="0" hidden="0"/>
    </xf>
    <xf numFmtId="0" fontId="0" fillId="41" borderId="11" applyProtection="1" pivotButton="0" quotePrefix="0" xfId="0">
      <protection locked="0" hidden="0"/>
    </xf>
    <xf numFmtId="164" fontId="34" fillId="2" borderId="9" applyProtection="1" pivotButton="0" quotePrefix="0" xfId="286">
      <protection locked="0" hidden="0"/>
    </xf>
    <xf numFmtId="0" fontId="34" fillId="2" borderId="11" applyProtection="1" pivotButton="0" quotePrefix="0" xfId="0">
      <protection locked="0" hidden="0"/>
    </xf>
    <xf numFmtId="164" fontId="11" fillId="0" borderId="9" applyProtection="1" pivotButton="0" quotePrefix="0" xfId="0">
      <protection locked="0" hidden="0"/>
    </xf>
    <xf numFmtId="0" fontId="19" fillId="0" borderId="10" applyAlignment="1" applyProtection="1" pivotButton="0" quotePrefix="0" xfId="0">
      <alignment horizontal="right"/>
      <protection locked="0" hidden="0"/>
    </xf>
    <xf numFmtId="173" fontId="11" fillId="0" borderId="0" applyProtection="1" pivotButton="0" quotePrefix="0" xfId="286">
      <protection locked="0" hidden="0"/>
    </xf>
    <xf numFmtId="167" fontId="11" fillId="0" borderId="0" applyProtection="1" pivotButton="0" quotePrefix="0" xfId="286">
      <protection locked="0" hidden="0"/>
    </xf>
    <xf numFmtId="0" fontId="19" fillId="0" borderId="0" applyAlignment="1" applyProtection="1" pivotButton="0" quotePrefix="0" xfId="0">
      <alignment horizontal="left"/>
      <protection locked="0" hidden="0"/>
    </xf>
    <xf numFmtId="164" fontId="19" fillId="0" borderId="0" applyAlignment="1" applyProtection="1" pivotButton="0" quotePrefix="0" xfId="0">
      <alignment horizontal="left"/>
      <protection locked="0" hidden="0"/>
    </xf>
    <xf numFmtId="9" fontId="19" fillId="0" borderId="0" applyAlignment="1" applyProtection="1" pivotButton="0" quotePrefix="0" xfId="0">
      <alignment horizontal="left"/>
      <protection locked="0" hidden="0"/>
    </xf>
    <xf numFmtId="42" fontId="0" fillId="0" borderId="0" applyAlignment="1" applyProtection="1" pivotButton="0" quotePrefix="0" xfId="0">
      <alignment horizontal="left"/>
      <protection locked="0" hidden="0"/>
    </xf>
    <xf numFmtId="166" fontId="11" fillId="0" borderId="0" applyAlignment="1" applyProtection="1" pivotButton="0" quotePrefix="0" xfId="0">
      <alignment horizontal="left"/>
      <protection locked="0" hidden="0"/>
    </xf>
    <xf numFmtId="9" fontId="11" fillId="0" borderId="0" applyAlignment="1" applyProtection="1" pivotButton="0" quotePrefix="0" xfId="647">
      <alignment horizontal="left"/>
      <protection locked="0" hidden="0"/>
    </xf>
    <xf numFmtId="168" fontId="11" fillId="0" borderId="0" applyAlignment="1" applyProtection="1" pivotButton="0" quotePrefix="0" xfId="286">
      <alignment horizontal="left"/>
      <protection locked="0" hidden="0"/>
    </xf>
    <xf numFmtId="167" fontId="0" fillId="0" borderId="0" applyAlignment="1" applyProtection="1" pivotButton="0" quotePrefix="0" xfId="286">
      <alignment horizontal="left"/>
      <protection locked="0" hidden="0"/>
    </xf>
    <xf numFmtId="0" fontId="11" fillId="34" borderId="0" applyAlignment="1" applyProtection="1" pivotButton="0" quotePrefix="0" xfId="0">
      <alignment horizontal="left"/>
      <protection locked="0" hidden="0"/>
    </xf>
    <xf numFmtId="0" fontId="11" fillId="40" borderId="0" applyAlignment="1" applyProtection="1" pivotButton="0" quotePrefix="0" xfId="0">
      <alignment horizontal="left"/>
      <protection locked="0" hidden="0"/>
    </xf>
    <xf numFmtId="0" fontId="17" fillId="0" borderId="28" applyAlignment="1" applyProtection="1" pivotButton="0" quotePrefix="0" xfId="0">
      <alignment horizontal="center"/>
      <protection locked="0" hidden="0"/>
    </xf>
    <xf numFmtId="0" fontId="0" fillId="23" borderId="0" applyAlignment="1" applyProtection="1" pivotButton="0" quotePrefix="0" xfId="0">
      <alignment horizontal="right"/>
      <protection locked="0" hidden="0"/>
    </xf>
    <xf numFmtId="168" fontId="0" fillId="0" borderId="0" applyProtection="1" pivotButton="0" quotePrefix="0" xfId="1183">
      <protection locked="0" hidden="0"/>
    </xf>
    <xf numFmtId="9" fontId="0" fillId="0" borderId="0" applyProtection="1" pivotButton="0" quotePrefix="0" xfId="1079">
      <protection locked="0" hidden="0"/>
    </xf>
    <xf numFmtId="171" fontId="0" fillId="0" borderId="0" applyProtection="1" pivotButton="0" quotePrefix="0" xfId="1079">
      <protection locked="0" hidden="0"/>
    </xf>
    <xf numFmtId="14" fontId="62" fillId="36" borderId="32" applyAlignment="1" applyProtection="1" pivotButton="0" quotePrefix="0" xfId="0">
      <alignment horizontal="left"/>
      <protection locked="0" hidden="0"/>
    </xf>
    <xf numFmtId="14" fontId="11" fillId="2" borderId="19" applyAlignment="1" applyProtection="1" pivotButton="0" quotePrefix="0" xfId="0">
      <alignment horizontal="left"/>
      <protection locked="0" hidden="0"/>
    </xf>
    <xf numFmtId="0" fontId="11" fillId="37" borderId="19" applyAlignment="1" applyProtection="1" pivotButton="0" quotePrefix="0" xfId="0">
      <alignment horizontal="left"/>
      <protection locked="0" hidden="0"/>
    </xf>
    <xf numFmtId="0" fontId="11" fillId="5" borderId="19" applyAlignment="1" applyProtection="1" pivotButton="0" quotePrefix="0" xfId="0">
      <alignment horizontal="left"/>
      <protection locked="0" hidden="0"/>
    </xf>
    <xf numFmtId="0" fontId="11" fillId="2" borderId="15" applyAlignment="1" applyProtection="1" pivotButton="0" quotePrefix="0" xfId="0">
      <alignment horizontal="left"/>
      <protection locked="0" hidden="0"/>
    </xf>
    <xf numFmtId="0" fontId="0" fillId="37" borderId="15" applyAlignment="1" applyProtection="1" pivotButton="0" quotePrefix="0" xfId="0">
      <alignment horizontal="left"/>
      <protection locked="0" hidden="0"/>
    </xf>
    <xf numFmtId="0" fontId="0" fillId="5" borderId="15" applyAlignment="1" applyProtection="1" pivotButton="0" quotePrefix="0" xfId="0">
      <alignment horizontal="left"/>
      <protection locked="0" hidden="0"/>
    </xf>
    <xf numFmtId="0" fontId="17" fillId="2" borderId="15" applyAlignment="1" applyProtection="1" pivotButton="0" quotePrefix="0" xfId="0">
      <alignment horizontal="center"/>
      <protection locked="0" hidden="0"/>
    </xf>
    <xf numFmtId="0" fontId="17" fillId="37" borderId="15" applyAlignment="1" applyProtection="1" pivotButton="0" quotePrefix="0" xfId="0">
      <alignment horizontal="center"/>
      <protection locked="0" hidden="0"/>
    </xf>
    <xf numFmtId="0" fontId="17" fillId="5" borderId="15" applyAlignment="1" applyProtection="1" pivotButton="0" quotePrefix="0" xfId="0">
      <alignment horizontal="center"/>
      <protection locked="0" hidden="0"/>
    </xf>
    <xf numFmtId="164" fontId="14" fillId="2" borderId="15" applyAlignment="1" applyProtection="1" pivotButton="0" quotePrefix="0" xfId="0">
      <alignment horizontal="center"/>
      <protection locked="0" hidden="0"/>
    </xf>
    <xf numFmtId="164" fontId="0" fillId="37" borderId="15" applyAlignment="1" applyProtection="1" pivotButton="0" quotePrefix="0" xfId="0">
      <alignment horizontal="left"/>
      <protection locked="0" hidden="0"/>
    </xf>
    <xf numFmtId="164" fontId="17" fillId="37" borderId="15" applyAlignment="1" applyProtection="1" pivotButton="0" quotePrefix="0" xfId="0">
      <alignment horizontal="center"/>
      <protection locked="0" hidden="0"/>
    </xf>
    <xf numFmtId="164" fontId="0" fillId="5" borderId="15" applyAlignment="1" applyProtection="1" pivotButton="0" quotePrefix="0" xfId="0">
      <alignment horizontal="left"/>
      <protection locked="0" hidden="0"/>
    </xf>
    <xf numFmtId="164" fontId="17" fillId="5" borderId="15" applyAlignment="1" applyProtection="1" pivotButton="0" quotePrefix="0" xfId="0">
      <alignment horizont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5" applyAlignment="1" applyProtection="1" pivotButton="0" quotePrefix="0" xfId="0">
      <alignment horizontal="left"/>
      <protection locked="0" hidden="0"/>
    </xf>
    <xf numFmtId="0" fontId="64" fillId="0" borderId="0" applyProtection="1" pivotButton="0" quotePrefix="0" xfId="0">
      <protection locked="0" hidden="0"/>
    </xf>
    <xf numFmtId="0" fontId="10" fillId="0" borderId="33" applyAlignment="1" applyProtection="1" pivotButton="0" quotePrefix="0" xfId="0">
      <alignment horizontal="center"/>
      <protection locked="0" hidden="0"/>
    </xf>
    <xf numFmtId="0" fontId="34" fillId="0" borderId="26" applyProtection="1" pivotButton="0" quotePrefix="0" xfId="0">
      <protection locked="0" hidden="0"/>
    </xf>
    <xf numFmtId="164" fontId="20" fillId="0" borderId="15" applyAlignment="1" applyProtection="1" pivotButton="0" quotePrefix="0" xfId="0">
      <alignment horizontal="center"/>
      <protection locked="0" hidden="0"/>
    </xf>
    <xf numFmtId="165" fontId="11" fillId="2" borderId="15" applyProtection="1" pivotButton="0" quotePrefix="0" xfId="1184">
      <protection locked="0" hidden="0"/>
    </xf>
    <xf numFmtId="0" fontId="11" fillId="2" borderId="15" applyProtection="1" pivotButton="0" quotePrefix="0" xfId="0">
      <protection locked="0" hidden="0"/>
    </xf>
    <xf numFmtId="0" fontId="11" fillId="23" borderId="0" applyAlignment="1" applyProtection="1" pivotButton="0" quotePrefix="0" xfId="0">
      <alignment horizontal="right"/>
      <protection locked="0" hidden="0"/>
    </xf>
    <xf numFmtId="165" fontId="11" fillId="37" borderId="15" applyProtection="1" pivotButton="0" quotePrefix="0" xfId="1184">
      <protection locked="0" hidden="0"/>
    </xf>
    <xf numFmtId="0" fontId="11" fillId="37" borderId="15" applyProtection="1" pivotButton="0" quotePrefix="0" xfId="0">
      <protection locked="0" hidden="0"/>
    </xf>
    <xf numFmtId="165" fontId="11" fillId="5" borderId="15" applyProtection="1" pivotButton="0" quotePrefix="0" xfId="1184">
      <protection locked="0" hidden="0"/>
    </xf>
    <xf numFmtId="0" fontId="11" fillId="5" borderId="15" applyProtection="1" pivotButton="0" quotePrefix="0" xfId="0">
      <protection locked="0" hidden="0"/>
    </xf>
    <xf numFmtId="165" fontId="0" fillId="0" borderId="0" applyProtection="1" pivotButton="0" quotePrefix="0" xfId="1184">
      <protection locked="0" hidden="0"/>
    </xf>
    <xf numFmtId="168" fontId="0" fillId="10" borderId="0" applyProtection="1" pivotButton="0" quotePrefix="0" xfId="1183">
      <protection locked="0" hidden="0"/>
    </xf>
    <xf numFmtId="9" fontId="0" fillId="10" borderId="0" applyProtection="1" pivotButton="0" quotePrefix="0" xfId="1079">
      <protection locked="0" hidden="0"/>
    </xf>
    <xf numFmtId="171" fontId="0" fillId="4" borderId="0" applyProtection="1" pivotButton="0" quotePrefix="0" xfId="1079">
      <protection locked="0" hidden="0"/>
    </xf>
    <xf numFmtId="166" fontId="0" fillId="0" borderId="0" applyAlignment="1" applyProtection="1" pivotButton="0" quotePrefix="0" xfId="1184">
      <alignment horizontal="left"/>
      <protection locked="0" hidden="0"/>
    </xf>
    <xf numFmtId="165" fontId="19" fillId="0" borderId="0" applyProtection="1" pivotButton="0" quotePrefix="0" xfId="1184">
      <protection locked="0" hidden="0"/>
    </xf>
    <xf numFmtId="0" fontId="0" fillId="28" borderId="14" applyProtection="1" pivotButton="0" quotePrefix="0" xfId="0">
      <protection locked="0" hidden="0"/>
    </xf>
    <xf numFmtId="170" fontId="11" fillId="0" borderId="0" applyAlignment="1" applyProtection="1" pivotButton="0" quotePrefix="0" xfId="1184">
      <alignment horizontal="center"/>
      <protection locked="0" hidden="0"/>
    </xf>
    <xf numFmtId="0" fontId="63" fillId="0" borderId="0" applyAlignment="1" applyProtection="1" pivotButton="0" quotePrefix="0" xfId="0">
      <alignment horizontal="center"/>
      <protection locked="0" hidden="0"/>
    </xf>
    <xf numFmtId="165" fontId="11" fillId="0" borderId="17" applyAlignment="1" applyProtection="1" pivotButton="0" quotePrefix="0" xfId="1184">
      <alignment horizontal="center"/>
      <protection locked="0" hidden="0"/>
    </xf>
    <xf numFmtId="0" fontId="63" fillId="30" borderId="0" applyProtection="1" pivotButton="0" quotePrefix="0" xfId="0">
      <protection locked="0" hidden="0"/>
    </xf>
    <xf numFmtId="167" fontId="32" fillId="30" borderId="0" applyProtection="1" pivotButton="0" quotePrefix="0" xfId="1183">
      <protection locked="0" hidden="0"/>
    </xf>
    <xf numFmtId="0" fontId="32" fillId="30" borderId="0" applyProtection="1" pivotButton="0" quotePrefix="0" xfId="0">
      <protection locked="0" hidden="0"/>
    </xf>
    <xf numFmtId="164" fontId="32" fillId="30" borderId="0" applyProtection="1" pivotButton="0" quotePrefix="0" xfId="0">
      <protection locked="0" hidden="0"/>
    </xf>
    <xf numFmtId="0" fontId="63" fillId="39" borderId="0" applyProtection="1" pivotButton="0" quotePrefix="0" xfId="0">
      <protection locked="0" hidden="0"/>
    </xf>
    <xf numFmtId="167" fontId="32" fillId="39" borderId="0" applyProtection="1" pivotButton="0" quotePrefix="0" xfId="1183">
      <protection locked="0" hidden="0"/>
    </xf>
    <xf numFmtId="0" fontId="32" fillId="39" borderId="0" applyProtection="1" pivotButton="0" quotePrefix="0" xfId="0">
      <protection locked="0" hidden="0"/>
    </xf>
    <xf numFmtId="164" fontId="32" fillId="39" borderId="0" applyProtection="1" pivotButton="0" quotePrefix="0" xfId="0">
      <protection locked="0" hidden="0"/>
    </xf>
    <xf numFmtId="0" fontId="63" fillId="23" borderId="0" applyProtection="1" pivotButton="0" quotePrefix="0" xfId="0">
      <protection locked="0" hidden="0"/>
    </xf>
    <xf numFmtId="0" fontId="32" fillId="23" borderId="0" applyProtection="1" pivotButton="0" quotePrefix="0" xfId="0">
      <protection locked="0" hidden="0"/>
    </xf>
    <xf numFmtId="164" fontId="32" fillId="23" borderId="0" applyProtection="1" pivotButton="0" quotePrefix="0" xfId="0">
      <protection locked="0" hidden="0"/>
    </xf>
    <xf numFmtId="0" fontId="14" fillId="10" borderId="21" applyAlignment="1" applyProtection="1" pivotButton="0" quotePrefix="0" xfId="0">
      <alignment horizontal="center"/>
      <protection locked="0" hidden="0"/>
    </xf>
    <xf numFmtId="9" fontId="11" fillId="0" borderId="0" applyAlignment="1" applyProtection="1" pivotButton="0" quotePrefix="0" xfId="1079">
      <alignment horizontal="right"/>
      <protection locked="0" hidden="0"/>
    </xf>
    <xf numFmtId="165" fontId="14" fillId="0" borderId="2" applyProtection="1" pivotButton="0" quotePrefix="0" xfId="1184">
      <protection locked="0" hidden="0"/>
    </xf>
    <xf numFmtId="0" fontId="12" fillId="0" borderId="2" applyAlignment="1" applyProtection="1" pivotButton="0" quotePrefix="0" xfId="0">
      <alignment horizontal="left"/>
      <protection locked="0" hidden="0"/>
    </xf>
    <xf numFmtId="9" fontId="14" fillId="0" borderId="0" applyProtection="1" pivotButton="0" quotePrefix="0" xfId="1079">
      <protection locked="0" hidden="0"/>
    </xf>
    <xf numFmtId="0" fontId="14" fillId="5" borderId="2" applyProtection="1" pivotButton="0" quotePrefix="0" xfId="0">
      <protection locked="0" hidden="0"/>
    </xf>
    <xf numFmtId="0" fontId="14" fillId="5" borderId="1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77" fontId="11" fillId="16" borderId="0" applyProtection="1" pivotButton="0" quotePrefix="0" xfId="0">
      <protection locked="0" hidden="0"/>
    </xf>
    <xf numFmtId="177" fontId="38" fillId="33" borderId="15" applyAlignment="1" applyProtection="1" pivotButton="0" quotePrefix="0" xfId="0">
      <alignment horizontal="left"/>
      <protection locked="0" hidden="0"/>
    </xf>
    <xf numFmtId="1" fontId="11" fillId="33" borderId="15" applyAlignment="1" applyProtection="1" pivotButton="0" quotePrefix="0" xfId="0">
      <alignment horizontal="center"/>
      <protection locked="0" hidden="0"/>
    </xf>
    <xf numFmtId="2" fontId="0" fillId="0" borderId="0" applyProtection="1" pivotButton="0" quotePrefix="0" xfId="0">
      <protection locked="0" hidden="0"/>
    </xf>
    <xf numFmtId="167" fontId="0" fillId="0" borderId="0" applyProtection="1" pivotButton="0" quotePrefix="0" xfId="1183">
      <protection locked="0" hidden="0"/>
    </xf>
    <xf numFmtId="164" fontId="0" fillId="0" borderId="0" applyProtection="1" pivotButton="0" quotePrefix="0" xfId="1183">
      <protection locked="0" hidden="0"/>
    </xf>
    <xf numFmtId="0" fontId="14" fillId="5" borderId="21" applyProtection="1" pivotButton="0" quotePrefix="0" xfId="0">
      <protection locked="0" hidden="0"/>
    </xf>
    <xf numFmtId="178" fontId="11" fillId="0" borderId="7" applyProtection="1" pivotButton="0" quotePrefix="0" xfId="0">
      <protection locked="0" hidden="0"/>
    </xf>
    <xf numFmtId="177" fontId="15" fillId="0" borderId="7" applyProtection="1" pivotButton="0" quotePrefix="0" xfId="0">
      <protection locked="0" hidden="0"/>
    </xf>
    <xf numFmtId="177" fontId="11" fillId="16" borderId="7" applyProtection="1" pivotButton="0" quotePrefix="0" xfId="0">
      <protection locked="0" hidden="0"/>
    </xf>
    <xf numFmtId="42" fontId="0" fillId="0" borderId="7" applyProtection="1" pivotButton="0" quotePrefix="0" xfId="0">
      <protection locked="0" hidden="0"/>
    </xf>
    <xf numFmtId="167" fontId="17" fillId="2" borderId="3" applyProtection="1" pivotButton="0" quotePrefix="0" xfId="1183">
      <protection locked="0" hidden="0"/>
    </xf>
    <xf numFmtId="3" fontId="14" fillId="0" borderId="0" applyAlignment="1" applyProtection="1" pivotButton="0" quotePrefix="0" xfId="0">
      <alignment horizontal="left"/>
      <protection locked="0" hidden="0"/>
    </xf>
    <xf numFmtId="9" fontId="11" fillId="2" borderId="10" applyProtection="1" pivotButton="0" quotePrefix="0" xfId="1079">
      <protection locked="0" hidden="0"/>
    </xf>
    <xf numFmtId="167" fontId="17" fillId="2" borderId="11" applyProtection="1" pivotButton="0" quotePrefix="0" xfId="1183">
      <protection locked="0" hidden="0"/>
    </xf>
    <xf numFmtId="0" fontId="25" fillId="0" borderId="0" applyAlignment="1" applyProtection="1" pivotButton="0" quotePrefix="0" xfId="0">
      <alignment horizontal="center"/>
      <protection locked="0" hidden="0"/>
    </xf>
    <xf numFmtId="0" fontId="10" fillId="16" borderId="2" applyProtection="1" pivotButton="0" quotePrefix="0" xfId="0">
      <protection locked="0" hidden="0"/>
    </xf>
    <xf numFmtId="0" fontId="14" fillId="26" borderId="15" applyProtection="1" pivotButton="0" quotePrefix="0" xfId="0">
      <protection locked="0" hidden="0"/>
    </xf>
    <xf numFmtId="167" fontId="11" fillId="0" borderId="9" applyProtection="1" pivotButton="0" quotePrefix="0" xfId="1183">
      <protection locked="0" hidden="0"/>
    </xf>
    <xf numFmtId="165" fontId="14" fillId="0" borderId="0" applyProtection="1" pivotButton="0" quotePrefix="0" xfId="1184">
      <protection locked="0" hidden="0"/>
    </xf>
    <xf numFmtId="9" fontId="0" fillId="0" borderId="0" applyProtection="1" pivotButton="0" quotePrefix="0" xfId="1079">
      <protection locked="0" hidden="0"/>
    </xf>
    <xf numFmtId="165" fontId="11" fillId="0" borderId="0" applyProtection="1" pivotButton="0" quotePrefix="0" xfId="1184">
      <protection locked="0" hidden="0"/>
    </xf>
    <xf numFmtId="164" fontId="11" fillId="0" borderId="0" applyProtection="1" pivotButton="0" quotePrefix="0" xfId="1183">
      <protection locked="0" hidden="0"/>
    </xf>
    <xf numFmtId="165" fontId="0" fillId="0" borderId="0" applyProtection="1" pivotButton="0" quotePrefix="0" xfId="1184">
      <protection locked="0" hidden="0"/>
    </xf>
    <xf numFmtId="164" fontId="0" fillId="0" borderId="0" applyProtection="1" pivotButton="0" quotePrefix="0" xfId="1183">
      <protection locked="0" hidden="0"/>
    </xf>
    <xf numFmtId="168" fontId="0" fillId="0" borderId="0" applyProtection="1" pivotButton="0" quotePrefix="0" xfId="1183">
      <protection locked="0" hidden="0"/>
    </xf>
    <xf numFmtId="171" fontId="0" fillId="0" borderId="0" applyProtection="1" pivotButton="0" quotePrefix="0" xfId="1079">
      <protection locked="0" hidden="0"/>
    </xf>
    <xf numFmtId="0" fontId="19" fillId="32" borderId="10" applyAlignment="1" applyProtection="1" pivotButton="0" quotePrefix="0" xfId="0">
      <alignment horizontal="right"/>
      <protection locked="0" hidden="0"/>
    </xf>
    <xf numFmtId="9" fontId="19" fillId="41" borderId="10" applyAlignment="1" applyProtection="1" pivotButton="0" quotePrefix="0" xfId="0">
      <alignment horizontal="center"/>
      <protection locked="0" hidden="0"/>
    </xf>
    <xf numFmtId="0" fontId="42" fillId="41" borderId="0" applyProtection="1" pivotButton="0" quotePrefix="1" xfId="0">
      <protection locked="0" hidden="0"/>
    </xf>
    <xf numFmtId="0" fontId="0" fillId="41" borderId="0" applyProtection="1" pivotButton="0" quotePrefix="0" xfId="0">
      <protection locked="0" hidden="0"/>
    </xf>
    <xf numFmtId="0" fontId="14" fillId="41" borderId="0" applyAlignment="1" applyProtection="1" pivotButton="0" quotePrefix="0" xfId="0">
      <alignment horizontal="center"/>
      <protection locked="0" hidden="0"/>
    </xf>
    <xf numFmtId="165" fontId="11" fillId="16" borderId="0" applyAlignment="1" applyProtection="1" pivotButton="0" quotePrefix="0" xfId="1184">
      <alignment horizontal="center"/>
      <protection locked="0" hidden="0"/>
    </xf>
    <xf numFmtId="165" fontId="10" fillId="16" borderId="0" applyAlignment="1" applyProtection="1" pivotButton="0" quotePrefix="0" xfId="1184">
      <alignment horizontal="center"/>
      <protection locked="0" hidden="0"/>
    </xf>
    <xf numFmtId="164" fontId="11" fillId="16" borderId="5" applyAlignment="1" applyProtection="1" pivotButton="0" quotePrefix="0" xfId="0">
      <alignment horizontal="center"/>
      <protection locked="0" hidden="0"/>
    </xf>
    <xf numFmtId="0" fontId="0" fillId="16" borderId="0" applyProtection="1" pivotButton="0" quotePrefix="0" xfId="0">
      <protection locked="0" hidden="0"/>
    </xf>
    <xf numFmtId="0" fontId="0" fillId="16" borderId="5" applyProtection="1" pivotButton="0" quotePrefix="0" xfId="0">
      <protection locked="0" hidden="0"/>
    </xf>
    <xf numFmtId="0" fontId="25" fillId="23" borderId="0" applyProtection="1" pivotButton="0" quotePrefix="0" xfId="0">
      <protection locked="0" hidden="0"/>
    </xf>
    <xf numFmtId="167" fontId="17" fillId="23" borderId="0" applyProtection="1" pivotButton="0" quotePrefix="0" xfId="286">
      <protection locked="0" hidden="0"/>
    </xf>
    <xf numFmtId="0" fontId="17" fillId="23" borderId="0" applyProtection="1" pivotButton="0" quotePrefix="0" xfId="0">
      <protection locked="0" hidden="0"/>
    </xf>
    <xf numFmtId="167" fontId="34" fillId="0" borderId="0" applyAlignment="1" applyProtection="1" pivotButton="0" quotePrefix="0" xfId="286">
      <alignment horizontal="left"/>
      <protection locked="0" hidden="0"/>
    </xf>
    <xf numFmtId="0" fontId="34" fillId="0" borderId="0" applyAlignment="1" applyProtection="1" pivotButton="0" quotePrefix="0" xfId="0">
      <alignment horizontal="left"/>
      <protection locked="0" hidden="0"/>
    </xf>
    <xf numFmtId="0" fontId="11" fillId="23" borderId="21" applyAlignment="1" pivotButton="0" quotePrefix="0" xfId="0">
      <alignment horizontal="center" vertical="center"/>
    </xf>
    <xf numFmtId="0" fontId="11" fillId="29" borderId="21" applyAlignment="1" pivotButton="0" quotePrefix="0" xfId="0">
      <alignment horizontal="center" vertical="center"/>
    </xf>
    <xf numFmtId="164" fontId="14" fillId="29" borderId="15" applyAlignment="1" pivotButton="0" quotePrefix="0" xfId="0">
      <alignment horizontal="center" vertical="center"/>
    </xf>
    <xf numFmtId="164" fontId="14" fillId="23" borderId="15" applyAlignment="1" pivotButton="0" quotePrefix="0" xfId="0">
      <alignment horizontal="center" vertical="center"/>
    </xf>
    <xf numFmtId="0" fontId="14" fillId="4" borderId="34" applyAlignment="1" pivotButton="0" quotePrefix="0" xfId="0">
      <alignment horizontal="center" vertical="center"/>
    </xf>
    <xf numFmtId="165" fontId="14" fillId="4" borderId="35" pivotButton="0" quotePrefix="0" xfId="852"/>
    <xf numFmtId="0" fontId="14" fillId="4" borderId="36" applyAlignment="1" pivotButton="0" quotePrefix="0" xfId="0">
      <alignment horizontal="right"/>
    </xf>
    <xf numFmtId="164" fontId="14" fillId="4" borderId="32" pivotButton="0" quotePrefix="0" xfId="0"/>
    <xf numFmtId="0" fontId="15" fillId="4" borderId="12" applyAlignment="1" pivotButton="0" quotePrefix="0" xfId="0">
      <alignment horizontal="right"/>
    </xf>
    <xf numFmtId="177" fontId="15" fillId="4" borderId="14" applyAlignment="1" pivotButton="0" quotePrefix="0" xfId="1183">
      <alignment horizontal="left"/>
    </xf>
    <xf numFmtId="1" fontId="11" fillId="0" borderId="0" applyProtection="1" pivotButton="0" quotePrefix="0" xfId="0">
      <protection locked="0" hidden="0"/>
    </xf>
    <xf numFmtId="1" fontId="11" fillId="0" borderId="4" applyAlignment="1" applyProtection="1" pivotButton="0" quotePrefix="0" xfId="0">
      <alignment horizontal="right"/>
      <protection locked="0" hidden="0"/>
    </xf>
    <xf numFmtId="1" fontId="11" fillId="0" borderId="6" applyAlignment="1" applyProtection="1" pivotButton="0" quotePrefix="0" xfId="0">
      <alignment horizontal="right"/>
      <protection locked="0" hidden="0"/>
    </xf>
    <xf numFmtId="1" fontId="11" fillId="4" borderId="7" applyProtection="1" pivotButton="0" quotePrefix="0" xfId="0">
      <protection locked="0" hidden="0"/>
    </xf>
    <xf numFmtId="1" fontId="11" fillId="4" borderId="0" pivotButton="0" quotePrefix="0" xfId="0"/>
    <xf numFmtId="178" fontId="11" fillId="0" borderId="6" applyAlignment="1" pivotButton="0" quotePrefix="0" xfId="0">
      <alignment horizontal="right"/>
    </xf>
    <xf numFmtId="178" fontId="11" fillId="0" borderId="4" applyAlignment="1" pivotButton="0" quotePrefix="0" xfId="0">
      <alignment horizontal="right"/>
    </xf>
    <xf numFmtId="1" fontId="11" fillId="0" borderId="4" applyAlignment="1" pivotButton="0" quotePrefix="0" xfId="0">
      <alignment horizontal="right"/>
    </xf>
    <xf numFmtId="0" fontId="34" fillId="0" borderId="9" applyAlignment="1" applyProtection="1" pivotButton="0" quotePrefix="0" xfId="0">
      <alignment horizontal="right"/>
      <protection locked="0" hidden="0"/>
    </xf>
    <xf numFmtId="165" fontId="19" fillId="0" borderId="10" applyProtection="1" pivotButton="0" quotePrefix="0" xfId="285">
      <protection locked="0" hidden="0"/>
    </xf>
    <xf numFmtId="165" fontId="34" fillId="0" borderId="10" applyProtection="1" pivotButton="0" quotePrefix="0" xfId="285">
      <protection locked="0" hidden="0"/>
    </xf>
    <xf numFmtId="0" fontId="34" fillId="0" borderId="11" applyProtection="1" pivotButton="0" quotePrefix="0" xfId="0">
      <protection locked="0" hidden="0"/>
    </xf>
    <xf numFmtId="0" fontId="42" fillId="0" borderId="9" applyAlignment="1" applyProtection="1" pivotButton="0" quotePrefix="0" xfId="0">
      <alignment horizontal="right"/>
      <protection locked="0" hidden="0"/>
    </xf>
    <xf numFmtId="165" fontId="42" fillId="0" borderId="10" applyProtection="1" pivotButton="0" quotePrefix="0" xfId="0">
      <protection locked="0" hidden="0"/>
    </xf>
    <xf numFmtId="0" fontId="42" fillId="0" borderId="1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0" fontId="17" fillId="0" borderId="2" applyAlignment="1" applyProtection="1" pivotButton="0" quotePrefix="0" xfId="1079">
      <alignment horizontal="center"/>
      <protection locked="0" hidden="0"/>
    </xf>
    <xf numFmtId="0" fontId="73" fillId="0" borderId="3" applyProtection="1" pivotButton="0" quotePrefix="0" xfId="0">
      <protection locked="0" hidden="0"/>
    </xf>
    <xf numFmtId="167" fontId="0" fillId="0" borderId="4" applyProtection="1" pivotButton="0" quotePrefix="0" xfId="0">
      <protection locked="0" hidden="0"/>
    </xf>
    <xf numFmtId="10" fontId="17" fillId="0" borderId="0" applyAlignment="1" applyProtection="1" pivotButton="0" quotePrefix="0" xfId="1079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164" fontId="0" fillId="0" borderId="6" applyProtection="1" pivotButton="0" quotePrefix="0" xfId="0">
      <protection locked="0" hidden="0"/>
    </xf>
    <xf numFmtId="10" fontId="17" fillId="0" borderId="7" applyAlignment="1" applyProtection="1" pivotButton="0" quotePrefix="0" xfId="1079">
      <alignment horizontal="center"/>
      <protection locked="0" hidden="0"/>
    </xf>
    <xf numFmtId="0" fontId="0" fillId="0" borderId="8" applyProtection="1" pivotButton="0" quotePrefix="0" xfId="0">
      <protection locked="0" hidden="0"/>
    </xf>
    <xf numFmtId="10" fontId="3" fillId="0" borderId="7" applyAlignment="1" applyProtection="1" pivotButton="0" quotePrefix="0" xfId="1079">
      <alignment horizontal="center"/>
      <protection locked="0" hidden="0"/>
    </xf>
    <xf numFmtId="167" fontId="2" fillId="23" borderId="0" applyProtection="1" pivotButton="0" quotePrefix="0" xfId="1183">
      <protection locked="0" hidden="0"/>
    </xf>
    <xf numFmtId="165" fontId="11" fillId="40" borderId="0" applyProtection="1" pivotButton="0" quotePrefix="0" xfId="0">
      <protection locked="0" hidden="0"/>
    </xf>
    <xf numFmtId="0" fontId="17" fillId="40" borderId="15" applyAlignment="1" applyProtection="1" pivotButton="0" quotePrefix="0" xfId="0">
      <alignment horizontal="center"/>
      <protection locked="0" hidden="0"/>
    </xf>
    <xf numFmtId="0" fontId="20" fillId="34" borderId="0" applyProtection="1" pivotButton="0" quotePrefix="0" xfId="0">
      <protection locked="0" hidden="0"/>
    </xf>
    <xf numFmtId="0" fontId="34" fillId="0" borderId="23" applyProtection="1" pivotButton="0" quotePrefix="0" xfId="0">
      <protection locked="0" hidden="0"/>
    </xf>
    <xf numFmtId="0" fontId="36" fillId="0" borderId="0" applyProtection="1" pivotButton="0" quotePrefix="0" xfId="0">
      <protection locked="0" hidden="0"/>
    </xf>
    <xf numFmtId="179" fontId="0" fillId="0" borderId="0" applyProtection="1" pivotButton="0" quotePrefix="0" xfId="0">
      <protection locked="0" hidden="0"/>
    </xf>
    <xf numFmtId="179" fontId="34" fillId="0" borderId="0" applyProtection="1" pivotButton="0" quotePrefix="0" xfId="0">
      <protection locked="0" hidden="0"/>
    </xf>
    <xf numFmtId="179" fontId="0" fillId="0" borderId="7" applyProtection="1" pivotButton="0" quotePrefix="0" xfId="0">
      <protection locked="0" hidden="0"/>
    </xf>
    <xf numFmtId="179" fontId="17" fillId="40" borderId="7" applyProtection="1" pivotButton="0" quotePrefix="0" xfId="0">
      <protection locked="0" hidden="0"/>
    </xf>
    <xf numFmtId="2" fontId="17" fillId="41" borderId="0" applyProtection="1" pivotButton="0" quotePrefix="0" xfId="0">
      <protection locked="0" hidden="0"/>
    </xf>
    <xf numFmtId="0" fontId="17" fillId="41" borderId="0" applyAlignment="1" applyProtection="1" pivotButton="0" quotePrefix="0" xfId="0">
      <alignment horizontal="right"/>
      <protection locked="0" hidden="0"/>
    </xf>
    <xf numFmtId="0" fontId="17" fillId="40" borderId="0" applyAlignment="1" applyProtection="1" pivotButton="0" quotePrefix="0" xfId="0">
      <alignment horizontal="right"/>
      <protection locked="0" hidden="0"/>
    </xf>
    <xf numFmtId="2" fontId="17" fillId="28" borderId="0" applyProtection="1" pivotButton="0" quotePrefix="0" xfId="0">
      <protection locked="0" hidden="0"/>
    </xf>
    <xf numFmtId="2" fontId="17" fillId="27" borderId="0" applyProtection="1" pivotButton="0" quotePrefix="0" xfId="0">
      <protection locked="0" hidden="0"/>
    </xf>
    <xf numFmtId="0" fontId="34" fillId="0" borderId="7" applyAlignment="1" pivotButton="0" quotePrefix="0" xfId="0">
      <alignment horizontal="right"/>
    </xf>
    <xf numFmtId="167" fontId="34" fillId="0" borderId="7" pivotButton="0" quotePrefix="0" xfId="286"/>
    <xf numFmtId="167" fontId="34" fillId="0" borderId="0" pivotButton="0" quotePrefix="0" xfId="0"/>
    <xf numFmtId="180" fontId="34" fillId="0" borderId="0" pivotButton="0" quotePrefix="0" xfId="286"/>
    <xf numFmtId="174" fontId="75" fillId="0" borderId="0" pivotButton="0" quotePrefix="0" xfId="0"/>
    <xf numFmtId="0" fontId="75" fillId="0" borderId="0" pivotButton="0" quotePrefix="0" xfId="0"/>
    <xf numFmtId="0" fontId="0" fillId="0" borderId="7" applyAlignment="1" applyProtection="1" pivotButton="0" quotePrefix="0" xfId="0">
      <alignment horizontal="right"/>
      <protection locked="0" hidden="0"/>
    </xf>
    <xf numFmtId="0" fontId="17" fillId="2" borderId="3" applyAlignment="1" applyProtection="1" pivotButton="0" quotePrefix="0" xfId="0">
      <alignment horizontal="right"/>
      <protection locked="0" hidden="0"/>
    </xf>
    <xf numFmtId="2" fontId="17" fillId="2" borderId="11" applyProtection="1" pivotButton="0" quotePrefix="0" xfId="0">
      <protection locked="0" hidden="0"/>
    </xf>
    <xf numFmtId="0" fontId="17" fillId="23" borderId="21" applyAlignment="1" applyProtection="1" pivotButton="0" quotePrefix="0" xfId="0">
      <alignment horizontal="right"/>
      <protection locked="0" hidden="0"/>
    </xf>
    <xf numFmtId="0" fontId="17" fillId="23" borderId="15" applyProtection="1" pivotButton="0" quotePrefix="0" xfId="0">
      <protection locked="0" hidden="0"/>
    </xf>
    <xf numFmtId="0" fontId="34" fillId="2" borderId="15" applyProtection="1" pivotButton="0" quotePrefix="0" xfId="0">
      <protection locked="0" hidden="0"/>
    </xf>
    <xf numFmtId="0" fontId="34" fillId="0" borderId="7" applyAlignment="1" applyProtection="1" pivotButton="0" quotePrefix="0" xfId="0">
      <alignment horizontal="right"/>
      <protection locked="0" hidden="0"/>
    </xf>
    <xf numFmtId="177" fontId="34" fillId="0" borderId="6" applyProtection="1" pivotButton="0" quotePrefix="0" xfId="0">
      <protection locked="0" hidden="0"/>
    </xf>
    <xf numFmtId="177" fontId="34" fillId="0" borderId="8" applyProtection="1" pivotButton="0" quotePrefix="0" xfId="0">
      <protection locked="0" hidden="0"/>
    </xf>
    <xf numFmtId="0" fontId="34" fillId="0" borderId="11" applyAlignment="1" applyProtection="1" pivotButton="0" quotePrefix="0" xfId="0">
      <alignment horizontal="right"/>
      <protection locked="0" hidden="0"/>
    </xf>
    <xf numFmtId="164" fontId="34" fillId="0" borderId="0" applyProtection="1" pivotButton="0" quotePrefix="0" xfId="0">
      <protection locked="0" hidden="0"/>
    </xf>
    <xf numFmtId="0" fontId="36" fillId="0" borderId="0" applyAlignment="1" applyProtection="1" pivotButton="0" quotePrefix="0" xfId="0">
      <alignment horizontal="right"/>
      <protection locked="0" hidden="0"/>
    </xf>
    <xf numFmtId="0" fontId="34" fillId="0" borderId="0" applyAlignment="1" applyProtection="1" pivotButton="0" quotePrefix="0" xfId="1184">
      <alignment horizontal="right"/>
      <protection locked="0" hidden="0"/>
    </xf>
    <xf numFmtId="0" fontId="34" fillId="0" borderId="6" applyProtection="1" pivotButton="0" quotePrefix="0" xfId="0">
      <protection locked="0" hidden="0"/>
    </xf>
    <xf numFmtId="0" fontId="14" fillId="0" borderId="5" applyAlignment="1" applyProtection="1" pivotButton="0" quotePrefix="0" xfId="0">
      <alignment horizontal="center"/>
      <protection locked="0" hidden="0"/>
    </xf>
    <xf numFmtId="164" fontId="0" fillId="0" borderId="4" applyProtection="1" pivotButton="0" quotePrefix="0" xfId="0">
      <protection locked="0" hidden="0"/>
    </xf>
    <xf numFmtId="167" fontId="17" fillId="0" borderId="5" applyProtection="1" pivotButton="0" quotePrefix="0" xfId="0">
      <protection locked="0" hidden="0"/>
    </xf>
    <xf numFmtId="164" fontId="11" fillId="0" borderId="0" applyProtection="1" pivotButton="0" quotePrefix="0" xfId="1183">
      <protection locked="0" hidden="0"/>
    </xf>
    <xf numFmtId="43" fontId="0" fillId="2" borderId="15" applyAlignment="1" applyProtection="1" pivotButton="0" quotePrefix="0" xfId="0">
      <alignment horizontal="right"/>
      <protection locked="0" hidden="0"/>
    </xf>
    <xf numFmtId="43" fontId="0" fillId="37" borderId="15" applyAlignment="1" applyProtection="1" pivotButton="0" quotePrefix="0" xfId="0">
      <alignment horizontal="right"/>
      <protection locked="0" hidden="0"/>
    </xf>
    <xf numFmtId="43" fontId="0" fillId="5" borderId="15" applyAlignment="1" applyProtection="1" pivotButton="0" quotePrefix="0" xfId="0">
      <alignment horizontal="right"/>
      <protection locked="0" hidden="0"/>
    </xf>
    <xf numFmtId="0" fontId="25" fillId="37" borderId="0" applyAlignment="1" applyProtection="1" pivotButton="0" quotePrefix="0" xfId="0">
      <alignment horizontal="center"/>
      <protection locked="0" hidden="0"/>
    </xf>
    <xf numFmtId="0" fontId="25" fillId="5" borderId="0" applyAlignment="1" applyProtection="1" pivotButton="0" quotePrefix="0" xfId="0">
      <alignment horizontal="center"/>
      <protection locked="0" hidden="0"/>
    </xf>
    <xf numFmtId="165" fontId="11" fillId="5" borderId="0" applyAlignment="1" applyProtection="1" pivotButton="0" quotePrefix="0" xfId="1184">
      <alignment horizontal="center"/>
      <protection locked="0" hidden="0"/>
    </xf>
    <xf numFmtId="165" fontId="11" fillId="37" borderId="0" applyAlignment="1" applyProtection="1" pivotButton="0" quotePrefix="0" xfId="1184">
      <alignment horizontal="center"/>
      <protection locked="0" hidden="0"/>
    </xf>
    <xf numFmtId="165" fontId="11" fillId="2" borderId="0" applyAlignment="1" applyProtection="1" pivotButton="0" quotePrefix="0" xfId="1184">
      <alignment horizontal="center"/>
      <protection locked="0" hidden="0"/>
    </xf>
    <xf numFmtId="164" fontId="15" fillId="2" borderId="0" applyProtection="1" pivotButton="0" quotePrefix="0" xfId="0">
      <protection locked="0" hidden="0"/>
    </xf>
    <xf numFmtId="164" fontId="11" fillId="37" borderId="0" applyProtection="1" pivotButton="0" quotePrefix="0" xfId="0">
      <protection locked="0" hidden="0"/>
    </xf>
    <xf numFmtId="164" fontId="11" fillId="5" borderId="0" applyProtection="1" pivotButton="0" quotePrefix="0" xfId="0">
      <protection locked="0" hidden="0"/>
    </xf>
    <xf numFmtId="2" fontId="17" fillId="4" borderId="15" applyAlignment="1" applyProtection="1" pivotButton="0" quotePrefix="0" xfId="0">
      <alignment horizontal="center"/>
      <protection locked="0" hidden="0"/>
    </xf>
    <xf numFmtId="166" fontId="3" fillId="2" borderId="15" applyProtection="1" pivotButton="0" quotePrefix="0" xfId="1184">
      <protection locked="0" hidden="0"/>
    </xf>
    <xf numFmtId="166" fontId="11" fillId="37" borderId="15" applyProtection="1" pivotButton="0" quotePrefix="0" xfId="1184">
      <protection locked="0" hidden="0"/>
    </xf>
    <xf numFmtId="166" fontId="11" fillId="5" borderId="15" applyProtection="1" pivotButton="0" quotePrefix="0" xfId="1184">
      <protection locked="0" hidden="0"/>
    </xf>
    <xf numFmtId="2" fontId="0" fillId="2" borderId="15" applyProtection="1" pivotButton="0" quotePrefix="0" xfId="0">
      <protection locked="0" hidden="0"/>
    </xf>
    <xf numFmtId="2" fontId="0" fillId="37" borderId="15" applyProtection="1" pivotButton="0" quotePrefix="0" xfId="0">
      <protection locked="0" hidden="0"/>
    </xf>
    <xf numFmtId="2" fontId="0" fillId="5" borderId="15" applyProtection="1" pivotButton="0" quotePrefix="0" xfId="0">
      <protection locked="0" hidden="0"/>
    </xf>
    <xf numFmtId="9" fontId="0" fillId="38" borderId="0" applyProtection="1" pivotButton="0" quotePrefix="0" xfId="0">
      <protection locked="0" hidden="0"/>
    </xf>
    <xf numFmtId="9" fontId="0" fillId="38" borderId="28" applyProtection="1" pivotButton="0" quotePrefix="0" xfId="0">
      <protection locked="0" hidden="0"/>
    </xf>
    <xf numFmtId="0" fontId="48" fillId="0" borderId="7" applyProtection="1" pivotButton="0" quotePrefix="0" xfId="0">
      <protection locked="0" hidden="0"/>
    </xf>
    <xf numFmtId="2" fontId="11" fillId="0" borderId="15" pivotButton="0" quotePrefix="0" xfId="0"/>
    <xf numFmtId="0" fontId="14" fillId="0" borderId="1" applyProtection="1" pivotButton="0" quotePrefix="0" xfId="0">
      <protection locked="0" hidden="0"/>
    </xf>
    <xf numFmtId="1" fontId="11" fillId="0" borderId="6" applyAlignment="1" applyProtection="1" pivotButton="0" quotePrefix="0" xfId="0">
      <alignment horizontal="center"/>
      <protection locked="0" hidden="0"/>
    </xf>
    <xf numFmtId="3" fontId="49" fillId="0" borderId="9" applyAlignment="1" applyProtection="1" pivotButton="0" quotePrefix="0" xfId="0">
      <alignment horizontal="right"/>
      <protection locked="0" hidden="0"/>
    </xf>
    <xf numFmtId="0" fontId="48" fillId="0" borderId="7" applyAlignment="1" applyProtection="1" pivotButton="0" quotePrefix="0" xfId="0">
      <alignment horizontal="right"/>
      <protection locked="0" hidden="0"/>
    </xf>
    <xf numFmtId="0" fontId="34" fillId="4" borderId="0" applyProtection="1" pivotButton="0" quotePrefix="1" xfId="0">
      <protection locked="0" hidden="0"/>
    </xf>
    <xf numFmtId="167" fontId="14" fillId="27" borderId="12" applyProtection="1" pivotButton="0" quotePrefix="0" xfId="1183">
      <protection locked="0" hidden="0"/>
    </xf>
    <xf numFmtId="0" fontId="14" fillId="27" borderId="14" applyProtection="1" pivotButton="0" quotePrefix="0" xfId="0">
      <protection locked="0" hidden="0"/>
    </xf>
    <xf numFmtId="0" fontId="19" fillId="41" borderId="0" applyProtection="1" pivotButton="0" quotePrefix="0" xfId="1184">
      <protection locked="0" hidden="0"/>
    </xf>
    <xf numFmtId="3" fontId="76" fillId="4" borderId="0" pivotButton="0" quotePrefix="0" xfId="0"/>
    <xf numFmtId="0" fontId="76" fillId="4" borderId="0" pivotButton="0" quotePrefix="0" xfId="0"/>
    <xf numFmtId="0" fontId="77" fillId="4" borderId="0" pivotButton="0" quotePrefix="0" xfId="0"/>
    <xf numFmtId="3" fontId="0" fillId="0" borderId="0" pivotButton="0" quotePrefix="0" xfId="0"/>
    <xf numFmtId="3" fontId="17" fillId="4" borderId="0" pivotButton="0" quotePrefix="0" xfId="0"/>
    <xf numFmtId="0" fontId="17" fillId="4" borderId="0" pivotButton="0" quotePrefix="0" xfId="0"/>
    <xf numFmtId="3" fontId="17" fillId="0" borderId="0" pivotButton="0" quotePrefix="0" xfId="0"/>
    <xf numFmtId="0" fontId="0" fillId="38" borderId="0" pivotButton="0" quotePrefix="0" xfId="0"/>
    <xf numFmtId="0" fontId="20" fillId="4" borderId="0" applyAlignment="1" pivotButton="0" quotePrefix="0" xfId="0">
      <alignment horizontal="center"/>
    </xf>
    <xf numFmtId="0" fontId="21" fillId="42" borderId="0" pivotButton="0" quotePrefix="0" xfId="0"/>
    <xf numFmtId="3" fontId="0" fillId="26" borderId="0" pivotButton="0" quotePrefix="0" xfId="0"/>
    <xf numFmtId="3" fontId="0" fillId="38" borderId="0" pivotButton="0" quotePrefix="0" xfId="0"/>
    <xf numFmtId="3" fontId="0" fillId="29" borderId="0" pivotButton="0" quotePrefix="0" xfId="0"/>
    <xf numFmtId="0" fontId="0" fillId="19" borderId="0" pivotButton="0" quotePrefix="0" xfId="0"/>
    <xf numFmtId="0" fontId="17" fillId="0" borderId="7" applyProtection="1" pivotButton="0" quotePrefix="0" xfId="0">
      <protection locked="0" hidden="0"/>
    </xf>
    <xf numFmtId="0" fontId="0" fillId="41" borderId="0" applyAlignment="1" applyProtection="1" pivotButton="0" quotePrefix="0" xfId="0">
      <alignment horizontal="right"/>
      <protection locked="0" hidden="0"/>
    </xf>
    <xf numFmtId="177" fontId="0" fillId="41" borderId="0" applyProtection="1" pivotButton="0" quotePrefix="0" xfId="1080">
      <protection locked="0" hidden="0"/>
    </xf>
    <xf numFmtId="0" fontId="0" fillId="0" borderId="37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43" borderId="41" pivotButton="0" quotePrefix="0" xfId="0"/>
    <xf numFmtId="0" fontId="0" fillId="43" borderId="41" applyAlignment="1" pivotButton="0" quotePrefix="0" xfId="0">
      <alignment horizontal="center"/>
    </xf>
    <xf numFmtId="0" fontId="0" fillId="43" borderId="42" pivotButton="0" quotePrefix="0" xfId="0"/>
    <xf numFmtId="2" fontId="0" fillId="43" borderId="42" pivotButton="0" quotePrefix="0" xfId="0"/>
    <xf numFmtId="177" fontId="0" fillId="43" borderId="42" pivotButton="0" quotePrefix="0" xfId="0"/>
    <xf numFmtId="0" fontId="0" fillId="43" borderId="43" pivotButton="0" quotePrefix="0" xfId="0"/>
    <xf numFmtId="0" fontId="0" fillId="24" borderId="41" pivotButton="0" quotePrefix="0" xfId="0"/>
    <xf numFmtId="0" fontId="0" fillId="24" borderId="41" applyAlignment="1" pivotButton="0" quotePrefix="0" xfId="0">
      <alignment horizontal="center"/>
    </xf>
    <xf numFmtId="0" fontId="0" fillId="24" borderId="42" pivotButton="0" quotePrefix="0" xfId="0"/>
    <xf numFmtId="2" fontId="0" fillId="24" borderId="42" pivotButton="0" quotePrefix="0" xfId="0"/>
    <xf numFmtId="177" fontId="0" fillId="24" borderId="42" pivotButton="0" quotePrefix="0" xfId="0"/>
    <xf numFmtId="0" fontId="0" fillId="24" borderId="43" pivotButton="0" quotePrefix="0" xfId="0"/>
    <xf numFmtId="0" fontId="0" fillId="24" borderId="34" pivotButton="0" quotePrefix="0" xfId="0"/>
    <xf numFmtId="0" fontId="0" fillId="24" borderId="34" applyAlignment="1" pivotButton="0" quotePrefix="0" xfId="0">
      <alignment horizontal="center"/>
    </xf>
    <xf numFmtId="0" fontId="0" fillId="24" borderId="36" pivotButton="0" quotePrefix="0" xfId="0"/>
    <xf numFmtId="2" fontId="0" fillId="24" borderId="36" pivotButton="0" quotePrefix="0" xfId="0"/>
    <xf numFmtId="0" fontId="0" fillId="24" borderId="46" applyAlignment="1" pivotButton="0" quotePrefix="0" xfId="0">
      <alignment horizontal="center"/>
    </xf>
    <xf numFmtId="0" fontId="0" fillId="24" borderId="47" pivotButton="0" quotePrefix="0" xfId="0"/>
    <xf numFmtId="2" fontId="0" fillId="24" borderId="47" pivotButton="0" quotePrefix="0" xfId="0"/>
    <xf numFmtId="0" fontId="0" fillId="24" borderId="46" applyAlignment="1" pivotButton="0" quotePrefix="0" xfId="0">
      <alignment horizontal="right"/>
    </xf>
    <xf numFmtId="166" fontId="0" fillId="0" borderId="0" applyProtection="1" pivotButton="0" quotePrefix="0" xfId="285">
      <protection locked="0" hidden="0"/>
    </xf>
    <xf numFmtId="0" fontId="0" fillId="41" borderId="48" applyAlignment="1" pivotButton="0" quotePrefix="0" xfId="0">
      <alignment vertical="center"/>
    </xf>
    <xf numFmtId="0" fontId="0" fillId="41" borderId="41" pivotButton="0" quotePrefix="0" xfId="0"/>
    <xf numFmtId="0" fontId="0" fillId="41" borderId="41" applyAlignment="1" pivotButton="0" quotePrefix="0" xfId="0">
      <alignment horizontal="center"/>
    </xf>
    <xf numFmtId="0" fontId="0" fillId="41" borderId="42" pivotButton="0" quotePrefix="0" xfId="0"/>
    <xf numFmtId="2" fontId="0" fillId="41" borderId="42" pivotButton="0" quotePrefix="0" xfId="0"/>
    <xf numFmtId="177" fontId="0" fillId="41" borderId="42" pivotButton="0" quotePrefix="0" xfId="0"/>
    <xf numFmtId="0" fontId="0" fillId="41" borderId="43" pivotButton="0" quotePrefix="0" xfId="0"/>
    <xf numFmtId="0" fontId="0" fillId="43" borderId="48" applyAlignment="1" pivotButton="0" quotePrefix="0" xfId="0">
      <alignment vertical="center"/>
    </xf>
    <xf numFmtId="166" fontId="0" fillId="0" borderId="0" applyAlignment="1" applyProtection="1" pivotButton="0" quotePrefix="0" xfId="285">
      <alignment horizontal="left"/>
      <protection locked="0" hidden="0"/>
    </xf>
    <xf numFmtId="166" fontId="0" fillId="0" borderId="0" applyAlignment="1" pivotButton="0" quotePrefix="0" xfId="285">
      <alignment horizontal="left"/>
    </xf>
    <xf numFmtId="166" fontId="11" fillId="0" borderId="0" applyAlignment="1" pivotButton="0" quotePrefix="0" xfId="285">
      <alignment horizontal="left"/>
    </xf>
    <xf numFmtId="166" fontId="19" fillId="0" borderId="0" applyAlignment="1" pivotButton="0" quotePrefix="0" xfId="285">
      <alignment horizontal="left"/>
    </xf>
    <xf numFmtId="0" fontId="78" fillId="41" borderId="0" applyAlignment="1" applyProtection="1" pivotButton="0" quotePrefix="0" xfId="285">
      <alignment horizontal="right"/>
      <protection locked="0" hidden="0"/>
    </xf>
    <xf numFmtId="0" fontId="0" fillId="24" borderId="48" applyAlignment="1" pivotButton="0" quotePrefix="0" xfId="0">
      <alignment vertical="center"/>
    </xf>
    <xf numFmtId="177" fontId="0" fillId="41" borderId="39" pivotButton="0" quotePrefix="0" xfId="0"/>
    <xf numFmtId="0" fontId="0" fillId="41" borderId="49" pivotButton="0" quotePrefix="0" xfId="0"/>
    <xf numFmtId="177" fontId="17" fillId="0" borderId="12" applyProtection="1" pivotButton="0" quotePrefix="0" xfId="0">
      <protection locked="0" hidden="0"/>
    </xf>
    <xf numFmtId="0" fontId="17" fillId="0" borderId="14" applyProtection="1" pivotButton="0" quotePrefix="0" xfId="0">
      <protection locked="0" hidden="0"/>
    </xf>
    <xf numFmtId="0" fontId="34" fillId="24" borderId="50" pivotButton="0" quotePrefix="1" xfId="0"/>
    <xf numFmtId="0" fontId="0" fillId="24" borderId="51" pivotButton="0" quotePrefix="0" xfId="0"/>
    <xf numFmtId="0" fontId="64" fillId="24" borderId="51" pivotButton="0" quotePrefix="0" xfId="0"/>
    <xf numFmtId="177" fontId="17" fillId="24" borderId="52" pivotButton="0" quotePrefix="0" xfId="0"/>
    <xf numFmtId="177" fontId="17" fillId="24" borderId="32" pivotButton="0" quotePrefix="0" xfId="0"/>
    <xf numFmtId="177" fontId="17" fillId="24" borderId="53" pivotButton="0" quotePrefix="0" xfId="0"/>
    <xf numFmtId="43" fontId="34" fillId="0" borderId="0" applyProtection="1" pivotButton="0" quotePrefix="0" xfId="0">
      <protection locked="0" hidden="0"/>
    </xf>
    <xf numFmtId="0" fontId="0" fillId="43" borderId="41" applyAlignment="1" pivotButton="0" quotePrefix="0" xfId="0">
      <alignment horizontal="right"/>
    </xf>
    <xf numFmtId="0" fontId="0" fillId="12" borderId="54" applyAlignment="1" pivotButton="0" quotePrefix="0" xfId="0">
      <alignment vertical="center"/>
    </xf>
    <xf numFmtId="0" fontId="0" fillId="12" borderId="46" applyAlignment="1" pivotButton="0" quotePrefix="0" xfId="0">
      <alignment horizontal="right"/>
    </xf>
    <xf numFmtId="0" fontId="0" fillId="12" borderId="46" applyAlignment="1" pivotButton="0" quotePrefix="0" xfId="0">
      <alignment horizontal="center"/>
    </xf>
    <xf numFmtId="0" fontId="0" fillId="12" borderId="47" pivotButton="0" quotePrefix="0" xfId="0"/>
    <xf numFmtId="2" fontId="0" fillId="12" borderId="47" pivotButton="0" quotePrefix="0" xfId="0"/>
    <xf numFmtId="177" fontId="0" fillId="12" borderId="47" pivotButton="0" quotePrefix="0" xfId="0"/>
    <xf numFmtId="0" fontId="34" fillId="12" borderId="40" pivotButton="0" quotePrefix="0" xfId="0"/>
    <xf numFmtId="0" fontId="0" fillId="12" borderId="48" applyAlignment="1" pivotButton="0" quotePrefix="0" xfId="0">
      <alignment vertical="center"/>
    </xf>
    <xf numFmtId="0" fontId="0" fillId="12" borderId="41" pivotButton="0" quotePrefix="0" xfId="0"/>
    <xf numFmtId="0" fontId="0" fillId="12" borderId="41" applyAlignment="1" pivotButton="0" quotePrefix="0" xfId="0">
      <alignment horizontal="center"/>
    </xf>
    <xf numFmtId="0" fontId="0" fillId="12" borderId="42" pivotButton="0" quotePrefix="0" xfId="0"/>
    <xf numFmtId="2" fontId="0" fillId="12" borderId="42" pivotButton="0" quotePrefix="0" xfId="0"/>
    <xf numFmtId="177" fontId="0" fillId="12" borderId="42" pivotButton="0" quotePrefix="0" xfId="0"/>
    <xf numFmtId="0" fontId="0" fillId="12" borderId="43" pivotButton="0" quotePrefix="0" xfId="0"/>
    <xf numFmtId="0" fontId="34" fillId="43" borderId="43" pivotButton="0" quotePrefix="1" xfId="0"/>
    <xf numFmtId="0" fontId="34" fillId="43" borderId="43" pivotButton="0" quotePrefix="0" xfId="0"/>
    <xf numFmtId="0" fontId="73" fillId="12" borderId="54" applyAlignment="1" pivotButton="0" quotePrefix="0" xfId="0">
      <alignment horizontal="center"/>
    </xf>
    <xf numFmtId="0" fontId="0" fillId="12" borderId="46" pivotButton="0" quotePrefix="0" xfId="0"/>
    <xf numFmtId="0" fontId="0" fillId="41" borderId="54" applyAlignment="1" pivotButton="0" quotePrefix="0" xfId="0">
      <alignment vertical="center"/>
    </xf>
    <xf numFmtId="0" fontId="0" fillId="41" borderId="46" pivotButton="0" quotePrefix="0" xfId="0"/>
    <xf numFmtId="0" fontId="0" fillId="41" borderId="46" applyAlignment="1" pivotButton="0" quotePrefix="0" xfId="0">
      <alignment horizontal="center"/>
    </xf>
    <xf numFmtId="0" fontId="0" fillId="41" borderId="47" pivotButton="0" quotePrefix="0" xfId="0"/>
    <xf numFmtId="2" fontId="0" fillId="41" borderId="47" pivotButton="0" quotePrefix="0" xfId="0"/>
    <xf numFmtId="177" fontId="0" fillId="41" borderId="47" pivotButton="0" quotePrefix="0" xfId="0"/>
    <xf numFmtId="0" fontId="0" fillId="41" borderId="40" pivotButton="0" quotePrefix="0" xfId="0"/>
    <xf numFmtId="0" fontId="34" fillId="24" borderId="43" pivotButton="0" quotePrefix="0" xfId="0"/>
    <xf numFmtId="0" fontId="0" fillId="24" borderId="54" applyAlignment="1" pivotButton="0" quotePrefix="0" xfId="0">
      <alignment vertical="center"/>
    </xf>
    <xf numFmtId="177" fontId="0" fillId="24" borderId="40" pivotButton="0" quotePrefix="0" xfId="0"/>
    <xf numFmtId="166" fontId="0" fillId="24" borderId="47" pivotButton="0" quotePrefix="0" xfId="285"/>
    <xf numFmtId="0" fontId="0" fillId="33" borderId="32" applyAlignment="1" applyProtection="1" pivotButton="0" quotePrefix="0" xfId="0">
      <alignment horizontal="center" vertical="center"/>
      <protection locked="0" hidden="0"/>
    </xf>
    <xf numFmtId="0" fontId="0" fillId="0" borderId="4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2" fontId="0" fillId="24" borderId="46" applyAlignment="1" pivotButton="0" quotePrefix="0" xfId="0">
      <alignment horizontal="center"/>
    </xf>
    <xf numFmtId="0" fontId="17" fillId="0" borderId="12" applyAlignment="1" applyProtection="1" pivotButton="0" quotePrefix="0" xfId="0">
      <alignment horizontal="right"/>
      <protection locked="0" hidden="0"/>
    </xf>
    <xf numFmtId="177" fontId="17" fillId="0" borderId="14" applyProtection="1" pivotButton="0" quotePrefix="0" xfId="0">
      <protection locked="0" hidden="0"/>
    </xf>
    <xf numFmtId="0" fontId="34" fillId="0" borderId="0" applyAlignment="1" pivotButton="0" quotePrefix="0" xfId="0">
      <alignment horizontal="left"/>
    </xf>
    <xf numFmtId="0" fontId="46" fillId="24" borderId="51" pivotButton="0" quotePrefix="0" xfId="0"/>
    <xf numFmtId="3" fontId="61" fillId="36" borderId="14" applyAlignment="1" applyProtection="1" pivotButton="0" quotePrefix="0" xfId="0">
      <alignment horizontal="right"/>
      <protection locked="0" hidden="0"/>
    </xf>
    <xf numFmtId="37" fontId="62" fillId="36" borderId="15" applyProtection="1" pivotButton="0" quotePrefix="0" xfId="0">
      <protection locked="0" hidden="0"/>
    </xf>
    <xf numFmtId="0" fontId="0" fillId="26" borderId="7" applyAlignment="1" pivotButton="0" quotePrefix="0" xfId="0">
      <alignment horizontal="center"/>
    </xf>
    <xf numFmtId="0" fontId="17" fillId="38" borderId="7" applyAlignment="1" pivotButton="0" quotePrefix="0" xfId="0">
      <alignment horizontal="center"/>
    </xf>
    <xf numFmtId="0" fontId="17" fillId="29" borderId="7" applyAlignment="1" pivotButton="0" quotePrefix="0" xfId="0">
      <alignment horizontal="center"/>
    </xf>
    <xf numFmtId="0" fontId="17" fillId="26" borderId="7" applyAlignment="1" pivotButton="0" quotePrefix="0" xfId="0">
      <alignment horizontal="center"/>
    </xf>
    <xf numFmtId="0" fontId="17" fillId="38" borderId="28" applyAlignment="1" applyProtection="1" pivotButton="0" quotePrefix="0" xfId="0">
      <alignment horizontal="center"/>
      <protection locked="0" hidden="0"/>
    </xf>
    <xf numFmtId="0" fontId="17" fillId="29" borderId="28" applyAlignment="1" applyProtection="1" pivotButton="0" quotePrefix="0" xfId="0">
      <alignment horizontal="center"/>
      <protection locked="0" hidden="0"/>
    </xf>
    <xf numFmtId="0" fontId="17" fillId="26" borderId="28" applyAlignment="1" applyProtection="1" pivotButton="0" quotePrefix="0" xfId="0">
      <alignment horizontal="center"/>
      <protection locked="0" hidden="0"/>
    </xf>
    <xf numFmtId="37" fontId="0" fillId="0" borderId="0" applyProtection="1" pivotButton="0" quotePrefix="0" xfId="0">
      <protection locked="0" hidden="0"/>
    </xf>
    <xf numFmtId="37" fontId="0" fillId="0" borderId="0" applyAlignment="1" applyProtection="1" pivotButton="0" quotePrefix="0" xfId="0">
      <alignment horizontal="left"/>
      <protection locked="0" hidden="0"/>
    </xf>
    <xf numFmtId="0" fontId="11" fillId="19" borderId="0" applyAlignment="1" pivotButton="0" quotePrefix="0" xfId="0">
      <alignment horizontal="left"/>
    </xf>
    <xf numFmtId="0" fontId="0" fillId="19" borderId="0" applyAlignment="1" pivotButton="0" quotePrefix="0" xfId="0">
      <alignment horizontal="left"/>
    </xf>
    <xf numFmtId="166" fontId="0" fillId="19" borderId="0" applyAlignment="1" pivotButton="0" quotePrefix="0" xfId="285">
      <alignment horizontal="left"/>
    </xf>
    <xf numFmtId="166" fontId="79" fillId="40" borderId="0" applyAlignment="1" applyProtection="1" pivotButton="0" quotePrefix="0" xfId="285">
      <alignment horizontal="center"/>
      <protection locked="0" hidden="0"/>
    </xf>
    <xf numFmtId="0" fontId="0" fillId="40" borderId="0" applyAlignment="1" applyProtection="1" pivotButton="0" quotePrefix="0" xfId="0">
      <alignment horizontal="left"/>
      <protection locked="0" hidden="0"/>
    </xf>
    <xf numFmtId="0" fontId="0" fillId="40" borderId="0" applyAlignment="1" pivotButton="0" quotePrefix="0" xfId="0">
      <alignment horizontal="left"/>
    </xf>
    <xf numFmtId="165" fontId="11" fillId="41" borderId="0" applyAlignment="1" applyProtection="1" pivotButton="0" quotePrefix="0" xfId="285">
      <alignment horizontal="center"/>
      <protection locked="0" hidden="0"/>
    </xf>
    <xf numFmtId="166" fontId="0" fillId="26" borderId="0" applyProtection="1" pivotButton="0" quotePrefix="0" xfId="285">
      <protection locked="0" hidden="0"/>
    </xf>
    <xf numFmtId="166" fontId="0" fillId="41" borderId="0" applyProtection="1" pivotButton="0" quotePrefix="0" xfId="285">
      <protection locked="0" hidden="0"/>
    </xf>
    <xf numFmtId="0" fontId="0" fillId="24" borderId="46" applyAlignment="1" pivotButton="0" quotePrefix="0" xfId="0">
      <alignment horizontal="left"/>
    </xf>
    <xf numFmtId="0" fontId="78" fillId="26" borderId="0" applyAlignment="1" applyProtection="1" pivotButton="0" quotePrefix="0" xfId="285">
      <alignment horizontal="right"/>
      <protection locked="0" hidden="0"/>
    </xf>
    <xf numFmtId="0" fontId="78" fillId="41" borderId="0" applyAlignment="1" applyProtection="1" pivotButton="0" quotePrefix="0" xfId="285">
      <alignment horizontal="center"/>
      <protection locked="0" hidden="0"/>
    </xf>
    <xf numFmtId="0" fontId="78" fillId="26" borderId="0" applyAlignment="1" applyProtection="1" pivotButton="0" quotePrefix="0" xfId="285">
      <alignment horizontal="center"/>
      <protection locked="0" hidden="0"/>
    </xf>
    <xf numFmtId="0" fontId="20" fillId="4" borderId="0" applyAlignment="1" applyProtection="1" pivotButton="0" quotePrefix="0" xfId="0">
      <alignment horizontal="center"/>
      <protection locked="0" hidden="0"/>
    </xf>
    <xf numFmtId="0" fontId="0" fillId="41" borderId="22" applyAlignment="1" applyProtection="1" pivotButton="0" quotePrefix="0" xfId="0">
      <alignment horizontal="right"/>
      <protection locked="0" hidden="0"/>
    </xf>
    <xf numFmtId="165" fontId="0" fillId="41" borderId="23" applyProtection="1" pivotButton="0" quotePrefix="0" xfId="0">
      <protection locked="0" hidden="0"/>
    </xf>
    <xf numFmtId="165" fontId="0" fillId="41" borderId="24" applyProtection="1" pivotButton="0" quotePrefix="0" xfId="0">
      <protection locked="0" hidden="0"/>
    </xf>
    <xf numFmtId="0" fontId="0" fillId="26" borderId="27" applyAlignment="1" applyProtection="1" pivotButton="0" quotePrefix="0" xfId="0">
      <alignment horizontal="right"/>
      <protection locked="0" hidden="0"/>
    </xf>
    <xf numFmtId="165" fontId="0" fillId="26" borderId="28" applyProtection="1" pivotButton="0" quotePrefix="0" xfId="0">
      <protection locked="0" hidden="0"/>
    </xf>
    <xf numFmtId="165" fontId="0" fillId="26" borderId="29" applyProtection="1" pivotButton="0" quotePrefix="0" xfId="0">
      <protection locked="0" hidden="0"/>
    </xf>
    <xf numFmtId="0" fontId="48" fillId="0" borderId="0" applyAlignment="1" applyProtection="1" pivotButton="0" quotePrefix="0" xfId="0">
      <alignment horizontal="right" vertical="center"/>
      <protection locked="0" hidden="0"/>
    </xf>
    <xf numFmtId="0" fontId="0" fillId="24" borderId="46" pivotButton="0" quotePrefix="0" xfId="0"/>
    <xf numFmtId="177" fontId="0" fillId="24" borderId="47" pivotButton="0" quotePrefix="0" xfId="0"/>
    <xf numFmtId="0" fontId="0" fillId="24" borderId="40" pivotButton="0" quotePrefix="0" xfId="0"/>
    <xf numFmtId="0" fontId="2" fillId="41" borderId="40" pivotButton="0" quotePrefix="0" xfId="0"/>
    <xf numFmtId="39" fontId="0" fillId="24" borderId="41" applyAlignment="1" pivotButton="0" quotePrefix="0" xfId="0">
      <alignment horizontal="center"/>
    </xf>
    <xf numFmtId="0" fontId="34" fillId="41" borderId="40" pivotButton="0" quotePrefix="0" xfId="0"/>
    <xf numFmtId="177" fontId="34" fillId="41" borderId="47" pivotButton="0" quotePrefix="0" xfId="0"/>
    <xf numFmtId="177" fontId="0" fillId="41" borderId="0" applyProtection="1" pivotButton="0" quotePrefix="0" xfId="0">
      <protection locked="0" hidden="0"/>
    </xf>
    <xf numFmtId="0" fontId="20" fillId="26" borderId="0" applyAlignment="1" applyProtection="1" pivotButton="0" quotePrefix="0" xfId="0">
      <alignment horizontal="center"/>
      <protection locked="0" hidden="0"/>
    </xf>
    <xf numFmtId="0" fontId="20" fillId="41" borderId="55" applyAlignment="1" applyProtection="1" pivotButton="0" quotePrefix="0" xfId="0">
      <alignment horizontal="center"/>
      <protection locked="0" hidden="0"/>
    </xf>
    <xf numFmtId="177" fontId="17" fillId="41" borderId="53" applyAlignment="1" applyProtection="1" pivotButton="0" quotePrefix="0" xfId="0">
      <alignment horizontal="center"/>
      <protection locked="0" hidden="0"/>
    </xf>
    <xf numFmtId="0" fontId="11" fillId="41" borderId="0" applyAlignment="1" applyProtection="1" pivotButton="0" quotePrefix="0" xfId="0">
      <alignment horizontal="right"/>
      <protection locked="0" hidden="0"/>
    </xf>
    <xf numFmtId="0" fontId="14" fillId="41" borderId="4" applyAlignment="1" applyProtection="1" pivotButton="0" quotePrefix="0" xfId="0">
      <alignment horizontal="left"/>
      <protection locked="0" hidden="0"/>
    </xf>
    <xf numFmtId="0" fontId="48" fillId="41" borderId="15" applyProtection="1" pivotButton="0" quotePrefix="0" xfId="0">
      <protection locked="0" hidden="0"/>
    </xf>
    <xf numFmtId="0" fontId="81" fillId="4" borderId="0" applyAlignment="1" applyProtection="1" pivotButton="0" quotePrefix="0" xfId="0">
      <alignment horizontal="right"/>
      <protection locked="0" hidden="0"/>
    </xf>
    <xf numFmtId="37" fontId="0" fillId="0" borderId="0" applyAlignment="1" applyProtection="1" pivotButton="0" quotePrefix="0" xfId="0">
      <alignment horizontal="center"/>
      <protection locked="0" hidden="0"/>
    </xf>
    <xf numFmtId="0" fontId="0" fillId="0" borderId="28" applyAlignment="1" applyProtection="1" pivotButton="0" quotePrefix="0" xfId="0">
      <alignment horizontal="center"/>
      <protection locked="0" hidden="0"/>
    </xf>
    <xf numFmtId="3" fontId="17" fillId="0" borderId="0" applyProtection="1" pivotButton="0" quotePrefix="0" xfId="1184">
      <protection locked="0" hidden="0"/>
    </xf>
    <xf numFmtId="3" fontId="0" fillId="0" borderId="0" applyProtection="1" pivotButton="0" quotePrefix="0" xfId="1184">
      <protection locked="0" hidden="0"/>
    </xf>
    <xf numFmtId="0" fontId="0" fillId="16" borderId="7" applyProtection="1" pivotButton="0" quotePrefix="0" xfId="0">
      <protection locked="0" hidden="0"/>
    </xf>
    <xf numFmtId="0" fontId="0" fillId="23" borderId="7" applyAlignment="1" applyProtection="1" pivotButton="0" quotePrefix="0" xfId="0">
      <alignment horizontal="right"/>
      <protection locked="0" hidden="0"/>
    </xf>
    <xf numFmtId="4" fontId="17" fillId="0" borderId="0" applyProtection="1" pivotButton="0" quotePrefix="0" xfId="0">
      <protection locked="0" hidden="0"/>
    </xf>
    <xf numFmtId="39" fontId="0" fillId="16" borderId="0" applyAlignment="1" applyProtection="1" pivotButton="0" quotePrefix="0" xfId="0">
      <alignment horizontal="right"/>
      <protection locked="0" hidden="0"/>
    </xf>
    <xf numFmtId="39" fontId="0" fillId="16" borderId="7" applyAlignment="1" applyProtection="1" pivotButton="0" quotePrefix="0" xfId="0">
      <alignment horizontal="right"/>
      <protection locked="0" hidden="0"/>
    </xf>
    <xf numFmtId="0" fontId="36" fillId="0" borderId="0" applyAlignment="1" applyProtection="1" pivotButton="0" quotePrefix="0" xfId="0">
      <alignment horizontal="left"/>
      <protection locked="0" hidden="0"/>
    </xf>
    <xf numFmtId="0" fontId="36" fillId="0" borderId="0" applyAlignment="1" applyProtection="1" pivotButton="0" quotePrefix="0" xfId="0">
      <alignment horizontal="center"/>
      <protection locked="0" hidden="0"/>
    </xf>
    <xf numFmtId="0" fontId="51" fillId="37" borderId="0" applyAlignment="1" applyProtection="1" pivotButton="0" quotePrefix="0" xfId="0">
      <alignment horizontal="left"/>
      <protection locked="0" hidden="0"/>
    </xf>
    <xf numFmtId="0" fontId="36" fillId="2" borderId="0" applyAlignment="1" applyProtection="1" pivotButton="0" quotePrefix="0" xfId="0">
      <alignment horizontal="left"/>
      <protection locked="0" hidden="0"/>
    </xf>
    <xf numFmtId="0" fontId="36" fillId="5" borderId="0" applyAlignment="1" applyProtection="1" pivotButton="0" quotePrefix="0" xfId="0">
      <alignment horizontal="left"/>
      <protection locked="0" hidden="0"/>
    </xf>
    <xf numFmtId="9" fontId="34" fillId="2" borderId="0" applyAlignment="1" applyProtection="1" pivotButton="0" quotePrefix="0" xfId="647">
      <alignment horizontal="right"/>
      <protection locked="0" hidden="0"/>
    </xf>
    <xf numFmtId="9" fontId="48" fillId="37" borderId="0" applyAlignment="1" applyProtection="1" pivotButton="0" quotePrefix="0" xfId="647">
      <alignment horizontal="right"/>
      <protection locked="0" hidden="0"/>
    </xf>
    <xf numFmtId="9" fontId="34" fillId="5" borderId="0" applyAlignment="1" applyProtection="1" pivotButton="0" quotePrefix="0" xfId="647">
      <alignment horizontal="right"/>
      <protection locked="0" hidden="0"/>
    </xf>
    <xf numFmtId="9" fontId="0" fillId="0" borderId="0" applyProtection="1" pivotButton="0" quotePrefix="0" xfId="1183">
      <protection locked="0" hidden="0"/>
    </xf>
    <xf numFmtId="9" fontId="34" fillId="0" borderId="0" applyAlignment="1" applyProtection="1" pivotButton="0" quotePrefix="0" xfId="647">
      <alignment horizontal="right"/>
      <protection locked="0" hidden="0"/>
    </xf>
    <xf numFmtId="37" fontId="17" fillId="2" borderId="0" applyAlignment="1" applyProtection="1" pivotButton="0" quotePrefix="0" xfId="0">
      <alignment horizontal="center"/>
      <protection locked="0" hidden="0"/>
    </xf>
    <xf numFmtId="37" fontId="17" fillId="37" borderId="0" applyAlignment="1" applyProtection="1" pivotButton="0" quotePrefix="0" xfId="0">
      <alignment horizontal="center"/>
      <protection locked="0" hidden="0"/>
    </xf>
    <xf numFmtId="37" fontId="17" fillId="5" borderId="0" applyAlignment="1" applyProtection="1" pivotButton="0" quotePrefix="0" xfId="0">
      <alignment horizontal="center"/>
      <protection locked="0" hidden="0"/>
    </xf>
    <xf numFmtId="3" fontId="17" fillId="2" borderId="19" applyAlignment="1" applyProtection="1" pivotButton="0" quotePrefix="0" xfId="0">
      <alignment horizontal="center"/>
      <protection locked="0" hidden="0"/>
    </xf>
    <xf numFmtId="3" fontId="17" fillId="37" borderId="19" applyAlignment="1" applyProtection="1" pivotButton="0" quotePrefix="0" xfId="0">
      <alignment horizontal="center"/>
      <protection locked="0" hidden="0"/>
    </xf>
    <xf numFmtId="3" fontId="17" fillId="5" borderId="19" applyAlignment="1" applyProtection="1" pivotButton="0" quotePrefix="0" xfId="0">
      <alignment horizontal="center"/>
      <protection locked="0" hidden="0"/>
    </xf>
    <xf numFmtId="1" fontId="14" fillId="37" borderId="15" applyAlignment="1" applyProtection="1" pivotButton="0" quotePrefix="0" xfId="0">
      <alignment horizontal="center"/>
      <protection locked="0" hidden="0"/>
    </xf>
    <xf numFmtId="1" fontId="19" fillId="26" borderId="0" pivotButton="0" quotePrefix="0" xfId="0"/>
    <xf numFmtId="1" fontId="19" fillId="23" borderId="0" pivotButton="0" quotePrefix="0" xfId="0"/>
    <xf numFmtId="0" fontId="14" fillId="45" borderId="4" applyAlignment="1" applyProtection="1" pivotButton="0" quotePrefix="0" xfId="0">
      <alignment horizontal="left"/>
      <protection locked="0" hidden="0"/>
    </xf>
    <xf numFmtId="165" fontId="11" fillId="45" borderId="0" applyAlignment="1" applyProtection="1" pivotButton="0" quotePrefix="0" xfId="285">
      <alignment horizontal="center"/>
      <protection locked="0" hidden="0"/>
    </xf>
    <xf numFmtId="0" fontId="11" fillId="45" borderId="0" applyAlignment="1" applyProtection="1" pivotButton="0" quotePrefix="0" xfId="0">
      <alignment horizontal="right"/>
      <protection locked="0" hidden="0"/>
    </xf>
    <xf numFmtId="0" fontId="48" fillId="45" borderId="15" applyProtection="1" pivotButton="0" quotePrefix="0" xfId="0">
      <protection locked="0" hidden="0"/>
    </xf>
    <xf numFmtId="0" fontId="14" fillId="45" borderId="15" applyProtection="1" pivotButton="0" quotePrefix="0" xfId="0">
      <protection locked="0" hidden="0"/>
    </xf>
    <xf numFmtId="0" fontId="14" fillId="41" borderId="15" applyProtection="1" pivotButton="0" quotePrefix="0" xfId="0">
      <protection locked="0" hidden="0"/>
    </xf>
    <xf numFmtId="165" fontId="15" fillId="2" borderId="15" applyProtection="1" pivotButton="0" quotePrefix="0" xfId="285">
      <protection locked="0" hidden="0"/>
    </xf>
    <xf numFmtId="0" fontId="38" fillId="41" borderId="0" applyProtection="1" pivotButton="0" quotePrefix="0" xfId="0">
      <protection locked="0" hidden="0"/>
    </xf>
    <xf numFmtId="0" fontId="38" fillId="45" borderId="0" applyProtection="1" pivotButton="0" quotePrefix="0" xfId="0">
      <protection locked="0" hidden="0"/>
    </xf>
    <xf numFmtId="164" fontId="11" fillId="45" borderId="5" applyProtection="1" pivotButton="0" quotePrefix="0" xfId="0">
      <protection locked="0" hidden="0"/>
    </xf>
    <xf numFmtId="164" fontId="11" fillId="41" borderId="5" applyProtection="1" pivotButton="0" quotePrefix="0" xfId="0">
      <protection locked="0" hidden="0"/>
    </xf>
    <xf numFmtId="167" fontId="34" fillId="2" borderId="0" applyProtection="1" pivotButton="0" quotePrefix="0" xfId="286">
      <protection locked="0" hidden="0"/>
    </xf>
    <xf numFmtId="0" fontId="48" fillId="28" borderId="0" applyAlignment="1" pivotButton="0" quotePrefix="0" xfId="0">
      <alignment horizontal="left"/>
    </xf>
    <xf numFmtId="177" fontId="0" fillId="0" borderId="0" applyProtection="1" pivotButton="0" quotePrefix="0" xfId="1080">
      <protection locked="0" hidden="0"/>
    </xf>
    <xf numFmtId="177" fontId="17" fillId="26" borderId="0" applyProtection="1" pivotButton="0" quotePrefix="0" xfId="1080">
      <protection locked="0" hidden="0"/>
    </xf>
    <xf numFmtId="0" fontId="17" fillId="26" borderId="0" applyAlignment="1" applyProtection="1" pivotButton="0" quotePrefix="0" xfId="0">
      <alignment horizontal="right"/>
      <protection locked="0" hidden="0"/>
    </xf>
    <xf numFmtId="9" fontId="17" fillId="26" borderId="0" applyProtection="1" pivotButton="0" quotePrefix="0" xfId="0">
      <protection locked="0" hidden="0"/>
    </xf>
    <xf numFmtId="0" fontId="17" fillId="26" borderId="0" applyProtection="1" pivotButton="0" quotePrefix="0" xfId="0">
      <protection locked="0" hidden="0"/>
    </xf>
    <xf numFmtId="9" fontId="19" fillId="26" borderId="0" applyAlignment="1" applyProtection="1" pivotButton="0" quotePrefix="0" xfId="0">
      <alignment horizontal="center"/>
      <protection locked="0" hidden="0"/>
    </xf>
    <xf numFmtId="0" fontId="0" fillId="34" borderId="0" applyAlignment="1" applyProtection="1" pivotButton="0" quotePrefix="0" xfId="0">
      <alignment vertical="center"/>
      <protection locked="0" hidden="0"/>
    </xf>
    <xf numFmtId="0" fontId="17" fillId="0" borderId="7" applyAlignment="1" applyProtection="1" pivotButton="0" quotePrefix="0" xfId="0">
      <alignment horizontal="right"/>
      <protection locked="0" hidden="0"/>
    </xf>
    <xf numFmtId="0" fontId="0" fillId="23" borderId="7" applyProtection="1" pivotButton="0" quotePrefix="0" xfId="0">
      <protection locked="0" hidden="0"/>
    </xf>
    <xf numFmtId="9" fontId="0" fillId="23" borderId="0" applyProtection="1" pivotButton="0" quotePrefix="0" xfId="0">
      <protection locked="0" hidden="0"/>
    </xf>
    <xf numFmtId="0" fontId="20" fillId="4" borderId="0" applyAlignment="1" applyProtection="1" pivotButton="0" quotePrefix="0" xfId="0">
      <alignment horizontal="left"/>
      <protection locked="0" hidden="0"/>
    </xf>
    <xf numFmtId="0" fontId="17" fillId="28" borderId="0" applyProtection="1" pivotButton="0" quotePrefix="0" xfId="0">
      <protection locked="0" hidden="0"/>
    </xf>
    <xf numFmtId="0" fontId="46" fillId="0" borderId="0" applyProtection="1" pivotButton="0" quotePrefix="0" xfId="0">
      <protection locked="0" hidden="0"/>
    </xf>
    <xf numFmtId="0" fontId="19" fillId="23" borderId="0" applyAlignment="1" pivotButton="0" quotePrefix="0" xfId="0">
      <alignment horizontal="right"/>
    </xf>
    <xf numFmtId="176" fontId="11" fillId="23" borderId="0" pivotButton="0" quotePrefix="0" xfId="647"/>
    <xf numFmtId="0" fontId="19" fillId="23" borderId="0" applyAlignment="1" pivotButton="0" quotePrefix="1" xfId="0">
      <alignment horizontal="right"/>
    </xf>
    <xf numFmtId="0" fontId="11" fillId="23" borderId="0" pivotButton="0" quotePrefix="0" xfId="0"/>
    <xf numFmtId="0" fontId="39" fillId="0" borderId="2" applyAlignment="1" applyProtection="1" pivotButton="0" quotePrefix="0" xfId="0">
      <alignment horizontal="center"/>
      <protection locked="0" hidden="0"/>
    </xf>
    <xf numFmtId="39" fontId="14" fillId="26" borderId="15" applyProtection="1" pivotButton="0" quotePrefix="0" xfId="0">
      <protection locked="0" hidden="0"/>
    </xf>
    <xf numFmtId="0" fontId="38" fillId="23" borderId="11" applyAlignment="1" applyProtection="1" pivotButton="0" quotePrefix="1" xfId="0">
      <alignment horizontal="center"/>
      <protection locked="0" hidden="0"/>
    </xf>
    <xf numFmtId="0" fontId="34" fillId="41" borderId="0" applyProtection="1" pivotButton="0" quotePrefix="0" xfId="0">
      <protection locked="0" hidden="0"/>
    </xf>
    <xf numFmtId="3" fontId="0" fillId="28" borderId="12" applyProtection="1" pivotButton="0" quotePrefix="0" xfId="0">
      <protection locked="0" hidden="0"/>
    </xf>
    <xf numFmtId="3" fontId="0" fillId="16" borderId="0" applyProtection="1" pivotButton="0" quotePrefix="0" xfId="0">
      <protection locked="0" hidden="0"/>
    </xf>
    <xf numFmtId="3" fontId="0" fillId="38" borderId="0" applyAlignment="1" applyProtection="1" pivotButton="0" quotePrefix="0" xfId="0">
      <alignment horizontal="right"/>
      <protection locked="0" hidden="0"/>
    </xf>
    <xf numFmtId="3" fontId="0" fillId="29" borderId="0" applyAlignment="1" applyProtection="1" pivotButton="0" quotePrefix="0" xfId="0">
      <alignment horizontal="right"/>
      <protection locked="0" hidden="0"/>
    </xf>
    <xf numFmtId="3" fontId="0" fillId="26" borderId="0" applyAlignment="1" applyProtection="1" pivotButton="0" quotePrefix="0" xfId="0">
      <alignment horizontal="right"/>
      <protection locked="0" hidden="0"/>
    </xf>
    <xf numFmtId="3" fontId="0" fillId="16" borderId="0" applyAlignment="1" applyProtection="1" pivotButton="0" quotePrefix="0" xfId="0">
      <alignment horizontal="right"/>
      <protection locked="0" hidden="0"/>
    </xf>
    <xf numFmtId="3" fontId="0" fillId="16" borderId="7" applyProtection="1" pivotButton="0" quotePrefix="0" xfId="0">
      <protection locked="0" hidden="0"/>
    </xf>
    <xf numFmtId="3" fontId="0" fillId="16" borderId="7" applyAlignment="1" applyProtection="1" pivotButton="0" quotePrefix="0" xfId="0">
      <alignment horizontal="right"/>
      <protection locked="0" hidden="0"/>
    </xf>
    <xf numFmtId="3" fontId="0" fillId="0" borderId="0" applyAlignment="1" applyProtection="1" pivotButton="0" quotePrefix="0" xfId="0">
      <alignment horizontal="center"/>
      <protection locked="0" hidden="0"/>
    </xf>
    <xf numFmtId="2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3" fontId="0" fillId="0" borderId="0" applyProtection="1" pivotButton="0" quotePrefix="0" xfId="0">
      <protection locked="0" hidden="0"/>
    </xf>
    <xf numFmtId="39" fontId="19" fillId="0" borderId="0" applyAlignment="1" applyProtection="1" pivotButton="0" quotePrefix="0" xfId="285">
      <alignment horizontal="center"/>
      <protection locked="0" hidden="0"/>
    </xf>
    <xf numFmtId="0" fontId="11" fillId="19" borderId="0" applyProtection="1" pivotButton="0" quotePrefix="0" xfId="0">
      <protection locked="0" hidden="0"/>
    </xf>
    <xf numFmtId="0" fontId="19" fillId="19" borderId="0" applyProtection="1" pivotButton="0" quotePrefix="0" xfId="0">
      <protection locked="0" hidden="0"/>
    </xf>
    <xf numFmtId="0" fontId="0" fillId="19" borderId="0" applyProtection="1" pivotButton="0" quotePrefix="0" xfId="0">
      <protection locked="0" hidden="0"/>
    </xf>
    <xf numFmtId="164" fontId="11" fillId="19" borderId="0" applyProtection="1" pivotButton="0" quotePrefix="0" xfId="0">
      <protection locked="0" hidden="0"/>
    </xf>
    <xf numFmtId="0" fontId="11" fillId="26" borderId="15" applyProtection="1" pivotButton="0" quotePrefix="0" xfId="0">
      <protection locked="0" hidden="0"/>
    </xf>
    <xf numFmtId="39" fontId="11" fillId="26" borderId="15" applyProtection="1" pivotButton="0" quotePrefix="0" xfId="1184">
      <protection locked="0" hidden="0"/>
    </xf>
    <xf numFmtId="0" fontId="34" fillId="24" borderId="0" applyAlignment="1" applyProtection="1" pivotButton="0" quotePrefix="0" xfId="0">
      <alignment horizontal="center"/>
      <protection locked="0" hidden="0"/>
    </xf>
    <xf numFmtId="0" fontId="34" fillId="33" borderId="0" applyProtection="1" pivotButton="0" quotePrefix="0" xfId="0">
      <protection locked="0" hidden="0"/>
    </xf>
    <xf numFmtId="0" fontId="0" fillId="33" borderId="0" applyProtection="1" pivotButton="0" quotePrefix="0" xfId="0">
      <protection locked="0" hidden="0"/>
    </xf>
    <xf numFmtId="0" fontId="85" fillId="42" borderId="0" applyProtection="1" pivotButton="0" quotePrefix="0" xfId="0">
      <protection locked="0" hidden="0"/>
    </xf>
    <xf numFmtId="0" fontId="21" fillId="42" borderId="0" applyProtection="1" pivotButton="0" quotePrefix="0" xfId="0">
      <protection locked="0" hidden="0"/>
    </xf>
    <xf numFmtId="0" fontId="19" fillId="24" borderId="0" applyProtection="1" pivotButton="0" quotePrefix="1" xfId="0">
      <protection locked="0" hidden="0"/>
    </xf>
    <xf numFmtId="9" fontId="19" fillId="24" borderId="0" applyAlignment="1" applyProtection="1" pivotButton="0" quotePrefix="0" xfId="0">
      <alignment horizontal="center"/>
      <protection locked="0" hidden="0"/>
    </xf>
    <xf numFmtId="0" fontId="19" fillId="24" borderId="4" applyProtection="1" pivotButton="0" quotePrefix="0" xfId="0">
      <protection locked="0" hidden="0"/>
    </xf>
    <xf numFmtId="164" fontId="19" fillId="24" borderId="5" applyProtection="1" pivotButton="0" quotePrefix="0" xfId="0">
      <protection locked="0" hidden="0"/>
    </xf>
    <xf numFmtId="164" fontId="19" fillId="24" borderId="7" applyProtection="1" pivotButton="0" quotePrefix="0" xfId="0">
      <protection locked="0" hidden="0"/>
    </xf>
    <xf numFmtId="164" fontId="19" fillId="24" borderId="0" applyProtection="1" pivotButton="0" quotePrefix="0" xfId="0">
      <protection locked="0" hidden="0"/>
    </xf>
    <xf numFmtId="0" fontId="19" fillId="41" borderId="0" applyProtection="1" pivotButton="0" quotePrefix="0" xfId="0">
      <protection locked="0" hidden="0"/>
    </xf>
    <xf numFmtId="0" fontId="13" fillId="0" borderId="0" applyAlignment="1" applyProtection="1" pivotButton="0" quotePrefix="0" xfId="0">
      <alignment horizontal="right"/>
      <protection locked="0" hidden="0"/>
    </xf>
    <xf numFmtId="0" fontId="17" fillId="0" borderId="7" applyAlignment="1" applyProtection="1" pivotButton="0" quotePrefix="0" xfId="0">
      <alignment horizontal="center"/>
      <protection locked="0" hidden="0"/>
    </xf>
    <xf numFmtId="0" fontId="10" fillId="0" borderId="1" applyAlignment="1" applyProtection="1" pivotButton="0" quotePrefix="0" xfId="0">
      <alignment horizontal="left"/>
      <protection locked="0" hidden="0"/>
    </xf>
    <xf numFmtId="0" fontId="10" fillId="0" borderId="2" applyAlignment="1" applyProtection="1" pivotButton="0" quotePrefix="0" xfId="0">
      <alignment horizontal="left"/>
      <protection locked="0" hidden="0"/>
    </xf>
    <xf numFmtId="0" fontId="10" fillId="0" borderId="3" applyAlignment="1" applyProtection="1" pivotButton="0" quotePrefix="0" xfId="0">
      <alignment horizontal="left"/>
      <protection locked="0" hidden="0"/>
    </xf>
    <xf numFmtId="0" fontId="11" fillId="0" borderId="6" applyAlignment="1" applyProtection="1" pivotButton="0" quotePrefix="0" xfId="0">
      <alignment horizontal="left"/>
      <protection locked="0" hidden="0"/>
    </xf>
    <xf numFmtId="0" fontId="11" fillId="0" borderId="7" applyAlignment="1" applyProtection="1" pivotButton="0" quotePrefix="0" xfId="0">
      <alignment horizontal="left"/>
      <protection locked="0" hidden="0"/>
    </xf>
    <xf numFmtId="0" fontId="11" fillId="0" borderId="8" applyAlignment="1" applyProtection="1" pivotButton="0" quotePrefix="0" xfId="0">
      <alignment horizontal="left"/>
      <protection locked="0" hidden="0"/>
    </xf>
    <xf numFmtId="0" fontId="0" fillId="0" borderId="9" applyAlignment="1" applyProtection="1" pivotButton="0" quotePrefix="0" xfId="0">
      <alignment horizontal="left"/>
      <protection locked="0" hidden="0"/>
    </xf>
    <xf numFmtId="0" fontId="0" fillId="0" borderId="11" applyAlignment="1" applyProtection="1" pivotButton="0" quotePrefix="0" xfId="0">
      <alignment horizontal="left"/>
      <protection locked="0" hidden="0"/>
    </xf>
    <xf numFmtId="0" fontId="48" fillId="0" borderId="7" applyAlignment="1" applyProtection="1" pivotButton="0" quotePrefix="0" xfId="0">
      <alignment horizontal="center"/>
      <protection locked="0" hidden="0"/>
    </xf>
    <xf numFmtId="0" fontId="48" fillId="0" borderId="7" applyAlignment="1" pivotButton="0" quotePrefix="0" xfId="0">
      <alignment horizontal="center"/>
    </xf>
    <xf numFmtId="0" fontId="17" fillId="0" borderId="7" applyAlignment="1" pivotButton="0" quotePrefix="0" xfId="0">
      <alignment horizontal="center"/>
    </xf>
    <xf numFmtId="0" fontId="11" fillId="41" borderId="11" applyProtection="1" pivotButton="0" quotePrefix="0" xfId="0">
      <protection locked="0" hidden="0"/>
    </xf>
    <xf numFmtId="0" fontId="19" fillId="16" borderId="0" applyAlignment="1" applyProtection="1" pivotButton="0" quotePrefix="0" xfId="0">
      <alignment horizontal="right"/>
      <protection locked="0" hidden="0"/>
    </xf>
    <xf numFmtId="0" fontId="19" fillId="27" borderId="15" applyProtection="1" pivotButton="0" quotePrefix="0" xfId="0">
      <protection locked="0" hidden="0"/>
    </xf>
    <xf numFmtId="39" fontId="19" fillId="27" borderId="15" applyProtection="1" pivotButton="0" quotePrefix="0" xfId="1184">
      <protection locked="0" hidden="0"/>
    </xf>
    <xf numFmtId="39" fontId="19" fillId="0" borderId="15" applyProtection="1" pivotButton="0" quotePrefix="0" xfId="1184">
      <protection locked="0" hidden="0"/>
    </xf>
    <xf numFmtId="0" fontId="19" fillId="0" borderId="0" applyProtection="1" pivotButton="0" quotePrefix="1" xfId="0">
      <protection locked="0" hidden="0"/>
    </xf>
    <xf numFmtId="0" fontId="15" fillId="0" borderId="4" applyAlignment="1" applyProtection="1" pivotButton="0" quotePrefix="0" xfId="0">
      <alignment horizontal="right"/>
      <protection locked="0" hidden="0"/>
    </xf>
    <xf numFmtId="3" fontId="15" fillId="0" borderId="9" applyAlignment="1" applyProtection="1" pivotButton="0" quotePrefix="0" xfId="0">
      <alignment horizontal="right"/>
      <protection locked="0" hidden="0"/>
    </xf>
    <xf numFmtId="0" fontId="35" fillId="0" borderId="9" applyAlignment="1" applyProtection="1" pivotButton="0" quotePrefix="0" xfId="0">
      <alignment horizontal="right"/>
      <protection locked="0" hidden="0"/>
    </xf>
    <xf numFmtId="166" fontId="19" fillId="0" borderId="15" applyAlignment="1" applyProtection="1" pivotButton="0" quotePrefix="0" xfId="285">
      <alignment horizontal="right"/>
      <protection locked="0" hidden="0"/>
    </xf>
    <xf numFmtId="164" fontId="11" fillId="16" borderId="15" applyProtection="1" pivotButton="0" quotePrefix="0" xfId="0">
      <protection locked="0" hidden="0"/>
    </xf>
    <xf numFmtId="0" fontId="11" fillId="16" borderId="11" applyProtection="1" pivotButton="0" quotePrefix="0" xfId="0">
      <protection locked="0" hidden="0"/>
    </xf>
    <xf numFmtId="0" fontId="19" fillId="0" borderId="15" applyAlignment="1" applyProtection="1" pivotButton="0" quotePrefix="1" xfId="0">
      <alignment horizontal="center"/>
      <protection locked="0" hidden="0"/>
    </xf>
    <xf numFmtId="178" fontId="11" fillId="0" borderId="0" pivotButton="0" quotePrefix="0" xfId="0"/>
    <xf numFmtId="0" fontId="25" fillId="0" borderId="0" applyAlignment="1" pivotButton="0" quotePrefix="0" xfId="0">
      <alignment horizontal="center"/>
    </xf>
    <xf numFmtId="10" fontId="34" fillId="0" borderId="8" applyAlignment="1" applyProtection="1" pivotButton="0" quotePrefix="0" xfId="647">
      <alignment horizontal="center"/>
      <protection locked="0" hidden="0"/>
    </xf>
    <xf numFmtId="165" fontId="19" fillId="0" borderId="11" applyProtection="1" pivotButton="0" quotePrefix="0" xfId="285">
      <protection locked="0" hidden="0"/>
    </xf>
    <xf numFmtId="0" fontId="48" fillId="0" borderId="9" applyAlignment="1" applyProtection="1" pivotButton="0" quotePrefix="0" xfId="0">
      <alignment horizontal="right"/>
      <protection locked="0" hidden="0"/>
    </xf>
    <xf numFmtId="165" fontId="15" fillId="0" borderId="11" applyProtection="1" pivotButton="0" quotePrefix="0" xfId="285">
      <protection locked="0" hidden="0"/>
    </xf>
    <xf numFmtId="42" fontId="51" fillId="0" borderId="0" applyAlignment="1" applyProtection="1" pivotButton="0" quotePrefix="0" xfId="0">
      <alignment horizontal="left"/>
      <protection locked="0" hidden="0"/>
    </xf>
    <xf numFmtId="0" fontId="25" fillId="0" borderId="15" applyAlignment="1" applyProtection="1" pivotButton="0" quotePrefix="0" xfId="0">
      <alignment horizontal="right"/>
      <protection locked="0" hidden="0"/>
    </xf>
    <xf numFmtId="0" fontId="0" fillId="0" borderId="20" applyAlignment="1" applyProtection="1" pivotButton="0" quotePrefix="0" xfId="0">
      <alignment horizontal="right"/>
      <protection locked="0" hidden="0"/>
    </xf>
    <xf numFmtId="0" fontId="0" fillId="0" borderId="19" applyAlignment="1" applyProtection="1" pivotButton="0" quotePrefix="0" xfId="0">
      <alignment horizontal="right"/>
      <protection locked="0" hidden="0"/>
    </xf>
    <xf numFmtId="0" fontId="17" fillId="0" borderId="11" applyProtection="1" pivotButton="0" quotePrefix="0" xfId="0">
      <protection locked="0" hidden="0"/>
    </xf>
    <xf numFmtId="165" fontId="14" fillId="0" borderId="9" applyProtection="1" pivotButton="0" quotePrefix="0" xfId="285">
      <protection locked="0" hidden="0"/>
    </xf>
    <xf numFmtId="165" fontId="11" fillId="0" borderId="9" applyProtection="1" pivotButton="0" quotePrefix="0" xfId="285">
      <protection locked="0" hidden="0"/>
    </xf>
    <xf numFmtId="10" fontId="34" fillId="0" borderId="9" applyProtection="1" pivotButton="0" quotePrefix="0" xfId="647">
      <protection locked="0" hidden="0"/>
    </xf>
    <xf numFmtId="0" fontId="64" fillId="0" borderId="0" applyAlignment="1" applyProtection="1" pivotButton="0" quotePrefix="0" xfId="0">
      <alignment horizontal="right"/>
      <protection locked="0" hidden="0"/>
    </xf>
    <xf numFmtId="0" fontId="64" fillId="19" borderId="0" pivotButton="0" quotePrefix="0" xfId="0"/>
    <xf numFmtId="0" fontId="34" fillId="0" borderId="7" applyProtection="1" pivotButton="0" quotePrefix="0" xfId="0">
      <protection locked="0" hidden="0"/>
    </xf>
    <xf numFmtId="0" fontId="48" fillId="0" borderId="7" pivotButton="0" quotePrefix="0" xfId="0"/>
    <xf numFmtId="0" fontId="17" fillId="0" borderId="7" pivotButton="0" quotePrefix="0" xfId="0"/>
    <xf numFmtId="0" fontId="0" fillId="0" borderId="7" applyAlignment="1" pivotButton="0" quotePrefix="0" xfId="0">
      <alignment horizontal="left"/>
    </xf>
    <xf numFmtId="0" fontId="0" fillId="0" borderId="0" applyAlignment="1" applyProtection="1" pivotButton="0" quotePrefix="0" xfId="0">
      <alignment horizontal="right" vertical="center"/>
      <protection locked="0" hidden="0"/>
    </xf>
    <xf numFmtId="0" fontId="1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11" fillId="0" borderId="0" applyAlignment="1" applyProtection="1" pivotButton="0" quotePrefix="0" xfId="0">
      <alignment horizontal="right" vertical="center"/>
      <protection locked="0" hidden="0"/>
    </xf>
    <xf numFmtId="0" fontId="0" fillId="19" borderId="7" applyProtection="1" pivotButton="0" quotePrefix="0" xfId="0">
      <protection locked="0" hidden="0"/>
    </xf>
    <xf numFmtId="0" fontId="34" fillId="4" borderId="7" applyAlignment="1" applyProtection="1" pivotButton="0" quotePrefix="0" xfId="0">
      <alignment horizontal="center"/>
      <protection locked="0" hidden="0"/>
    </xf>
    <xf numFmtId="0" fontId="0" fillId="4" borderId="7" applyProtection="1" pivotButton="0" quotePrefix="0" xfId="0">
      <protection locked="0" hidden="0"/>
    </xf>
    <xf numFmtId="0" fontId="0" fillId="38" borderId="0" applyProtection="1" pivotButton="0" quotePrefix="0" xfId="0">
      <protection locked="0" hidden="0"/>
    </xf>
    <xf numFmtId="0" fontId="17" fillId="28" borderId="0" applyAlignment="1" applyProtection="1" pivotButton="0" quotePrefix="0" xfId="0">
      <alignment horizontal="center"/>
      <protection locked="0" hidden="0"/>
    </xf>
    <xf numFmtId="0" fontId="17" fillId="26" borderId="0" applyAlignment="1" applyProtection="1" pivotButton="0" quotePrefix="0" xfId="0">
      <alignment horizontal="center"/>
      <protection locked="0" hidden="0"/>
    </xf>
    <xf numFmtId="0" fontId="17" fillId="27" borderId="0" applyAlignment="1" applyProtection="1" pivotButton="0" quotePrefix="0" xfId="0">
      <alignment horizontal="center"/>
      <protection locked="0" hidden="0"/>
    </xf>
    <xf numFmtId="0" fontId="17" fillId="4" borderId="15" applyProtection="1" pivotButton="0" quotePrefix="0" xfId="0">
      <protection locked="0" hidden="0"/>
    </xf>
    <xf numFmtId="0" fontId="17" fillId="23" borderId="21" applyAlignment="1" applyProtection="1" pivotButton="0" quotePrefix="0" xfId="0">
      <alignment horizontal="center"/>
      <protection locked="0" hidden="0"/>
    </xf>
    <xf numFmtId="167" fontId="0" fillId="0" borderId="7" applyProtection="1" pivotButton="0" quotePrefix="0" xfId="286">
      <protection locked="0" hidden="0"/>
    </xf>
    <xf numFmtId="0" fontId="17" fillId="27" borderId="7" applyAlignment="1" applyProtection="1" pivotButton="0" quotePrefix="0" xfId="0">
      <alignment horizontal="right"/>
      <protection locked="0" hidden="0"/>
    </xf>
    <xf numFmtId="0" fontId="0" fillId="24" borderId="21" pivotButton="0" quotePrefix="0" xfId="0"/>
    <xf numFmtId="0" fontId="0" fillId="24" borderId="21" applyAlignment="1" pivotButton="0" quotePrefix="0" xfId="0">
      <alignment horizontal="center"/>
    </xf>
    <xf numFmtId="0" fontId="0" fillId="24" borderId="1" pivotButton="0" quotePrefix="0" xfId="0"/>
    <xf numFmtId="2" fontId="0" fillId="24" borderId="1" pivotButton="0" quotePrefix="0" xfId="0"/>
    <xf numFmtId="177" fontId="17" fillId="24" borderId="56" pivotButton="0" quotePrefix="0" xfId="0"/>
    <xf numFmtId="0" fontId="46" fillId="24" borderId="57" pivotButton="0" quotePrefix="0" xfId="0"/>
    <xf numFmtId="0" fontId="0" fillId="27" borderId="41" pivotButton="0" quotePrefix="0" xfId="0"/>
    <xf numFmtId="0" fontId="0" fillId="27" borderId="41" applyAlignment="1" pivotButton="0" quotePrefix="0" xfId="0">
      <alignment horizontal="center"/>
    </xf>
    <xf numFmtId="0" fontId="0" fillId="27" borderId="42" pivotButton="0" quotePrefix="0" xfId="0"/>
    <xf numFmtId="2" fontId="0" fillId="27" borderId="42" pivotButton="0" quotePrefix="0" xfId="0"/>
    <xf numFmtId="177" fontId="17" fillId="27" borderId="32" pivotButton="0" quotePrefix="0" xfId="0"/>
    <xf numFmtId="0" fontId="34" fillId="27" borderId="50" pivotButton="0" quotePrefix="1" xfId="0"/>
    <xf numFmtId="0" fontId="0" fillId="27" borderId="34" pivotButton="0" quotePrefix="0" xfId="0"/>
    <xf numFmtId="0" fontId="0" fillId="27" borderId="34" applyAlignment="1" pivotButton="0" quotePrefix="0" xfId="0">
      <alignment horizontal="center"/>
    </xf>
    <xf numFmtId="0" fontId="0" fillId="27" borderId="36" pivotButton="0" quotePrefix="0" xfId="0"/>
    <xf numFmtId="2" fontId="0" fillId="27" borderId="36" pivotButton="0" quotePrefix="0" xfId="0"/>
    <xf numFmtId="177" fontId="17" fillId="27" borderId="53" pivotButton="0" quotePrefix="0" xfId="0"/>
    <xf numFmtId="0" fontId="34" fillId="27" borderId="51" pivotButton="0" quotePrefix="0" xfId="0"/>
    <xf numFmtId="0" fontId="34" fillId="41" borderId="43" pivotButton="0" quotePrefix="0" xfId="0"/>
    <xf numFmtId="177" fontId="0" fillId="0" borderId="0" applyAlignment="1" pivotButton="0" quotePrefix="0" xfId="285">
      <alignment horizontal="left"/>
    </xf>
    <xf numFmtId="177" fontId="0" fillId="0" borderId="0" applyProtection="1" pivotButton="0" quotePrefix="0" xfId="0">
      <protection locked="0" hidden="0"/>
    </xf>
    <xf numFmtId="0" fontId="48" fillId="27" borderId="22" applyAlignment="1" pivotButton="0" quotePrefix="0" xfId="0">
      <alignment horizontal="center"/>
    </xf>
    <xf numFmtId="0" fontId="34" fillId="27" borderId="27" applyAlignment="1" pivotButton="0" quotePrefix="0" xfId="0">
      <alignment horizontal="center" vertical="top"/>
    </xf>
    <xf numFmtId="166" fontId="17" fillId="26" borderId="0" applyAlignment="1" pivotButton="0" quotePrefix="0" xfId="285">
      <alignment horizontal="center"/>
    </xf>
    <xf numFmtId="0" fontId="0" fillId="0" borderId="7" applyAlignment="1" applyProtection="1" pivotButton="0" quotePrefix="0" xfId="0">
      <alignment horizontal="center"/>
      <protection locked="0" hidden="0"/>
    </xf>
    <xf numFmtId="0" fontId="34" fillId="16" borderId="7" applyAlignment="1" applyProtection="1" pivotButton="0" quotePrefix="0" xfId="0">
      <alignment horizontal="center"/>
      <protection locked="0" hidden="0"/>
    </xf>
    <xf numFmtId="167" fontId="17" fillId="0" borderId="0" pivotButton="0" quotePrefix="0" xfId="1183"/>
    <xf numFmtId="0" fontId="10" fillId="41" borderId="0" pivotButton="0" quotePrefix="0" xfId="0"/>
    <xf numFmtId="0" fontId="0" fillId="41" borderId="0" pivotButton="0" quotePrefix="0" xfId="0"/>
    <xf numFmtId="0" fontId="17" fillId="41" borderId="0" applyAlignment="1" pivotButton="0" quotePrefix="0" xfId="0">
      <alignment horizontal="center"/>
    </xf>
    <xf numFmtId="165" fontId="11" fillId="41" borderId="0" applyAlignment="1" pivotButton="0" quotePrefix="0" xfId="852">
      <alignment horizontal="center"/>
    </xf>
    <xf numFmtId="0" fontId="0" fillId="0" borderId="0" applyAlignment="1" pivotButton="0" quotePrefix="0" xfId="0">
      <alignment horizontal="center" vertical="center"/>
    </xf>
    <xf numFmtId="2" fontId="0" fillId="0" borderId="0" pivotButton="0" quotePrefix="0" xfId="0"/>
    <xf numFmtId="177" fontId="17" fillId="0" borderId="0" pivotButton="0" quotePrefix="0" xfId="0"/>
    <xf numFmtId="167" fontId="0" fillId="26" borderId="0" applyProtection="1" pivotButton="0" quotePrefix="0" xfId="286">
      <protection locked="0" hidden="0"/>
    </xf>
    <xf numFmtId="0" fontId="34" fillId="0" borderId="0" applyAlignment="1" applyProtection="1" pivotButton="0" quotePrefix="1" xfId="0">
      <alignment horizontal="right"/>
      <protection locked="0" hidden="0"/>
    </xf>
    <xf numFmtId="0" fontId="10" fillId="26" borderId="0" applyAlignment="1" applyProtection="1" pivotButton="0" quotePrefix="0" xfId="1184">
      <alignment horizontal="center"/>
      <protection locked="0" hidden="0"/>
    </xf>
    <xf numFmtId="0" fontId="19" fillId="0" borderId="0" applyAlignment="1" applyProtection="1" pivotButton="0" quotePrefix="0" xfId="0">
      <alignment vertical="center"/>
      <protection locked="0" hidden="0"/>
    </xf>
    <xf numFmtId="0" fontId="11" fillId="0" borderId="4" applyAlignment="1" applyProtection="1" pivotButton="0" quotePrefix="0" xfId="0">
      <alignment horizontal="left" vertical="center"/>
      <protection locked="0" hidden="0"/>
    </xf>
    <xf numFmtId="0" fontId="47" fillId="28" borderId="1" applyAlignment="1" pivotButton="0" quotePrefix="0" xfId="0">
      <alignment horizontal="center"/>
    </xf>
    <xf numFmtId="4" fontId="11" fillId="28" borderId="6" applyAlignment="1" pivotButton="0" quotePrefix="0" xfId="0">
      <alignment horizontal="center"/>
    </xf>
    <xf numFmtId="167" fontId="17" fillId="0" borderId="0" applyProtection="1" pivotButton="0" quotePrefix="0" xfId="0">
      <protection locked="0" hidden="0"/>
    </xf>
    <xf numFmtId="2" fontId="14" fillId="0" borderId="0" applyProtection="1" pivotButton="0" quotePrefix="0" xfId="0">
      <protection locked="0" hidden="0"/>
    </xf>
    <xf numFmtId="0" fontId="14" fillId="16" borderId="1" applyAlignment="1" applyProtection="1" pivotButton="0" quotePrefix="0" xfId="0">
      <alignment horizontal="right"/>
      <protection locked="0" hidden="0"/>
    </xf>
    <xf numFmtId="0" fontId="11" fillId="16" borderId="2" applyProtection="1" pivotButton="0" quotePrefix="0" xfId="0">
      <protection locked="0" hidden="0"/>
    </xf>
    <xf numFmtId="167" fontId="17" fillId="16" borderId="11" applyProtection="1" pivotButton="0" quotePrefix="0" xfId="286">
      <protection locked="0" hidden="0"/>
    </xf>
    <xf numFmtId="167" fontId="17" fillId="16" borderId="11" applyProtection="1" pivotButton="0" quotePrefix="0" xfId="1183">
      <protection locked="0" hidden="0"/>
    </xf>
    <xf numFmtId="2" fontId="14" fillId="0" borderId="0" pivotButton="0" quotePrefix="0" xfId="0"/>
    <xf numFmtId="3" fontId="14" fillId="0" borderId="0" applyAlignment="1" pivotButton="0" quotePrefix="0" xfId="0">
      <alignment horizontal="left"/>
    </xf>
    <xf numFmtId="0" fontId="19" fillId="16" borderId="2" applyAlignment="1" applyProtection="1" pivotButton="0" quotePrefix="0" xfId="0">
      <alignment horizontal="center"/>
      <protection locked="0" hidden="0"/>
    </xf>
    <xf numFmtId="0" fontId="14" fillId="32" borderId="9" applyProtection="1" pivotButton="0" quotePrefix="1" xfId="0">
      <protection locked="0" hidden="0"/>
    </xf>
    <xf numFmtId="0" fontId="34" fillId="27" borderId="0" applyAlignment="1" applyProtection="1" pivotButton="0" quotePrefix="0" xfId="0">
      <alignment horizontal="right"/>
      <protection locked="0" hidden="0"/>
    </xf>
    <xf numFmtId="39" fontId="15" fillId="0" borderId="15" applyProtection="1" pivotButton="0" quotePrefix="0" xfId="1184">
      <protection locked="0" hidden="0"/>
    </xf>
    <xf numFmtId="0" fontId="15" fillId="0" borderId="15" applyAlignment="1" applyProtection="1" pivotButton="0" quotePrefix="1" xfId="0">
      <alignment horizontal="center"/>
      <protection locked="0" hidden="0"/>
    </xf>
    <xf numFmtId="9" fontId="17" fillId="25" borderId="0" applyProtection="1" pivotButton="0" quotePrefix="0" xfId="0">
      <protection locked="0" hidden="0"/>
    </xf>
    <xf numFmtId="0" fontId="17" fillId="0" borderId="0" applyAlignment="1" applyProtection="1" pivotButton="0" quotePrefix="0" xfId="0">
      <alignment horizontal="right"/>
      <protection locked="0" hidden="0"/>
    </xf>
    <xf numFmtId="0" fontId="14" fillId="7" borderId="0" applyAlignment="1" applyProtection="1" pivotButton="0" quotePrefix="0" xfId="0">
      <alignment horizontal="center"/>
      <protection locked="0" hidden="0"/>
    </xf>
    <xf numFmtId="0" fontId="11" fillId="0" borderId="11" applyAlignment="1" applyProtection="1" pivotButton="0" quotePrefix="0" xfId="0">
      <alignment horizontal="center"/>
      <protection locked="0" hidden="0"/>
    </xf>
    <xf numFmtId="0" fontId="0" fillId="16" borderId="7" applyAlignment="1" applyProtection="1" pivotButton="0" quotePrefix="0" xfId="0">
      <alignment horizontal="center"/>
      <protection locked="0" hidden="0"/>
    </xf>
    <xf numFmtId="0" fontId="17" fillId="34" borderId="0" applyAlignment="1" applyProtection="1" pivotButton="0" quotePrefix="0" xfId="0">
      <alignment horizontal="center"/>
      <protection locked="0" hidden="0"/>
    </xf>
    <xf numFmtId="0" fontId="11" fillId="47" borderId="0" applyAlignment="1" pivotButton="0" quotePrefix="0" xfId="0">
      <alignment horizontal="right"/>
    </xf>
    <xf numFmtId="177" fontId="11" fillId="47" borderId="0" pivotButton="0" quotePrefix="0" xfId="0"/>
    <xf numFmtId="177" fontId="11" fillId="0" borderId="0" applyAlignment="1" pivotButton="0" quotePrefix="0" xfId="0">
      <alignment horizontal="center"/>
    </xf>
    <xf numFmtId="0" fontId="11" fillId="47" borderId="0" applyAlignment="1" pivotButton="0" quotePrefix="0" xfId="0">
      <alignment horizontal="left"/>
    </xf>
    <xf numFmtId="9" fontId="14" fillId="47" borderId="0" applyAlignment="1" pivotButton="0" quotePrefix="0" xfId="647">
      <alignment horizontal="right"/>
    </xf>
    <xf numFmtId="9" fontId="14" fillId="47" borderId="0" applyAlignment="1" pivotButton="0" quotePrefix="0" xfId="647">
      <alignment horizontal="center"/>
    </xf>
    <xf numFmtId="177" fontId="11" fillId="26" borderId="0" pivotButton="0" quotePrefix="0" xfId="0"/>
    <xf numFmtId="177" fontId="11" fillId="26" borderId="17" pivotButton="0" quotePrefix="0" xfId="0"/>
    <xf numFmtId="0" fontId="11" fillId="47" borderId="0" applyAlignment="1" pivotButton="0" quotePrefix="0" xfId="0">
      <alignment horizontal="center"/>
    </xf>
    <xf numFmtId="0" fontId="92" fillId="26" borderId="0" applyAlignment="1" applyProtection="1" pivotButton="0" quotePrefix="0" xfId="0">
      <alignment horizontal="center" vertical="center"/>
      <protection locked="0" hidden="0"/>
    </xf>
    <xf numFmtId="0" fontId="92" fillId="34" borderId="0" applyAlignment="1" applyProtection="1" pivotButton="0" quotePrefix="0" xfId="0">
      <alignment horizontal="center" vertical="center"/>
      <protection locked="0" hidden="0"/>
    </xf>
    <xf numFmtId="9" fontId="11" fillId="41" borderId="10" applyProtection="1" pivotButton="0" quotePrefix="0" xfId="1079">
      <protection locked="0" hidden="0"/>
    </xf>
    <xf numFmtId="0" fontId="19" fillId="41" borderId="0" applyProtection="1" pivotButton="0" quotePrefix="1" xfId="0">
      <protection locked="0" hidden="0"/>
    </xf>
    <xf numFmtId="9" fontId="11" fillId="41" borderId="10" applyProtection="1" pivotButton="0" quotePrefix="0" xfId="647">
      <protection locked="0" hidden="0"/>
    </xf>
    <xf numFmtId="0" fontId="11" fillId="41" borderId="0" applyProtection="1" pivotButton="0" quotePrefix="0" xfId="0">
      <protection locked="0" hidden="0"/>
    </xf>
    <xf numFmtId="0" fontId="10" fillId="26" borderId="4" applyAlignment="1" applyProtection="1" pivotButton="0" quotePrefix="0" xfId="0">
      <alignment horizontal="center"/>
      <protection locked="0" hidden="0"/>
    </xf>
    <xf numFmtId="0" fontId="10" fillId="34" borderId="4" applyAlignment="1" applyProtection="1" pivotButton="0" quotePrefix="0" xfId="0">
      <alignment horizontal="center"/>
      <protection locked="0" hidden="0"/>
    </xf>
    <xf numFmtId="167" fontId="11" fillId="0" borderId="0" applyProtection="1" pivotButton="0" quotePrefix="0" xfId="286">
      <protection locked="0" hidden="0"/>
    </xf>
    <xf numFmtId="167" fontId="34" fillId="0" borderId="0" applyProtection="1" pivotButton="0" quotePrefix="0" xfId="286">
      <protection locked="0" hidden="0"/>
    </xf>
    <xf numFmtId="164" fontId="10" fillId="7" borderId="7" applyProtection="1" pivotButton="0" quotePrefix="0" xfId="0">
      <protection locked="0" hidden="0"/>
    </xf>
    <xf numFmtId="164" fontId="0" fillId="0" borderId="5" applyProtection="1" pivotButton="0" quotePrefix="0" xfId="0">
      <protection locked="0" hidden="0"/>
    </xf>
    <xf numFmtId="0" fontId="14" fillId="10" borderId="9" applyProtection="1" pivotButton="0" quotePrefix="0" xfId="0">
      <protection locked="0" hidden="0"/>
    </xf>
    <xf numFmtId="0" fontId="15" fillId="10" borderId="10" applyAlignment="1" applyProtection="1" pivotButton="0" quotePrefix="0" xfId="0">
      <alignment horizontal="center"/>
      <protection locked="0" hidden="0"/>
    </xf>
    <xf numFmtId="164" fontId="15" fillId="10" borderId="10" applyProtection="1" pivotButton="0" quotePrefix="0" xfId="0">
      <protection locked="0" hidden="0"/>
    </xf>
    <xf numFmtId="164" fontId="15" fillId="10" borderId="11" applyProtection="1" pivotButton="0" quotePrefix="0" xfId="0">
      <protection locked="0" hidden="0"/>
    </xf>
    <xf numFmtId="164" fontId="10" fillId="16" borderId="0" applyProtection="1" pivotButton="0" quotePrefix="0" xfId="0">
      <protection locked="0" hidden="0"/>
    </xf>
    <xf numFmtId="0" fontId="14" fillId="10" borderId="9" pivotButton="0" quotePrefix="0" xfId="0"/>
    <xf numFmtId="0" fontId="15" fillId="10" borderId="10" applyAlignment="1" pivotButton="0" quotePrefix="0" xfId="0">
      <alignment horizontal="center"/>
    </xf>
    <xf numFmtId="164" fontId="15" fillId="10" borderId="10" pivotButton="0" quotePrefix="0" xfId="0"/>
    <xf numFmtId="164" fontId="15" fillId="10" borderId="11" pivotButton="0" quotePrefix="0" xfId="0"/>
    <xf numFmtId="164" fontId="19" fillId="7" borderId="8" applyProtection="1" pivotButton="0" quotePrefix="0" xfId="0">
      <protection locked="0" hidden="0"/>
    </xf>
    <xf numFmtId="10" fontId="19" fillId="7" borderId="7" applyAlignment="1" applyProtection="1" pivotButton="0" quotePrefix="1" xfId="0">
      <alignment horizontal="center"/>
      <protection locked="0" hidden="0"/>
    </xf>
    <xf numFmtId="0" fontId="0" fillId="2" borderId="58" applyAlignment="1" applyProtection="1" pivotButton="0" quotePrefix="0" xfId="0">
      <alignment horizontal="center"/>
      <protection locked="0" hidden="0"/>
    </xf>
    <xf numFmtId="177" fontId="17" fillId="34" borderId="59" applyProtection="1" pivotButton="0" quotePrefix="0" xfId="286">
      <protection locked="0" hidden="0"/>
    </xf>
    <xf numFmtId="0" fontId="19" fillId="0" borderId="25" applyAlignment="1" applyProtection="1" pivotButton="0" quotePrefix="0" xfId="0">
      <alignment horizontal="right"/>
      <protection locked="0" hidden="0"/>
    </xf>
    <xf numFmtId="177" fontId="3" fillId="0" borderId="26" applyProtection="1" pivotButton="0" quotePrefix="0" xfId="286">
      <protection locked="0" hidden="0"/>
    </xf>
    <xf numFmtId="0" fontId="19" fillId="0" borderId="58" applyAlignment="1" applyProtection="1" pivotButton="0" quotePrefix="1" xfId="0">
      <alignment horizontal="right"/>
      <protection locked="0" hidden="0"/>
    </xf>
    <xf numFmtId="177" fontId="11" fillId="0" borderId="59" applyProtection="1" pivotButton="0" quotePrefix="0" xfId="286">
      <protection locked="0" hidden="0"/>
    </xf>
    <xf numFmtId="167" fontId="11" fillId="0" borderId="26" applyProtection="1" pivotButton="0" quotePrefix="0" xfId="286">
      <protection locked="0" hidden="0"/>
    </xf>
    <xf numFmtId="0" fontId="34" fillId="0" borderId="27" applyProtection="1" pivotButton="0" quotePrefix="0" xfId="0">
      <protection locked="0" hidden="0"/>
    </xf>
    <xf numFmtId="164" fontId="11" fillId="0" borderId="29" applyProtection="1" pivotButton="0" quotePrefix="0" xfId="0">
      <protection locked="0" hidden="0"/>
    </xf>
    <xf numFmtId="3" fontId="11" fillId="45" borderId="60" applyAlignment="1" applyProtection="1" pivotButton="0" quotePrefix="0" xfId="0">
      <alignment horizontal="left"/>
      <protection locked="0" hidden="0"/>
    </xf>
    <xf numFmtId="3" fontId="11" fillId="45" borderId="50" applyAlignment="1" applyProtection="1" pivotButton="0" quotePrefix="0" xfId="0">
      <alignment horizontal="center"/>
      <protection locked="0" hidden="0"/>
    </xf>
    <xf numFmtId="3" fontId="11" fillId="28" borderId="60" applyAlignment="1" applyProtection="1" pivotButton="0" quotePrefix="0" xfId="0">
      <alignment horizontal="left"/>
      <protection locked="0" hidden="0"/>
    </xf>
    <xf numFmtId="3" fontId="11" fillId="28" borderId="50" applyAlignment="1" applyProtection="1" pivotButton="0" quotePrefix="0" xfId="0">
      <alignment horizontal="center"/>
      <protection locked="0" hidden="0"/>
    </xf>
    <xf numFmtId="0" fontId="34" fillId="0" borderId="0" applyProtection="1" pivotButton="0" quotePrefix="0" xfId="286">
      <protection locked="0" hidden="0"/>
    </xf>
    <xf numFmtId="0" fontId="34" fillId="24" borderId="0" applyAlignment="1" applyProtection="1" pivotButton="0" quotePrefix="0" xfId="0">
      <alignment horizontal="left"/>
      <protection locked="0" hidden="0"/>
    </xf>
    <xf numFmtId="167" fontId="34" fillId="48" borderId="14" applyProtection="1" pivotButton="0" quotePrefix="0" xfId="286">
      <protection locked="0" hidden="0"/>
    </xf>
    <xf numFmtId="164" fontId="19" fillId="28" borderId="12" applyAlignment="1" applyProtection="1" pivotButton="0" quotePrefix="0" xfId="0">
      <alignment horizontal="center"/>
      <protection locked="0" hidden="0"/>
    </xf>
    <xf numFmtId="164" fontId="19" fillId="45" borderId="12" applyAlignment="1" applyProtection="1" pivotButton="0" quotePrefix="0" xfId="0">
      <alignment horizontal="left"/>
      <protection locked="0" hidden="0"/>
    </xf>
    <xf numFmtId="0" fontId="0" fillId="48" borderId="14" applyProtection="1" pivotButton="0" quotePrefix="0" xfId="0">
      <protection locked="0" hidden="0"/>
    </xf>
    <xf numFmtId="0" fontId="2" fillId="48" borderId="12" applyProtection="1" pivotButton="0" quotePrefix="0" xfId="286">
      <protection locked="0" hidden="0"/>
    </xf>
    <xf numFmtId="0" fontId="19" fillId="28" borderId="61" applyAlignment="1" applyProtection="1" pivotButton="0" quotePrefix="0" xfId="0">
      <alignment horizontal="center"/>
      <protection locked="0" hidden="0"/>
    </xf>
    <xf numFmtId="0" fontId="34" fillId="28" borderId="53" applyAlignment="1" applyProtection="1" pivotButton="0" quotePrefix="0" xfId="0">
      <alignment horizontal="center"/>
      <protection locked="0" hidden="0"/>
    </xf>
    <xf numFmtId="0" fontId="19" fillId="45" borderId="61" applyAlignment="1" applyProtection="1" pivotButton="0" quotePrefix="0" xfId="0">
      <alignment horizontal="center"/>
      <protection locked="0" hidden="0"/>
    </xf>
    <xf numFmtId="0" fontId="34" fillId="45" borderId="53" applyAlignment="1" applyProtection="1" pivotButton="0" quotePrefix="0" xfId="0">
      <alignment horizontal="center"/>
      <protection locked="0" hidden="0"/>
    </xf>
    <xf numFmtId="0" fontId="2" fillId="48" borderId="12" applyAlignment="1" applyProtection="1" pivotButton="0" quotePrefix="0" xfId="286">
      <alignment horizontal="center"/>
      <protection locked="0" hidden="0"/>
    </xf>
    <xf numFmtId="164" fontId="19" fillId="28" borderId="12" applyAlignment="1" applyProtection="1" pivotButton="0" quotePrefix="0" xfId="0">
      <alignment horizontal="left"/>
      <protection locked="0" hidden="0"/>
    </xf>
    <xf numFmtId="0" fontId="14" fillId="37" borderId="4" applyAlignment="1" applyProtection="1" pivotButton="0" quotePrefix="0" xfId="0">
      <alignment horizontal="right"/>
      <protection locked="0" hidden="0"/>
    </xf>
    <xf numFmtId="0" fontId="15" fillId="37" borderId="4" applyAlignment="1" applyProtection="1" pivotButton="0" quotePrefix="0" xfId="0">
      <alignment horizontal="right"/>
      <protection locked="0" hidden="0"/>
    </xf>
    <xf numFmtId="164" fontId="11" fillId="41" borderId="15" applyProtection="1" pivotButton="0" quotePrefix="0" xfId="0">
      <protection locked="0" hidden="0"/>
    </xf>
    <xf numFmtId="167" fontId="14" fillId="49" borderId="12" applyProtection="1" pivotButton="0" quotePrefix="0" xfId="1183">
      <protection locked="0" hidden="0"/>
    </xf>
    <xf numFmtId="0" fontId="14" fillId="49" borderId="14" applyAlignment="1" applyProtection="1" pivotButton="0" quotePrefix="0" xfId="0">
      <alignment horizontal="right"/>
      <protection locked="0" hidden="0"/>
    </xf>
    <xf numFmtId="0" fontId="11" fillId="26" borderId="11" applyProtection="1" pivotButton="0" quotePrefix="0" xfId="0">
      <protection locked="0" hidden="0"/>
    </xf>
    <xf numFmtId="2" fontId="0" fillId="7" borderId="9" applyProtection="1" pivotButton="0" quotePrefix="0" xfId="0">
      <protection locked="0" hidden="0"/>
    </xf>
    <xf numFmtId="0" fontId="0" fillId="7" borderId="11" applyAlignment="1" applyProtection="1" pivotButton="0" quotePrefix="0" xfId="1183">
      <alignment horizontal="left"/>
      <protection locked="0" hidden="0"/>
    </xf>
    <xf numFmtId="3" fontId="14" fillId="23" borderId="15" applyAlignment="1" applyProtection="1" pivotButton="0" quotePrefix="0" xfId="0">
      <alignment horizontal="right"/>
      <protection locked="0" hidden="0"/>
    </xf>
    <xf numFmtId="1" fontId="14" fillId="33" borderId="15" applyAlignment="1" applyProtection="1" pivotButton="0" quotePrefix="0" xfId="0">
      <alignment horizontal="center"/>
      <protection locked="0" hidden="0"/>
    </xf>
    <xf numFmtId="177" fontId="19" fillId="7" borderId="0" applyAlignment="1" applyProtection="1" pivotButton="0" quotePrefix="0" xfId="0">
      <alignment horizontal="center"/>
      <protection locked="0" hidden="0"/>
    </xf>
    <xf numFmtId="0" fontId="34" fillId="4" borderId="0" applyAlignment="1" applyProtection="1" pivotButton="0" quotePrefix="1" xfId="0">
      <alignment vertical="center"/>
      <protection locked="0" hidden="0"/>
    </xf>
    <xf numFmtId="0" fontId="11" fillId="0" borderId="10" applyProtection="1" pivotButton="0" quotePrefix="0" xfId="0">
      <protection locked="0" hidden="0"/>
    </xf>
    <xf numFmtId="10" fontId="11" fillId="0" borderId="9" applyProtection="1" pivotButton="0" quotePrefix="1" xfId="647">
      <protection locked="0" hidden="0"/>
    </xf>
    <xf numFmtId="164" fontId="0" fillId="0" borderId="9" applyProtection="1" pivotButton="0" quotePrefix="0" xfId="0">
      <protection locked="0" hidden="0"/>
    </xf>
    <xf numFmtId="0" fontId="75" fillId="0" borderId="0" applyAlignment="1" applyProtection="1" pivotButton="0" quotePrefix="0" xfId="0">
      <alignment horizontal="left"/>
      <protection locked="0" hidden="0"/>
    </xf>
    <xf numFmtId="0" fontId="17" fillId="41" borderId="15" applyAlignment="1" applyProtection="1" pivotButton="0" quotePrefix="0" xfId="0">
      <alignment horizontal="right"/>
      <protection locked="0" hidden="0"/>
    </xf>
    <xf numFmtId="177" fontId="0" fillId="41" borderId="20" applyProtection="1" pivotButton="0" quotePrefix="0" xfId="0">
      <protection locked="0" hidden="0"/>
    </xf>
    <xf numFmtId="171" fontId="0" fillId="41" borderId="19" applyAlignment="1" applyProtection="1" pivotButton="0" quotePrefix="1" xfId="0">
      <alignment horizontal="right"/>
      <protection locked="0" hidden="0"/>
    </xf>
    <xf numFmtId="0" fontId="34" fillId="0" borderId="0" applyAlignment="1" applyProtection="1" pivotButton="0" quotePrefix="0" xfId="0">
      <alignment horizontal="center"/>
      <protection locked="0" hidden="0"/>
    </xf>
    <xf numFmtId="177" fontId="0" fillId="0" borderId="15" applyAlignment="1" applyProtection="1" pivotButton="0" quotePrefix="0" xfId="0">
      <alignment horizontal="center"/>
      <protection locked="0" hidden="0"/>
    </xf>
    <xf numFmtId="177" fontId="11" fillId="0" borderId="20" applyAlignment="1" applyProtection="1" pivotButton="0" quotePrefix="0" xfId="0">
      <alignment horizontal="center"/>
      <protection locked="0" hidden="0"/>
    </xf>
    <xf numFmtId="171" fontId="11" fillId="0" borderId="19" applyAlignment="1" applyProtection="1" pivotButton="0" quotePrefix="0" xfId="647">
      <alignment horizontal="center"/>
      <protection locked="0" hidden="0"/>
    </xf>
    <xf numFmtId="9" fontId="34" fillId="41" borderId="0" applyAlignment="1" applyProtection="1" pivotButton="0" quotePrefix="0" xfId="1079">
      <alignment horizontal="left" vertical="center"/>
      <protection locked="0" hidden="0"/>
    </xf>
    <xf numFmtId="177" fontId="0" fillId="0" borderId="15" applyAlignment="1" pivotButton="0" quotePrefix="0" xfId="0">
      <alignment horizontal="center"/>
    </xf>
    <xf numFmtId="177" fontId="11" fillId="0" borderId="20" applyAlignment="1" pivotButton="0" quotePrefix="0" xfId="0">
      <alignment horizontal="center"/>
    </xf>
    <xf numFmtId="171" fontId="11" fillId="0" borderId="19" applyAlignment="1" pivotButton="0" quotePrefix="0" xfId="647">
      <alignment horizontal="center"/>
    </xf>
    <xf numFmtId="0" fontId="34" fillId="41" borderId="0" applyAlignment="1" applyProtection="1" pivotButton="0" quotePrefix="0" xfId="0">
      <alignment horizontal="left"/>
      <protection locked="0" hidden="0"/>
    </xf>
    <xf numFmtId="171" fontId="11" fillId="0" borderId="19" applyAlignment="1" applyProtection="1" pivotButton="0" quotePrefix="0" xfId="1079">
      <alignment horizontal="center"/>
      <protection locked="0" hidden="0"/>
    </xf>
    <xf numFmtId="0" fontId="34" fillId="0" borderId="0" applyAlignment="1" applyProtection="1" pivotButton="0" quotePrefix="0" xfId="1183">
      <alignment horizontal="center"/>
      <protection locked="0" hidden="0"/>
    </xf>
    <xf numFmtId="0" fontId="34" fillId="0" borderId="0" applyAlignment="1" applyProtection="1" pivotButton="0" quotePrefix="0" xfId="1183">
      <alignment horizontal="left"/>
      <protection locked="0" hidden="0"/>
    </xf>
    <xf numFmtId="0" fontId="42" fillId="0" borderId="0" applyAlignment="1" applyProtection="1" pivotButton="0" quotePrefix="0" xfId="0">
      <alignment horizontal="left"/>
      <protection locked="0" hidden="0"/>
    </xf>
    <xf numFmtId="164" fontId="2" fillId="30" borderId="0" applyProtection="1" pivotButton="0" quotePrefix="0" xfId="0">
      <protection locked="0" hidden="0"/>
    </xf>
    <xf numFmtId="164" fontId="2" fillId="39" borderId="0" applyProtection="1" pivotButton="0" quotePrefix="0" xfId="0">
      <protection locked="0" hidden="0"/>
    </xf>
    <xf numFmtId="164" fontId="2" fillId="23" borderId="0" applyProtection="1" pivotButton="0" quotePrefix="0" xfId="0">
      <protection locked="0" hidden="0"/>
    </xf>
    <xf numFmtId="0" fontId="12" fillId="4" borderId="0" applyAlignment="1" applyProtection="1" pivotButton="0" quotePrefix="0" xfId="0">
      <alignment horizontal="left"/>
      <protection locked="0" hidden="0"/>
    </xf>
    <xf numFmtId="0" fontId="12" fillId="4" borderId="0" applyAlignment="1" pivotButton="0" quotePrefix="0" xfId="0">
      <alignment horizontal="left"/>
    </xf>
    <xf numFmtId="177" fontId="34" fillId="0" borderId="0" applyAlignment="1" pivotButton="0" quotePrefix="0" xfId="0">
      <alignment horizontal="left"/>
    </xf>
    <xf numFmtId="164" fontId="0" fillId="47" borderId="28" applyAlignment="1" applyProtection="1" pivotButton="0" quotePrefix="0" xfId="0">
      <alignment horizontal="right"/>
      <protection locked="0" hidden="0"/>
    </xf>
    <xf numFmtId="0" fontId="63" fillId="47" borderId="28" applyProtection="1" pivotButton="0" quotePrefix="0" xfId="0">
      <protection locked="0" hidden="0"/>
    </xf>
    <xf numFmtId="167" fontId="32" fillId="47" borderId="28" applyProtection="1" pivotButton="0" quotePrefix="0" xfId="1183">
      <protection locked="0" hidden="0"/>
    </xf>
    <xf numFmtId="0" fontId="32" fillId="47" borderId="28" applyProtection="1" pivotButton="0" quotePrefix="0" xfId="0">
      <protection locked="0" hidden="0"/>
    </xf>
    <xf numFmtId="164" fontId="2" fillId="47" borderId="28" applyProtection="1" pivotButton="0" quotePrefix="0" xfId="0">
      <protection locked="0" hidden="0"/>
    </xf>
    <xf numFmtId="0" fontId="19" fillId="47" borderId="0" applyAlignment="1" applyProtection="1" pivotButton="0" quotePrefix="0" xfId="0">
      <alignment horizontal="left"/>
      <protection locked="0" hidden="0"/>
    </xf>
    <xf numFmtId="177" fontId="34" fillId="0" borderId="0" applyProtection="1" pivotButton="0" quotePrefix="0" xfId="0">
      <protection locked="0" hidden="0"/>
    </xf>
    <xf numFmtId="177" fontId="34" fillId="0" borderId="7" applyProtection="1" pivotButton="0" quotePrefix="0" xfId="0">
      <protection locked="0" hidden="0"/>
    </xf>
    <xf numFmtId="166" fontId="19" fillId="47" borderId="0" applyAlignment="1" applyProtection="1" pivotButton="0" quotePrefix="0" xfId="285">
      <alignment horizontal="left"/>
      <protection locked="0" hidden="0"/>
    </xf>
    <xf numFmtId="0" fontId="13" fillId="47" borderId="0" applyAlignment="1" applyProtection="1" pivotButton="0" quotePrefix="0" xfId="0">
      <alignment horizontal="center"/>
      <protection locked="0" hidden="0"/>
    </xf>
    <xf numFmtId="0" fontId="17" fillId="47" borderId="0" applyAlignment="1" applyProtection="1" pivotButton="0" quotePrefix="0" xfId="0">
      <alignment horizontal="right"/>
      <protection locked="0" hidden="0"/>
    </xf>
    <xf numFmtId="37" fontId="17" fillId="47" borderId="0" applyProtection="1" pivotButton="0" quotePrefix="0" xfId="0">
      <protection locked="0" hidden="0"/>
    </xf>
    <xf numFmtId="3" fontId="0" fillId="23" borderId="0" applyAlignment="1" applyProtection="1" pivotButton="0" quotePrefix="0" xfId="0">
      <alignment horizontal="right"/>
      <protection locked="0" hidden="0"/>
    </xf>
    <xf numFmtId="0" fontId="17" fillId="47" borderId="0" applyProtection="1" pivotButton="0" quotePrefix="0" xfId="0">
      <protection locked="0" hidden="0"/>
    </xf>
    <xf numFmtId="0" fontId="12" fillId="4" borderId="0" applyProtection="1" pivotButton="0" quotePrefix="1" xfId="0">
      <protection locked="0" hidden="0"/>
    </xf>
    <xf numFmtId="0" fontId="12" fillId="40" borderId="0" applyProtection="1" pivotButton="0" quotePrefix="0" xfId="0">
      <protection locked="0" hidden="0"/>
    </xf>
    <xf numFmtId="164" fontId="19" fillId="47" borderId="0" applyProtection="1" pivotButton="0" quotePrefix="0" xfId="1183">
      <protection locked="0" hidden="0"/>
    </xf>
    <xf numFmtId="0" fontId="46" fillId="47" borderId="0" applyProtection="1" pivotButton="0" quotePrefix="0" xfId="0">
      <protection locked="0" hidden="0"/>
    </xf>
    <xf numFmtId="0" fontId="10" fillId="27" borderId="0" applyAlignment="1" applyProtection="1" pivotButton="0" quotePrefix="0" xfId="1184">
      <alignment horizontal="center"/>
      <protection locked="0" hidden="0"/>
    </xf>
    <xf numFmtId="0" fontId="12" fillId="27" borderId="0" applyAlignment="1" applyProtection="1" pivotButton="0" quotePrefix="0" xfId="0">
      <alignment horizontal="center"/>
      <protection locked="0" hidden="0"/>
    </xf>
    <xf numFmtId="164" fontId="19" fillId="27" borderId="0" applyProtection="1" pivotButton="0" quotePrefix="0" xfId="1183">
      <protection locked="0" hidden="0"/>
    </xf>
    <xf numFmtId="0" fontId="12" fillId="47" borderId="0" applyAlignment="1" applyProtection="1" pivotButton="0" quotePrefix="0" xfId="0">
      <alignment horizontal="center"/>
      <protection locked="0" hidden="0"/>
    </xf>
    <xf numFmtId="0" fontId="12" fillId="29" borderId="0" applyAlignment="1" applyProtection="1" pivotButton="0" quotePrefix="0" xfId="0">
      <alignment horizontal="center"/>
      <protection locked="0" hidden="0"/>
    </xf>
    <xf numFmtId="164" fontId="19" fillId="29" borderId="0" applyProtection="1" pivotButton="0" quotePrefix="0" xfId="1183">
      <protection locked="0" hidden="0"/>
    </xf>
    <xf numFmtId="0" fontId="46" fillId="29" borderId="0" applyProtection="1" pivotButton="0" quotePrefix="0" xfId="0">
      <protection locked="0" hidden="0"/>
    </xf>
    <xf numFmtId="0" fontId="13" fillId="28" borderId="0" applyAlignment="1" applyProtection="1" pivotButton="0" quotePrefix="0" xfId="0">
      <alignment horizontal="center"/>
      <protection locked="0" hidden="0"/>
    </xf>
    <xf numFmtId="164" fontId="11" fillId="41" borderId="0" pivotButton="0" quotePrefix="0" xfId="286"/>
    <xf numFmtId="173" fontId="11" fillId="41" borderId="0" pivotButton="0" quotePrefix="0" xfId="286"/>
    <xf numFmtId="0" fontId="2" fillId="41" borderId="0" pivotButton="0" quotePrefix="0" xfId="0"/>
    <xf numFmtId="0" fontId="11" fillId="41" borderId="4" applyAlignment="1" applyProtection="1" pivotButton="0" quotePrefix="0" xfId="0">
      <alignment horizontal="left"/>
      <protection locked="0" hidden="0"/>
    </xf>
    <xf numFmtId="0" fontId="14" fillId="41" borderId="15" pivotButton="0" quotePrefix="0" xfId="0"/>
    <xf numFmtId="1" fontId="11" fillId="41" borderId="4" applyAlignment="1" pivotButton="0" quotePrefix="0" xfId="0">
      <alignment horizontal="right"/>
    </xf>
    <xf numFmtId="2" fontId="11" fillId="41" borderId="0" pivotButton="0" quotePrefix="0" xfId="0"/>
    <xf numFmtId="42" fontId="0" fillId="41" borderId="5" pivotButton="0" quotePrefix="0" xfId="0"/>
    <xf numFmtId="0" fontId="95" fillId="41" borderId="0" pivotButton="0" quotePrefix="0" xfId="0"/>
    <xf numFmtId="164" fontId="14" fillId="41" borderId="0" applyAlignment="1" pivotButton="0" quotePrefix="0" xfId="286">
      <alignment horizontal="left"/>
    </xf>
    <xf numFmtId="0" fontId="14" fillId="41" borderId="0" applyAlignment="1" applyProtection="1" pivotButton="0" quotePrefix="0" xfId="0">
      <alignment horizontal="left"/>
      <protection locked="0" hidden="0"/>
    </xf>
    <xf numFmtId="4" fontId="11" fillId="0" borderId="2" applyAlignment="1" pivotButton="0" quotePrefix="0" xfId="0">
      <alignment horizontal="left"/>
    </xf>
    <xf numFmtId="4" fontId="11" fillId="0" borderId="0" applyAlignment="1" pivotButton="0" quotePrefix="0" xfId="0">
      <alignment horizontal="left"/>
    </xf>
    <xf numFmtId="4" fontId="11" fillId="0" borderId="7" applyAlignment="1" pivotButton="0" quotePrefix="0" xfId="0">
      <alignment horizontal="left"/>
    </xf>
    <xf numFmtId="0" fontId="15" fillId="41" borderId="7" applyAlignment="1" pivotButton="0" quotePrefix="0" xfId="0">
      <alignment horizontal="center"/>
    </xf>
    <xf numFmtId="0" fontId="19" fillId="45" borderId="6" pivotButton="0" quotePrefix="0" xfId="0"/>
    <xf numFmtId="0" fontId="19" fillId="45" borderId="8" applyAlignment="1" pivotButton="0" quotePrefix="0" xfId="0">
      <alignment horizontal="left"/>
    </xf>
    <xf numFmtId="0" fontId="51" fillId="4" borderId="21" applyAlignment="1" pivotButton="0" quotePrefix="0" xfId="0">
      <alignment horizontal="center"/>
    </xf>
    <xf numFmtId="37" fontId="17" fillId="4" borderId="19" applyAlignment="1" pivotButton="0" quotePrefix="0" xfId="0">
      <alignment horizontal="center"/>
    </xf>
    <xf numFmtId="4" fontId="15" fillId="41" borderId="7" applyAlignment="1" pivotButton="0" quotePrefix="0" xfId="0">
      <alignment horizontal="center"/>
    </xf>
    <xf numFmtId="4" fontId="15" fillId="41" borderId="6" applyAlignment="1" pivotButton="0" quotePrefix="0" xfId="0">
      <alignment horizontal="center"/>
    </xf>
    <xf numFmtId="0" fontId="19" fillId="45" borderId="6" applyAlignment="1" pivotButton="0" quotePrefix="0" xfId="0">
      <alignment horizontal="right"/>
    </xf>
    <xf numFmtId="0" fontId="19" fillId="45" borderId="62" applyAlignment="1" pivotButton="0" quotePrefix="0" xfId="0">
      <alignment horizontal="right"/>
    </xf>
    <xf numFmtId="4" fontId="15" fillId="41" borderId="63" applyAlignment="1" pivotButton="0" quotePrefix="0" xfId="0">
      <alignment horizontal="center"/>
    </xf>
    <xf numFmtId="0" fontId="19" fillId="45" borderId="62" pivotButton="0" quotePrefix="0" xfId="0"/>
    <xf numFmtId="0" fontId="15" fillId="41" borderId="63" applyAlignment="1" pivotButton="0" quotePrefix="0" xfId="0">
      <alignment horizontal="center"/>
    </xf>
    <xf numFmtId="0" fontId="19" fillId="45" borderId="64" applyAlignment="1" pivotButton="0" quotePrefix="0" xfId="0">
      <alignment horizontal="left"/>
    </xf>
    <xf numFmtId="0" fontId="19" fillId="45" borderId="65" applyAlignment="1" pivotButton="0" quotePrefix="0" xfId="0">
      <alignment horizontal="right"/>
    </xf>
    <xf numFmtId="4" fontId="15" fillId="41" borderId="66" applyAlignment="1" pivotButton="0" quotePrefix="0" xfId="0">
      <alignment horizontal="center"/>
    </xf>
    <xf numFmtId="0" fontId="19" fillId="45" borderId="65" pivotButton="0" quotePrefix="0" xfId="0"/>
    <xf numFmtId="0" fontId="15" fillId="41" borderId="66" applyAlignment="1" pivotButton="0" quotePrefix="0" xfId="0">
      <alignment horizontal="center"/>
    </xf>
    <xf numFmtId="0" fontId="19" fillId="45" borderId="67" applyAlignment="1" pivotButton="0" quotePrefix="0" xfId="0">
      <alignment horizontal="left"/>
    </xf>
    <xf numFmtId="0" fontId="60" fillId="8" borderId="15" applyAlignment="1" pivotButton="0" quotePrefix="0" xfId="0">
      <alignment horizontal="right"/>
    </xf>
    <xf numFmtId="0" fontId="15" fillId="41" borderId="9" applyAlignment="1" pivotButton="0" quotePrefix="0" xfId="0">
      <alignment horizontal="center"/>
    </xf>
    <xf numFmtId="0" fontId="15" fillId="41" borderId="10" applyAlignment="1" pivotButton="0" quotePrefix="0" xfId="0">
      <alignment horizontal="center"/>
    </xf>
    <xf numFmtId="0" fontId="19" fillId="45" borderId="10" applyAlignment="1" pivotButton="0" quotePrefix="0" xfId="0">
      <alignment horizontal="center"/>
    </xf>
    <xf numFmtId="0" fontId="15" fillId="41" borderId="11" applyAlignment="1" pivotButton="0" quotePrefix="0" xfId="0">
      <alignment horizontal="center"/>
    </xf>
    <xf numFmtId="0" fontId="14" fillId="25" borderId="15" pivotButton="0" quotePrefix="0" xfId="0"/>
    <xf numFmtId="165" fontId="11" fillId="25" borderId="0" applyAlignment="1" applyProtection="1" pivotButton="0" quotePrefix="0" xfId="285">
      <alignment horizontal="center"/>
      <protection locked="0" hidden="0"/>
    </xf>
    <xf numFmtId="0" fontId="12" fillId="41" borderId="0" applyAlignment="1" pivotButton="0" quotePrefix="0" xfId="0">
      <alignment horizontal="center"/>
    </xf>
    <xf numFmtId="0" fontId="14" fillId="27" borderId="4" applyAlignment="1" applyProtection="1" pivotButton="0" quotePrefix="0" xfId="0">
      <alignment horizontal="center"/>
      <protection locked="0" hidden="0"/>
    </xf>
    <xf numFmtId="0" fontId="14" fillId="29" borderId="4" applyAlignment="1" applyProtection="1" pivotButton="0" quotePrefix="0" xfId="0">
      <alignment horizontal="center"/>
      <protection locked="0" hidden="0"/>
    </xf>
    <xf numFmtId="0" fontId="14" fillId="37" borderId="4" applyAlignment="1" applyProtection="1" pivotButton="0" quotePrefix="0" xfId="0">
      <alignment horizontal="center"/>
      <protection locked="0" hidden="0"/>
    </xf>
    <xf numFmtId="0" fontId="33" fillId="47" borderId="4" applyAlignment="1" applyProtection="1" pivotButton="0" quotePrefix="0" xfId="0">
      <alignment horizontal="center"/>
      <protection locked="0" hidden="0"/>
    </xf>
    <xf numFmtId="0" fontId="14" fillId="28" borderId="4" applyAlignment="1" applyProtection="1" pivotButton="0" quotePrefix="0" xfId="0">
      <alignment horizontal="center"/>
      <protection locked="0" hidden="0"/>
    </xf>
    <xf numFmtId="0" fontId="17" fillId="28" borderId="0" applyAlignment="1" applyProtection="1" pivotButton="0" quotePrefix="0" xfId="0">
      <alignment horizontal="left"/>
      <protection locked="0" hidden="0"/>
    </xf>
    <xf numFmtId="0" fontId="0" fillId="0" borderId="7" applyAlignment="1" applyProtection="1" pivotButton="0" quotePrefix="0" xfId="0">
      <alignment horizontal="left"/>
      <protection locked="0" hidden="0"/>
    </xf>
    <xf numFmtId="164" fontId="19" fillId="28" borderId="0" applyProtection="1" pivotButton="0" quotePrefix="0" xfId="1183">
      <protection locked="0" hidden="0"/>
    </xf>
    <xf numFmtId="165" fontId="14" fillId="28" borderId="0" applyAlignment="1" applyProtection="1" pivotButton="0" quotePrefix="0" xfId="1184">
      <alignment horizontal="center"/>
      <protection locked="0" hidden="0"/>
    </xf>
    <xf numFmtId="0" fontId="46" fillId="28" borderId="0" applyProtection="1" pivotButton="0" quotePrefix="0" xfId="0">
      <protection locked="0" hidden="0"/>
    </xf>
    <xf numFmtId="165" fontId="15" fillId="47" borderId="0" applyAlignment="1" applyProtection="1" pivotButton="0" quotePrefix="0" xfId="1184">
      <alignment horizontal="center"/>
      <protection locked="0" hidden="0"/>
    </xf>
    <xf numFmtId="165" fontId="15" fillId="29" borderId="0" applyAlignment="1" applyProtection="1" pivotButton="0" quotePrefix="0" xfId="1184">
      <alignment horizontal="center"/>
      <protection locked="0" hidden="0"/>
    </xf>
    <xf numFmtId="164" fontId="15" fillId="29" borderId="0" applyAlignment="1" applyProtection="1" pivotButton="0" quotePrefix="0" xfId="1183">
      <alignment horizontal="center"/>
      <protection locked="0" hidden="0"/>
    </xf>
    <xf numFmtId="164" fontId="15" fillId="28" borderId="0" applyAlignment="1" applyProtection="1" pivotButton="0" quotePrefix="0" xfId="1183">
      <alignment horizontal="center"/>
      <protection locked="0" hidden="0"/>
    </xf>
    <xf numFmtId="164" fontId="15" fillId="47" borderId="0" applyAlignment="1" applyProtection="1" pivotButton="0" quotePrefix="0" xfId="1183">
      <alignment horizontal="center"/>
      <protection locked="0" hidden="0"/>
    </xf>
    <xf numFmtId="165" fontId="14" fillId="27" borderId="0" applyAlignment="1" applyProtection="1" pivotButton="0" quotePrefix="0" xfId="1184">
      <alignment horizontal="center"/>
      <protection locked="0" hidden="0"/>
    </xf>
    <xf numFmtId="0" fontId="34" fillId="34" borderId="0" applyProtection="1" pivotButton="0" quotePrefix="0" xfId="0">
      <protection locked="0" hidden="0"/>
    </xf>
    <xf numFmtId="0" fontId="0" fillId="44" borderId="0" applyAlignment="1" applyProtection="1" pivotButton="0" quotePrefix="0" xfId="0">
      <alignment horizontal="left" vertical="center"/>
      <protection locked="0" hidden="0"/>
    </xf>
    <xf numFmtId="177" fontId="17" fillId="41" borderId="0" applyProtection="1" pivotButton="0" quotePrefix="0" xfId="1080">
      <protection locked="0" hidden="0"/>
    </xf>
    <xf numFmtId="177" fontId="17" fillId="0" borderId="0" applyProtection="1" pivotButton="0" quotePrefix="0" xfId="1080">
      <protection locked="0" hidden="0"/>
    </xf>
    <xf numFmtId="177" fontId="17" fillId="41" borderId="0" applyProtection="1" pivotButton="0" quotePrefix="0" xfId="286">
      <protection locked="0" hidden="0"/>
    </xf>
    <xf numFmtId="0" fontId="19" fillId="0" borderId="0" applyAlignment="1" pivotButton="0" quotePrefix="0" xfId="0">
      <alignment horizontal="left" vertical="center"/>
    </xf>
    <xf numFmtId="0" fontId="19" fillId="0" borderId="0" applyAlignment="1" applyProtection="1" pivotButton="0" quotePrefix="0" xfId="0">
      <alignment horizontal="left" vertical="center"/>
      <protection locked="0" hidden="0"/>
    </xf>
    <xf numFmtId="3" fontId="11" fillId="0" borderId="0" applyAlignment="1" applyProtection="1" pivotButton="0" quotePrefix="0" xfId="0">
      <alignment horizontal="right"/>
      <protection locked="0" hidden="0"/>
    </xf>
    <xf numFmtId="0" fontId="34" fillId="0" borderId="3" applyProtection="1" pivotButton="0" quotePrefix="0" xfId="0">
      <protection locked="0" hidden="0"/>
    </xf>
    <xf numFmtId="0" fontId="34" fillId="0" borderId="11" applyAlignment="1" applyProtection="1" pivotButton="0" quotePrefix="0" xfId="0">
      <alignment horizontal="center"/>
      <protection locked="0" hidden="0"/>
    </xf>
    <xf numFmtId="0" fontId="34" fillId="4" borderId="53" applyAlignment="1" applyProtection="1" pivotButton="0" quotePrefix="0" xfId="0">
      <alignment horizontal="center"/>
      <protection locked="0" hidden="0"/>
    </xf>
    <xf numFmtId="0" fontId="34" fillId="4" borderId="22" applyAlignment="1" applyProtection="1" pivotButton="0" quotePrefix="0" xfId="0">
      <alignment horizontal="right"/>
      <protection locked="0" hidden="0"/>
    </xf>
    <xf numFmtId="0" fontId="34" fillId="4" borderId="25" applyAlignment="1" applyProtection="1" pivotButton="0" quotePrefix="0" xfId="0">
      <alignment horizontal="right"/>
      <protection locked="0" hidden="0"/>
    </xf>
    <xf numFmtId="177" fontId="48" fillId="4" borderId="26" applyProtection="1" pivotButton="0" quotePrefix="0" xfId="0">
      <protection locked="0" hidden="0"/>
    </xf>
    <xf numFmtId="0" fontId="34" fillId="4" borderId="27" applyAlignment="1" applyProtection="1" pivotButton="0" quotePrefix="0" xfId="0">
      <alignment horizontal="right"/>
      <protection locked="0" hidden="0"/>
    </xf>
    <xf numFmtId="177" fontId="17" fillId="4" borderId="24" applyProtection="1" pivotButton="0" quotePrefix="0" xfId="1080">
      <protection locked="0" hidden="0"/>
    </xf>
    <xf numFmtId="177" fontId="17" fillId="4" borderId="26" applyProtection="1" pivotButton="0" quotePrefix="0" xfId="1080">
      <protection locked="0" hidden="0"/>
    </xf>
    <xf numFmtId="177" fontId="17" fillId="4" borderId="29" applyProtection="1" pivotButton="0" quotePrefix="0" xfId="1080">
      <protection locked="0" hidden="0"/>
    </xf>
    <xf numFmtId="0" fontId="0" fillId="41" borderId="22" applyProtection="1" pivotButton="0" quotePrefix="0" xfId="0">
      <protection locked="0" hidden="0"/>
    </xf>
    <xf numFmtId="0" fontId="0" fillId="41" borderId="25" applyProtection="1" pivotButton="0" quotePrefix="0" xfId="0">
      <protection locked="0" hidden="0"/>
    </xf>
    <xf numFmtId="0" fontId="0" fillId="41" borderId="27" applyProtection="1" pivotButton="0" quotePrefix="0" xfId="0">
      <protection locked="0" hidden="0"/>
    </xf>
    <xf numFmtId="0" fontId="0" fillId="41" borderId="12" applyAlignment="1" applyProtection="1" pivotButton="0" quotePrefix="0" xfId="0">
      <alignment horizontal="right"/>
      <protection locked="0" hidden="0"/>
    </xf>
    <xf numFmtId="177" fontId="17" fillId="4" borderId="14" applyProtection="1" pivotButton="0" quotePrefix="0" xfId="1080">
      <protection locked="0" hidden="0"/>
    </xf>
    <xf numFmtId="0" fontId="34" fillId="4" borderId="12" applyProtection="1" pivotButton="0" quotePrefix="0" xfId="0">
      <protection locked="0" hidden="0"/>
    </xf>
    <xf numFmtId="177" fontId="48" fillId="4" borderId="14" applyProtection="1" pivotButton="0" quotePrefix="0" xfId="0">
      <protection locked="0" hidden="0"/>
    </xf>
    <xf numFmtId="0" fontId="48" fillId="0" borderId="32" applyProtection="1" pivotButton="0" quotePrefix="0" xfId="0">
      <protection locked="0" hidden="0"/>
    </xf>
    <xf numFmtId="0" fontId="99" fillId="46" borderId="19" applyProtection="1" pivotButton="0" quotePrefix="0" xfId="0">
      <protection locked="0" hidden="0"/>
    </xf>
    <xf numFmtId="0" fontId="0" fillId="41" borderId="1" applyAlignment="1" applyProtection="1" pivotButton="0" quotePrefix="0" xfId="0">
      <alignment horizontal="right"/>
      <protection locked="0" hidden="0"/>
    </xf>
    <xf numFmtId="177" fontId="0" fillId="41" borderId="2" applyProtection="1" pivotButton="0" quotePrefix="0" xfId="1080">
      <protection locked="0" hidden="0"/>
    </xf>
    <xf numFmtId="0" fontId="0" fillId="41" borderId="4" applyAlignment="1" applyProtection="1" pivotButton="0" quotePrefix="0" xfId="0">
      <alignment horizontal="right"/>
      <protection locked="0" hidden="0"/>
    </xf>
    <xf numFmtId="177" fontId="0" fillId="41" borderId="0" applyProtection="1" pivotButton="0" quotePrefix="0" xfId="1080">
      <protection locked="0" hidden="0"/>
    </xf>
    <xf numFmtId="0" fontId="0" fillId="41" borderId="6" applyAlignment="1" applyProtection="1" pivotButton="0" quotePrefix="0" xfId="0">
      <alignment horizontal="right"/>
      <protection locked="0" hidden="0"/>
    </xf>
    <xf numFmtId="177" fontId="0" fillId="41" borderId="7" applyProtection="1" pivotButton="0" quotePrefix="0" xfId="1080">
      <protection locked="0" hidden="0"/>
    </xf>
    <xf numFmtId="0" fontId="0" fillId="26" borderId="0" applyAlignment="1" applyProtection="1" pivotButton="0" quotePrefix="0" xfId="0">
      <alignment horizontal="right"/>
      <protection locked="0" hidden="0"/>
    </xf>
    <xf numFmtId="0" fontId="20" fillId="26" borderId="12" applyAlignment="1" applyProtection="1" pivotButton="0" quotePrefix="0" xfId="0">
      <alignment horizontal="right"/>
      <protection locked="0" hidden="0"/>
    </xf>
    <xf numFmtId="177" fontId="100" fillId="0" borderId="3" applyAlignment="1" applyProtection="1" pivotButton="0" quotePrefix="0" xfId="0">
      <alignment horizontal="center"/>
      <protection locked="0" hidden="0"/>
    </xf>
    <xf numFmtId="177" fontId="100" fillId="0" borderId="68" applyAlignment="1" applyProtection="1" pivotButton="0" quotePrefix="0" xfId="0">
      <alignment horizontal="center"/>
      <protection locked="0" hidden="0"/>
    </xf>
    <xf numFmtId="177" fontId="100" fillId="0" borderId="69" applyProtection="1" pivotButton="0" quotePrefix="0" xfId="0">
      <protection locked="0" hidden="0"/>
    </xf>
    <xf numFmtId="0" fontId="100" fillId="0" borderId="8" applyAlignment="1" applyProtection="1" pivotButton="0" quotePrefix="0" xfId="0">
      <alignment horizontal="center"/>
      <protection locked="0" hidden="0"/>
    </xf>
    <xf numFmtId="0" fontId="100" fillId="0" borderId="0" applyAlignment="1" applyProtection="1" pivotButton="0" quotePrefix="0" xfId="0">
      <alignment horizontal="center"/>
      <protection locked="0" hidden="0"/>
    </xf>
    <xf numFmtId="177" fontId="64" fillId="48" borderId="0" applyAlignment="1" applyProtection="1" pivotButton="0" quotePrefix="0" xfId="0">
      <alignment horizontal="left"/>
      <protection locked="0" hidden="0"/>
    </xf>
    <xf numFmtId="0" fontId="64" fillId="48" borderId="0" applyAlignment="1" applyProtection="1" pivotButton="0" quotePrefix="0" xfId="0">
      <alignment vertical="center"/>
      <protection locked="0" hidden="0"/>
    </xf>
    <xf numFmtId="177" fontId="48" fillId="4" borderId="32" applyProtection="1" pivotButton="0" quotePrefix="0" xfId="0">
      <protection locked="0" hidden="0"/>
    </xf>
    <xf numFmtId="0" fontId="34" fillId="4" borderId="12" applyAlignment="1" applyProtection="1" pivotButton="0" quotePrefix="0" xfId="0">
      <alignment horizontal="left"/>
      <protection locked="0" hidden="0"/>
    </xf>
    <xf numFmtId="0" fontId="0" fillId="4" borderId="14" applyProtection="1" pivotButton="0" quotePrefix="0" xfId="0">
      <protection locked="0" hidden="0"/>
    </xf>
    <xf numFmtId="0" fontId="36" fillId="4" borderId="12" applyAlignment="1" applyProtection="1" pivotButton="0" quotePrefix="0" xfId="0">
      <alignment horizontal="left" vertical="center"/>
      <protection locked="0" hidden="0"/>
    </xf>
    <xf numFmtId="0" fontId="0" fillId="4" borderId="14" applyAlignment="1" applyProtection="1" pivotButton="0" quotePrefix="0" xfId="0">
      <alignment vertical="center"/>
      <protection locked="0" hidden="0"/>
    </xf>
    <xf numFmtId="0" fontId="36" fillId="4" borderId="0" applyProtection="1" pivotButton="0" quotePrefix="0" xfId="0">
      <protection locked="0" hidden="0"/>
    </xf>
    <xf numFmtId="177" fontId="48" fillId="4" borderId="24" applyProtection="1" pivotButton="0" quotePrefix="0" xfId="0">
      <protection locked="0" hidden="0"/>
    </xf>
    <xf numFmtId="177" fontId="48" fillId="4" borderId="29" applyProtection="1" pivotButton="0" quotePrefix="0" xfId="0">
      <protection locked="0" hidden="0"/>
    </xf>
    <xf numFmtId="0" fontId="11" fillId="25" borderId="0" applyProtection="1" pivotButton="0" quotePrefix="0" xfId="0">
      <protection locked="0" hidden="0"/>
    </xf>
    <xf numFmtId="0" fontId="11" fillId="25" borderId="0" pivotButton="0" quotePrefix="0" xfId="0"/>
    <xf numFmtId="0" fontId="92" fillId="27" borderId="0" applyAlignment="1" applyProtection="1" pivotButton="0" quotePrefix="0" xfId="0">
      <alignment horizontal="center" vertical="center"/>
      <protection locked="0" hidden="0"/>
    </xf>
    <xf numFmtId="0" fontId="11" fillId="4" borderId="7" applyProtection="1" pivotButton="0" quotePrefix="0" xfId="0">
      <protection locked="0" hidden="0"/>
    </xf>
    <xf numFmtId="0" fontId="11" fillId="40" borderId="0" applyProtection="1" pivotButton="0" quotePrefix="0" xfId="0">
      <protection locked="0" hidden="0"/>
    </xf>
    <xf numFmtId="0" fontId="11" fillId="0" borderId="7" applyProtection="1" pivotButton="0" quotePrefix="0" xfId="0">
      <protection locked="0" hidden="0"/>
    </xf>
    <xf numFmtId="0" fontId="19" fillId="0" borderId="4" applyAlignment="1" applyProtection="1" pivotButton="0" quotePrefix="0" xfId="0">
      <alignment horizontal="right" vertical="center"/>
      <protection locked="0" hidden="0"/>
    </xf>
    <xf numFmtId="164" fontId="11" fillId="16" borderId="0" applyAlignment="1" applyProtection="1" pivotButton="0" quotePrefix="0" xfId="0">
      <alignment horizontal="center"/>
      <protection locked="0" hidden="0"/>
    </xf>
    <xf numFmtId="164" fontId="11" fillId="16" borderId="17" applyProtection="1" pivotButton="0" quotePrefix="0" xfId="0">
      <protection locked="0" hidden="0"/>
    </xf>
    <xf numFmtId="0" fontId="10" fillId="16" borderId="0" applyAlignment="1" applyProtection="1" pivotButton="0" quotePrefix="0" xfId="0">
      <alignment horizontal="center"/>
      <protection locked="0" hidden="0"/>
    </xf>
    <xf numFmtId="164" fontId="19" fillId="16" borderId="2" applyProtection="1" pivotButton="0" quotePrefix="0" xfId="0">
      <protection locked="0" hidden="0"/>
    </xf>
    <xf numFmtId="0" fontId="19" fillId="16" borderId="1" applyProtection="1" pivotButton="0" quotePrefix="0" xfId="0">
      <protection locked="0" hidden="0"/>
    </xf>
    <xf numFmtId="164" fontId="19" fillId="16" borderId="10" applyProtection="1" pivotButton="0" quotePrefix="0" xfId="0">
      <protection locked="0" hidden="0"/>
    </xf>
    <xf numFmtId="0" fontId="82" fillId="16" borderId="2" applyAlignment="1" applyProtection="1" pivotButton="0" quotePrefix="0" xfId="0">
      <alignment horizontal="center"/>
      <protection locked="0" hidden="0"/>
    </xf>
    <xf numFmtId="0" fontId="19" fillId="16" borderId="1" pivotButton="0" quotePrefix="0" xfId="0"/>
    <xf numFmtId="0" fontId="19" fillId="16" borderId="2" applyAlignment="1" pivotButton="0" quotePrefix="0" xfId="0">
      <alignment horizontal="center"/>
    </xf>
    <xf numFmtId="164" fontId="19" fillId="16" borderId="2" pivotButton="0" quotePrefix="0" xfId="0"/>
    <xf numFmtId="164" fontId="19" fillId="16" borderId="10" pivotButton="0" quotePrefix="0" xfId="0"/>
    <xf numFmtId="164" fontId="19" fillId="16" borderId="0" pivotButton="0" quotePrefix="0" xfId="0"/>
    <xf numFmtId="0" fontId="17" fillId="41" borderId="28" applyAlignment="1" applyProtection="1" pivotButton="0" quotePrefix="0" xfId="0">
      <alignment horizontal="right"/>
      <protection locked="0" hidden="0"/>
    </xf>
    <xf numFmtId="0" fontId="17" fillId="41" borderId="23" applyAlignment="1" applyProtection="1" pivotButton="0" quotePrefix="0" xfId="0">
      <alignment horizontal="right"/>
      <protection locked="0" hidden="0"/>
    </xf>
    <xf numFmtId="164" fontId="19" fillId="0" borderId="8" applyProtection="1" pivotButton="0" quotePrefix="0" xfId="0">
      <protection locked="0" hidden="0"/>
    </xf>
    <xf numFmtId="164" fontId="98" fillId="46" borderId="32" applyAlignment="1" applyProtection="1" pivotButton="0" quotePrefix="0" xfId="0">
      <alignment horizontal="center" vertical="center"/>
      <protection locked="0" hidden="0"/>
    </xf>
    <xf numFmtId="177" fontId="0" fillId="41" borderId="3" applyProtection="1" pivotButton="0" quotePrefix="0" xfId="0">
      <protection locked="0" hidden="0"/>
    </xf>
    <xf numFmtId="177" fontId="0" fillId="41" borderId="5" applyProtection="1" pivotButton="0" quotePrefix="0" xfId="0">
      <protection locked="0" hidden="0"/>
    </xf>
    <xf numFmtId="177" fontId="0" fillId="41" borderId="8" applyProtection="1" pivotButton="0" quotePrefix="0" xfId="0">
      <protection locked="0" hidden="0"/>
    </xf>
    <xf numFmtId="177" fontId="0" fillId="41" borderId="11" applyProtection="1" pivotButton="0" quotePrefix="0" xfId="1080">
      <protection locked="0" hidden="0"/>
    </xf>
    <xf numFmtId="0" fontId="17" fillId="25" borderId="0" applyAlignment="1" applyProtection="1" pivotButton="0" quotePrefix="0" xfId="0">
      <alignment horizontal="right"/>
      <protection locked="0" hidden="0"/>
    </xf>
    <xf numFmtId="0" fontId="34" fillId="25" borderId="0" applyAlignment="1" applyProtection="1" pivotButton="0" quotePrefix="0" xfId="0">
      <alignment horizontal="left"/>
      <protection locked="0" hidden="0"/>
    </xf>
    <xf numFmtId="14" fontId="36" fillId="25" borderId="0" applyProtection="1" pivotButton="0" quotePrefix="0" xfId="0">
      <protection locked="0" hidden="0"/>
    </xf>
    <xf numFmtId="177" fontId="0" fillId="41" borderId="0" applyAlignment="1" applyProtection="1" pivotButton="0" quotePrefix="0" xfId="0">
      <alignment horizontal="left"/>
      <protection locked="0" hidden="0"/>
    </xf>
    <xf numFmtId="177" fontId="3" fillId="47" borderId="0" applyProtection="1" pivotButton="0" quotePrefix="0" xfId="1080">
      <protection locked="0" hidden="0"/>
    </xf>
    <xf numFmtId="0" fontId="34" fillId="0" borderId="0" applyProtection="1" pivotButton="0" quotePrefix="1" xfId="0">
      <protection locked="0" hidden="0"/>
    </xf>
    <xf numFmtId="0" fontId="0" fillId="0" borderId="0" applyProtection="1" pivotButton="0" quotePrefix="1" xfId="0">
      <protection locked="0" hidden="0"/>
    </xf>
    <xf numFmtId="0" fontId="48" fillId="47" borderId="0" applyAlignment="1" applyProtection="1" pivotButton="0" quotePrefix="0" xfId="0">
      <alignment horizontal="center"/>
      <protection locked="0" hidden="0"/>
    </xf>
    <xf numFmtId="0" fontId="48" fillId="47" borderId="19" applyProtection="1" pivotButton="0" quotePrefix="0" xfId="0">
      <protection locked="0" hidden="0"/>
    </xf>
    <xf numFmtId="0" fontId="89" fillId="47" borderId="0" applyAlignment="1" applyProtection="1" pivotButton="0" quotePrefix="0" xfId="0">
      <alignment horizontal="left"/>
      <protection locked="0" hidden="0"/>
    </xf>
    <xf numFmtId="167" fontId="3" fillId="47" borderId="0" applyProtection="1" pivotButton="0" quotePrefix="0" xfId="286">
      <protection locked="0" hidden="0"/>
    </xf>
    <xf numFmtId="9" fontId="34" fillId="40" borderId="0" applyAlignment="1" applyProtection="1" pivotButton="0" quotePrefix="0" xfId="647">
      <alignment horizontal="left"/>
      <protection locked="0" hidden="0"/>
    </xf>
    <xf numFmtId="177" fontId="17" fillId="40" borderId="0" applyProtection="1" pivotButton="0" quotePrefix="0" xfId="286">
      <protection locked="0" hidden="0"/>
    </xf>
    <xf numFmtId="0" fontId="34" fillId="40" borderId="0" applyProtection="1" pivotButton="0" quotePrefix="0" xfId="0">
      <protection locked="0" hidden="0"/>
    </xf>
    <xf numFmtId="0" fontId="34" fillId="40" borderId="0" applyAlignment="1" applyProtection="1" pivotButton="0" quotePrefix="0" xfId="0">
      <alignment horizontal="right"/>
      <protection locked="0" hidden="0"/>
    </xf>
    <xf numFmtId="177" fontId="3" fillId="40" borderId="0" applyProtection="1" pivotButton="0" quotePrefix="0" xfId="1080">
      <protection locked="0" hidden="0"/>
    </xf>
    <xf numFmtId="0" fontId="34" fillId="47" borderId="0" applyProtection="1" pivotButton="0" quotePrefix="0" xfId="0">
      <protection locked="0" hidden="0"/>
    </xf>
    <xf numFmtId="0" fontId="105" fillId="28" borderId="0" applyAlignment="1" applyProtection="1" pivotButton="0" quotePrefix="0" xfId="0">
      <alignment horizontal="center"/>
      <protection locked="0" hidden="0"/>
    </xf>
    <xf numFmtId="0" fontId="106" fillId="28" borderId="0" applyProtection="1" pivotButton="0" quotePrefix="0" xfId="0">
      <protection locked="0" hidden="0"/>
    </xf>
    <xf numFmtId="9" fontId="106" fillId="28" borderId="0" applyProtection="1" pivotButton="0" quotePrefix="0" xfId="647">
      <protection locked="0" hidden="0"/>
    </xf>
    <xf numFmtId="0" fontId="0" fillId="4" borderId="13" applyProtection="1" pivotButton="0" quotePrefix="0" xfId="0">
      <protection locked="0" hidden="0"/>
    </xf>
    <xf numFmtId="0" fontId="34" fillId="4" borderId="0" applyAlignment="1" applyProtection="1" pivotButton="0" quotePrefix="0" xfId="0">
      <alignment horizontal="center"/>
      <protection locked="0" hidden="0"/>
    </xf>
    <xf numFmtId="0" fontId="107" fillId="0" borderId="0" applyProtection="1" pivotButton="0" quotePrefix="0" xfId="0">
      <protection locked="0" hidden="0"/>
    </xf>
    <xf numFmtId="177" fontId="46" fillId="27" borderId="0" applyProtection="1" pivotButton="0" quotePrefix="0" xfId="0"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9" fontId="19" fillId="25" borderId="0" applyAlignment="1" applyProtection="1" pivotButton="0" quotePrefix="0" xfId="0">
      <alignment horizontal="center"/>
      <protection locked="0" hidden="0"/>
    </xf>
    <xf numFmtId="0" fontId="19" fillId="47" borderId="0" applyAlignment="1" applyProtection="1" pivotButton="0" quotePrefix="1" xfId="0">
      <alignment vertical="center"/>
      <protection locked="0" hidden="0"/>
    </xf>
    <xf numFmtId="0" fontId="109" fillId="25" borderId="0" applyAlignment="1" applyProtection="1" pivotButton="0" quotePrefix="1" xfId="0">
      <alignment vertical="center"/>
      <protection locked="0" hidden="0"/>
    </xf>
    <xf numFmtId="0" fontId="48" fillId="40" borderId="0" applyProtection="1" pivotButton="0" quotePrefix="0" xfId="0">
      <protection locked="0" hidden="0"/>
    </xf>
    <xf numFmtId="9" fontId="48" fillId="40" borderId="0" applyProtection="1" pivotButton="0" quotePrefix="0" xfId="0">
      <protection locked="0" hidden="0"/>
    </xf>
    <xf numFmtId="0" fontId="19" fillId="40" borderId="0" applyAlignment="1" applyProtection="1" pivotButton="0" quotePrefix="1" xfId="0">
      <alignment vertical="center"/>
      <protection locked="0" hidden="0"/>
    </xf>
    <xf numFmtId="164" fontId="19" fillId="40" borderId="0" applyProtection="1" pivotButton="0" quotePrefix="0" xfId="0">
      <protection locked="0" hidden="0"/>
    </xf>
    <xf numFmtId="177" fontId="48" fillId="4" borderId="55" applyProtection="1" pivotButton="0" quotePrefix="0" xfId="0">
      <protection locked="0" hidden="0"/>
    </xf>
    <xf numFmtId="177" fontId="48" fillId="4" borderId="61" applyProtection="1" pivotButton="0" quotePrefix="0" xfId="0">
      <protection locked="0" hidden="0"/>
    </xf>
    <xf numFmtId="177" fontId="48" fillId="4" borderId="53" applyProtection="1" pivotButton="0" quotePrefix="0" xfId="0">
      <protection locked="0" hidden="0"/>
    </xf>
    <xf numFmtId="0" fontId="64" fillId="4" borderId="0" applyAlignment="1" applyProtection="1" pivotButton="0" quotePrefix="0" xfId="0">
      <alignment horizontal="right" vertical="center"/>
      <protection locked="0" hidden="0"/>
    </xf>
    <xf numFmtId="0" fontId="48" fillId="40" borderId="0" applyProtection="1" pivotButton="0" quotePrefix="1" xfId="0">
      <protection locked="0" hidden="0"/>
    </xf>
    <xf numFmtId="14" fontId="48" fillId="40" borderId="0" applyAlignment="1" applyProtection="1" pivotButton="0" quotePrefix="0" xfId="0">
      <alignment horizontal="center"/>
      <protection locked="0" hidden="0"/>
    </xf>
    <xf numFmtId="0" fontId="48" fillId="40" borderId="3" applyProtection="1" pivotButton="0" quotePrefix="0" xfId="0">
      <protection locked="0" hidden="0"/>
    </xf>
    <xf numFmtId="0" fontId="34" fillId="40" borderId="5" applyProtection="1" pivotButton="0" quotePrefix="0" xfId="0">
      <protection locked="0" hidden="0"/>
    </xf>
    <xf numFmtId="0" fontId="34" fillId="40" borderId="8" applyProtection="1" pivotButton="0" quotePrefix="0" xfId="0">
      <protection locked="0" hidden="0"/>
    </xf>
    <xf numFmtId="0" fontId="20" fillId="27" borderId="0" applyAlignment="1" applyProtection="1" pivotButton="0" quotePrefix="0" xfId="0">
      <alignment horizontal="right"/>
      <protection locked="0" hidden="0"/>
    </xf>
    <xf numFmtId="0" fontId="20" fillId="27" borderId="0" applyAlignment="1" applyProtection="1" pivotButton="0" quotePrefix="0" xfId="0">
      <alignment horizontal="left"/>
      <protection locked="0" hidden="0"/>
    </xf>
    <xf numFmtId="0" fontId="0" fillId="7" borderId="12" applyAlignment="1" pivotButton="0" quotePrefix="0" xfId="0">
      <alignment horizontal="center"/>
    </xf>
    <xf numFmtId="0" fontId="0" fillId="7" borderId="13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2" applyAlignment="1" applyProtection="1" pivotButton="0" quotePrefix="0" xfId="0">
      <alignment horizontal="center"/>
      <protection locked="0" hidden="0"/>
    </xf>
    <xf numFmtId="0" fontId="0" fillId="7" borderId="13" applyAlignment="1" applyProtection="1" pivotButton="0" quotePrefix="0" xfId="0">
      <alignment horizontal="center"/>
      <protection locked="0" hidden="0"/>
    </xf>
    <xf numFmtId="0" fontId="0" fillId="7" borderId="14" applyAlignment="1" applyProtection="1" pivotButton="0" quotePrefix="0" xfId="0">
      <alignment horizontal="center"/>
      <protection locked="0" hidden="0"/>
    </xf>
    <xf numFmtId="0" fontId="76" fillId="41" borderId="25" applyAlignment="1" pivotButton="0" quotePrefix="0" xfId="0">
      <alignment horizontal="center"/>
    </xf>
    <xf numFmtId="0" fontId="76" fillId="41" borderId="0" applyAlignment="1" pivotButton="0" quotePrefix="0" xfId="0">
      <alignment horizontal="center"/>
    </xf>
    <xf numFmtId="0" fontId="76" fillId="34" borderId="0" applyAlignment="1" pivotButton="0" quotePrefix="0" xfId="0">
      <alignment horizontal="center"/>
    </xf>
    <xf numFmtId="0" fontId="76" fillId="34" borderId="0" applyAlignment="1" applyProtection="1" pivotButton="0" quotePrefix="0" xfId="0">
      <alignment horizontal="center"/>
      <protection locked="0" hidden="0"/>
    </xf>
    <xf numFmtId="0" fontId="76" fillId="27" borderId="0" applyAlignment="1" pivotButton="0" quotePrefix="0" xfId="0">
      <alignment horizontal="center"/>
    </xf>
    <xf numFmtId="0" fontId="76" fillId="27" borderId="0" applyAlignment="1" applyProtection="1" pivotButton="0" quotePrefix="0" xfId="0">
      <alignment horizontal="center"/>
      <protection locked="0" hidden="0"/>
    </xf>
    <xf numFmtId="0" fontId="76" fillId="25" borderId="0" applyAlignment="1" pivotButton="0" quotePrefix="0" xfId="0">
      <alignment horizontal="center"/>
    </xf>
    <xf numFmtId="0" fontId="76" fillId="25" borderId="0" applyAlignment="1" applyProtection="1" pivotButton="0" quotePrefix="0" xfId="0">
      <alignment horizontal="center"/>
      <protection locked="0" hidden="0"/>
    </xf>
    <xf numFmtId="0" fontId="76" fillId="26" borderId="0" applyAlignment="1" pivotButton="0" quotePrefix="0" xfId="0">
      <alignment horizontal="center"/>
    </xf>
    <xf numFmtId="0" fontId="76" fillId="26" borderId="0" applyAlignment="1" applyProtection="1" pivotButton="0" quotePrefix="0" xfId="0">
      <alignment horizontal="center"/>
      <protection locked="0" hidden="0"/>
    </xf>
    <xf numFmtId="0" fontId="76" fillId="23" borderId="0" applyAlignment="1" pivotButton="0" quotePrefix="0" xfId="0">
      <alignment horizontal="center"/>
    </xf>
    <xf numFmtId="0" fontId="76" fillId="23" borderId="0" applyAlignment="1" applyProtection="1" pivotButton="0" quotePrefix="0" xfId="0">
      <alignment horizontal="center"/>
      <protection locked="0" hidden="0"/>
    </xf>
    <xf numFmtId="0" fontId="0" fillId="24" borderId="37" applyAlignment="1" pivotButton="0" quotePrefix="0" xfId="0">
      <alignment horizontal="center" vertical="center"/>
    </xf>
    <xf numFmtId="0" fontId="0" fillId="24" borderId="44" applyAlignment="1" pivotButton="0" quotePrefix="0" xfId="0">
      <alignment horizontal="center" vertical="center"/>
    </xf>
    <xf numFmtId="0" fontId="76" fillId="23" borderId="25" applyAlignment="1" pivotButton="0" quotePrefix="0" xfId="0">
      <alignment horizontal="center"/>
    </xf>
    <xf numFmtId="0" fontId="0" fillId="24" borderId="45" applyAlignment="1" pivotButton="0" quotePrefix="0" xfId="0">
      <alignment horizontal="center" vertical="center"/>
    </xf>
    <xf numFmtId="0" fontId="76" fillId="28" borderId="0" applyAlignment="1" pivotButton="0" quotePrefix="0" xfId="0">
      <alignment horizontal="center"/>
    </xf>
    <xf numFmtId="0" fontId="76" fillId="28" borderId="0" applyAlignment="1" applyProtection="1" pivotButton="0" quotePrefix="0" xfId="0">
      <alignment horizontal="center"/>
      <protection locked="0" hidden="0"/>
    </xf>
    <xf numFmtId="0" fontId="76" fillId="27" borderId="25" applyAlignment="1" pivotButton="0" quotePrefix="0" xfId="0">
      <alignment horizontal="center"/>
    </xf>
    <xf numFmtId="0" fontId="76" fillId="34" borderId="25" applyAlignment="1" pivotButton="0" quotePrefix="0" xfId="0">
      <alignment horizontal="center"/>
    </xf>
    <xf numFmtId="0" fontId="76" fillId="26" borderId="25" applyAlignment="1" pivotButton="0" quotePrefix="0" xfId="0">
      <alignment horizontal="center"/>
    </xf>
    <xf numFmtId="0" fontId="76" fillId="25" borderId="25" applyAlignment="1" pivotButton="0" quotePrefix="0" xfId="0">
      <alignment horizontal="center"/>
    </xf>
    <xf numFmtId="0" fontId="76" fillId="28" borderId="25" applyAlignment="1" pivotButton="0" quotePrefix="0" xfId="0">
      <alignment horizontal="center"/>
    </xf>
    <xf numFmtId="0" fontId="53" fillId="0" borderId="1" applyAlignment="1" applyProtection="1" pivotButton="0" quotePrefix="0" xfId="0">
      <alignment horizontal="center" vertical="center"/>
      <protection locked="0" hidden="0"/>
    </xf>
    <xf numFmtId="0" fontId="53" fillId="0" borderId="2" applyAlignment="1" applyProtection="1" pivotButton="0" quotePrefix="0" xfId="0">
      <alignment horizontal="center" vertical="center"/>
      <protection locked="0" hidden="0"/>
    </xf>
    <xf numFmtId="0" fontId="53" fillId="0" borderId="3" applyAlignment="1" applyProtection="1" pivotButton="0" quotePrefix="0" xfId="0">
      <alignment horizontal="center" vertical="center"/>
      <protection locked="0" hidden="0"/>
    </xf>
    <xf numFmtId="0" fontId="0" fillId="0" borderId="9" applyAlignment="1" applyProtection="1" pivotButton="0" quotePrefix="0" xfId="0">
      <alignment horizontal="left"/>
      <protection locked="0" hidden="0"/>
    </xf>
    <xf numFmtId="0" fontId="0" fillId="0" borderId="11" applyAlignment="1" applyProtection="1" pivotButton="0" quotePrefix="0" xfId="0">
      <alignment horizontal="left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1" fillId="0" borderId="0" applyAlignment="1" applyProtection="1" pivotButton="0" quotePrefix="0" xfId="0">
      <alignment horizontal="center"/>
      <protection locked="0" hidden="0"/>
    </xf>
    <xf numFmtId="0" fontId="11" fillId="0" borderId="26" applyAlignment="1" applyProtection="1" pivotButton="0" quotePrefix="0" xfId="0">
      <alignment horizontal="center"/>
      <protection locked="0" hidden="0"/>
    </xf>
    <xf numFmtId="0" fontId="11" fillId="26" borderId="9" applyAlignment="1" applyProtection="1" pivotButton="0" quotePrefix="0" xfId="0">
      <alignment horizontal="center"/>
      <protection locked="0" hidden="0"/>
    </xf>
    <xf numFmtId="0" fontId="11" fillId="26" borderId="11" applyAlignment="1" applyProtection="1" pivotButton="0" quotePrefix="0" xfId="0">
      <alignment horizontal="center"/>
      <protection locked="0" hidden="0"/>
    </xf>
    <xf numFmtId="14" fontId="14" fillId="0" borderId="12" applyAlignment="1" applyProtection="1" pivotButton="0" quotePrefix="0" xfId="0">
      <alignment horizontal="center"/>
      <protection locked="0" hidden="0"/>
    </xf>
    <xf numFmtId="14" fontId="14" fillId="0" borderId="14" applyAlignment="1" applyProtection="1" pivotButton="0" quotePrefix="0" xfId="0">
      <alignment horizontal="center"/>
      <protection locked="0" hidden="0"/>
    </xf>
    <xf numFmtId="0" fontId="14" fillId="0" borderId="12" applyAlignment="1" applyProtection="1" pivotButton="0" quotePrefix="0" xfId="0">
      <alignment horizontal="center"/>
      <protection locked="0" hidden="0"/>
    </xf>
    <xf numFmtId="0" fontId="14" fillId="0" borderId="14" applyAlignment="1" applyProtection="1" pivotButton="0" quotePrefix="0" xfId="0">
      <alignment horizontal="center"/>
      <protection locked="0" hidden="0"/>
    </xf>
    <xf numFmtId="0" fontId="17" fillId="0" borderId="12" applyAlignment="1" applyProtection="1" pivotButton="0" quotePrefix="0" xfId="0">
      <alignment horizontal="center"/>
      <protection locked="0" hidden="0"/>
    </xf>
    <xf numFmtId="0" fontId="17" fillId="0" borderId="14" applyAlignment="1" applyProtection="1" pivotButton="0" quotePrefix="0" xfId="0">
      <alignment horizontal="center"/>
      <protection locked="0" hidden="0"/>
    </xf>
    <xf numFmtId="0" fontId="33" fillId="5" borderId="21" applyAlignment="1" applyProtection="1" pivotButton="0" quotePrefix="0" xfId="0">
      <alignment horizontal="center" wrapText="1"/>
      <protection locked="0" hidden="0"/>
    </xf>
    <xf numFmtId="0" fontId="33" fillId="5" borderId="19" applyAlignment="1" applyProtection="1" pivotButton="0" quotePrefix="0" xfId="0">
      <alignment horizontal="center" wrapText="1"/>
      <protection locked="0" hidden="0"/>
    </xf>
    <xf numFmtId="2" fontId="17" fillId="0" borderId="4" applyAlignment="1" applyProtection="1" pivotButton="0" quotePrefix="0" xfId="0">
      <alignment horizontal="left"/>
      <protection locked="0" hidden="0"/>
    </xf>
    <xf numFmtId="2" fontId="17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26" applyAlignment="1" pivotButton="0" quotePrefix="0" xfId="0">
      <alignment horizontal="center"/>
    </xf>
    <xf numFmtId="3" fontId="19" fillId="4" borderId="9" applyAlignment="1" pivotButton="0" quotePrefix="0" xfId="0">
      <alignment horizontal="center"/>
    </xf>
    <xf numFmtId="3" fontId="19" fillId="4" borderId="10" applyAlignment="1" pivotButton="0" quotePrefix="0" xfId="0">
      <alignment horizontal="center"/>
    </xf>
    <xf numFmtId="3" fontId="19" fillId="4" borderId="11" applyAlignment="1" pivotButton="0" quotePrefix="0" xfId="0">
      <alignment horizontal="center"/>
    </xf>
    <xf numFmtId="0" fontId="14" fillId="12" borderId="9" applyAlignment="1" pivotButton="0" quotePrefix="0" xfId="0">
      <alignment horizontal="center"/>
    </xf>
    <xf numFmtId="0" fontId="14" fillId="12" borderId="10" applyAlignment="1" pivotButton="0" quotePrefix="0" xfId="0">
      <alignment horizontal="center"/>
    </xf>
    <xf numFmtId="0" fontId="14" fillId="12" borderId="11" applyAlignment="1" pivotButton="0" quotePrefix="0" xfId="0">
      <alignment horizontal="center"/>
    </xf>
    <xf numFmtId="0" fontId="22" fillId="15" borderId="9" applyAlignment="1" pivotButton="0" quotePrefix="0" xfId="0">
      <alignment horizontal="center"/>
    </xf>
    <xf numFmtId="0" fontId="22" fillId="15" borderId="10" applyAlignment="1" pivotButton="0" quotePrefix="0" xfId="0">
      <alignment horizontal="center"/>
    </xf>
    <xf numFmtId="0" fontId="22" fillId="15" borderId="31" applyAlignment="1" pivotButton="0" quotePrefix="0" xfId="0">
      <alignment horizontal="center"/>
    </xf>
    <xf numFmtId="0" fontId="14" fillId="4" borderId="9" applyAlignment="1" pivotButton="0" quotePrefix="0" xfId="0">
      <alignment horizontal="center"/>
    </xf>
    <xf numFmtId="0" fontId="14" fillId="4" borderId="10" applyAlignment="1" pivotButton="0" quotePrefix="0" xfId="0">
      <alignment horizontal="center"/>
    </xf>
    <xf numFmtId="0" fontId="14" fillId="4" borderId="11" applyAlignment="1" pivotButton="0" quotePrefix="0" xfId="0">
      <alignment horizontal="center"/>
    </xf>
    <xf numFmtId="0" fontId="22" fillId="15" borderId="11" applyAlignment="1" pivotButton="0" quotePrefix="0" xfId="0">
      <alignment horizontal="center"/>
    </xf>
    <xf numFmtId="0" fontId="14" fillId="23" borderId="9" applyAlignment="1" pivotButton="0" quotePrefix="0" xfId="0">
      <alignment horizontal="center"/>
    </xf>
    <xf numFmtId="0" fontId="14" fillId="23" borderId="10" applyAlignment="1" pivotButton="0" quotePrefix="0" xfId="0">
      <alignment horizontal="center"/>
    </xf>
    <xf numFmtId="0" fontId="14" fillId="23" borderId="11" applyAlignment="1" pivotButton="0" quotePrefix="0" xfId="0">
      <alignment horizontal="center"/>
    </xf>
    <xf numFmtId="0" fontId="14" fillId="29" borderId="9" applyAlignment="1" pivotButton="0" quotePrefix="0" xfId="0">
      <alignment horizontal="center"/>
    </xf>
    <xf numFmtId="0" fontId="14" fillId="29" borderId="10" applyAlignment="1" pivotButton="0" quotePrefix="0" xfId="0">
      <alignment horizontal="center"/>
    </xf>
    <xf numFmtId="0" fontId="14" fillId="29" borderId="11" applyAlignment="1" pivotButton="0" quotePrefix="0" xfId="0">
      <alignment horizontal="center"/>
    </xf>
    <xf numFmtId="0" fontId="14" fillId="26" borderId="9" applyAlignment="1" pivotButton="0" quotePrefix="0" xfId="0">
      <alignment horizontal="center"/>
    </xf>
    <xf numFmtId="0" fontId="14" fillId="26" borderId="10" applyAlignment="1" pivotButton="0" quotePrefix="0" xfId="0">
      <alignment horizontal="center"/>
    </xf>
    <xf numFmtId="0" fontId="14" fillId="26" borderId="1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2" fillId="0" borderId="7" applyAlignment="1" pivotButton="0" quotePrefix="0" xfId="0">
      <alignment horizontal="center" vertical="center"/>
    </xf>
    <xf numFmtId="0" fontId="22" fillId="3" borderId="9" applyAlignment="1" pivotButton="0" quotePrefix="0" xfId="0">
      <alignment horizontal="center"/>
    </xf>
    <xf numFmtId="0" fontId="22" fillId="3" borderId="10" applyAlignment="1" pivotButton="0" quotePrefix="0" xfId="0">
      <alignment horizontal="center"/>
    </xf>
    <xf numFmtId="0" fontId="22" fillId="3" borderId="11" applyAlignment="1" pivotButton="0" quotePrefix="0" xfId="0">
      <alignment horizontal="center"/>
    </xf>
    <xf numFmtId="0" fontId="21" fillId="0" borderId="9" applyAlignment="1" pivotButton="0" quotePrefix="0" xfId="0">
      <alignment horizontal="left" wrapText="1"/>
    </xf>
    <xf numFmtId="0" fontId="21" fillId="0" borderId="10" applyAlignment="1" pivotButton="0" quotePrefix="0" xfId="0">
      <alignment horizontal="left" wrapText="1"/>
    </xf>
    <xf numFmtId="0" fontId="21" fillId="0" borderId="11" applyAlignment="1" pivotButton="0" quotePrefix="0" xfId="0">
      <alignment horizontal="left" wrapText="1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167" fontId="17" fillId="23" borderId="0" applyProtection="1" pivotButton="0" quotePrefix="0" xfId="286">
      <protection locked="0" hidden="0"/>
    </xf>
    <xf numFmtId="167" fontId="34" fillId="0" borderId="0" applyProtection="1" pivotButton="0" quotePrefix="0" xfId="286">
      <protection locked="0" hidden="0"/>
    </xf>
    <xf numFmtId="167" fontId="34" fillId="0" borderId="0" applyAlignment="1" applyProtection="1" pivotButton="0" quotePrefix="0" xfId="286">
      <alignment horizontal="left"/>
      <protection locked="0" hidden="0"/>
    </xf>
    <xf numFmtId="168" fontId="0" fillId="0" borderId="0" applyProtection="1" pivotButton="0" quotePrefix="0" xfId="286">
      <protection locked="0" hidden="0"/>
    </xf>
    <xf numFmtId="171" fontId="0" fillId="0" borderId="0" applyProtection="1" pivotButton="0" quotePrefix="0" xfId="647">
      <protection locked="0" hidden="0"/>
    </xf>
    <xf numFmtId="172" fontId="0" fillId="0" borderId="0" applyProtection="1" pivotButton="0" quotePrefix="0" xfId="0">
      <protection locked="0" hidden="0"/>
    </xf>
    <xf numFmtId="168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left"/>
      <protection locked="0" hidden="0"/>
    </xf>
    <xf numFmtId="164" fontId="11" fillId="0" borderId="0" applyAlignment="1" applyProtection="1" pivotButton="0" quotePrefix="0" xfId="286">
      <alignment horizontal="left"/>
      <protection locked="0" hidden="0"/>
    </xf>
    <xf numFmtId="164" fontId="11" fillId="0" borderId="0" applyAlignment="1" applyProtection="1" pivotButton="0" quotePrefix="0" xfId="0">
      <alignment horizontal="left"/>
      <protection locked="0" hidden="0"/>
    </xf>
    <xf numFmtId="164" fontId="20" fillId="0" borderId="0" applyAlignment="1" applyProtection="1" pivotButton="0" quotePrefix="0" xfId="0">
      <alignment horizontal="left"/>
      <protection locked="0" hidden="0"/>
    </xf>
    <xf numFmtId="164" fontId="11" fillId="10" borderId="13" applyProtection="1" pivotButton="0" quotePrefix="0" xfId="0">
      <protection locked="0" hidden="0"/>
    </xf>
    <xf numFmtId="164" fontId="11" fillId="10" borderId="14" applyProtection="1" pivotButton="0" quotePrefix="0" xfId="0">
      <protection locked="0" hidden="0"/>
    </xf>
    <xf numFmtId="164" fontId="20" fillId="0" borderId="3" applyAlignment="1" applyProtection="1" pivotButton="0" quotePrefix="0" xfId="0">
      <alignment horizontal="center"/>
      <protection locked="0" hidden="0"/>
    </xf>
    <xf numFmtId="165" fontId="11" fillId="0" borderId="0" applyAlignment="1" applyProtection="1" pivotButton="0" quotePrefix="0" xfId="285">
      <alignment horizontal="center"/>
      <protection locked="0" hidden="0"/>
    </xf>
    <xf numFmtId="164" fontId="11" fillId="0" borderId="0" applyAlignment="1" applyProtection="1" pivotButton="0" quotePrefix="0" xfId="0">
      <alignment horizontal="center"/>
      <protection locked="0" hidden="0"/>
    </xf>
    <xf numFmtId="164" fontId="11" fillId="0" borderId="5" applyAlignment="1" applyProtection="1" pivotButton="0" quotePrefix="0" xfId="0">
      <alignment horizontal="center"/>
      <protection locked="0" hidden="0"/>
    </xf>
    <xf numFmtId="164" fontId="11" fillId="0" borderId="0" applyProtection="1" pivotButton="0" quotePrefix="0" xfId="0">
      <protection locked="0" hidden="0"/>
    </xf>
    <xf numFmtId="165" fontId="0" fillId="0" borderId="0" applyProtection="1" pivotButton="0" quotePrefix="0" xfId="285">
      <protection locked="0" hidden="0"/>
    </xf>
    <xf numFmtId="164" fontId="0" fillId="2" borderId="5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right"/>
      <protection locked="0" hidden="0"/>
    </xf>
    <xf numFmtId="164" fontId="11" fillId="0" borderId="7" applyProtection="1" pivotButton="0" quotePrefix="0" xfId="0">
      <protection locked="0" hidden="0"/>
    </xf>
    <xf numFmtId="165" fontId="0" fillId="0" borderId="7" applyProtection="1" pivotButton="0" quotePrefix="0" xfId="285">
      <protection locked="0" hidden="0"/>
    </xf>
    <xf numFmtId="164" fontId="0" fillId="2" borderId="8" applyProtection="1" pivotButton="0" quotePrefix="0" xfId="0">
      <protection locked="0" hidden="0"/>
    </xf>
    <xf numFmtId="166" fontId="0" fillId="0" borderId="0" applyProtection="1" pivotButton="0" quotePrefix="0" xfId="285">
      <protection locked="0" hidden="0"/>
    </xf>
    <xf numFmtId="164" fontId="0" fillId="0" borderId="0" applyProtection="1" pivotButton="0" quotePrefix="0" xfId="286">
      <protection locked="0" hidden="0"/>
    </xf>
    <xf numFmtId="165" fontId="10" fillId="16" borderId="0" applyAlignment="1" applyProtection="1" pivotButton="0" quotePrefix="0" xfId="285">
      <alignment horizontal="center"/>
      <protection locked="0" hidden="0"/>
    </xf>
    <xf numFmtId="165" fontId="14" fillId="2" borderId="15" applyProtection="1" pivotButton="0" quotePrefix="0" xfId="285">
      <protection locked="0" hidden="0"/>
    </xf>
    <xf numFmtId="165" fontId="11" fillId="41" borderId="0" applyAlignment="1" applyProtection="1" pivotButton="0" quotePrefix="0" xfId="285">
      <alignment horizontal="center"/>
      <protection locked="0" hidden="0"/>
    </xf>
    <xf numFmtId="164" fontId="11" fillId="41" borderId="5" applyProtection="1" pivotButton="0" quotePrefix="0" xfId="0">
      <protection locked="0" hidden="0"/>
    </xf>
    <xf numFmtId="170" fontId="11" fillId="0" borderId="0" applyProtection="1" pivotButton="0" quotePrefix="0" xfId="0">
      <protection locked="0" hidden="0"/>
    </xf>
    <xf numFmtId="164" fontId="0" fillId="0" borderId="15" applyProtection="1" pivotButton="0" quotePrefix="0" xfId="0">
      <protection locked="0" hidden="0"/>
    </xf>
    <xf numFmtId="164" fontId="11" fillId="0" borderId="2" applyProtection="1" pivotButton="0" quotePrefix="0" xfId="0">
      <protection locked="0" hidden="0"/>
    </xf>
    <xf numFmtId="165" fontId="0" fillId="0" borderId="2" applyProtection="1" pivotButton="0" quotePrefix="0" xfId="285">
      <protection locked="0" hidden="0"/>
    </xf>
    <xf numFmtId="164" fontId="0" fillId="2" borderId="3" applyProtection="1" pivotButton="0" quotePrefix="0" xfId="0">
      <protection locked="0" hidden="0"/>
    </xf>
    <xf numFmtId="164" fontId="11" fillId="0" borderId="5" applyProtection="1" pivotButton="0" quotePrefix="0" xfId="0">
      <protection locked="0" hidden="0"/>
    </xf>
    <xf numFmtId="167" fontId="34" fillId="24" borderId="2" applyProtection="1" pivotButton="0" quotePrefix="0" xfId="1183">
      <protection locked="0" hidden="0"/>
    </xf>
    <xf numFmtId="167" fontId="11" fillId="0" borderId="2" applyProtection="1" pivotButton="0" quotePrefix="0" xfId="1183">
      <protection locked="0" hidden="0"/>
    </xf>
    <xf numFmtId="166" fontId="0" fillId="2" borderId="3" applyProtection="1" pivotButton="0" quotePrefix="0" xfId="1184">
      <protection locked="0" hidden="0"/>
    </xf>
    <xf numFmtId="168" fontId="0" fillId="10" borderId="0" applyProtection="1" pivotButton="0" quotePrefix="0" xfId="286">
      <protection locked="0" hidden="0"/>
    </xf>
    <xf numFmtId="171" fontId="0" fillId="4" borderId="0" applyProtection="1" pivotButton="0" quotePrefix="0" xfId="647">
      <protection locked="0" hidden="0"/>
    </xf>
    <xf numFmtId="172" fontId="0" fillId="10" borderId="0" applyProtection="1" pivotButton="0" quotePrefix="0" xfId="0">
      <protection locked="0" hidden="0"/>
    </xf>
    <xf numFmtId="168" fontId="0" fillId="10" borderId="0" applyProtection="1" pivotButton="0" quotePrefix="0" xfId="0">
      <protection locked="0" hidden="0"/>
    </xf>
    <xf numFmtId="165" fontId="11" fillId="45" borderId="0" applyAlignment="1" applyProtection="1" pivotButton="0" quotePrefix="0" xfId="285">
      <alignment horizontal="center"/>
      <protection locked="0" hidden="0"/>
    </xf>
    <xf numFmtId="164" fontId="11" fillId="45" borderId="5" applyProtection="1" pivotButton="0" quotePrefix="0" xfId="0">
      <protection locked="0" hidden="0"/>
    </xf>
    <xf numFmtId="167" fontId="34" fillId="24" borderId="7" applyProtection="1" pivotButton="0" quotePrefix="0" xfId="1183">
      <protection locked="0" hidden="0"/>
    </xf>
    <xf numFmtId="167" fontId="11" fillId="0" borderId="7" applyProtection="1" pivotButton="0" quotePrefix="0" xfId="1183">
      <protection locked="0" hidden="0"/>
    </xf>
    <xf numFmtId="166" fontId="0" fillId="2" borderId="8" applyProtection="1" pivotButton="0" quotePrefix="0" xfId="1184">
      <protection locked="0" hidden="0"/>
    </xf>
    <xf numFmtId="165" fontId="0" fillId="0" borderId="15" applyProtection="1" pivotButton="0" quotePrefix="0" xfId="285">
      <protection locked="0" hidden="0"/>
    </xf>
    <xf numFmtId="165" fontId="11" fillId="16" borderId="0" applyAlignment="1" applyProtection="1" pivotButton="0" quotePrefix="0" xfId="285">
      <alignment horizontal="center"/>
      <protection locked="0" hidden="0"/>
    </xf>
    <xf numFmtId="164" fontId="11" fillId="16" borderId="0" applyProtection="1" pivotButton="0" quotePrefix="0" xfId="0">
      <protection locked="0" hidden="0"/>
    </xf>
    <xf numFmtId="164" fontId="11" fillId="16" borderId="5" applyProtection="1" pivotButton="0" quotePrefix="0" xfId="0">
      <protection locked="0" hidden="0"/>
    </xf>
    <xf numFmtId="165" fontId="11" fillId="0" borderId="15" applyProtection="1" pivotButton="0" quotePrefix="0" xfId="285">
      <protection locked="0" hidden="0"/>
    </xf>
    <xf numFmtId="0" fontId="0" fillId="0" borderId="15" applyAlignment="1" applyProtection="1" pivotButton="0" quotePrefix="0" xfId="0">
      <alignment horizontal="left"/>
      <protection locked="0" hidden="0"/>
    </xf>
    <xf numFmtId="165" fontId="15" fillId="2" borderId="15" applyProtection="1" pivotButton="0" quotePrefix="0" xfId="285">
      <protection locked="0" hidden="0"/>
    </xf>
    <xf numFmtId="165" fontId="19" fillId="0" borderId="11" applyProtection="1" pivotButton="0" quotePrefix="0" xfId="285">
      <protection locked="0" hidden="0"/>
    </xf>
    <xf numFmtId="165" fontId="34" fillId="0" borderId="10" applyProtection="1" pivotButton="0" quotePrefix="0" xfId="285">
      <protection locked="0" hidden="0"/>
    </xf>
    <xf numFmtId="165" fontId="11" fillId="0" borderId="17" applyAlignment="1" applyProtection="1" pivotButton="0" quotePrefix="0" xfId="285">
      <alignment horizontal="center"/>
      <protection locked="0" hidden="0"/>
    </xf>
    <xf numFmtId="164" fontId="11" fillId="0" borderId="17" applyProtection="1" pivotButton="0" quotePrefix="0" xfId="0">
      <protection locked="0" hidden="0"/>
    </xf>
    <xf numFmtId="164" fontId="11" fillId="0" borderId="16" applyProtection="1" pivotButton="0" quotePrefix="0" xfId="0">
      <protection locked="0" hidden="0"/>
    </xf>
    <xf numFmtId="164" fontId="19" fillId="0" borderId="3" applyProtection="1" pivotButton="0" quotePrefix="0" xfId="0">
      <protection locked="0" hidden="0"/>
    </xf>
    <xf numFmtId="164" fontId="98" fillId="46" borderId="32" applyAlignment="1" applyProtection="1" pivotButton="0" quotePrefix="0" xfId="0">
      <alignment horizontal="center" vertical="center"/>
      <protection locked="0" hidden="0"/>
    </xf>
    <xf numFmtId="164" fontId="19" fillId="0" borderId="10" applyProtection="1" pivotButton="0" quotePrefix="0" xfId="0">
      <protection locked="0" hidden="0"/>
    </xf>
    <xf numFmtId="164" fontId="19" fillId="0" borderId="8" applyProtection="1" pivotButton="0" quotePrefix="0" xfId="0">
      <protection locked="0" hidden="0"/>
    </xf>
    <xf numFmtId="164" fontId="15" fillId="2" borderId="7" applyProtection="1" pivotButton="0" quotePrefix="0" xfId="0">
      <protection locked="0" hidden="0"/>
    </xf>
    <xf numFmtId="164" fontId="14" fillId="10" borderId="15" applyProtection="1" pivotButton="0" quotePrefix="0" xfId="0">
      <protection locked="0" hidden="0"/>
    </xf>
    <xf numFmtId="165" fontId="15" fillId="0" borderId="11" applyProtection="1" pivotButton="0" quotePrefix="0" xfId="285">
      <protection locked="0" hidden="0"/>
    </xf>
    <xf numFmtId="165" fontId="14" fillId="0" borderId="9" applyProtection="1" pivotButton="0" quotePrefix="0" xfId="285">
      <protection locked="0" hidden="0"/>
    </xf>
    <xf numFmtId="165" fontId="11" fillId="0" borderId="9" applyProtection="1" pivotButton="0" quotePrefix="0" xfId="285">
      <protection locked="0" hidden="0"/>
    </xf>
    <xf numFmtId="165" fontId="19" fillId="0" borderId="0" applyAlignment="1" applyProtection="1" pivotButton="0" quotePrefix="0" xfId="0">
      <alignment horizontal="center"/>
      <protection locked="0" hidden="0"/>
    </xf>
    <xf numFmtId="165" fontId="14" fillId="0" borderId="2" applyProtection="1" pivotButton="0" quotePrefix="0" xfId="285">
      <protection locked="0" hidden="0"/>
    </xf>
    <xf numFmtId="165" fontId="14" fillId="0" borderId="3" applyProtection="1" pivotButton="0" quotePrefix="0" xfId="285">
      <protection locked="0" hidden="0"/>
    </xf>
    <xf numFmtId="177" fontId="34" fillId="0" borderId="6" applyProtection="1" pivotButton="0" quotePrefix="0" xfId="0">
      <protection locked="0" hidden="0"/>
    </xf>
    <xf numFmtId="177" fontId="34" fillId="0" borderId="8" applyProtection="1" pivotButton="0" quotePrefix="0" xfId="0">
      <protection locked="0" hidden="0"/>
    </xf>
    <xf numFmtId="177" fontId="15" fillId="0" borderId="0" applyProtection="1" pivotButton="0" quotePrefix="0" xfId="0">
      <protection locked="0" hidden="0"/>
    </xf>
    <xf numFmtId="165" fontId="0" fillId="0" borderId="0" applyProtection="1" pivotButton="0" quotePrefix="0" xfId="0">
      <protection locked="0" hidden="0"/>
    </xf>
    <xf numFmtId="177" fontId="11" fillId="0" borderId="0" applyProtection="1" pivotButton="0" quotePrefix="0" xfId="0">
      <protection locked="0" hidden="0"/>
    </xf>
    <xf numFmtId="165" fontId="0" fillId="0" borderId="6" applyProtection="1" pivotButton="0" quotePrefix="0" xfId="0">
      <protection locked="0" hidden="0"/>
    </xf>
    <xf numFmtId="165" fontId="0" fillId="0" borderId="7" applyProtection="1" pivotButton="0" quotePrefix="0" xfId="0">
      <protection locked="0" hidden="0"/>
    </xf>
    <xf numFmtId="165" fontId="49" fillId="0" borderId="0" applyProtection="1" pivotButton="0" quotePrefix="0" xfId="285">
      <protection locked="0" hidden="0"/>
    </xf>
    <xf numFmtId="165" fontId="19" fillId="0" borderId="15" applyProtection="1" pivotButton="0" quotePrefix="0" xfId="285">
      <protection locked="0" hidden="0"/>
    </xf>
    <xf numFmtId="177" fontId="15" fillId="0" borderId="7" applyProtection="1" pivotButton="0" quotePrefix="0" xfId="286">
      <protection locked="0" hidden="0"/>
    </xf>
    <xf numFmtId="164" fontId="11" fillId="0" borderId="11" applyProtection="1" pivotButton="0" quotePrefix="0" xfId="0">
      <protection locked="0" hidden="0"/>
    </xf>
    <xf numFmtId="167" fontId="17" fillId="2" borderId="3" applyProtection="1" pivotButton="0" quotePrefix="0" xfId="286">
      <protection locked="0" hidden="0"/>
    </xf>
    <xf numFmtId="164" fontId="0" fillId="0" borderId="4" applyProtection="1" pivotButton="0" quotePrefix="0" xfId="0">
      <protection locked="0" hidden="0"/>
    </xf>
    <xf numFmtId="167" fontId="17" fillId="0" borderId="5" applyProtection="1" pivotButton="0" quotePrefix="0" xfId="0">
      <protection locked="0" hidden="0"/>
    </xf>
    <xf numFmtId="167" fontId="17" fillId="16" borderId="11" applyProtection="1" pivotButton="0" quotePrefix="0" xfId="286">
      <protection locked="0" hidden="0"/>
    </xf>
    <xf numFmtId="164" fontId="0" fillId="0" borderId="0" applyProtection="1" pivotButton="0" quotePrefix="0" xfId="0">
      <protection locked="0" hidden="0"/>
    </xf>
    <xf numFmtId="167" fontId="17" fillId="0" borderId="0" applyProtection="1" pivotButton="0" quotePrefix="0" xfId="0">
      <protection locked="0" hidden="0"/>
    </xf>
    <xf numFmtId="167" fontId="17" fillId="2" borderId="11" applyProtection="1" pivotButton="0" quotePrefix="0" xfId="286">
      <protection locked="0" hidden="0"/>
    </xf>
    <xf numFmtId="164" fontId="11" fillId="0" borderId="0" applyProtection="1" pivotButton="0" quotePrefix="0" xfId="1183">
      <protection locked="0" hidden="0"/>
    </xf>
    <xf numFmtId="177" fontId="17" fillId="34" borderId="59" applyProtection="1" pivotButton="0" quotePrefix="0" xfId="286">
      <protection locked="0" hidden="0"/>
    </xf>
    <xf numFmtId="164" fontId="10" fillId="0" borderId="3" pivotButton="0" quotePrefix="0" xfId="0"/>
    <xf numFmtId="177" fontId="3" fillId="0" borderId="26" applyProtection="1" pivotButton="0" quotePrefix="0" xfId="286">
      <protection locked="0" hidden="0"/>
    </xf>
    <xf numFmtId="165" fontId="11" fillId="0" borderId="0" applyProtection="1" pivotButton="0" quotePrefix="0" xfId="285">
      <protection locked="0" hidden="0"/>
    </xf>
    <xf numFmtId="177" fontId="11" fillId="0" borderId="59" applyProtection="1" pivotButton="0" quotePrefix="0" xfId="286">
      <protection locked="0" hidden="0"/>
    </xf>
    <xf numFmtId="167" fontId="11" fillId="0" borderId="26" applyProtection="1" pivotButton="0" quotePrefix="0" xfId="286">
      <protection locked="0" hidden="0"/>
    </xf>
    <xf numFmtId="164" fontId="11" fillId="0" borderId="29" applyProtection="1" pivotButton="0" quotePrefix="0" xfId="0">
      <protection locked="0" hidden="0"/>
    </xf>
    <xf numFmtId="164" fontId="19" fillId="45" borderId="12" applyAlignment="1" applyProtection="1" pivotButton="0" quotePrefix="0" xfId="0">
      <alignment horizontal="left"/>
      <protection locked="0" hidden="0"/>
    </xf>
    <xf numFmtId="167" fontId="34" fillId="48" borderId="14" applyProtection="1" pivotButton="0" quotePrefix="0" xfId="286">
      <protection locked="0" hidden="0"/>
    </xf>
    <xf numFmtId="164" fontId="19" fillId="28" borderId="12" applyAlignment="1" applyProtection="1" pivotButton="0" quotePrefix="0" xfId="0">
      <alignment horizontal="center"/>
      <protection locked="0" hidden="0"/>
    </xf>
    <xf numFmtId="164" fontId="15" fillId="10" borderId="10" applyProtection="1" pivotButton="0" quotePrefix="0" xfId="0">
      <protection locked="0" hidden="0"/>
    </xf>
    <xf numFmtId="164" fontId="15" fillId="10" borderId="11" applyProtection="1" pivotButton="0" quotePrefix="0" xfId="0">
      <protection locked="0" hidden="0"/>
    </xf>
    <xf numFmtId="166" fontId="19" fillId="0" borderId="15" applyAlignment="1" applyProtection="1" pivotButton="0" quotePrefix="0" xfId="285">
      <alignment horizontal="right"/>
      <protection locked="0" hidden="0"/>
    </xf>
    <xf numFmtId="167" fontId="11" fillId="0" borderId="0" applyProtection="1" pivotButton="0" quotePrefix="0" xfId="286">
      <protection locked="0" hidden="0"/>
    </xf>
    <xf numFmtId="164" fontId="19" fillId="11" borderId="10" applyAlignment="1" applyProtection="1" pivotButton="0" quotePrefix="0" xfId="0">
      <alignment horizontal="right"/>
      <protection locked="0" hidden="0"/>
    </xf>
    <xf numFmtId="164" fontId="15" fillId="11" borderId="11" applyProtection="1" pivotButton="0" quotePrefix="0" xfId="0">
      <protection locked="0" hidden="0"/>
    </xf>
    <xf numFmtId="167" fontId="11" fillId="0" borderId="9" applyProtection="1" pivotButton="0" quotePrefix="0" xfId="286">
      <protection locked="0" hidden="0"/>
    </xf>
    <xf numFmtId="164" fontId="10" fillId="0" borderId="2" applyProtection="1" pivotButton="0" quotePrefix="0" xfId="0">
      <protection locked="0" hidden="0"/>
    </xf>
    <xf numFmtId="164" fontId="11" fillId="33" borderId="15" applyProtection="1" pivotButton="0" quotePrefix="0" xfId="0">
      <protection locked="0" hidden="0"/>
    </xf>
    <xf numFmtId="164" fontId="34" fillId="0" borderId="15" applyProtection="1" pivotButton="0" quotePrefix="0" xfId="286">
      <protection locked="0" hidden="0"/>
    </xf>
    <xf numFmtId="164" fontId="11" fillId="0" borderId="5" pivotButton="0" quotePrefix="0" xfId="0"/>
    <xf numFmtId="166" fontId="11" fillId="9" borderId="15" applyProtection="1" pivotButton="0" quotePrefix="0" xfId="285">
      <protection locked="0" hidden="0"/>
    </xf>
    <xf numFmtId="171" fontId="11" fillId="0" borderId="0" applyAlignment="1" applyProtection="1" pivotButton="0" quotePrefix="0" xfId="0">
      <alignment horizontal="center"/>
      <protection locked="0" hidden="0"/>
    </xf>
    <xf numFmtId="164" fontId="11" fillId="16" borderId="15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65" fontId="25" fillId="0" borderId="0" applyProtection="1" pivotButton="0" quotePrefix="0" xfId="0">
      <protection locked="0" hidden="0"/>
    </xf>
    <xf numFmtId="164" fontId="10" fillId="7" borderId="7" applyProtection="1" pivotButton="0" quotePrefix="0" xfId="0">
      <protection locked="0" hidden="0"/>
    </xf>
    <xf numFmtId="164" fontId="19" fillId="7" borderId="8" applyProtection="1" pivotButton="0" quotePrefix="0" xfId="0">
      <protection locked="0" hidden="0"/>
    </xf>
    <xf numFmtId="177" fontId="34" fillId="0" borderId="0" applyProtection="1" pivotButton="0" quotePrefix="0" xfId="0">
      <protection locked="0" hidden="0"/>
    </xf>
    <xf numFmtId="169" fontId="11" fillId="0" borderId="0" applyAlignment="1" applyProtection="1" pivotButton="0" quotePrefix="0" xfId="0">
      <alignment horizontal="center"/>
      <protection locked="0" hidden="0"/>
    </xf>
    <xf numFmtId="176" fontId="11" fillId="0" borderId="0" applyAlignment="1" applyProtection="1" pivotButton="0" quotePrefix="0" xfId="0">
      <alignment horizontal="center"/>
      <protection locked="0" hidden="0"/>
    </xf>
    <xf numFmtId="177" fontId="34" fillId="0" borderId="7" applyProtection="1" pivotButton="0" quotePrefix="0" xfId="0">
      <protection locked="0" hidden="0"/>
    </xf>
    <xf numFmtId="164" fontId="0" fillId="0" borderId="8" applyProtection="1" pivotButton="0" quotePrefix="0" xfId="0">
      <protection locked="0" hidden="0"/>
    </xf>
    <xf numFmtId="164" fontId="15" fillId="10" borderId="7" applyProtection="1" pivotButton="0" quotePrefix="0" xfId="0">
      <protection locked="0" hidden="0"/>
    </xf>
    <xf numFmtId="164" fontId="15" fillId="10" borderId="8" applyProtection="1" pivotButton="0" quotePrefix="0" xfId="0">
      <protection locked="0" hidden="0"/>
    </xf>
    <xf numFmtId="165" fontId="14" fillId="0" borderId="0" applyProtection="1" pivotButton="0" quotePrefix="0" xfId="285">
      <protection locked="0" hidden="0"/>
    </xf>
    <xf numFmtId="177" fontId="11" fillId="0" borderId="20" applyAlignment="1" applyProtection="1" pivotButton="0" quotePrefix="0" xfId="0">
      <alignment horizontal="center"/>
      <protection locked="0" hidden="0"/>
    </xf>
    <xf numFmtId="177" fontId="0" fillId="0" borderId="15" applyAlignment="1" applyProtection="1" pivotButton="0" quotePrefix="0" xfId="0">
      <alignment horizontal="center"/>
      <protection locked="0" hidden="0"/>
    </xf>
    <xf numFmtId="177" fontId="0" fillId="41" borderId="20" applyProtection="1" pivotButton="0" quotePrefix="0" xfId="0">
      <protection locked="0" hidden="0"/>
    </xf>
    <xf numFmtId="164" fontId="11" fillId="11" borderId="13" applyProtection="1" pivotButton="0" quotePrefix="0" xfId="0">
      <protection locked="0" hidden="0"/>
    </xf>
    <xf numFmtId="167" fontId="11" fillId="11" borderId="14" applyProtection="1" pivotButton="0" quotePrefix="0" xfId="286">
      <protection locked="0" hidden="0"/>
    </xf>
    <xf numFmtId="171" fontId="11" fillId="0" borderId="19" applyAlignment="1" applyProtection="1" pivotButton="0" quotePrefix="0" xfId="647">
      <alignment horizontal="center"/>
      <protection locked="0" hidden="0"/>
    </xf>
    <xf numFmtId="171" fontId="0" fillId="41" borderId="19" applyAlignment="1" applyProtection="1" pivotButton="0" quotePrefix="1" xfId="0">
      <alignment horizontal="right"/>
      <protection locked="0" hidden="0"/>
    </xf>
    <xf numFmtId="164" fontId="0" fillId="0" borderId="1" applyProtection="1" pivotButton="0" quotePrefix="0" xfId="0">
      <protection locked="0" hidden="0"/>
    </xf>
    <xf numFmtId="164" fontId="11" fillId="0" borderId="0" applyProtection="1" pivotButton="0" quotePrefix="0" xfId="286">
      <protection locked="0" hidden="0"/>
    </xf>
    <xf numFmtId="167" fontId="0" fillId="0" borderId="4" applyProtection="1" pivotButton="0" quotePrefix="0" xfId="0">
      <protection locked="0" hidden="0"/>
    </xf>
    <xf numFmtId="164" fontId="0" fillId="0" borderId="6" applyProtection="1" pivotButton="0" quotePrefix="0" xfId="0">
      <protection locked="0" hidden="0"/>
    </xf>
    <xf numFmtId="0" fontId="53" fillId="0" borderId="21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165" fontId="0" fillId="41" borderId="23" applyProtection="1" pivotButton="0" quotePrefix="0" xfId="0">
      <protection locked="0" hidden="0"/>
    </xf>
    <xf numFmtId="165" fontId="0" fillId="41" borderId="24" applyProtection="1" pivotButton="0" quotePrefix="0" xfId="0">
      <protection locked="0" hidden="0"/>
    </xf>
    <xf numFmtId="165" fontId="0" fillId="26" borderId="28" applyProtection="1" pivotButton="0" quotePrefix="0" xfId="0">
      <protection locked="0" hidden="0"/>
    </xf>
    <xf numFmtId="165" fontId="0" fillId="26" borderId="29" applyProtection="1" pivotButton="0" quotePrefix="0" xfId="0">
      <protection locked="0" hidden="0"/>
    </xf>
    <xf numFmtId="0" fontId="0" fillId="7" borderId="70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6" fontId="0" fillId="41" borderId="0" applyProtection="1" pivotButton="0" quotePrefix="0" xfId="285">
      <protection locked="0" hidden="0"/>
    </xf>
    <xf numFmtId="166" fontId="0" fillId="26" borderId="0" applyProtection="1" pivotButton="0" quotePrefix="0" xfId="285">
      <protection locked="0" hidden="0"/>
    </xf>
    <xf numFmtId="177" fontId="0" fillId="24" borderId="42" pivotButton="0" quotePrefix="0" xfId="0"/>
    <xf numFmtId="177" fontId="0" fillId="24" borderId="47" pivotButton="0" quotePrefix="0" xfId="0"/>
    <xf numFmtId="177" fontId="34" fillId="41" borderId="47" pivotButton="0" quotePrefix="0" xfId="0"/>
    <xf numFmtId="177" fontId="0" fillId="0" borderId="0" applyProtection="1" pivotButton="0" quotePrefix="0" xfId="0">
      <protection locked="0" hidden="0"/>
    </xf>
    <xf numFmtId="177" fontId="0" fillId="41" borderId="0" applyAlignment="1" applyProtection="1" pivotButton="0" quotePrefix="0" xfId="0">
      <alignment horizontal="left"/>
      <protection locked="0" hidden="0"/>
    </xf>
    <xf numFmtId="177" fontId="0" fillId="41" borderId="47" pivotButton="0" quotePrefix="0" xfId="0"/>
    <xf numFmtId="177" fontId="17" fillId="41" borderId="53" applyAlignment="1" applyProtection="1" pivotButton="0" quotePrefix="0" xfId="0">
      <alignment horizontal="center"/>
      <protection locked="0" hidden="0"/>
    </xf>
    <xf numFmtId="177" fontId="17" fillId="41" borderId="0" applyProtection="1" pivotButton="0" quotePrefix="0" xfId="1080">
      <protection locked="0" hidden="0"/>
    </xf>
    <xf numFmtId="177" fontId="3" fillId="47" borderId="0" applyProtection="1" pivotButton="0" quotePrefix="0" xfId="1080">
      <protection locked="0" hidden="0"/>
    </xf>
    <xf numFmtId="177" fontId="0" fillId="41" borderId="11" applyProtection="1" pivotButton="0" quotePrefix="0" xfId="1080">
      <protection locked="0" hidden="0"/>
    </xf>
    <xf numFmtId="177" fontId="0" fillId="41" borderId="2" applyProtection="1" pivotButton="0" quotePrefix="0" xfId="1080">
      <protection locked="0" hidden="0"/>
    </xf>
    <xf numFmtId="177" fontId="0" fillId="41" borderId="3" applyProtection="1" pivotButton="0" quotePrefix="0" xfId="0">
      <protection locked="0" hidden="0"/>
    </xf>
    <xf numFmtId="177" fontId="17" fillId="0" borderId="0" applyProtection="1" pivotButton="0" quotePrefix="0" xfId="1080">
      <protection locked="0" hidden="0"/>
    </xf>
    <xf numFmtId="177" fontId="0" fillId="41" borderId="0" applyProtection="1" pivotButton="0" quotePrefix="0" xfId="1080">
      <protection locked="0" hidden="0"/>
    </xf>
    <xf numFmtId="177" fontId="0" fillId="41" borderId="5" applyProtection="1" pivotButton="0" quotePrefix="0" xfId="0">
      <protection locked="0" hidden="0"/>
    </xf>
    <xf numFmtId="177" fontId="0" fillId="0" borderId="0" applyProtection="1" pivotButton="0" quotePrefix="0" xfId="1080">
      <protection locked="0" hidden="0"/>
    </xf>
    <xf numFmtId="177" fontId="0" fillId="41" borderId="7" applyProtection="1" pivotButton="0" quotePrefix="0" xfId="1080">
      <protection locked="0" hidden="0"/>
    </xf>
    <xf numFmtId="177" fontId="0" fillId="41" borderId="8" applyProtection="1" pivotButton="0" quotePrefix="0" xfId="0">
      <protection locked="0" hidden="0"/>
    </xf>
    <xf numFmtId="177" fontId="0" fillId="41" borderId="0" applyProtection="1" pivotButton="0" quotePrefix="0" xfId="0">
      <protection locked="0" hidden="0"/>
    </xf>
    <xf numFmtId="165" fontId="11" fillId="0" borderId="0" applyAlignment="1" applyProtection="1" pivotButton="0" quotePrefix="0" xfId="1184">
      <alignment horizontal="center"/>
      <protection locked="0" hidden="0"/>
    </xf>
    <xf numFmtId="177" fontId="17" fillId="4" borderId="14" applyProtection="1" pivotButton="0" quotePrefix="0" xfId="1080">
      <protection locked="0" hidden="0"/>
    </xf>
    <xf numFmtId="177" fontId="48" fillId="4" borderId="14" applyProtection="1" pivotButton="0" quotePrefix="0" xfId="0">
      <protection locked="0" hidden="0"/>
    </xf>
    <xf numFmtId="177" fontId="64" fillId="48" borderId="0" applyAlignment="1" applyProtection="1" pivotButton="0" quotePrefix="0" xfId="0">
      <alignment horizontal="left"/>
      <protection locked="0" hidden="0"/>
    </xf>
    <xf numFmtId="177" fontId="48" fillId="4" borderId="32" applyProtection="1" pivotButton="0" quotePrefix="0" xfId="0">
      <protection locked="0" hidden="0"/>
    </xf>
    <xf numFmtId="177" fontId="17" fillId="4" borderId="24" applyProtection="1" pivotButton="0" quotePrefix="0" xfId="1080">
      <protection locked="0" hidden="0"/>
    </xf>
    <xf numFmtId="177" fontId="48" fillId="4" borderId="24" applyProtection="1" pivotButton="0" quotePrefix="0" xfId="0">
      <protection locked="0" hidden="0"/>
    </xf>
    <xf numFmtId="177" fontId="48" fillId="4" borderId="55" applyProtection="1" pivotButton="0" quotePrefix="0" xfId="0">
      <protection locked="0" hidden="0"/>
    </xf>
    <xf numFmtId="177" fontId="17" fillId="4" borderId="26" applyProtection="1" pivotButton="0" quotePrefix="0" xfId="1080">
      <protection locked="0" hidden="0"/>
    </xf>
    <xf numFmtId="177" fontId="48" fillId="4" borderId="26" applyProtection="1" pivotButton="0" quotePrefix="0" xfId="0">
      <protection locked="0" hidden="0"/>
    </xf>
    <xf numFmtId="177" fontId="48" fillId="4" borderId="61" applyProtection="1" pivotButton="0" quotePrefix="0" xfId="0">
      <protection locked="0" hidden="0"/>
    </xf>
    <xf numFmtId="177" fontId="17" fillId="4" borderId="29" applyProtection="1" pivotButton="0" quotePrefix="0" xfId="1080">
      <protection locked="0" hidden="0"/>
    </xf>
    <xf numFmtId="177" fontId="48" fillId="4" borderId="29" applyProtection="1" pivotButton="0" quotePrefix="0" xfId="0">
      <protection locked="0" hidden="0"/>
    </xf>
    <xf numFmtId="177" fontId="48" fillId="4" borderId="53" applyProtection="1" pivotButton="0" quotePrefix="0" xfId="0">
      <protection locked="0" hidden="0"/>
    </xf>
    <xf numFmtId="0" fontId="0" fillId="24" borderId="54" applyAlignment="1" pivotButton="0" quotePrefix="0" xfId="0">
      <alignment horizontal="center" vertical="center"/>
    </xf>
    <xf numFmtId="177" fontId="17" fillId="24" borderId="32" pivotButton="0" quotePrefix="0" xfId="0"/>
    <xf numFmtId="177" fontId="100" fillId="0" borderId="3" applyAlignment="1" applyProtection="1" pivotButton="0" quotePrefix="0" xfId="0">
      <alignment horizontal="center"/>
      <protection locked="0" hidden="0"/>
    </xf>
    <xf numFmtId="0" fontId="0" fillId="0" borderId="44" pivotButton="0" quotePrefix="0" xfId="0"/>
    <xf numFmtId="177" fontId="17" fillId="24" borderId="53" pivotButton="0" quotePrefix="0" xfId="0"/>
    <xf numFmtId="177" fontId="17" fillId="26" borderId="0" applyProtection="1" pivotButton="0" quotePrefix="0" xfId="1080">
      <protection locked="0" hidden="0"/>
    </xf>
    <xf numFmtId="177" fontId="100" fillId="0" borderId="69" applyProtection="1" pivotButton="0" quotePrefix="0" xfId="0">
      <protection locked="0" hidden="0"/>
    </xf>
    <xf numFmtId="177" fontId="100" fillId="0" borderId="68" applyAlignment="1" applyProtection="1" pivotButton="0" quotePrefix="0" xfId="0">
      <alignment horizontal="center"/>
      <protection locked="0" hidden="0"/>
    </xf>
    <xf numFmtId="0" fontId="0" fillId="0" borderId="45" pivotButton="0" quotePrefix="0" xfId="0"/>
    <xf numFmtId="177" fontId="17" fillId="24" borderId="52" pivotButton="0" quotePrefix="0" xfId="0"/>
    <xf numFmtId="177" fontId="17" fillId="24" borderId="56" pivotButton="0" quotePrefix="0" xfId="0"/>
    <xf numFmtId="177" fontId="17" fillId="0" borderId="0" pivotButton="0" quotePrefix="0" xfId="0"/>
    <xf numFmtId="177" fontId="17" fillId="27" borderId="32" pivotButton="0" quotePrefix="0" xfId="0"/>
    <xf numFmtId="177" fontId="17" fillId="27" borderId="53" pivotButton="0" quotePrefix="0" xfId="0"/>
    <xf numFmtId="0" fontId="0" fillId="7" borderId="70" applyAlignment="1" applyProtection="1" pivotButton="0" quotePrefix="0" xfId="0">
      <alignment horizont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167" fontId="0" fillId="0" borderId="7" applyProtection="1" pivotButton="0" quotePrefix="0" xfId="286">
      <protection locked="0" hidden="0"/>
    </xf>
    <xf numFmtId="166" fontId="0" fillId="24" borderId="47" pivotButton="0" quotePrefix="0" xfId="285"/>
    <xf numFmtId="177" fontId="0" fillId="24" borderId="40" pivotButton="0" quotePrefix="0" xfId="0"/>
    <xf numFmtId="177" fontId="17" fillId="40" borderId="0" applyProtection="1" pivotButton="0" quotePrefix="0" xfId="286">
      <protection locked="0" hidden="0"/>
    </xf>
    <xf numFmtId="177" fontId="3" fillId="40" borderId="0" applyProtection="1" pivotButton="0" quotePrefix="0" xfId="1080">
      <protection locked="0" hidden="0"/>
    </xf>
    <xf numFmtId="177" fontId="17" fillId="0" borderId="14" applyProtection="1" pivotButton="0" quotePrefix="0" xfId="0">
      <protection locked="0" hidden="0"/>
    </xf>
    <xf numFmtId="177" fontId="17" fillId="0" borderId="12" applyProtection="1" pivotButton="0" quotePrefix="0" xfId="0">
      <protection locked="0" hidden="0"/>
    </xf>
    <xf numFmtId="177" fontId="17" fillId="41" borderId="0" applyProtection="1" pivotButton="0" quotePrefix="0" xfId="286">
      <protection locked="0" hidden="0"/>
    </xf>
    <xf numFmtId="167" fontId="0" fillId="0" borderId="0" applyProtection="1" pivotButton="0" quotePrefix="0" xfId="286">
      <protection locked="0" hidden="0"/>
    </xf>
    <xf numFmtId="167" fontId="3" fillId="47" borderId="0" applyProtection="1" pivotButton="0" quotePrefix="0" xfId="286">
      <protection locked="0" hidden="0"/>
    </xf>
    <xf numFmtId="177" fontId="0" fillId="12" borderId="42" pivotButton="0" quotePrefix="0" xfId="0"/>
    <xf numFmtId="177" fontId="0" fillId="41" borderId="42" pivotButton="0" quotePrefix="0" xfId="0"/>
    <xf numFmtId="177" fontId="46" fillId="27" borderId="0" applyProtection="1" pivotButton="0" quotePrefix="0" xfId="0">
      <protection locked="0" hidden="0"/>
    </xf>
    <xf numFmtId="177" fontId="0" fillId="43" borderId="42" pivotButton="0" quotePrefix="0" xfId="0"/>
    <xf numFmtId="177" fontId="0" fillId="41" borderId="39" pivotButton="0" quotePrefix="0" xfId="0"/>
    <xf numFmtId="177" fontId="0" fillId="12" borderId="47" pivotButton="0" quotePrefix="0" xfId="0"/>
    <xf numFmtId="166" fontId="0" fillId="0" borderId="0" applyAlignment="1" applyProtection="1" pivotButton="0" quotePrefix="0" xfId="285">
      <alignment horizontal="left"/>
      <protection locked="0" hidden="0"/>
    </xf>
    <xf numFmtId="166" fontId="11" fillId="0" borderId="0" applyAlignment="1" pivotButton="0" quotePrefix="0" xfId="285">
      <alignment horizontal="left"/>
    </xf>
    <xf numFmtId="164" fontId="11" fillId="0" borderId="0" applyAlignment="1" pivotButton="0" quotePrefix="0" xfId="0">
      <alignment horizontal="left"/>
    </xf>
    <xf numFmtId="166" fontId="19" fillId="0" borderId="0" applyAlignment="1" pivotButton="0" quotePrefix="0" xfId="285">
      <alignment horizontal="left"/>
    </xf>
    <xf numFmtId="164" fontId="19" fillId="0" borderId="0" applyAlignment="1" pivotButton="0" quotePrefix="0" xfId="0">
      <alignment horizontal="left"/>
    </xf>
    <xf numFmtId="166" fontId="0" fillId="0" borderId="0" applyAlignment="1" pivotButton="0" quotePrefix="0" xfId="285">
      <alignment horizontal="left"/>
    </xf>
    <xf numFmtId="164" fontId="0" fillId="0" borderId="0" applyAlignment="1" pivotButton="0" quotePrefix="0" xfId="0">
      <alignment horizontal="left"/>
    </xf>
    <xf numFmtId="166" fontId="0" fillId="19" borderId="0" applyAlignment="1" pivotButton="0" quotePrefix="0" xfId="285">
      <alignment horizontal="left"/>
    </xf>
    <xf numFmtId="166" fontId="17" fillId="26" borderId="0" applyAlignment="1" pivotButton="0" quotePrefix="0" xfId="285">
      <alignment horizontal="center"/>
    </xf>
    <xf numFmtId="166" fontId="79" fillId="40" borderId="0" applyAlignment="1" applyProtection="1" pivotButton="0" quotePrefix="0" xfId="285">
      <alignment horizontal="center"/>
      <protection locked="0" hidden="0"/>
    </xf>
    <xf numFmtId="177" fontId="0" fillId="0" borderId="0" applyAlignment="1" pivotButton="0" quotePrefix="0" xfId="285">
      <alignment horizontal="left"/>
    </xf>
    <xf numFmtId="165" fontId="0" fillId="0" borderId="0" applyAlignment="1" pivotButton="0" quotePrefix="0" xfId="0">
      <alignment horizontal="left"/>
    </xf>
    <xf numFmtId="165" fontId="11" fillId="0" borderId="0" applyAlignment="1" pivotButton="0" quotePrefix="0" xfId="0">
      <alignment horizontal="left"/>
    </xf>
    <xf numFmtId="165" fontId="11" fillId="0" borderId="0" applyAlignment="1" pivotButton="0" quotePrefix="0" xfId="285">
      <alignment horizontal="left"/>
    </xf>
    <xf numFmtId="167" fontId="0" fillId="0" borderId="0" applyAlignment="1" pivotButton="0" quotePrefix="0" xfId="286">
      <alignment horizontal="left"/>
    </xf>
    <xf numFmtId="166" fontId="0" fillId="10" borderId="22" applyProtection="1" pivotButton="0" quotePrefix="0" xfId="0">
      <protection locked="0" hidden="0"/>
    </xf>
    <xf numFmtId="165" fontId="17" fillId="2" borderId="15" applyProtection="1" pivotButton="0" quotePrefix="0" xfId="285">
      <protection locked="0" hidden="0"/>
    </xf>
    <xf numFmtId="165" fontId="17" fillId="2" borderId="30" applyAlignment="1" applyProtection="1" pivotButton="0" quotePrefix="0" xfId="0">
      <alignment horizontal="right"/>
      <protection locked="0" hidden="0"/>
    </xf>
    <xf numFmtId="167" fontId="17" fillId="2" borderId="26" applyProtection="1" pivotButton="0" quotePrefix="0" xfId="286">
      <protection locked="0" hidden="0"/>
    </xf>
    <xf numFmtId="167" fontId="11" fillId="0" borderId="28" applyProtection="1" pivotButton="0" quotePrefix="0" xfId="286">
      <protection locked="0" hidden="0"/>
    </xf>
    <xf numFmtId="167" fontId="17" fillId="2" borderId="29" applyProtection="1" pivotButton="0" quotePrefix="0" xfId="286">
      <protection locked="0" hidden="0"/>
    </xf>
    <xf numFmtId="164" fontId="11" fillId="0" borderId="28" applyProtection="1" pivotButton="0" quotePrefix="0" xfId="0">
      <protection locked="0" hidden="0"/>
    </xf>
    <xf numFmtId="167" fontId="11" fillId="0" borderId="29" applyProtection="1" pivotButton="0" quotePrefix="0" xfId="286">
      <protection locked="0" hidden="0"/>
    </xf>
    <xf numFmtId="164" fontId="19" fillId="16" borderId="2" applyProtection="1" pivotButton="0" quotePrefix="0" xfId="0">
      <protection locked="0" hidden="0"/>
    </xf>
    <xf numFmtId="164" fontId="19" fillId="16" borderId="10" applyProtection="1" pivotButton="0" quotePrefix="0" xfId="0">
      <protection locked="0" hidden="0"/>
    </xf>
    <xf numFmtId="164" fontId="19" fillId="0" borderId="11" applyProtection="1" pivotButton="0" quotePrefix="0" xfId="0">
      <protection locked="0" hidden="0"/>
    </xf>
    <xf numFmtId="164" fontId="15" fillId="2" borderId="8" applyProtection="1" pivotButton="0" quotePrefix="0" xfId="0">
      <protection locked="0" hidden="0"/>
    </xf>
    <xf numFmtId="164" fontId="11" fillId="10" borderId="15" applyProtection="1" pivotButton="0" quotePrefix="0" xfId="0">
      <protection locked="0" hidden="0"/>
    </xf>
    <xf numFmtId="166" fontId="11" fillId="0" borderId="0" applyAlignment="1" applyProtection="1" pivotButton="0" quotePrefix="0" xfId="0">
      <alignment horizontal="right"/>
      <protection locked="0" hidden="0"/>
    </xf>
    <xf numFmtId="165" fontId="14" fillId="0" borderId="10" applyProtection="1" pivotButton="0" quotePrefix="0" xfId="285">
      <protection locked="0" hidden="0"/>
    </xf>
    <xf numFmtId="165" fontId="14" fillId="0" borderId="11" applyProtection="1" pivotButton="0" quotePrefix="0" xfId="285">
      <protection locked="0" hidden="0"/>
    </xf>
    <xf numFmtId="177" fontId="15" fillId="0" borderId="0" applyProtection="1" pivotButton="0" quotePrefix="0" xfId="286">
      <protection locked="0" hidden="0"/>
    </xf>
    <xf numFmtId="170" fontId="11" fillId="7" borderId="15" applyAlignment="1" applyProtection="1" pivotButton="0" quotePrefix="0" xfId="0">
      <alignment horizontal="right"/>
      <protection locked="0" hidden="0"/>
    </xf>
    <xf numFmtId="177" fontId="11" fillId="0" borderId="0" applyProtection="1" pivotButton="0" quotePrefix="0" xfId="286">
      <protection locked="0" hidden="0"/>
    </xf>
    <xf numFmtId="0" fontId="11" fillId="26" borderId="15" applyAlignment="1" applyProtection="1" pivotButton="0" quotePrefix="0" xfId="0">
      <alignment horizontal="center"/>
      <protection locked="0" hidden="0"/>
    </xf>
    <xf numFmtId="164" fontId="35" fillId="25" borderId="15" applyAlignment="1" applyProtection="1" pivotButton="0" quotePrefix="0" xfId="0">
      <alignment horizontal="center"/>
      <protection locked="0" hidden="0"/>
    </xf>
    <xf numFmtId="164" fontId="11" fillId="2" borderId="0" applyProtection="1" pivotButton="0" quotePrefix="0" xfId="0">
      <protection locked="0" hidden="0"/>
    </xf>
    <xf numFmtId="164" fontId="19" fillId="28" borderId="12" applyAlignment="1" applyProtection="1" pivotButton="0" quotePrefix="0" xfId="0">
      <alignment horizontal="left"/>
      <protection locked="0" hidden="0"/>
    </xf>
    <xf numFmtId="164" fontId="34" fillId="41" borderId="15" applyProtection="1" pivotButton="0" quotePrefix="0" xfId="286">
      <protection locked="0" hidden="0"/>
    </xf>
    <xf numFmtId="164" fontId="34" fillId="2" borderId="9" applyProtection="1" pivotButton="0" quotePrefix="0" xfId="286">
      <protection locked="0" hidden="0"/>
    </xf>
    <xf numFmtId="164" fontId="11" fillId="0" borderId="9" applyProtection="1" pivotButton="0" quotePrefix="0" xfId="0">
      <protection locked="0" hidden="0"/>
    </xf>
    <xf numFmtId="164" fontId="19" fillId="0" borderId="0" applyAlignment="1" applyProtection="1" pivotButton="0" quotePrefix="0" xfId="0">
      <alignment horizontal="left"/>
      <protection locked="0" hidden="0"/>
    </xf>
    <xf numFmtId="166" fontId="11" fillId="0" borderId="0" applyAlignment="1" applyProtection="1" pivotButton="0" quotePrefix="0" xfId="0">
      <alignment horizontal="left"/>
      <protection locked="0" hidden="0"/>
    </xf>
    <xf numFmtId="165" fontId="11" fillId="0" borderId="0" applyAlignment="1" applyProtection="1" pivotButton="0" quotePrefix="0" xfId="285">
      <alignment horizontal="left"/>
      <protection locked="0" hidden="0"/>
    </xf>
    <xf numFmtId="168" fontId="11" fillId="0" borderId="0" applyAlignment="1" applyProtection="1" pivotButton="0" quotePrefix="0" xfId="286">
      <alignment horizontal="left"/>
      <protection locked="0" hidden="0"/>
    </xf>
    <xf numFmtId="167" fontId="0" fillId="0" borderId="0" applyAlignment="1" applyProtection="1" pivotButton="0" quotePrefix="0" xfId="286">
      <alignment horizontal="left"/>
      <protection locked="0" hidden="0"/>
    </xf>
    <xf numFmtId="169" fontId="11" fillId="0" borderId="0" applyAlignment="1" pivotButton="0" quotePrefix="0" xfId="0">
      <alignment horizontal="left"/>
    </xf>
    <xf numFmtId="165" fontId="0" fillId="0" borderId="0" applyAlignment="1" pivotButton="0" quotePrefix="0" xfId="285">
      <alignment horizontal="left"/>
    </xf>
    <xf numFmtId="166" fontId="11" fillId="0" borderId="0" applyAlignment="1" pivotButton="0" quotePrefix="0" xfId="0">
      <alignment horizontal="left"/>
    </xf>
    <xf numFmtId="168" fontId="11" fillId="0" borderId="0" applyAlignment="1" pivotButton="0" quotePrefix="0" xfId="286">
      <alignment horizontal="left"/>
    </xf>
    <xf numFmtId="168" fontId="0" fillId="0" borderId="0" applyProtection="1" pivotButton="0" quotePrefix="0" xfId="1183">
      <protection locked="0" hidden="0"/>
    </xf>
    <xf numFmtId="171" fontId="0" fillId="0" borderId="0" applyProtection="1" pivotButton="0" quotePrefix="0" xfId="1079">
      <protection locked="0" hidden="0"/>
    </xf>
    <xf numFmtId="14" fontId="14" fillId="0" borderId="70" applyAlignment="1" applyProtection="1" pivotButton="0" quotePrefix="0" xfId="0">
      <alignment horizontal="center"/>
      <protection locked="0" hidden="0"/>
    </xf>
    <xf numFmtId="0" fontId="14" fillId="0" borderId="70" applyAlignment="1" applyProtection="1" pivotButton="0" quotePrefix="0" xfId="0">
      <alignment horizontal="center"/>
      <protection locked="0" hidden="0"/>
    </xf>
    <xf numFmtId="0" fontId="17" fillId="0" borderId="70" applyAlignment="1" applyProtection="1" pivotButton="0" quotePrefix="0" xfId="0">
      <alignment horizontal="center"/>
      <protection locked="0" hidden="0"/>
    </xf>
    <xf numFmtId="164" fontId="14" fillId="2" borderId="15" applyAlignment="1" applyProtection="1" pivotButton="0" quotePrefix="0" xfId="0">
      <alignment horizontal="center"/>
      <protection locked="0" hidden="0"/>
    </xf>
    <xf numFmtId="164" fontId="0" fillId="37" borderId="15" applyAlignment="1" applyProtection="1" pivotButton="0" quotePrefix="0" xfId="0">
      <alignment horizontal="left"/>
      <protection locked="0" hidden="0"/>
    </xf>
    <xf numFmtId="164" fontId="17" fillId="37" borderId="15" applyAlignment="1" applyProtection="1" pivotButton="0" quotePrefix="0" xfId="0">
      <alignment horizontal="center"/>
      <protection locked="0" hidden="0"/>
    </xf>
    <xf numFmtId="164" fontId="0" fillId="5" borderId="15" applyAlignment="1" applyProtection="1" pivotButton="0" quotePrefix="0" xfId="0">
      <alignment horizontal="left"/>
      <protection locked="0" hidden="0"/>
    </xf>
    <xf numFmtId="164" fontId="17" fillId="5" borderId="15" applyAlignment="1" applyProtection="1" pivotButton="0" quotePrefix="0" xfId="0">
      <alignment horizontal="center"/>
      <protection locked="0" hidden="0"/>
    </xf>
    <xf numFmtId="164" fontId="11" fillId="16" borderId="0" applyAlignment="1" applyProtection="1" pivotButton="0" quotePrefix="0" xfId="0">
      <alignment horizontal="center"/>
      <protection locked="0" hidden="0"/>
    </xf>
    <xf numFmtId="165" fontId="10" fillId="16" borderId="0" applyAlignment="1" applyProtection="1" pivotButton="0" quotePrefix="0" xfId="1184">
      <alignment horizontal="center"/>
      <protection locked="0" hidden="0"/>
    </xf>
    <xf numFmtId="164" fontId="11" fillId="16" borderId="5" applyAlignment="1" applyProtection="1" pivotButton="0" quotePrefix="0" xfId="0">
      <alignment horizontal="center"/>
      <protection locked="0" hidden="0"/>
    </xf>
    <xf numFmtId="164" fontId="20" fillId="0" borderId="15" applyAlignment="1" applyProtection="1" pivotButton="0" quotePrefix="0" xfId="0">
      <alignment horizontal="center"/>
      <protection locked="0" hidden="0"/>
    </xf>
    <xf numFmtId="165" fontId="11" fillId="2" borderId="0" applyAlignment="1" applyProtection="1" pivotButton="0" quotePrefix="0" xfId="1184">
      <alignment horizontal="center"/>
      <protection locked="0" hidden="0"/>
    </xf>
    <xf numFmtId="164" fontId="15" fillId="2" borderId="0" applyProtection="1" pivotButton="0" quotePrefix="0" xfId="0">
      <protection locked="0" hidden="0"/>
    </xf>
    <xf numFmtId="165" fontId="11" fillId="2" borderId="15" applyProtection="1" pivotButton="0" quotePrefix="0" xfId="1184">
      <protection locked="0" hidden="0"/>
    </xf>
    <xf numFmtId="166" fontId="3" fillId="2" borderId="15" applyProtection="1" pivotButton="0" quotePrefix="0" xfId="1184">
      <protection locked="0" hidden="0"/>
    </xf>
    <xf numFmtId="165" fontId="11" fillId="37" borderId="0" applyAlignment="1" applyProtection="1" pivotButton="0" quotePrefix="0" xfId="1184">
      <alignment horizontal="center"/>
      <protection locked="0" hidden="0"/>
    </xf>
    <xf numFmtId="164" fontId="11" fillId="37" borderId="0" applyProtection="1" pivotButton="0" quotePrefix="0" xfId="0">
      <protection locked="0" hidden="0"/>
    </xf>
    <xf numFmtId="165" fontId="11" fillId="37" borderId="15" applyProtection="1" pivotButton="0" quotePrefix="0" xfId="1184">
      <protection locked="0" hidden="0"/>
    </xf>
    <xf numFmtId="166" fontId="11" fillId="37" borderId="15" applyProtection="1" pivotButton="0" quotePrefix="0" xfId="1184">
      <protection locked="0" hidden="0"/>
    </xf>
    <xf numFmtId="165" fontId="11" fillId="5" borderId="0" applyAlignment="1" applyProtection="1" pivotButton="0" quotePrefix="0" xfId="1184">
      <alignment horizontal="center"/>
      <protection locked="0" hidden="0"/>
    </xf>
    <xf numFmtId="164" fontId="11" fillId="5" borderId="0" applyProtection="1" pivotButton="0" quotePrefix="0" xfId="0">
      <protection locked="0" hidden="0"/>
    </xf>
    <xf numFmtId="165" fontId="11" fillId="5" borderId="15" applyProtection="1" pivotButton="0" quotePrefix="0" xfId="1184">
      <protection locked="0" hidden="0"/>
    </xf>
    <xf numFmtId="166" fontId="11" fillId="5" borderId="15" applyProtection="1" pivotButton="0" quotePrefix="0" xfId="1184">
      <protection locked="0" hidden="0"/>
    </xf>
    <xf numFmtId="164" fontId="19" fillId="0" borderId="0" applyProtection="1" pivotButton="0" quotePrefix="0" xfId="0">
      <protection locked="0" hidden="0"/>
    </xf>
    <xf numFmtId="168" fontId="0" fillId="10" borderId="0" applyProtection="1" pivotButton="0" quotePrefix="0" xfId="1183">
      <protection locked="0" hidden="0"/>
    </xf>
    <xf numFmtId="171" fontId="0" fillId="4" borderId="0" applyProtection="1" pivotButton="0" quotePrefix="0" xfId="1079">
      <protection locked="0" hidden="0"/>
    </xf>
    <xf numFmtId="166" fontId="0" fillId="0" borderId="0" applyAlignment="1" applyProtection="1" pivotButton="0" quotePrefix="0" xfId="1184">
      <alignment horizontal="left"/>
      <protection locked="0" hidden="0"/>
    </xf>
    <xf numFmtId="165" fontId="0" fillId="0" borderId="0" applyProtection="1" pivotButton="0" quotePrefix="0" xfId="1184">
      <protection locked="0" hidden="0"/>
    </xf>
    <xf numFmtId="167" fontId="14" fillId="27" borderId="12" applyProtection="1" pivotButton="0" quotePrefix="0" xfId="1183">
      <protection locked="0" hidden="0"/>
    </xf>
    <xf numFmtId="167" fontId="14" fillId="49" borderId="12" applyProtection="1" pivotButton="0" quotePrefix="0" xfId="1183">
      <protection locked="0" hidden="0"/>
    </xf>
    <xf numFmtId="165" fontId="19" fillId="0" borderId="0" applyProtection="1" pivotButton="0" quotePrefix="0" xfId="1184">
      <protection locked="0" hidden="0"/>
    </xf>
    <xf numFmtId="165" fontId="11" fillId="16" borderId="0" applyAlignment="1" applyProtection="1" pivotButton="0" quotePrefix="0" xfId="1184">
      <alignment horizontal="center"/>
      <protection locked="0" hidden="0"/>
    </xf>
    <xf numFmtId="170" fontId="11" fillId="0" borderId="0" applyAlignment="1" applyProtection="1" pivotButton="0" quotePrefix="0" xfId="1184">
      <alignment horizontal="center"/>
      <protection locked="0" hidden="0"/>
    </xf>
    <xf numFmtId="165" fontId="11" fillId="0" borderId="17" applyAlignment="1" applyProtection="1" pivotButton="0" quotePrefix="0" xfId="1184">
      <alignment horizontal="center"/>
      <protection locked="0" hidden="0"/>
    </xf>
    <xf numFmtId="164" fontId="11" fillId="16" borderId="17" applyProtection="1" pivotButton="0" quotePrefix="0" xfId="0">
      <protection locked="0" hidden="0"/>
    </xf>
    <xf numFmtId="167" fontId="32" fillId="30" borderId="0" applyProtection="1" pivotButton="0" quotePrefix="0" xfId="1183">
      <protection locked="0" hidden="0"/>
    </xf>
    <xf numFmtId="164" fontId="2" fillId="30" borderId="0" applyProtection="1" pivotButton="0" quotePrefix="0" xfId="0">
      <protection locked="0" hidden="0"/>
    </xf>
    <xf numFmtId="167" fontId="32" fillId="39" borderId="0" applyProtection="1" pivotButton="0" quotePrefix="0" xfId="1183">
      <protection locked="0" hidden="0"/>
    </xf>
    <xf numFmtId="164" fontId="2" fillId="39" borderId="0" applyProtection="1" pivotButton="0" quotePrefix="0" xfId="0">
      <protection locked="0" hidden="0"/>
    </xf>
    <xf numFmtId="167" fontId="0" fillId="26" borderId="0" applyProtection="1" pivotButton="0" quotePrefix="0" xfId="286">
      <protection locked="0" hidden="0"/>
    </xf>
    <xf numFmtId="164" fontId="19" fillId="24" borderId="7" applyProtection="1" pivotButton="0" quotePrefix="0" xfId="0">
      <protection locked="0" hidden="0"/>
    </xf>
    <xf numFmtId="164" fontId="19" fillId="24" borderId="0" applyProtection="1" pivotButton="0" quotePrefix="0" xfId="0">
      <protection locked="0" hidden="0"/>
    </xf>
    <xf numFmtId="164" fontId="19" fillId="24" borderId="5" applyProtection="1" pivotButton="0" quotePrefix="0" xfId="0">
      <protection locked="0" hidden="0"/>
    </xf>
    <xf numFmtId="167" fontId="2" fillId="23" borderId="0" applyProtection="1" pivotButton="0" quotePrefix="0" xfId="1183">
      <protection locked="0" hidden="0"/>
    </xf>
    <xf numFmtId="164" fontId="2" fillId="23" borderId="0" applyProtection="1" pivotButton="0" quotePrefix="0" xfId="0">
      <protection locked="0" hidden="0"/>
    </xf>
    <xf numFmtId="164" fontId="0" fillId="47" borderId="28" applyAlignment="1" applyProtection="1" pivotButton="0" quotePrefix="0" xfId="0">
      <alignment horizontal="right"/>
      <protection locked="0" hidden="0"/>
    </xf>
    <xf numFmtId="167" fontId="32" fillId="47" borderId="28" applyProtection="1" pivotButton="0" quotePrefix="0" xfId="1183">
      <protection locked="0" hidden="0"/>
    </xf>
    <xf numFmtId="164" fontId="2" fillId="47" borderId="28" applyProtection="1" pivotButton="0" quotePrefix="0" xfId="0">
      <protection locked="0" hidden="0"/>
    </xf>
    <xf numFmtId="164" fontId="32" fillId="30" borderId="0" applyProtection="1" pivotButton="0" quotePrefix="0" xfId="0">
      <protection locked="0" hidden="0"/>
    </xf>
    <xf numFmtId="165" fontId="14" fillId="0" borderId="2" applyProtection="1" pivotButton="0" quotePrefix="0" xfId="1184">
      <protection locked="0" hidden="0"/>
    </xf>
    <xf numFmtId="0" fontId="33" fillId="5" borderId="15" applyAlignment="1" applyProtection="1" pivotButton="0" quotePrefix="0" xfId="0">
      <alignment horizontal="center" wrapText="1"/>
      <protection locked="0" hidden="0"/>
    </xf>
    <xf numFmtId="164" fontId="32" fillId="39" borderId="0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164" fontId="32" fillId="23" borderId="0" applyProtection="1" pivotButton="0" quotePrefix="0" xfId="0">
      <protection locked="0" hidden="0"/>
    </xf>
    <xf numFmtId="177" fontId="11" fillId="16" borderId="0" applyProtection="1" pivotButton="0" quotePrefix="0" xfId="0">
      <protection locked="0" hidden="0"/>
    </xf>
    <xf numFmtId="177" fontId="38" fillId="33" borderId="15" applyAlignment="1" applyProtection="1" pivotButton="0" quotePrefix="0" xfId="0">
      <alignment horizontal="left"/>
      <protection locked="0" hidden="0"/>
    </xf>
    <xf numFmtId="167" fontId="0" fillId="0" borderId="0" applyProtection="1" pivotButton="0" quotePrefix="0" xfId="1183">
      <protection locked="0" hidden="0"/>
    </xf>
    <xf numFmtId="164" fontId="0" fillId="0" borderId="0" applyProtection="1" pivotButton="0" quotePrefix="0" xfId="1183">
      <protection locked="0" hidden="0"/>
    </xf>
    <xf numFmtId="164" fontId="34" fillId="0" borderId="0" applyProtection="1" pivotButton="0" quotePrefix="0" xfId="0">
      <protection locked="0" hidden="0"/>
    </xf>
    <xf numFmtId="177" fontId="19" fillId="7" borderId="0" applyAlignment="1" applyProtection="1" pivotButton="0" quotePrefix="0" xfId="0">
      <alignment horizontal="center"/>
      <protection locked="0" hidden="0"/>
    </xf>
    <xf numFmtId="177" fontId="15" fillId="0" borderId="7" applyProtection="1" pivotButton="0" quotePrefix="0" xfId="0">
      <protection locked="0" hidden="0"/>
    </xf>
    <xf numFmtId="177" fontId="11" fillId="16" borderId="7" applyProtection="1" pivotButton="0" quotePrefix="0" xfId="0">
      <protection locked="0" hidden="0"/>
    </xf>
    <xf numFmtId="167" fontId="17" fillId="2" borderId="3" applyProtection="1" pivotButton="0" quotePrefix="0" xfId="1183">
      <protection locked="0" hidden="0"/>
    </xf>
    <xf numFmtId="167" fontId="17" fillId="16" borderId="11" applyProtection="1" pivotButton="0" quotePrefix="0" xfId="1183">
      <protection locked="0" hidden="0"/>
    </xf>
    <xf numFmtId="167" fontId="17" fillId="2" borderId="11" applyProtection="1" pivotButton="0" quotePrefix="0" xfId="1183">
      <protection locked="0" hidden="0"/>
    </xf>
    <xf numFmtId="164" fontId="10" fillId="0" borderId="3" applyProtection="1" pivotButton="0" quotePrefix="0" xfId="0">
      <protection locked="0" hidden="0"/>
    </xf>
    <xf numFmtId="179" fontId="0" fillId="0" borderId="0" applyProtection="1" pivotButton="0" quotePrefix="0" xfId="0">
      <protection locked="0" hidden="0"/>
    </xf>
    <xf numFmtId="179" fontId="17" fillId="40" borderId="7" applyProtection="1" pivotButton="0" quotePrefix="0" xfId="0">
      <protection locked="0" hidden="0"/>
    </xf>
    <xf numFmtId="179" fontId="0" fillId="0" borderId="7" applyProtection="1" pivotButton="0" quotePrefix="0" xfId="0">
      <protection locked="0" hidden="0"/>
    </xf>
    <xf numFmtId="164" fontId="11" fillId="19" borderId="0" applyProtection="1" pivotButton="0" quotePrefix="0" xfId="0">
      <protection locked="0" hidden="0"/>
    </xf>
    <xf numFmtId="179" fontId="34" fillId="0" borderId="0" applyProtection="1" pivotButton="0" quotePrefix="0" xfId="0">
      <protection locked="0" hidden="0"/>
    </xf>
    <xf numFmtId="166" fontId="19" fillId="47" borderId="0" applyAlignment="1" applyProtection="1" pivotButton="0" quotePrefix="0" xfId="285">
      <alignment horizontal="left"/>
      <protection locked="0" hidden="0"/>
    </xf>
    <xf numFmtId="167" fontId="11" fillId="0" borderId="9" applyProtection="1" pivotButton="0" quotePrefix="0" xfId="1183">
      <protection locked="0" hidden="0"/>
    </xf>
    <xf numFmtId="164" fontId="10" fillId="16" borderId="0" applyProtection="1" pivotButton="0" quotePrefix="0" xfId="0">
      <protection locked="0" hidden="0"/>
    </xf>
    <xf numFmtId="164" fontId="11" fillId="41" borderId="15" applyProtection="1" pivotButton="0" quotePrefix="0" xfId="0">
      <protection locked="0" hidden="0"/>
    </xf>
    <xf numFmtId="164" fontId="0" fillId="0" borderId="5" applyProtection="1" pivotButton="0" quotePrefix="0" xfId="0">
      <protection locked="0" hidden="0"/>
    </xf>
    <xf numFmtId="164" fontId="0" fillId="0" borderId="9" applyProtection="1" pivotButton="0" quotePrefix="0" xfId="0">
      <protection locked="0" hidden="0"/>
    </xf>
    <xf numFmtId="165" fontId="14" fillId="0" borderId="0" applyProtection="1" pivotButton="0" quotePrefix="0" xfId="1184">
      <protection locked="0" hidden="0"/>
    </xf>
    <xf numFmtId="165" fontId="14" fillId="28" borderId="0" applyAlignment="1" applyProtection="1" pivotButton="0" quotePrefix="0" xfId="1184">
      <alignment horizontal="center"/>
      <protection locked="0" hidden="0"/>
    </xf>
    <xf numFmtId="171" fontId="11" fillId="0" borderId="19" applyAlignment="1" applyProtection="1" pivotButton="0" quotePrefix="0" xfId="1079">
      <alignment horizontal="center"/>
      <protection locked="0" hidden="0"/>
    </xf>
    <xf numFmtId="165" fontId="11" fillId="0" borderId="0" applyProtection="1" pivotButton="0" quotePrefix="0" xfId="1184">
      <protection locked="0" hidden="0"/>
    </xf>
    <xf numFmtId="164" fontId="19" fillId="28" borderId="0" applyProtection="1" pivotButton="0" quotePrefix="0" xfId="1183">
      <protection locked="0" hidden="0"/>
    </xf>
    <xf numFmtId="164" fontId="15" fillId="47" borderId="0" applyAlignment="1" applyProtection="1" pivotButton="0" quotePrefix="0" xfId="1183">
      <alignment horizontal="center"/>
      <protection locked="0" hidden="0"/>
    </xf>
    <xf numFmtId="164" fontId="15" fillId="29" borderId="0" applyAlignment="1" applyProtection="1" pivotButton="0" quotePrefix="0" xfId="1183">
      <alignment horizontal="center"/>
      <protection locked="0" hidden="0"/>
    </xf>
    <xf numFmtId="168" fontId="0" fillId="0" borderId="0" pivotButton="0" quotePrefix="0" xfId="1183"/>
    <xf numFmtId="164" fontId="0" fillId="0" borderId="0" pivotButton="0" quotePrefix="0" xfId="0"/>
    <xf numFmtId="164" fontId="11" fillId="0" borderId="0" pivotButton="0" quotePrefix="0" xfId="0"/>
    <xf numFmtId="164" fontId="19" fillId="0" borderId="0" pivotButton="0" quotePrefix="0" xfId="0"/>
    <xf numFmtId="167" fontId="11" fillId="0" borderId="0" pivotButton="0" quotePrefix="0" xfId="1183"/>
    <xf numFmtId="165" fontId="11" fillId="0" borderId="0" applyAlignment="1" pivotButton="0" quotePrefix="0" xfId="1184">
      <alignment horizontal="left"/>
    </xf>
    <xf numFmtId="167" fontId="0" fillId="0" borderId="0" applyAlignment="1" pivotButton="0" quotePrefix="0" xfId="1183">
      <alignment horizontal="left"/>
    </xf>
    <xf numFmtId="165" fontId="17" fillId="0" borderId="13" pivotButton="0" quotePrefix="0" xfId="285"/>
    <xf numFmtId="165" fontId="17" fillId="0" borderId="14" pivotButton="0" quotePrefix="0" xfId="285"/>
    <xf numFmtId="167" fontId="34" fillId="0" borderId="0" pivotButton="0" quotePrefix="0" xfId="286"/>
    <xf numFmtId="180" fontId="34" fillId="0" borderId="0" pivotButton="0" quotePrefix="0" xfId="286"/>
    <xf numFmtId="167" fontId="34" fillId="0" borderId="7" pivotButton="0" quotePrefix="0" xfId="286"/>
    <xf numFmtId="167" fontId="34" fillId="0" borderId="0" pivotButton="0" quotePrefix="0" xfId="0"/>
    <xf numFmtId="167" fontId="0" fillId="0" borderId="0" pivotButton="0" quotePrefix="0" xfId="1183"/>
    <xf numFmtId="167" fontId="21" fillId="0" borderId="0" pivotButton="0" quotePrefix="0" xfId="286"/>
    <xf numFmtId="167" fontId="0" fillId="0" borderId="0" pivotButton="0" quotePrefix="0" xfId="286"/>
    <xf numFmtId="167" fontId="11" fillId="0" borderId="0" applyAlignment="1" pivotButton="0" quotePrefix="0" xfId="286">
      <alignment horizontal="left"/>
    </xf>
    <xf numFmtId="167" fontId="11" fillId="0" borderId="0" applyAlignment="1" pivotButton="0" quotePrefix="0" xfId="286">
      <alignment horizontal="center"/>
    </xf>
    <xf numFmtId="166" fontId="0" fillId="10" borderId="22" pivotButton="0" quotePrefix="0" xfId="0"/>
    <xf numFmtId="164" fontId="11" fillId="0" borderId="0" applyAlignment="1" pivotButton="0" quotePrefix="0" xfId="286">
      <alignment horizontal="left"/>
    </xf>
    <xf numFmtId="164" fontId="14" fillId="41" borderId="0" applyAlignment="1" pivotButton="0" quotePrefix="0" xfId="286">
      <alignment horizontal="left"/>
    </xf>
    <xf numFmtId="177" fontId="34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/>
    </xf>
    <xf numFmtId="164" fontId="11" fillId="10" borderId="13" pivotButton="0" quotePrefix="0" xfId="0"/>
    <xf numFmtId="164" fontId="11" fillId="10" borderId="14" pivotButton="0" quotePrefix="0" xfId="0"/>
    <xf numFmtId="164" fontId="20" fillId="0" borderId="3" applyAlignment="1" pivotButton="0" quotePrefix="0" xfId="0">
      <alignment horizontal="center"/>
    </xf>
    <xf numFmtId="165" fontId="11" fillId="0" borderId="0" applyAlignment="1" pivotButton="0" quotePrefix="0" xfId="285">
      <alignment horizontal="center"/>
    </xf>
    <xf numFmtId="164" fontId="11" fillId="4" borderId="0" applyAlignment="1" pivotButton="0" quotePrefix="0" xfId="0">
      <alignment horizontal="center"/>
    </xf>
    <xf numFmtId="164" fontId="11" fillId="0" borderId="5" applyAlignment="1" pivotButton="0" quotePrefix="0" xfId="0">
      <alignment horizontal="center"/>
    </xf>
    <xf numFmtId="165" fontId="0" fillId="0" borderId="0" pivotButton="0" quotePrefix="0" xfId="285"/>
    <xf numFmtId="164" fontId="0" fillId="2" borderId="5" pivotButton="0" quotePrefix="0" xfId="0"/>
    <xf numFmtId="164" fontId="0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center"/>
    </xf>
    <xf numFmtId="165" fontId="14" fillId="2" borderId="15" pivotButton="0" quotePrefix="0" xfId="285"/>
    <xf numFmtId="164" fontId="11" fillId="0" borderId="7" pivotButton="0" quotePrefix="0" xfId="0"/>
    <xf numFmtId="165" fontId="0" fillId="0" borderId="7" pivotButton="0" quotePrefix="0" xfId="285"/>
    <xf numFmtId="164" fontId="0" fillId="2" borderId="8" pivotButton="0" quotePrefix="0" xfId="0"/>
    <xf numFmtId="166" fontId="0" fillId="0" borderId="0" pivotButton="0" quotePrefix="0" xfId="285"/>
    <xf numFmtId="164" fontId="0" fillId="0" borderId="0" pivotButton="0" quotePrefix="0" xfId="286"/>
    <xf numFmtId="165" fontId="10" fillId="16" borderId="0" applyAlignment="1" pivotButton="0" quotePrefix="0" xfId="285">
      <alignment horizontal="center"/>
    </xf>
    <xf numFmtId="165" fontId="17" fillId="2" borderId="15" pivotButton="0" quotePrefix="0" xfId="285"/>
    <xf numFmtId="164" fontId="11" fillId="0" borderId="2" pivotButton="0" quotePrefix="0" xfId="0"/>
    <xf numFmtId="165" fontId="0" fillId="0" borderId="2" pivotButton="0" quotePrefix="0" xfId="285"/>
    <xf numFmtId="164" fontId="0" fillId="2" borderId="3" pivotButton="0" quotePrefix="0" xfId="0"/>
    <xf numFmtId="164" fontId="0" fillId="0" borderId="15" pivotButton="0" quotePrefix="0" xfId="0"/>
    <xf numFmtId="165" fontId="11" fillId="16" borderId="0" applyAlignment="1" pivotButton="0" quotePrefix="0" xfId="285">
      <alignment horizontal="center"/>
    </xf>
    <xf numFmtId="164" fontId="11" fillId="16" borderId="0" pivotButton="0" quotePrefix="0" xfId="0"/>
    <xf numFmtId="164" fontId="11" fillId="16" borderId="5" pivotButton="0" quotePrefix="0" xfId="0"/>
    <xf numFmtId="165" fontId="0" fillId="0" borderId="15" pivotButton="0" quotePrefix="0" xfId="285"/>
    <xf numFmtId="165" fontId="11" fillId="25" borderId="0" applyAlignment="1" applyProtection="1" pivotButton="0" quotePrefix="0" xfId="285">
      <alignment horizontal="center"/>
      <protection locked="0" hidden="0"/>
    </xf>
    <xf numFmtId="165" fontId="11" fillId="0" borderId="15" pivotButton="0" quotePrefix="0" xfId="285"/>
    <xf numFmtId="165" fontId="11" fillId="0" borderId="17" applyAlignment="1" pivotButton="0" quotePrefix="0" xfId="285">
      <alignment horizontal="center"/>
    </xf>
    <xf numFmtId="164" fontId="11" fillId="0" borderId="17" pivotButton="0" quotePrefix="0" xfId="0"/>
    <xf numFmtId="164" fontId="11" fillId="0" borderId="16" pivotButton="0" quotePrefix="0" xfId="0"/>
    <xf numFmtId="164" fontId="19" fillId="16" borderId="2" pivotButton="0" quotePrefix="0" xfId="0"/>
    <xf numFmtId="164" fontId="19" fillId="0" borderId="3" pivotButton="0" quotePrefix="0" xfId="0"/>
    <xf numFmtId="165" fontId="19" fillId="0" borderId="10" applyProtection="1" pivotButton="0" quotePrefix="0" xfId="285">
      <protection locked="0" hidden="0"/>
    </xf>
    <xf numFmtId="164" fontId="19" fillId="16" borderId="10" pivotButton="0" quotePrefix="0" xfId="0"/>
    <xf numFmtId="164" fontId="19" fillId="0" borderId="11" pivotButton="0" quotePrefix="0" xfId="0"/>
    <xf numFmtId="164" fontId="15" fillId="2" borderId="7" pivotButton="0" quotePrefix="0" xfId="0"/>
    <xf numFmtId="164" fontId="15" fillId="2" borderId="8" pivotButton="0" quotePrefix="0" xfId="0"/>
    <xf numFmtId="164" fontId="11" fillId="10" borderId="15" pivotButton="0" quotePrefix="0" xfId="0"/>
    <xf numFmtId="166" fontId="11" fillId="0" borderId="0" applyAlignment="1" pivotButton="0" quotePrefix="0" xfId="0">
      <alignment horizontal="right"/>
    </xf>
    <xf numFmtId="165" fontId="14" fillId="0" borderId="10" pivotButton="0" quotePrefix="0" xfId="285"/>
    <xf numFmtId="165" fontId="14" fillId="0" borderId="11" pivotButton="0" quotePrefix="0" xfId="285"/>
    <xf numFmtId="170" fontId="11" fillId="7" borderId="15" applyAlignment="1" pivotButton="0" quotePrefix="0" xfId="0">
      <alignment horizontal="right"/>
    </xf>
    <xf numFmtId="177" fontId="11" fillId="0" borderId="0" pivotButton="0" quotePrefix="0" xfId="286"/>
    <xf numFmtId="178" fontId="11" fillId="0" borderId="4" applyAlignment="1" pivotButton="0" quotePrefix="0" xfId="0">
      <alignment horizontal="right"/>
    </xf>
    <xf numFmtId="178" fontId="11" fillId="0" borderId="0" pivotButton="0" quotePrefix="0" xfId="0"/>
    <xf numFmtId="3" fontId="19" fillId="4" borderId="15" applyAlignment="1" pivotButton="0" quotePrefix="0" xfId="0">
      <alignment horizontal="center"/>
    </xf>
    <xf numFmtId="0" fontId="0" fillId="0" borderId="10" pivotButton="0" quotePrefix="0" xfId="0"/>
    <xf numFmtId="178" fontId="11" fillId="0" borderId="6" applyAlignment="1" pivotButton="0" quotePrefix="0" xfId="0">
      <alignment horizontal="right"/>
    </xf>
    <xf numFmtId="167" fontId="17" fillId="2" borderId="11" pivotButton="0" quotePrefix="0" xfId="286"/>
    <xf numFmtId="164" fontId="11" fillId="4" borderId="0" pivotButton="0" quotePrefix="0" xfId="0"/>
    <xf numFmtId="164" fontId="15" fillId="10" borderId="10" pivotButton="0" quotePrefix="0" xfId="0"/>
    <xf numFmtId="164" fontId="15" fillId="10" borderId="11" pivotButton="0" quotePrefix="0" xfId="0"/>
    <xf numFmtId="164" fontId="19" fillId="11" borderId="10" applyAlignment="1" pivotButton="0" quotePrefix="0" xfId="0">
      <alignment horizontal="right"/>
    </xf>
    <xf numFmtId="164" fontId="15" fillId="11" borderId="11" pivotButton="0" quotePrefix="0" xfId="0"/>
    <xf numFmtId="167" fontId="11" fillId="0" borderId="9" pivotButton="0" quotePrefix="0" xfId="286"/>
    <xf numFmtId="165" fontId="14" fillId="0" borderId="0" pivotButton="0" quotePrefix="0" xfId="285"/>
    <xf numFmtId="177" fontId="11" fillId="0" borderId="20" applyAlignment="1" pivotButton="0" quotePrefix="0" xfId="0">
      <alignment horizontal="center"/>
    </xf>
    <xf numFmtId="177" fontId="0" fillId="0" borderId="15" applyAlignment="1" pivotButton="0" quotePrefix="0" xfId="0">
      <alignment horizontal="center"/>
    </xf>
    <xf numFmtId="164" fontId="11" fillId="11" borderId="13" pivotButton="0" quotePrefix="0" xfId="0"/>
    <xf numFmtId="171" fontId="11" fillId="0" borderId="19" applyAlignment="1" pivotButton="0" quotePrefix="0" xfId="647">
      <alignment horizontal="center"/>
    </xf>
    <xf numFmtId="167" fontId="34" fillId="0" borderId="0" pivotButton="0" quotePrefix="0" xfId="1183"/>
    <xf numFmtId="164" fontId="11" fillId="0" borderId="0" pivotButton="0" quotePrefix="0" xfId="286"/>
    <xf numFmtId="167" fontId="11" fillId="0" borderId="0" pivotButton="0" quotePrefix="0" xfId="286"/>
    <xf numFmtId="164" fontId="11" fillId="41" borderId="0" pivotButton="0" quotePrefix="0" xfId="286"/>
    <xf numFmtId="164" fontId="19" fillId="40" borderId="0" applyProtection="1" pivotButton="0" quotePrefix="0" xfId="0">
      <protection locked="0" hidden="0"/>
    </xf>
    <xf numFmtId="164" fontId="19" fillId="0" borderId="5" applyProtection="1" pivotButton="0" quotePrefix="0" xfId="0">
      <protection locked="0" hidden="0"/>
    </xf>
    <xf numFmtId="167" fontId="11" fillId="0" borderId="7" applyProtection="1" pivotButton="0" quotePrefix="0" xfId="286">
      <protection locked="0" hidden="0"/>
    </xf>
    <xf numFmtId="167" fontId="11" fillId="2" borderId="0" applyProtection="1" pivotButton="0" quotePrefix="0" xfId="286">
      <protection locked="0" hidden="0"/>
    </xf>
    <xf numFmtId="167" fontId="34" fillId="2" borderId="0" applyProtection="1" pivotButton="0" quotePrefix="0" xfId="286">
      <protection locked="0" hidden="0"/>
    </xf>
    <xf numFmtId="167" fontId="34" fillId="2" borderId="7" applyProtection="1" pivotButton="0" quotePrefix="0" xfId="286">
      <protection locked="0" hidden="0"/>
    </xf>
    <xf numFmtId="0" fontId="14" fillId="12" borderId="15" applyAlignment="1" pivotButton="0" quotePrefix="0" xfId="0">
      <alignment horizontal="center"/>
    </xf>
    <xf numFmtId="164" fontId="17" fillId="13" borderId="9" pivotButton="0" quotePrefix="0" xfId="0"/>
    <xf numFmtId="167" fontId="14" fillId="0" borderId="0" pivotButton="0" quotePrefix="0" xfId="1183"/>
    <xf numFmtId="165" fontId="11" fillId="0" borderId="0" applyAlignment="1" pivotButton="0" quotePrefix="0" xfId="852">
      <alignment horizontal="center"/>
    </xf>
    <xf numFmtId="167" fontId="17" fillId="0" borderId="0" pivotButton="0" quotePrefix="0" xfId="1183"/>
    <xf numFmtId="165" fontId="10" fillId="0" borderId="0" applyAlignment="1" pivotButton="0" quotePrefix="0" xfId="852">
      <alignment horizontal="center"/>
    </xf>
    <xf numFmtId="165" fontId="14" fillId="2" borderId="15" pivotButton="0" quotePrefix="0" xfId="852"/>
    <xf numFmtId="165" fontId="11" fillId="0" borderId="17" applyAlignment="1" pivotButton="0" quotePrefix="0" xfId="852">
      <alignment horizontal="center"/>
    </xf>
    <xf numFmtId="164" fontId="19" fillId="0" borderId="2" pivotButton="0" quotePrefix="0" xfId="0"/>
    <xf numFmtId="164" fontId="19" fillId="0" borderId="5" pivotButton="0" quotePrefix="0" xfId="0"/>
    <xf numFmtId="164" fontId="19" fillId="0" borderId="10" pivotButton="0" quotePrefix="0" xfId="0"/>
    <xf numFmtId="165" fontId="14" fillId="0" borderId="10" pivotButton="0" quotePrefix="0" xfId="852"/>
    <xf numFmtId="165" fontId="14" fillId="0" borderId="11" pivotButton="0" quotePrefix="0" xfId="852"/>
    <xf numFmtId="177" fontId="43" fillId="22" borderId="0" pivotButton="0" quotePrefix="0" xfId="0"/>
    <xf numFmtId="177" fontId="21" fillId="0" borderId="0" pivotButton="0" quotePrefix="0" xfId="0"/>
    <xf numFmtId="177" fontId="43" fillId="23" borderId="0" pivotButton="0" quotePrefix="0" xfId="0"/>
    <xf numFmtId="167" fontId="17" fillId="2" borderId="7" pivotButton="0" quotePrefix="0" xfId="854"/>
    <xf numFmtId="164" fontId="11" fillId="34" borderId="0" pivotButton="0" quotePrefix="0" xfId="0"/>
    <xf numFmtId="164" fontId="11" fillId="28" borderId="0" pivotButton="0" quotePrefix="0" xfId="0"/>
    <xf numFmtId="164" fontId="11" fillId="2" borderId="10" pivotButton="0" quotePrefix="0" xfId="0"/>
    <xf numFmtId="164" fontId="15" fillId="2" borderId="11" pivotButton="0" quotePrefix="0" xfId="0"/>
    <xf numFmtId="164" fontId="10" fillId="0" borderId="2" pivotButton="0" quotePrefix="0" xfId="0"/>
    <xf numFmtId="169" fontId="11" fillId="0" borderId="0" applyAlignment="1" pivotButton="0" quotePrefix="0" xfId="0">
      <alignment horizontal="center"/>
    </xf>
    <xf numFmtId="164" fontId="10" fillId="0" borderId="0" pivotButton="0" quotePrefix="0" xfId="0"/>
    <xf numFmtId="176" fontId="11" fillId="23" borderId="0" pivotButton="0" quotePrefix="0" xfId="647"/>
    <xf numFmtId="176" fontId="11" fillId="34" borderId="0" pivotButton="0" quotePrefix="0" xfId="647"/>
    <xf numFmtId="164" fontId="0" fillId="0" borderId="8" pivotButton="0" quotePrefix="0" xfId="0"/>
    <xf numFmtId="165" fontId="14" fillId="4" borderId="35" pivotButton="0" quotePrefix="0" xfId="852"/>
    <xf numFmtId="164" fontId="11" fillId="0" borderId="20" pivotButton="0" quotePrefix="0" xfId="0"/>
    <xf numFmtId="164" fontId="14" fillId="4" borderId="32" pivotButton="0" quotePrefix="0" xfId="0"/>
    <xf numFmtId="164" fontId="11" fillId="13" borderId="14" pivotButton="0" quotePrefix="0" xfId="0"/>
    <xf numFmtId="165" fontId="14" fillId="0" borderId="0" pivotButton="0" quotePrefix="0" xfId="852"/>
    <xf numFmtId="177" fontId="15" fillId="4" borderId="14" applyAlignment="1" pivotButton="0" quotePrefix="0" xfId="1183">
      <alignment horizontal="left"/>
    </xf>
    <xf numFmtId="0" fontId="14" fillId="23" borderId="15" applyAlignment="1" pivotButton="0" quotePrefix="0" xfId="0">
      <alignment horizontal="center"/>
    </xf>
    <xf numFmtId="165" fontId="11" fillId="41" borderId="0" applyAlignment="1" pivotButton="0" quotePrefix="0" xfId="852">
      <alignment horizontal="center"/>
    </xf>
    <xf numFmtId="177" fontId="11" fillId="0" borderId="0" pivotButton="0" quotePrefix="0" xfId="0"/>
    <xf numFmtId="177" fontId="11" fillId="47" borderId="0" pivotButton="0" quotePrefix="0" xfId="0"/>
    <xf numFmtId="164" fontId="14" fillId="23" borderId="15" applyAlignment="1" pivotButton="0" quotePrefix="0" xfId="0">
      <alignment horizontal="center" vertical="center"/>
    </xf>
    <xf numFmtId="164" fontId="11" fillId="13" borderId="13" pivotButton="0" quotePrefix="0" xfId="0"/>
    <xf numFmtId="0" fontId="14" fillId="29" borderId="15" applyAlignment="1" pivotButton="0" quotePrefix="0" xfId="0">
      <alignment horizontal="center"/>
    </xf>
    <xf numFmtId="164" fontId="14" fillId="29" borderId="15" applyAlignment="1" pivotButton="0" quotePrefix="0" xfId="0">
      <alignment horizontal="center" vertical="center"/>
    </xf>
    <xf numFmtId="167" fontId="19" fillId="32" borderId="9" pivotButton="0" quotePrefix="0" xfId="286"/>
    <xf numFmtId="177" fontId="11" fillId="0" borderId="0" applyAlignment="1" pivotButton="0" quotePrefix="0" xfId="0">
      <alignment horizontal="center"/>
    </xf>
    <xf numFmtId="164" fontId="14" fillId="27" borderId="0" pivotButton="0" quotePrefix="0" xfId="0"/>
    <xf numFmtId="164" fontId="11" fillId="27" borderId="0" pivotButton="0" quotePrefix="0" xfId="0"/>
    <xf numFmtId="165" fontId="21" fillId="0" borderId="0" applyAlignment="1" pivotButton="0" quotePrefix="0" xfId="0">
      <alignment horizontal="center"/>
    </xf>
    <xf numFmtId="164" fontId="21" fillId="0" borderId="0" pivotButton="0" quotePrefix="0" xfId="0"/>
    <xf numFmtId="164" fontId="15" fillId="2" borderId="10" pivotButton="0" quotePrefix="0" xfId="0"/>
    <xf numFmtId="166" fontId="11" fillId="0" borderId="0" pivotButton="0" quotePrefix="0" xfId="285"/>
    <xf numFmtId="164" fontId="15" fillId="23" borderId="10" pivotButton="0" quotePrefix="0" xfId="0"/>
    <xf numFmtId="164" fontId="15" fillId="23" borderId="11" pivotButton="0" quotePrefix="0" xfId="0"/>
    <xf numFmtId="164" fontId="15" fillId="27" borderId="10" pivotButton="0" quotePrefix="0" xfId="0"/>
    <xf numFmtId="164" fontId="15" fillId="25" borderId="11" pivotButton="0" quotePrefix="0" xfId="0"/>
    <xf numFmtId="0" fontId="14" fillId="26" borderId="15" applyAlignment="1" pivotButton="0" quotePrefix="0" xfId="0">
      <alignment horizontal="center"/>
    </xf>
    <xf numFmtId="177" fontId="11" fillId="26" borderId="0" pivotButton="0" quotePrefix="0" xfId="0"/>
    <xf numFmtId="177" fontId="11" fillId="26" borderId="17" pivotButton="0" quotePrefix="0" xfId="0"/>
    <xf numFmtId="0" fontId="22" fillId="15" borderId="15" applyAlignment="1" pivotButton="0" quotePrefix="0" xfId="0">
      <alignment horizontal="center"/>
    </xf>
    <xf numFmtId="165" fontId="11" fillId="26" borderId="0" applyAlignment="1" pivotButton="0" quotePrefix="0" xfId="852">
      <alignment horizontal="center"/>
    </xf>
    <xf numFmtId="164" fontId="11" fillId="26" borderId="0" applyAlignment="1" pivotButton="0" quotePrefix="0" xfId="0">
      <alignment horizontal="center"/>
    </xf>
    <xf numFmtId="165" fontId="11" fillId="14" borderId="0" applyAlignment="1" pivotButton="0" quotePrefix="0" xfId="852">
      <alignment horizontal="center"/>
    </xf>
    <xf numFmtId="164" fontId="11" fillId="26" borderId="0" pivotButton="0" quotePrefix="0" xfId="0"/>
    <xf numFmtId="165" fontId="19" fillId="14" borderId="0" applyAlignment="1" pivotButton="0" quotePrefix="0" xfId="852">
      <alignment horizontal="center"/>
    </xf>
    <xf numFmtId="165" fontId="19" fillId="0" borderId="17" applyAlignment="1" pivotButton="0" quotePrefix="0" xfId="852">
      <alignment horizontal="center"/>
    </xf>
    <xf numFmtId="164" fontId="19" fillId="0" borderId="17" pivotButton="0" quotePrefix="0" xfId="0"/>
    <xf numFmtId="0" fontId="14" fillId="4" borderId="15" applyAlignment="1" pivotButton="0" quotePrefix="0" xfId="0">
      <alignment horizontal="center"/>
    </xf>
    <xf numFmtId="164" fontId="21" fillId="0" borderId="0" applyAlignment="1" pivotButton="0" quotePrefix="0" xfId="0">
      <alignment horizontal="center"/>
    </xf>
    <xf numFmtId="165" fontId="14" fillId="16" borderId="15" pivotButton="0" quotePrefix="0" xfId="852"/>
    <xf numFmtId="164" fontId="11" fillId="17" borderId="0" pivotButton="0" quotePrefix="0" xfId="0"/>
    <xf numFmtId="164" fontId="11" fillId="17" borderId="5" pivotButton="0" quotePrefix="0" xfId="0"/>
    <xf numFmtId="164" fontId="34" fillId="0" borderId="15" pivotButton="0" quotePrefix="0" xfId="0"/>
    <xf numFmtId="0" fontId="22" fillId="15" borderId="72" applyAlignment="1" pivotButton="0" quotePrefix="0" xfId="0">
      <alignment horizontal="center"/>
    </xf>
    <xf numFmtId="0" fontId="0" fillId="0" borderId="31" pivotButton="0" quotePrefix="0" xfId="0"/>
    <xf numFmtId="164" fontId="21" fillId="0" borderId="5" applyAlignment="1" pivotButton="0" quotePrefix="0" xfId="0">
      <alignment horizontal="center"/>
    </xf>
    <xf numFmtId="164" fontId="21" fillId="0" borderId="17" pivotButton="0" quotePrefix="0" xfId="0"/>
    <xf numFmtId="164" fontId="21" fillId="0" borderId="16" pivotButton="0" quotePrefix="0" xfId="0"/>
    <xf numFmtId="164" fontId="42" fillId="0" borderId="2" pivotButton="0" quotePrefix="0" xfId="0"/>
    <xf numFmtId="164" fontId="42" fillId="0" borderId="3" pivotButton="0" quotePrefix="0" xfId="0"/>
    <xf numFmtId="164" fontId="42" fillId="0" borderId="0" pivotButton="0" quotePrefix="0" xfId="0"/>
    <xf numFmtId="164" fontId="42" fillId="0" borderId="5" pivotButton="0" quotePrefix="0" xfId="0"/>
    <xf numFmtId="164" fontId="43" fillId="20" borderId="7" pivotButton="0" quotePrefix="0" xfId="0"/>
    <xf numFmtId="164" fontId="43" fillId="20" borderId="8" pivotButton="0" quotePrefix="0" xfId="0"/>
    <xf numFmtId="164" fontId="42" fillId="0" borderId="7" pivotButton="0" quotePrefix="0" xfId="0"/>
    <xf numFmtId="164" fontId="42" fillId="0" borderId="8" pivotButton="0" quotePrefix="0" xfId="0"/>
    <xf numFmtId="164" fontId="10" fillId="0" borderId="3" applyAlignment="1" pivotButton="0" quotePrefix="0" xfId="0">
      <alignment horizontal="left"/>
    </xf>
    <xf numFmtId="164" fontId="39" fillId="0" borderId="3" applyAlignment="1" pivotButton="0" quotePrefix="0" xfId="0">
      <alignment horizontal="left"/>
    </xf>
    <xf numFmtId="164" fontId="21" fillId="0" borderId="5" pivotButton="0" quotePrefix="0" xfId="0"/>
    <xf numFmtId="164" fontId="39" fillId="5" borderId="0" applyAlignment="1" pivotButton="0" quotePrefix="0" xfId="0">
      <alignment horizontal="left"/>
    </xf>
    <xf numFmtId="164" fontId="11" fillId="5" borderId="5" pivotButton="0" quotePrefix="0" xfId="0"/>
    <xf numFmtId="164" fontId="21" fillId="20" borderId="10" pivotButton="0" quotePrefix="0" xfId="0"/>
    <xf numFmtId="164" fontId="43" fillId="20" borderId="11" pivotButton="0" quotePrefix="0" xfId="0"/>
    <xf numFmtId="164" fontId="39" fillId="0" borderId="2" pivotButton="0" quotePrefix="0" xfId="0"/>
    <xf numFmtId="164" fontId="39" fillId="0" borderId="3" pivotButton="0" quotePrefix="0" xfId="0"/>
    <xf numFmtId="164" fontId="39" fillId="0" borderId="0" pivotButton="0" quotePrefix="0" xfId="0"/>
    <xf numFmtId="164" fontId="21" fillId="0" borderId="7" pivotButton="0" quotePrefix="0" xfId="0"/>
    <xf numFmtId="164" fontId="21" fillId="0" borderId="8" pivotButton="0" quotePrefix="0" xfId="0"/>
    <xf numFmtId="164" fontId="17" fillId="0" borderId="0" pivotButton="0" quotePrefix="0" xfId="0"/>
    <xf numFmtId="164" fontId="21" fillId="21" borderId="13" pivotButton="0" quotePrefix="0" xfId="0"/>
    <xf numFmtId="164" fontId="21" fillId="21" borderId="14" pivotButton="0" quotePrefix="0" xfId="0"/>
    <xf numFmtId="168" fontId="0" fillId="0" borderId="0" pivotButton="0" quotePrefix="0" xfId="286"/>
    <xf numFmtId="171" fontId="0" fillId="0" borderId="0" pivotButton="0" quotePrefix="0" xfId="647"/>
    <xf numFmtId="172" fontId="0" fillId="0" borderId="0" pivotButton="0" quotePrefix="0" xfId="0"/>
    <xf numFmtId="168" fontId="0" fillId="0" borderId="0" pivotButton="0" quotePrefix="0" xfId="0"/>
    <xf numFmtId="164" fontId="20" fillId="0" borderId="0" applyAlignment="1" pivotButton="0" quotePrefix="0" xfId="0">
      <alignment horizontal="center"/>
    </xf>
    <xf numFmtId="170" fontId="11" fillId="0" borderId="0" pivotButton="0" quotePrefix="0" xfId="0"/>
    <xf numFmtId="166" fontId="0" fillId="0" borderId="0" pivotButton="0" quotePrefix="0" xfId="1184"/>
    <xf numFmtId="168" fontId="0" fillId="10" borderId="0" pivotButton="0" quotePrefix="0" xfId="286"/>
    <xf numFmtId="171" fontId="0" fillId="4" borderId="0" pivotButton="0" quotePrefix="0" xfId="647"/>
    <xf numFmtId="172" fontId="0" fillId="10" borderId="0" pivotButton="0" quotePrefix="0" xfId="0"/>
    <xf numFmtId="168" fontId="0" fillId="10" borderId="0" pivotButton="0" quotePrefix="0" xfId="0"/>
    <xf numFmtId="164" fontId="19" fillId="16" borderId="0" pivotButton="0" quotePrefix="0" xfId="0"/>
    <xf numFmtId="165" fontId="42" fillId="0" borderId="10" applyProtection="1" pivotButton="0" quotePrefix="0" xfId="0">
      <protection locked="0" hidden="0"/>
    </xf>
    <xf numFmtId="164" fontId="14" fillId="10" borderId="15" pivotButton="0" quotePrefix="0" xfId="0"/>
    <xf numFmtId="165" fontId="19" fillId="0" borderId="0" applyAlignment="1" pivotButton="0" quotePrefix="0" xfId="0">
      <alignment horizontal="center"/>
    </xf>
    <xf numFmtId="165" fontId="14" fillId="0" borderId="2" pivotButton="0" quotePrefix="0" xfId="285"/>
    <xf numFmtId="165" fontId="14" fillId="0" borderId="3" pivotButton="0" quotePrefix="0" xfId="285"/>
    <xf numFmtId="177" fontId="15" fillId="0" borderId="0" pivotButton="0" quotePrefix="0" xfId="0"/>
    <xf numFmtId="165" fontId="0" fillId="0" borderId="0" pivotButton="0" quotePrefix="0" xfId="0"/>
    <xf numFmtId="165" fontId="0" fillId="0" borderId="6" pivotButton="0" quotePrefix="0" xfId="0"/>
    <xf numFmtId="165" fontId="0" fillId="0" borderId="7" pivotButton="0" quotePrefix="0" xfId="0"/>
    <xf numFmtId="165" fontId="49" fillId="0" borderId="0" pivotButton="0" quotePrefix="0" xfId="285"/>
    <xf numFmtId="177" fontId="15" fillId="0" borderId="7" pivotButton="0" quotePrefix="0" xfId="0"/>
    <xf numFmtId="164" fontId="11" fillId="0" borderId="11" pivotButton="0" quotePrefix="0" xfId="0"/>
    <xf numFmtId="167" fontId="17" fillId="2" borderId="3" pivotButton="0" quotePrefix="0" xfId="286"/>
    <xf numFmtId="165" fontId="11" fillId="0" borderId="0" pivotButton="0" quotePrefix="0" xfId="285"/>
    <xf numFmtId="165" fontId="11" fillId="4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78" fontId="11" fillId="0" borderId="7" applyProtection="1" pivotButton="0" quotePrefix="0" xfId="0">
      <protection locked="0" hidden="0"/>
    </xf>
    <xf numFmtId="165" fontId="15" fillId="47" borderId="0" applyAlignment="1" applyProtection="1" pivotButton="0" quotePrefix="0" xfId="1184">
      <alignment horizontal="center"/>
      <protection locked="0" hidden="0"/>
    </xf>
    <xf numFmtId="164" fontId="19" fillId="47" borderId="0" applyProtection="1" pivotButton="0" quotePrefix="0" xfId="1183">
      <protection locked="0" hidden="0"/>
    </xf>
    <xf numFmtId="164" fontId="15" fillId="28" borderId="0" applyAlignment="1" applyProtection="1" pivotButton="0" quotePrefix="0" xfId="1183">
      <alignment horizontal="center"/>
      <protection locked="0" hidden="0"/>
    </xf>
    <xf numFmtId="165" fontId="15" fillId="29" borderId="0" applyAlignment="1" applyProtection="1" pivotButton="0" quotePrefix="0" xfId="1184">
      <alignment horizontal="center"/>
      <protection locked="0" hidden="0"/>
    </xf>
    <xf numFmtId="164" fontId="19" fillId="29" borderId="0" applyProtection="1" pivotButton="0" quotePrefix="0" xfId="1183">
      <protection locked="0" hidden="0"/>
    </xf>
    <xf numFmtId="165" fontId="14" fillId="27" borderId="0" applyAlignment="1" applyProtection="1" pivotButton="0" quotePrefix="0" xfId="1184">
      <alignment horizontal="center"/>
      <protection locked="0" hidden="0"/>
    </xf>
    <xf numFmtId="164" fontId="19" fillId="27" borderId="0" applyProtection="1" pivotButton="0" quotePrefix="0" xfId="1183">
      <protection locked="0" hidden="0"/>
    </xf>
    <xf numFmtId="0" fontId="22" fillId="3" borderId="15" applyAlignment="1" pivotButton="0" quotePrefix="0" xfId="0">
      <alignment horizontal="center"/>
    </xf>
    <xf numFmtId="0" fontId="21" fillId="0" borderId="15" applyAlignment="1" pivotButton="0" quotePrefix="0" xfId="0">
      <alignment horizontal="left" wrapText="1"/>
    </xf>
    <xf numFmtId="164" fontId="0" fillId="0" borderId="0" applyAlignment="1" applyProtection="1" pivotButton="0" quotePrefix="0" xfId="0">
      <alignment horizontal="center"/>
      <protection locked="0" hidden="0"/>
    </xf>
    <xf numFmtId="171" fontId="31" fillId="0" borderId="0" pivotButton="0" quotePrefix="0" xfId="647"/>
    <xf numFmtId="171" fontId="31" fillId="0" borderId="7" pivotButton="0" quotePrefix="0" xfId="647"/>
    <xf numFmtId="171" fontId="30" fillId="0" borderId="7" pivotButton="0" quotePrefix="0" xfId="647"/>
    <xf numFmtId="164" fontId="0" fillId="0" borderId="15" pivotButton="0" quotePrefix="0" xfId="1080"/>
    <xf numFmtId="164" fontId="0" fillId="2" borderId="15" pivotButton="0" quotePrefix="0" xfId="1080"/>
  </cellXfs>
  <cellStyles count="15">
    <cellStyle name="Normal" xfId="0" builtinId="0"/>
    <cellStyle name="Hyperlink" xfId="1" builtinId="8" hidden="1"/>
    <cellStyle name="Followed Hyperlink" xfId="2" builtinId="9" hidden="1"/>
    <cellStyle name="Comma" xfId="3" builtinId="3"/>
    <cellStyle name="Currency" xfId="4" builtinId="4"/>
    <cellStyle name="Comma 2" xfId="5"/>
    <cellStyle name="Currency 2" xfId="6"/>
    <cellStyle name="Percent" xfId="7" builtinId="5"/>
    <cellStyle name="Comma 3" xfId="8"/>
    <cellStyle name="Percent 2" xfId="9"/>
    <cellStyle name="Currency 3" xfId="10"/>
    <cellStyle name="Percent 3" xfId="11"/>
    <cellStyle name="Currency 4" xfId="12"/>
    <cellStyle name="Currency 5" xfId="13"/>
    <cellStyle name="Comma 4" xfId="14"/>
  </cellStyles>
  <dxfs count="247">
    <dxf>
      <font>
        <b val="1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  <fill>
        <patternFill>
          <bgColor rgb="FFFF595B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  <fill>
        <patternFill>
          <bgColor rgb="FFFF595B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  <fill>
        <patternFill>
          <bgColor rgb="FFFF595B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  <fill>
        <patternFill>
          <bgColor rgb="FFFF595B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FF595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95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FF595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  <fill>
        <patternFill>
          <bgColor rgb="FFFF595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  <fill>
        <patternFill>
          <bgColor rgb="FFFF595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  <fill>
        <patternFill>
          <bgColor rgb="FFFF595B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  <fill>
        <patternFill>
          <bgColor rgb="FFFF595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FF595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B41" authorId="0" shapeId="0">
      <text>
        <t>DAF -5% Inventory Discount (Standard)
***********
Cap discount at 
-15% (note TOTAL % DAF discount)</t>
      </text>
    </comment>
    <comment ref="C41" authorId="0" shapeId="0">
      <text>
        <t>DAF -5% Inventory Discount (Standard)
***********
Cap discount at 
-15% (note TOTAL % DAF discount)</t>
      </text>
    </comment>
    <comment ref="A55" authorId="0" shapeId="0">
      <text>
        <t xml:space="preserve">9% Payroll tax + 3% WC
</t>
      </text>
    </comment>
  </commentList>
</comments>
</file>

<file path=xl/comments/comment2.xml><?xml version="1.0" encoding="utf-8"?>
<comments xmlns="http://schemas.openxmlformats.org/spreadsheetml/2006/main">
  <authors>
    <author>Microsoft Office User</author>
  </authors>
  <commentList>
    <comment ref="A47" authorId="0" shapeId="0">
      <text>
        <t xml:space="preserve">9% Payroll tax + 3% WC
</t>
      </text>
    </comment>
  </commentList>
</comments>
</file>

<file path=xl/comments/comment3.xml><?xml version="1.0" encoding="utf-8"?>
<comments xmlns="http://schemas.openxmlformats.org/spreadsheetml/2006/main">
  <authors>
    <author>Microsoft Office User</author>
  </authors>
  <commentList>
    <comment ref="B39" authorId="0" shapeId="0">
      <text>
        <t xml:space="preserve">DAF 5% Quick Pay Discount Standard.
15% Overage for material &lt;$3K	
</t>
      </text>
    </comment>
    <comment ref="A54" authorId="0" shapeId="0">
      <text>
        <t xml:space="preserve">9% Payroll tax + 3% WC
</t>
      </text>
    </comment>
  </commentList>
</comments>
</file>

<file path=xl/comments/comment4.xml><?xml version="1.0" encoding="utf-8"?>
<comments xmlns="http://schemas.openxmlformats.org/spreadsheetml/2006/main">
  <authors>
    <author>Microsoft Office User</author>
  </authors>
  <commentList>
    <comment ref="A47" authorId="0" shapeId="0">
      <text>
        <t xml:space="preserve">9% Payroll tax + 3% WC
</t>
      </text>
    </comment>
  </commentList>
</comments>
</file>

<file path=xl/comments/comment5.xml><?xml version="1.0" encoding="utf-8"?>
<comments xmlns="http://schemas.openxmlformats.org/spreadsheetml/2006/main">
  <authors>
    <author>Microsoft Office User</author>
  </authors>
  <commentList>
    <comment ref="A47" authorId="0" shapeId="0">
      <text>
        <t xml:space="preserve">9% Payroll tax + 3% WC
</t>
      </text>
    </comment>
  </commentList>
</comments>
</file>

<file path=xl/comments/comment6.xml><?xml version="1.0" encoding="utf-8"?>
<comments xmlns="http://schemas.openxmlformats.org/spreadsheetml/2006/main">
  <authors>
    <author>Microsoft Office User</author>
  </authors>
  <commentList>
    <comment ref="B38" authorId="0" shapeId="0">
      <text>
        <t>DAF -5% Inventory Discount (Standard)
***********
Cap discount at 
-15% (note TOTAL % DAF discount)</t>
      </text>
    </comment>
    <comment ref="A52" authorId="0" shapeId="0">
      <text>
        <t xml:space="preserve">9% Payroll tax + 3% WC
</t>
      </text>
    </comment>
  </commentList>
</comments>
</file>

<file path=xl/comments/comment7.xml><?xml version="1.0" encoding="utf-8"?>
<comments xmlns="http://schemas.openxmlformats.org/spreadsheetml/2006/main">
  <authors>
    <author>Microsoft Office User</author>
  </authors>
  <commentList>
    <comment ref="C12" authorId="0" shapeId="0">
      <text>
        <t>4%-10%</t>
      </text>
    </comment>
    <comment ref="J12" authorId="0" shapeId="0">
      <text>
        <t>4%-10%</t>
      </text>
    </comment>
    <comment ref="E26" authorId="0" shapeId="0">
      <text>
        <t xml:space="preserve">$60 / day / guy
</t>
      </text>
    </comment>
    <comment ref="L26" authorId="0" shapeId="0">
      <text>
        <t xml:space="preserve">$60 / day / guy
</t>
      </text>
    </comment>
    <comment ref="E27" authorId="0" shapeId="0">
      <text>
        <t xml:space="preserve">$30 / day / guy
</t>
      </text>
    </comment>
    <comment ref="L27" authorId="0" shapeId="0">
      <text>
        <t xml:space="preserve">$30 / day / guy
</t>
      </text>
    </comment>
    <comment ref="E28" authorId="0" shapeId="0">
      <text>
        <t>$6 x Total Man Day</t>
      </text>
    </comment>
    <comment ref="L28" authorId="0" shapeId="0">
      <text>
        <t>$6 x Total Man Day</t>
      </text>
    </comment>
    <comment ref="C39" authorId="0" shapeId="0">
      <text>
        <t xml:space="preserve">5%-10%
</t>
      </text>
    </comment>
    <comment ref="J39" authorId="0" shapeId="0">
      <text>
        <t xml:space="preserve">5%-10%
</t>
      </text>
    </comment>
    <comment ref="C40" authorId="0" shapeId="0">
      <text>
        <t>15%-35%</t>
      </text>
    </comment>
    <comment ref="J40" authorId="0" shapeId="0">
      <text>
        <t>15%-35%</t>
      </text>
    </comment>
    <comment ref="C41" authorId="0" shapeId="0">
      <text>
        <t xml:space="preserve">28%-32%
</t>
      </text>
    </comment>
    <comment ref="J41" authorId="0" shapeId="0">
      <text>
        <t xml:space="preserve">28%-32%
</t>
      </text>
    </comment>
    <comment ref="C61" authorId="0" shapeId="0">
      <text>
        <t>4%-10%</t>
      </text>
    </comment>
    <comment ref="J61" authorId="0" shapeId="0">
      <text>
        <t>4%-10%</t>
      </text>
    </comment>
    <comment ref="E75" authorId="0" shapeId="0">
      <text>
        <t xml:space="preserve">$60 / day / guy
</t>
      </text>
    </comment>
    <comment ref="L75" authorId="0" shapeId="0">
      <text>
        <t xml:space="preserve">$60 / day / guy
</t>
      </text>
    </comment>
    <comment ref="E76" authorId="0" shapeId="0">
      <text>
        <t xml:space="preserve">$30 / day / guy
</t>
      </text>
    </comment>
    <comment ref="L76" authorId="0" shapeId="0">
      <text>
        <t xml:space="preserve">$30 / day / guy
</t>
      </text>
    </comment>
    <comment ref="E77" authorId="0" shapeId="0">
      <text>
        <t>$6 x Total Man Day</t>
      </text>
    </comment>
    <comment ref="L77" authorId="0" shapeId="0">
      <text>
        <t>$6 x Total Man Day</t>
      </text>
    </comment>
    <comment ref="C88" authorId="0" shapeId="0">
      <text>
        <t xml:space="preserve">5%-10%
</t>
      </text>
    </comment>
    <comment ref="J88" authorId="0" shapeId="0">
      <text>
        <t xml:space="preserve">5%-10%
</t>
      </text>
    </comment>
    <comment ref="C89" authorId="0" shapeId="0">
      <text>
        <t>15%-35%</t>
      </text>
    </comment>
    <comment ref="J89" authorId="0" shapeId="0">
      <text>
        <t>15%-35%</t>
      </text>
    </comment>
    <comment ref="C90" authorId="0" shapeId="0">
      <text>
        <t xml:space="preserve">28%-32%
</t>
      </text>
    </comment>
    <comment ref="J90" authorId="0" shapeId="0">
      <text>
        <t xml:space="preserve">28%-32%
</t>
      </text>
    </comment>
    <comment ref="C110" authorId="0" shapeId="0">
      <text>
        <t>4%-10%</t>
      </text>
    </comment>
    <comment ref="J110" authorId="0" shapeId="0">
      <text>
        <t>4%-10%</t>
      </text>
    </comment>
    <comment ref="Q110" authorId="0" shapeId="0">
      <text>
        <t>4%-10%</t>
      </text>
    </comment>
    <comment ref="E124" authorId="0" shapeId="0">
      <text>
        <t xml:space="preserve">$60 / day / guy
</t>
      </text>
    </comment>
    <comment ref="L124" authorId="0" shapeId="0">
      <text>
        <t xml:space="preserve">$60 / day / guy
</t>
      </text>
    </comment>
    <comment ref="S124" authorId="0" shapeId="0">
      <text>
        <t xml:space="preserve">$60 / day / guy
</t>
      </text>
    </comment>
    <comment ref="E125" authorId="0" shapeId="0">
      <text>
        <t xml:space="preserve">$30 / day / guy
</t>
      </text>
    </comment>
    <comment ref="L125" authorId="0" shapeId="0">
      <text>
        <t xml:space="preserve">$30 / day / guy
</t>
      </text>
    </comment>
    <comment ref="S125" authorId="0" shapeId="0">
      <text>
        <t xml:space="preserve">$30 / day / guy
</t>
      </text>
    </comment>
    <comment ref="E126" authorId="0" shapeId="0">
      <text>
        <t>$6 x Total Man Day</t>
      </text>
    </comment>
    <comment ref="L126" authorId="0" shapeId="0">
      <text>
        <t>$6 x Total Man Day</t>
      </text>
    </comment>
    <comment ref="S126" authorId="0" shapeId="0">
      <text>
        <t>$6 x Total Man Day</t>
      </text>
    </comment>
    <comment ref="C137" authorId="0" shapeId="0">
      <text>
        <t xml:space="preserve">5%-10%
</t>
      </text>
    </comment>
    <comment ref="J137" authorId="0" shapeId="0">
      <text>
        <t xml:space="preserve">5%-10%
</t>
      </text>
    </comment>
    <comment ref="Q137" authorId="0" shapeId="0">
      <text>
        <t xml:space="preserve">5%-10%
</t>
      </text>
    </comment>
    <comment ref="C138" authorId="0" shapeId="0">
      <text>
        <t>15%-35%</t>
      </text>
    </comment>
    <comment ref="J138" authorId="0" shapeId="0">
      <text>
        <t>15%-35%</t>
      </text>
    </comment>
    <comment ref="Q138" authorId="0" shapeId="0">
      <text>
        <t>15%-35%</t>
      </text>
    </comment>
    <comment ref="C139" authorId="0" shapeId="0">
      <text>
        <t xml:space="preserve">28%-32%
</t>
      </text>
    </comment>
    <comment ref="J139" authorId="0" shapeId="0">
      <text>
        <t xml:space="preserve">28%-32%
</t>
      </text>
    </comment>
    <comment ref="Q139" authorId="0" shapeId="0">
      <text>
        <t xml:space="preserve">28%-32%
</t>
      </text>
    </comment>
    <comment ref="C159" authorId="0" shapeId="0">
      <text>
        <t>4%-10%</t>
      </text>
    </comment>
    <comment ref="J159" authorId="0" shapeId="0">
      <text>
        <t>4%-10%</t>
      </text>
    </comment>
    <comment ref="Q159" authorId="0" shapeId="0">
      <text>
        <t>4%-10%</t>
      </text>
    </comment>
    <comment ref="E173" authorId="0" shapeId="0">
      <text>
        <t xml:space="preserve">$60 / day / guy
</t>
      </text>
    </comment>
    <comment ref="L173" authorId="0" shapeId="0">
      <text>
        <t xml:space="preserve">$60 / day / guy
</t>
      </text>
    </comment>
    <comment ref="S173" authorId="0" shapeId="0">
      <text>
        <t xml:space="preserve">$60 / day / guy
</t>
      </text>
    </comment>
    <comment ref="E174" authorId="0" shapeId="0">
      <text>
        <t xml:space="preserve">$30 / day / guy
</t>
      </text>
    </comment>
    <comment ref="L174" authorId="0" shapeId="0">
      <text>
        <t xml:space="preserve">$30 / day / guy
</t>
      </text>
    </comment>
    <comment ref="S174" authorId="0" shapeId="0">
      <text>
        <t xml:space="preserve">$30 / day / guy
</t>
      </text>
    </comment>
    <comment ref="E175" authorId="0" shapeId="0">
      <text>
        <t>$6 x Total Man Day</t>
      </text>
    </comment>
    <comment ref="L175" authorId="0" shapeId="0">
      <text>
        <t>$6 x Total Man Day</t>
      </text>
    </comment>
    <comment ref="S175" authorId="0" shapeId="0">
      <text>
        <t>$6 x Total Man Day</t>
      </text>
    </comment>
    <comment ref="C186" authorId="0" shapeId="0">
      <text>
        <t xml:space="preserve">5%-10%
</t>
      </text>
    </comment>
    <comment ref="J186" authorId="0" shapeId="0">
      <text>
        <t xml:space="preserve">5%-10%
</t>
      </text>
    </comment>
    <comment ref="Q186" authorId="0" shapeId="0">
      <text>
        <t xml:space="preserve">5%-10%
</t>
      </text>
    </comment>
    <comment ref="C187" authorId="0" shapeId="0">
      <text>
        <t>15%-35%</t>
      </text>
    </comment>
    <comment ref="J187" authorId="0" shapeId="0">
      <text>
        <t>15%-35%</t>
      </text>
    </comment>
    <comment ref="Q187" authorId="0" shapeId="0">
      <text>
        <t>15%-35%</t>
      </text>
    </comment>
    <comment ref="C188" authorId="0" shapeId="0">
      <text>
        <t xml:space="preserve">28%-32%
</t>
      </text>
    </comment>
    <comment ref="J188" authorId="0" shapeId="0">
      <text>
        <t xml:space="preserve">28%-32%
</t>
      </text>
    </comment>
    <comment ref="Q188" authorId="0" shapeId="0">
      <text>
        <t xml:space="preserve">28%-32%
</t>
      </text>
    </comment>
    <comment ref="C208" authorId="0" shapeId="0">
      <text>
        <t>4%-10%</t>
      </text>
    </comment>
    <comment ref="J208" authorId="0" shapeId="0">
      <text>
        <t>4%-10%</t>
      </text>
    </comment>
    <comment ref="Q208" authorId="0" shapeId="0">
      <text>
        <t>4%-10%</t>
      </text>
    </comment>
    <comment ref="E222" authorId="0" shapeId="0">
      <text>
        <t xml:space="preserve">$60 / day / guy
</t>
      </text>
    </comment>
    <comment ref="L222" authorId="0" shapeId="0">
      <text>
        <t xml:space="preserve">$60 / day / guy
</t>
      </text>
    </comment>
    <comment ref="S222" authorId="0" shapeId="0">
      <text>
        <t xml:space="preserve">$60 / day / guy
</t>
      </text>
    </comment>
    <comment ref="E223" authorId="0" shapeId="0">
      <text>
        <t xml:space="preserve">$30 / day / guy
</t>
      </text>
    </comment>
    <comment ref="L223" authorId="0" shapeId="0">
      <text>
        <t xml:space="preserve">$30 / day / guy
</t>
      </text>
    </comment>
    <comment ref="S223" authorId="0" shapeId="0">
      <text>
        <t xml:space="preserve">$30 / day / guy
</t>
      </text>
    </comment>
    <comment ref="E224" authorId="0" shapeId="0">
      <text>
        <t>$6 x Total Man Day</t>
      </text>
    </comment>
    <comment ref="L224" authorId="0" shapeId="0">
      <text>
        <t>$6 x Total Man Day</t>
      </text>
    </comment>
    <comment ref="S224" authorId="0" shapeId="0">
      <text>
        <t>$6 x Total Man Day</t>
      </text>
    </comment>
    <comment ref="C235" authorId="0" shapeId="0">
      <text>
        <t xml:space="preserve">5%-10%
</t>
      </text>
    </comment>
    <comment ref="J235" authorId="0" shapeId="0">
      <text>
        <t xml:space="preserve">5%-10%
</t>
      </text>
    </comment>
    <comment ref="Q235" authorId="0" shapeId="0">
      <text>
        <t xml:space="preserve">5%-10%
</t>
      </text>
    </comment>
    <comment ref="C236" authorId="0" shapeId="0">
      <text>
        <t>15%-35%</t>
      </text>
    </comment>
    <comment ref="J236" authorId="0" shapeId="0">
      <text>
        <t>15%-35%</t>
      </text>
    </comment>
    <comment ref="Q236" authorId="0" shapeId="0">
      <text>
        <t>15%-35%</t>
      </text>
    </comment>
    <comment ref="C237" authorId="0" shapeId="0">
      <text>
        <t xml:space="preserve">28%-32%
</t>
      </text>
    </comment>
    <comment ref="J237" authorId="0" shapeId="0">
      <text>
        <t xml:space="preserve">28%-32%
</t>
      </text>
    </comment>
    <comment ref="Q237" authorId="0" shapeId="0">
      <text>
        <t xml:space="preserve">28%-32%
</t>
      </text>
    </comment>
    <comment ref="C257" authorId="0" shapeId="0">
      <text>
        <t>4%-10%</t>
      </text>
    </comment>
    <comment ref="J257" authorId="0" shapeId="0">
      <text>
        <t>4%-10%</t>
      </text>
    </comment>
    <comment ref="Q257" authorId="0" shapeId="0">
      <text>
        <t>4%-10%</t>
      </text>
    </comment>
    <comment ref="E271" authorId="0" shapeId="0">
      <text>
        <t xml:space="preserve">$60 / day / guy
</t>
      </text>
    </comment>
    <comment ref="L271" authorId="0" shapeId="0">
      <text>
        <t xml:space="preserve">$60 / day / guy
</t>
      </text>
    </comment>
    <comment ref="S271" authorId="0" shapeId="0">
      <text>
        <t xml:space="preserve">$60 / day / guy
</t>
      </text>
    </comment>
    <comment ref="E272" authorId="0" shapeId="0">
      <text>
        <t xml:space="preserve">$30 / day / guy
</t>
      </text>
    </comment>
    <comment ref="L272" authorId="0" shapeId="0">
      <text>
        <t xml:space="preserve">$30 / day / guy
</t>
      </text>
    </comment>
    <comment ref="S272" authorId="0" shapeId="0">
      <text>
        <t xml:space="preserve">$30 / day / guy
</t>
      </text>
    </comment>
    <comment ref="E273" authorId="0" shapeId="0">
      <text>
        <t>$6 x Total Man Day</t>
      </text>
    </comment>
    <comment ref="L273" authorId="0" shapeId="0">
      <text>
        <t>$6 x Total Man Day</t>
      </text>
    </comment>
    <comment ref="S273" authorId="0" shapeId="0">
      <text>
        <t>$6 x Total Man Day</t>
      </text>
    </comment>
    <comment ref="C284" authorId="0" shapeId="0">
      <text>
        <t xml:space="preserve">5%-10%
</t>
      </text>
    </comment>
    <comment ref="J284" authorId="0" shapeId="0">
      <text>
        <t xml:space="preserve">5%-10%
</t>
      </text>
    </comment>
    <comment ref="Q284" authorId="0" shapeId="0">
      <text>
        <t xml:space="preserve">5%-10%
</t>
      </text>
    </comment>
    <comment ref="C285" authorId="0" shapeId="0">
      <text>
        <t>15%-35%</t>
      </text>
    </comment>
    <comment ref="J285" authorId="0" shapeId="0">
      <text>
        <t>15%-35%</t>
      </text>
    </comment>
    <comment ref="Q285" authorId="0" shapeId="0">
      <text>
        <t>15%-35%</t>
      </text>
    </comment>
    <comment ref="C286" authorId="0" shapeId="0">
      <text>
        <t xml:space="preserve">28%-32%
</t>
      </text>
    </comment>
    <comment ref="J286" authorId="0" shapeId="0">
      <text>
        <t xml:space="preserve">28%-32%
</t>
      </text>
    </comment>
    <comment ref="Q286" authorId="0" shapeId="0">
      <text>
        <t xml:space="preserve">28%-32%
</t>
      </text>
    </comment>
    <comment ref="C306" authorId="0" shapeId="0">
      <text>
        <t>4%-10%</t>
      </text>
    </comment>
    <comment ref="J306" authorId="0" shapeId="0">
      <text>
        <t>4%-10%</t>
      </text>
    </comment>
    <comment ref="Q306" authorId="0" shapeId="0">
      <text>
        <t>4%-10%</t>
      </text>
    </comment>
    <comment ref="X306" authorId="0" shapeId="0">
      <text>
        <t>4%-10%</t>
      </text>
    </comment>
    <comment ref="AE306" authorId="0" shapeId="0">
      <text>
        <t>4%-10%</t>
      </text>
    </comment>
    <comment ref="AL306" authorId="0" shapeId="0">
      <text>
        <t>4%-10%</t>
      </text>
    </comment>
    <comment ref="E320" authorId="0" shapeId="0">
      <text>
        <t xml:space="preserve">$60 / day / guy
</t>
      </text>
    </comment>
    <comment ref="L320" authorId="0" shapeId="0">
      <text>
        <t xml:space="preserve">$60 / day / guy
</t>
      </text>
    </comment>
    <comment ref="S320" authorId="0" shapeId="0">
      <text>
        <t xml:space="preserve">$60 / day / guy
</t>
      </text>
    </comment>
    <comment ref="Z320" authorId="0" shapeId="0">
      <text>
        <t xml:space="preserve">$60 / day / guy
</t>
      </text>
    </comment>
    <comment ref="AG320" authorId="0" shapeId="0">
      <text>
        <t xml:space="preserve">$60 / day / guy
</t>
      </text>
    </comment>
    <comment ref="AN320" authorId="0" shapeId="0">
      <text>
        <t xml:space="preserve">$60 / day / guy
</t>
      </text>
    </comment>
    <comment ref="E321" authorId="0" shapeId="0">
      <text>
        <t xml:space="preserve">$30 / day / guy
</t>
      </text>
    </comment>
    <comment ref="L321" authorId="0" shapeId="0">
      <text>
        <t xml:space="preserve">$30 / day / guy
</t>
      </text>
    </comment>
    <comment ref="S321" authorId="0" shapeId="0">
      <text>
        <t xml:space="preserve">$30 / day / guy
</t>
      </text>
    </comment>
    <comment ref="Z321" authorId="0" shapeId="0">
      <text>
        <t xml:space="preserve">$30 / day / guy
</t>
      </text>
    </comment>
    <comment ref="AG321" authorId="0" shapeId="0">
      <text>
        <t xml:space="preserve">$30 / day / guy
</t>
      </text>
    </comment>
    <comment ref="AN321" authorId="0" shapeId="0">
      <text>
        <t xml:space="preserve">$30 / day / guy
</t>
      </text>
    </comment>
    <comment ref="E322" authorId="0" shapeId="0">
      <text>
        <t>$6 x Total Man Day</t>
      </text>
    </comment>
    <comment ref="L322" authorId="0" shapeId="0">
      <text>
        <t>$6 x Total Man Day</t>
      </text>
    </comment>
    <comment ref="S322" authorId="0" shapeId="0">
      <text>
        <t>$6 x Total Man Day</t>
      </text>
    </comment>
    <comment ref="Z322" authorId="0" shapeId="0">
      <text>
        <t>$6 x Total Man Day</t>
      </text>
    </comment>
    <comment ref="AG322" authorId="0" shapeId="0">
      <text>
        <t>$6 x Total Man Day</t>
      </text>
    </comment>
    <comment ref="AN322" authorId="0" shapeId="0">
      <text>
        <t>$6 x Total Man Day</t>
      </text>
    </comment>
    <comment ref="C333" authorId="0" shapeId="0">
      <text>
        <t xml:space="preserve">5%-10%
</t>
      </text>
    </comment>
    <comment ref="J333" authorId="0" shapeId="0">
      <text>
        <t xml:space="preserve">5%-10%
</t>
      </text>
    </comment>
    <comment ref="Q333" authorId="0" shapeId="0">
      <text>
        <t xml:space="preserve">5%-10%
</t>
      </text>
    </comment>
    <comment ref="X333" authorId="0" shapeId="0">
      <text>
        <t xml:space="preserve">5%-10%
</t>
      </text>
    </comment>
    <comment ref="AE333" authorId="0" shapeId="0">
      <text>
        <t xml:space="preserve">5%-10%
</t>
      </text>
    </comment>
    <comment ref="AL333" authorId="0" shapeId="0">
      <text>
        <t xml:space="preserve">5%-10%
</t>
      </text>
    </comment>
    <comment ref="C334" authorId="0" shapeId="0">
      <text>
        <t>15%-35%</t>
      </text>
    </comment>
    <comment ref="J334" authorId="0" shapeId="0">
      <text>
        <t>15%-35%</t>
      </text>
    </comment>
    <comment ref="Q334" authorId="0" shapeId="0">
      <text>
        <t>15%-35%</t>
      </text>
    </comment>
    <comment ref="X334" authorId="0" shapeId="0">
      <text>
        <t>15%-35%</t>
      </text>
    </comment>
    <comment ref="AE334" authorId="0" shapeId="0">
      <text>
        <t>15%-35%</t>
      </text>
    </comment>
    <comment ref="AL334" authorId="0" shapeId="0">
      <text>
        <t>15%-35%</t>
      </text>
    </comment>
    <comment ref="C335" authorId="0" shapeId="0">
      <text>
        <t xml:space="preserve">28%-32%
</t>
      </text>
    </comment>
    <comment ref="J335" authorId="0" shapeId="0">
      <text>
        <t xml:space="preserve">28%-32%
</t>
      </text>
    </comment>
    <comment ref="Q335" authorId="0" shapeId="0">
      <text>
        <t xml:space="preserve">28%-32%
</t>
      </text>
    </comment>
    <comment ref="X335" authorId="0" shapeId="0">
      <text>
        <t xml:space="preserve">28%-32%
</t>
      </text>
    </comment>
    <comment ref="AE335" authorId="0" shapeId="0">
      <text>
        <t xml:space="preserve">28%-32%
</t>
      </text>
    </comment>
    <comment ref="AL335" authorId="0" shapeId="0">
      <text>
        <t xml:space="preserve">28%-32%
</t>
      </text>
    </comment>
    <comment ref="C355" authorId="0" shapeId="0">
      <text>
        <t>4%-10%</t>
      </text>
    </comment>
    <comment ref="J355" authorId="0" shapeId="0">
      <text>
        <t>4%-10%</t>
      </text>
    </comment>
    <comment ref="E369" authorId="0" shapeId="0">
      <text>
        <t xml:space="preserve">$60 / day / guy
</t>
      </text>
    </comment>
    <comment ref="L369" authorId="0" shapeId="0">
      <text>
        <t xml:space="preserve">$60 / day / guy
</t>
      </text>
    </comment>
    <comment ref="E370" authorId="0" shapeId="0">
      <text>
        <t xml:space="preserve">$30 / day / guy
</t>
      </text>
    </comment>
    <comment ref="L370" authorId="0" shapeId="0">
      <text>
        <t xml:space="preserve">$30 / day / guy
</t>
      </text>
    </comment>
    <comment ref="E371" authorId="0" shapeId="0">
      <text>
        <t>$6 x Total Man Day</t>
      </text>
    </comment>
    <comment ref="L371" authorId="0" shapeId="0">
      <text>
        <t>$6 x Total Man Day</t>
      </text>
    </comment>
    <comment ref="C382" authorId="0" shapeId="0">
      <text>
        <t xml:space="preserve">5%-10%
</t>
      </text>
    </comment>
    <comment ref="J382" authorId="0" shapeId="0">
      <text>
        <t xml:space="preserve">5%-10%
</t>
      </text>
    </comment>
    <comment ref="C383" authorId="0" shapeId="0">
      <text>
        <t>15%-35%</t>
      </text>
    </comment>
    <comment ref="J383" authorId="0" shapeId="0">
      <text>
        <t>15%-35%</t>
      </text>
    </comment>
    <comment ref="C384" authorId="0" shapeId="0">
      <text>
        <t xml:space="preserve">28%-32%
</t>
      </text>
    </comment>
    <comment ref="J384" authorId="0" shapeId="0">
      <text>
        <t xml:space="preserve">28%-32%
</t>
      </text>
    </comment>
    <comment ref="C404" authorId="0" shapeId="0">
      <text>
        <t>4%-10%</t>
      </text>
    </comment>
    <comment ref="J404" authorId="0" shapeId="0">
      <text>
        <t>4%-10%</t>
      </text>
    </comment>
    <comment ref="E418" authorId="0" shapeId="0">
      <text>
        <t xml:space="preserve">$60 / day / guy
</t>
      </text>
    </comment>
    <comment ref="L418" authorId="0" shapeId="0">
      <text>
        <t xml:space="preserve">$60 / day / guy
</t>
      </text>
    </comment>
    <comment ref="E419" authorId="0" shapeId="0">
      <text>
        <t xml:space="preserve">$30 / day / guy
</t>
      </text>
    </comment>
    <comment ref="L419" authorId="0" shapeId="0">
      <text>
        <t xml:space="preserve">$30 / day / guy
</t>
      </text>
    </comment>
    <comment ref="E420" authorId="0" shapeId="0">
      <text>
        <t>$6 x Total Man Day</t>
      </text>
    </comment>
    <comment ref="L420" authorId="0" shapeId="0">
      <text>
        <t>$6 x Total Man Day</t>
      </text>
    </comment>
    <comment ref="C431" authorId="0" shapeId="0">
      <text>
        <t xml:space="preserve">5%-10%
</t>
      </text>
    </comment>
    <comment ref="J431" authorId="0" shapeId="0">
      <text>
        <t xml:space="preserve">5%-10%
</t>
      </text>
    </comment>
    <comment ref="C432" authorId="0" shapeId="0">
      <text>
        <t>15%-35%</t>
      </text>
    </comment>
    <comment ref="J432" authorId="0" shapeId="0">
      <text>
        <t>15%-35%</t>
      </text>
    </comment>
    <comment ref="C433" authorId="0" shapeId="0">
      <text>
        <t xml:space="preserve">28%-32%
</t>
      </text>
    </comment>
    <comment ref="J433" authorId="0" shapeId="0">
      <text>
        <t xml:space="preserve">28%-32%
</t>
      </text>
    </comment>
    <comment ref="C453" authorId="0" shapeId="0">
      <text>
        <t>4%-10%</t>
      </text>
    </comment>
    <comment ref="J453" authorId="0" shapeId="0">
      <text>
        <t>4%-10%</t>
      </text>
    </comment>
    <comment ref="E467" authorId="0" shapeId="0">
      <text>
        <t xml:space="preserve">$60 / day / guy
</t>
      </text>
    </comment>
    <comment ref="L467" authorId="0" shapeId="0">
      <text>
        <t xml:space="preserve">$60 / day / guy
</t>
      </text>
    </comment>
    <comment ref="E468" authorId="0" shapeId="0">
      <text>
        <t xml:space="preserve">$30 / day / guy
</t>
      </text>
    </comment>
    <comment ref="L468" authorId="0" shapeId="0">
      <text>
        <t xml:space="preserve">$30 / day / guy
</t>
      </text>
    </comment>
    <comment ref="E469" authorId="0" shapeId="0">
      <text>
        <t>$6 x Total Man Day</t>
      </text>
    </comment>
    <comment ref="L469" authorId="0" shapeId="0">
      <text>
        <t>$6 x Total Man Day</t>
      </text>
    </comment>
    <comment ref="C480" authorId="0" shapeId="0">
      <text>
        <t xml:space="preserve">5%-10%
</t>
      </text>
    </comment>
    <comment ref="J480" authorId="0" shapeId="0">
      <text>
        <t xml:space="preserve">5%-10%
</t>
      </text>
    </comment>
    <comment ref="C481" authorId="0" shapeId="0">
      <text>
        <t>15%-35%</t>
      </text>
    </comment>
    <comment ref="J481" authorId="0" shapeId="0">
      <text>
        <t>15%-35%</t>
      </text>
    </comment>
    <comment ref="C482" authorId="0" shapeId="0">
      <text>
        <t xml:space="preserve">28%-32%
</t>
      </text>
    </comment>
    <comment ref="J482" authorId="0" shapeId="0">
      <text>
        <t xml:space="preserve">28%-32%
</t>
      </text>
    </comment>
    <comment ref="C502" authorId="0" shapeId="0">
      <text>
        <t>4%-10%</t>
      </text>
    </comment>
    <comment ref="J502" authorId="0" shapeId="0">
      <text>
        <t>4%-10%</t>
      </text>
    </comment>
    <comment ref="E516" authorId="0" shapeId="0">
      <text>
        <t xml:space="preserve">$60 / day / guy
</t>
      </text>
    </comment>
    <comment ref="L516" authorId="0" shapeId="0">
      <text>
        <t xml:space="preserve">$60 / day / guy
</t>
      </text>
    </comment>
    <comment ref="E517" authorId="0" shapeId="0">
      <text>
        <t xml:space="preserve">$30 / day / guy
</t>
      </text>
    </comment>
    <comment ref="L517" authorId="0" shapeId="0">
      <text>
        <t xml:space="preserve">$30 / day / guy
</t>
      </text>
    </comment>
    <comment ref="E518" authorId="0" shapeId="0">
      <text>
        <t>$6 x Total Man Day</t>
      </text>
    </comment>
    <comment ref="L518" authorId="0" shapeId="0">
      <text>
        <t>$6 x Total Man Day</t>
      </text>
    </comment>
    <comment ref="C529" authorId="0" shapeId="0">
      <text>
        <t xml:space="preserve">5%-10%
</t>
      </text>
    </comment>
    <comment ref="J529" authorId="0" shapeId="0">
      <text>
        <t xml:space="preserve">5%-10%
</t>
      </text>
    </comment>
    <comment ref="C530" authorId="0" shapeId="0">
      <text>
        <t>15%-35%</t>
      </text>
    </comment>
    <comment ref="J530" authorId="0" shapeId="0">
      <text>
        <t>15%-35%</t>
      </text>
    </comment>
    <comment ref="C531" authorId="0" shapeId="0">
      <text>
        <t xml:space="preserve">28%-32%
</t>
      </text>
    </comment>
    <comment ref="J531" authorId="0" shapeId="0">
      <text>
        <t xml:space="preserve">28%-32%
</t>
      </text>
    </comment>
    <comment ref="C552" authorId="0" shapeId="0">
      <text>
        <t>4%-10%</t>
      </text>
    </comment>
    <comment ref="J552" authorId="0" shapeId="0">
      <text>
        <t>4%-10%</t>
      </text>
    </comment>
    <comment ref="Q552" authorId="0" shapeId="0">
      <text>
        <t>4%-10%</t>
      </text>
    </comment>
    <comment ref="X552" authorId="0" shapeId="0">
      <text>
        <t>4%-10%</t>
      </text>
    </comment>
    <comment ref="E566" authorId="0" shapeId="0">
      <text>
        <t xml:space="preserve">$60 / day / guy
</t>
      </text>
    </comment>
    <comment ref="L566" authorId="0" shapeId="0">
      <text>
        <t xml:space="preserve">$60 / day / guy
</t>
      </text>
    </comment>
    <comment ref="S566" authorId="0" shapeId="0">
      <text>
        <t xml:space="preserve">$60 / day / guy
</t>
      </text>
    </comment>
    <comment ref="Z566" authorId="0" shapeId="0">
      <text>
        <t xml:space="preserve">$60 / day / guy
</t>
      </text>
    </comment>
    <comment ref="E567" authorId="0" shapeId="0">
      <text>
        <t xml:space="preserve">$30 / day / guy
</t>
      </text>
    </comment>
    <comment ref="L567" authorId="0" shapeId="0">
      <text>
        <t xml:space="preserve">$30 / day / guy
</t>
      </text>
    </comment>
    <comment ref="S567" authorId="0" shapeId="0">
      <text>
        <t xml:space="preserve">$30 / day / guy
</t>
      </text>
    </comment>
    <comment ref="Z567" authorId="0" shapeId="0">
      <text>
        <t xml:space="preserve">$30 / day / guy
</t>
      </text>
    </comment>
    <comment ref="E568" authorId="0" shapeId="0">
      <text>
        <t>$6 x Total Man Day</t>
      </text>
    </comment>
    <comment ref="L568" authorId="0" shapeId="0">
      <text>
        <t>$6 x Total Man Day</t>
      </text>
    </comment>
    <comment ref="S568" authorId="0" shapeId="0">
      <text>
        <t>$6 x Total Man Day</t>
      </text>
    </comment>
    <comment ref="Z568" authorId="0" shapeId="0">
      <text>
        <t>$6 x Total Man Day</t>
      </text>
    </comment>
    <comment ref="C579" authorId="0" shapeId="0">
      <text>
        <t xml:space="preserve">5%-10%
</t>
      </text>
    </comment>
    <comment ref="J579" authorId="0" shapeId="0">
      <text>
        <t xml:space="preserve">5%-10%
</t>
      </text>
    </comment>
    <comment ref="Q579" authorId="0" shapeId="0">
      <text>
        <t xml:space="preserve">5%-10%
</t>
      </text>
    </comment>
    <comment ref="X579" authorId="0" shapeId="0">
      <text>
        <t xml:space="preserve">5%-10%
</t>
      </text>
    </comment>
    <comment ref="C580" authorId="0" shapeId="0">
      <text>
        <t>15%-35%</t>
      </text>
    </comment>
    <comment ref="J580" authorId="0" shapeId="0">
      <text>
        <t>15%-35%</t>
      </text>
    </comment>
    <comment ref="Q580" authorId="0" shapeId="0">
      <text>
        <t>15%-35%</t>
      </text>
    </comment>
    <comment ref="X580" authorId="0" shapeId="0">
      <text>
        <t>15%-35%</t>
      </text>
    </comment>
    <comment ref="C581" authorId="0" shapeId="0">
      <text>
        <t xml:space="preserve">28%-32%
</t>
      </text>
    </comment>
    <comment ref="J581" authorId="0" shapeId="0">
      <text>
        <t xml:space="preserve">28%-32%
</t>
      </text>
    </comment>
    <comment ref="Q581" authorId="0" shapeId="0">
      <text>
        <t xml:space="preserve">28%-32%
</t>
      </text>
    </comment>
    <comment ref="X581" authorId="0" shapeId="0">
      <text>
        <t xml:space="preserve">28%-32%
</t>
      </text>
    </comment>
    <comment ref="C602" authorId="0" shapeId="0">
      <text>
        <t>4%-10%</t>
      </text>
    </comment>
    <comment ref="J602" authorId="0" shapeId="0">
      <text>
        <t>4%-10%</t>
      </text>
    </comment>
    <comment ref="E616" authorId="0" shapeId="0">
      <text>
        <t xml:space="preserve">$60 / day / guy
</t>
      </text>
    </comment>
    <comment ref="L616" authorId="0" shapeId="0">
      <text>
        <t xml:space="preserve">$60 / day / guy
</t>
      </text>
    </comment>
    <comment ref="E617" authorId="0" shapeId="0">
      <text>
        <t xml:space="preserve">$30 / day / guy
</t>
      </text>
    </comment>
    <comment ref="L617" authorId="0" shapeId="0">
      <text>
        <t xml:space="preserve">$30 / day / guy
</t>
      </text>
    </comment>
    <comment ref="E618" authorId="0" shapeId="0">
      <text>
        <t>$6 x Total Man Day</t>
      </text>
    </comment>
    <comment ref="L618" authorId="0" shapeId="0">
      <text>
        <t>$6 x Total Man Day</t>
      </text>
    </comment>
    <comment ref="C629" authorId="0" shapeId="0">
      <text>
        <t xml:space="preserve">5%-10%
</t>
      </text>
    </comment>
    <comment ref="J629" authorId="0" shapeId="0">
      <text>
        <t xml:space="preserve">5%-10%
</t>
      </text>
    </comment>
    <comment ref="C630" authorId="0" shapeId="0">
      <text>
        <t>15%-35%</t>
      </text>
    </comment>
    <comment ref="J630" authorId="0" shapeId="0">
      <text>
        <t>15%-35%</t>
      </text>
    </comment>
    <comment ref="C631" authorId="0" shapeId="0">
      <text>
        <t xml:space="preserve">28%-32%
</t>
      </text>
    </comment>
    <comment ref="J631" authorId="0" shapeId="0">
      <text>
        <t xml:space="preserve">28%-32%
</t>
      </text>
    </comment>
  </commentList>
</comments>
</file>

<file path=xl/comments/comment8.xml><?xml version="1.0" encoding="utf-8"?>
<comments xmlns="http://schemas.openxmlformats.org/spreadsheetml/2006/main">
  <authors>
    <author>Microsoft Office User</author>
  </authors>
  <commentList>
    <comment ref="B38" authorId="0" shapeId="0">
      <text>
        <t xml:space="preserve">DAF 5% Quick Pay Discount Standard.
15% Overage for material &lt;$3K	
</t>
      </text>
    </comment>
    <comment ref="A51" authorId="0" shapeId="0">
      <text>
        <t xml:space="preserve">9% Payroll tax + 3% WC
</t>
      </text>
    </comment>
  </commentList>
</comments>
</file>

<file path=xl/comments/comment9.xml><?xml version="1.0" encoding="utf-8"?>
<comments xmlns="http://schemas.openxmlformats.org/spreadsheetml/2006/main">
  <authors>
    <author>Microsoft Office User</author>
  </authors>
  <commentList>
    <comment ref="B39" authorId="0" shapeId="0">
      <text>
        <t xml:space="preserve">DAF 5% Quick Pay Discount Standard.
15% Overage for material &lt;$3K	
</t>
      </text>
    </comment>
    <comment ref="A54" authorId="0" shapeId="0">
      <text>
        <t xml:space="preserve">9% Payroll tax + 3% WC
</t>
      </text>
    </comment>
  </commentList>
</comments>
</file>

<file path=xl/comments/comment10.xml><?xml version="1.0" encoding="utf-8"?>
<comments xmlns="http://schemas.openxmlformats.org/spreadsheetml/2006/main">
  <authors>
    <author>Microsoft Office User</author>
  </authors>
  <commentList>
    <comment ref="B39" authorId="0" shapeId="0">
      <text>
        <t xml:space="preserve">DAF 5% Quick Pay Discount Standard.
15% Overage for material &lt;$3K	
</t>
      </text>
    </comment>
    <comment ref="A54" authorId="0" shapeId="0">
      <text>
        <t xml:space="preserve">9% Payroll tax + 3% WC
</t>
      </text>
    </comment>
  </commentList>
</comments>
</file>

<file path=xl/comments/comment11.xml><?xml version="1.0" encoding="utf-8"?>
<comments xmlns="http://schemas.openxmlformats.org/spreadsheetml/2006/main">
  <authors>
    <author>Microsoft Office User</author>
  </authors>
  <commentList>
    <comment ref="B39" authorId="0" shapeId="0">
      <text>
        <t xml:space="preserve">DAF 5% Quick Pay Discount Standard.
15% Overage for material &lt;$3K	
</t>
      </text>
    </comment>
    <comment ref="A54" authorId="0" shapeId="0">
      <text>
        <t xml:space="preserve">9% Payroll tax + 3% WC
</t>
      </text>
    </comment>
  </commentList>
</comments>
</file>

<file path=xl/comments/comment12.xml><?xml version="1.0" encoding="utf-8"?>
<comments xmlns="http://schemas.openxmlformats.org/spreadsheetml/2006/main">
  <authors>
    <author>Microsoft Office User</author>
  </authors>
  <commentList>
    <comment ref="B39" authorId="0" shapeId="0">
      <text>
        <t xml:space="preserve">DAF 5% Quick Pay Discount Standard.
15% Overage for material &lt;$3K	
</t>
      </text>
    </comment>
    <comment ref="A54" authorId="0" shapeId="0">
      <text>
        <t xml:space="preserve">9% Payroll tax + 3% WC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hyperlink" Target="https://kssst.kdor.ks.gov/lookup.cfm?CFID=839049&amp;CFTOKEN=89769083&amp;jsessionid=5e30907b287fb011cb10203a22416a287842" TargetMode="External" Id="rId2"/><Relationship Type="http://schemas.openxmlformats.org/officeDocument/2006/relationships/hyperlink" Target="https://kssst.kdor.ks.gov/lookup.cfm?CFID=839049&amp;CFTOKEN=89769083&amp;jsessionid=5e30907b287fb011cb10203a22416a287842" TargetMode="External" Id="rId3"/><Relationship Type="http://schemas.openxmlformats.org/officeDocument/2006/relationships/hyperlink" Target="https://kssst.kdor.ks.gov/lookup.cfm?CFID=839049&amp;CFTOKEN=89769083&amp;jsessionid=5e30907b287fb011cb10203a22416a287842" TargetMode="External" Id="rId4"/><Relationship Type="http://schemas.openxmlformats.org/officeDocument/2006/relationships/hyperlink" Target="https://kssst.kdor.ks.gov/lookup.cfm?CFID=839049&amp;CFTOKEN=89769083&amp;jsessionid=5e30907b287fb011cb10203a22416a287842" TargetMode="External" Id="rId5"/><Relationship Type="http://schemas.openxmlformats.org/officeDocument/2006/relationships/hyperlink" Target="https://kssst.kdor.ks.gov/lookup.cfm?CFID=839049&amp;CFTOKEN=89769083&amp;jsessionid=5e30907b287fb011cb10203a22416a287842" TargetMode="External" Id="rId6"/><Relationship Type="http://schemas.openxmlformats.org/officeDocument/2006/relationships/hyperlink" Target="https://kssst.kdor.ks.gov/lookup.cfm?CFID=839049&amp;CFTOKEN=89769083&amp;jsessionid=5e30907b287fb011cb10203a22416a287842" TargetMode="External" Id="rId7"/><Relationship Type="http://schemas.openxmlformats.org/officeDocument/2006/relationships/hyperlink" Target="https://kssst.kdor.ks.gov/lookup.cfm?CFID=839049&amp;CFTOKEN=89769083&amp;jsessionid=5e30907b287fb011cb10203a22416a287842" TargetMode="External" Id="rId8"/><Relationship Type="http://schemas.openxmlformats.org/officeDocument/2006/relationships/hyperlink" Target="https://kssst.kdor.ks.gov/lookup.cfm?CFID=839049&amp;CFTOKEN=89769083&amp;jsessionid=5e30907b287fb011cb10203a22416a287842" TargetMode="External" Id="rId9"/><Relationship Type="http://schemas.openxmlformats.org/officeDocument/2006/relationships/hyperlink" Target="https://kssst.kdor.ks.gov/lookup.cfm?CFID=839049&amp;CFTOKEN=89769083&amp;jsessionid=5e30907b287fb011cb10203a22416a287842" TargetMode="External" Id="rId10"/><Relationship Type="http://schemas.openxmlformats.org/officeDocument/2006/relationships/hyperlink" Target="https://kssst.kdor.ks.gov/lookup.cfm?CFID=839049&amp;CFTOKEN=89769083&amp;jsessionid=5e30907b287fb011cb10203a22416a287842" TargetMode="External" Id="rId11"/><Relationship Type="http://schemas.openxmlformats.org/officeDocument/2006/relationships/hyperlink" Target="https://kssst.kdor.ks.gov/lookup.cfm?CFID=839049&amp;CFTOKEN=89769083&amp;jsessionid=5e30907b287fb011cb10203a22416a287842" TargetMode="External" Id="rId12"/><Relationship Type="http://schemas.openxmlformats.org/officeDocument/2006/relationships/hyperlink" Target="https://kssst.kdor.ks.gov/lookup.cfm?CFID=839049&amp;CFTOKEN=89769083&amp;jsessionid=5e30907b287fb011cb10203a22416a287842" TargetMode="External" Id="rId13"/><Relationship Type="http://schemas.openxmlformats.org/officeDocument/2006/relationships/hyperlink" Target="https://kssst.kdor.ks.gov/lookup.cfm?CFID=839049&amp;CFTOKEN=89769083&amp;jsessionid=5e30907b287fb011cb10203a22416a287842" TargetMode="External" Id="rId14"/><Relationship Type="http://schemas.openxmlformats.org/officeDocument/2006/relationships/hyperlink" Target="https://kssst.kdor.ks.gov/lookup.cfm?CFID=839049&amp;CFTOKEN=89769083&amp;jsessionid=5e30907b287fb011cb10203a22416a287842" TargetMode="External" Id="rId15"/><Relationship Type="http://schemas.openxmlformats.org/officeDocument/2006/relationships/hyperlink" Target="https://kssst.kdor.ks.gov/lookup.cfm?CFID=839049&amp;CFTOKEN=89769083&amp;jsessionid=5e30907b287fb011cb10203a22416a287842" TargetMode="External" Id="rId16"/><Relationship Type="http://schemas.openxmlformats.org/officeDocument/2006/relationships/hyperlink" Target="https://kssst.kdor.ks.gov/lookup.cfm?CFID=839049&amp;CFTOKEN=89769083&amp;jsessionid=5e30907b287fb011cb10203a22416a287842" TargetMode="External" Id="rId17"/><Relationship Type="http://schemas.openxmlformats.org/officeDocument/2006/relationships/hyperlink" Target="https://kssst.kdor.ks.gov/lookup.cfm?CFID=839049&amp;CFTOKEN=89769083&amp;jsessionid=5e30907b287fb011cb10203a22416a287842" TargetMode="External" Id="rId18"/><Relationship Type="http://schemas.openxmlformats.org/officeDocument/2006/relationships/hyperlink" Target="https://kssst.kdor.ks.gov/lookup.cfm?CFID=839049&amp;CFTOKEN=89769083&amp;jsessionid=5e30907b287fb011cb10203a22416a287842" TargetMode="External" Id="rId19"/><Relationship Type="http://schemas.openxmlformats.org/officeDocument/2006/relationships/hyperlink" Target="https://kssst.kdor.ks.gov/lookup.cfm?CFID=839049&amp;CFTOKEN=89769083&amp;jsessionid=5e30907b287fb011cb10203a22416a287842" TargetMode="External" Id="rId20"/><Relationship Type="http://schemas.openxmlformats.org/officeDocument/2006/relationships/hyperlink" Target="https://kssst.kdor.ks.gov/lookup.cfm?CFID=839049&amp;CFTOKEN=89769083&amp;jsessionid=5e30907b287fb011cb10203a22416a287842" TargetMode="External" Id="rId21"/><Relationship Type="http://schemas.openxmlformats.org/officeDocument/2006/relationships/hyperlink" Target="https://kssst.kdor.ks.gov/lookup.cfm?CFID=839049&amp;CFTOKEN=89769083&amp;jsessionid=5e30907b287fb011cb10203a22416a287842" TargetMode="External" Id="rId22"/><Relationship Type="http://schemas.openxmlformats.org/officeDocument/2006/relationships/hyperlink" Target="https://kssst.kdor.ks.gov/lookup.cfm?CFID=839049&amp;CFTOKEN=89769083&amp;jsessionid=5e30907b287fb011cb10203a22416a287842" TargetMode="External" Id="rId23"/><Relationship Type="http://schemas.openxmlformats.org/officeDocument/2006/relationships/hyperlink" Target="https://kssst.kdor.ks.gov/lookup.cfm?CFID=839049&amp;CFTOKEN=89769083&amp;jsessionid=5e30907b287fb011cb10203a22416a287842" TargetMode="External" Id="rId24"/><Relationship Type="http://schemas.openxmlformats.org/officeDocument/2006/relationships/hyperlink" Target="https://kssst.kdor.ks.gov/lookup.cfm?CFID=839049&amp;CFTOKEN=89769083&amp;jsessionid=5e30907b287fb011cb10203a22416a287842" TargetMode="External" Id="rId25"/><Relationship Type="http://schemas.openxmlformats.org/officeDocument/2006/relationships/hyperlink" Target="https://kssst.kdor.ks.gov/lookup.cfm?CFID=839049&amp;CFTOKEN=89769083&amp;jsessionid=5e30907b287fb011cb10203a22416a287842" TargetMode="External" Id="rId26"/><Relationship Type="http://schemas.openxmlformats.org/officeDocument/2006/relationships/hyperlink" Target="https://kssst.kdor.ks.gov/lookup.cfm?CFID=839049&amp;CFTOKEN=89769083&amp;jsessionid=5e30907b287fb011cb10203a22416a287842" TargetMode="External" Id="rId27"/><Relationship Type="http://schemas.openxmlformats.org/officeDocument/2006/relationships/hyperlink" Target="https://kssst.kdor.ks.gov/lookup.cfm?CFID=839049&amp;CFTOKEN=89769083&amp;jsessionid=5e30907b287fb011cb10203a22416a287842" TargetMode="External" Id="rId28"/><Relationship Type="http://schemas.openxmlformats.org/officeDocument/2006/relationships/hyperlink" Target="https://kssst.kdor.ks.gov/lookup.cfm?CFID=839049&amp;CFTOKEN=89769083&amp;jsessionid=5e30907b287fb011cb10203a22416a287842" TargetMode="External" Id="rId29"/><Relationship Type="http://schemas.openxmlformats.org/officeDocument/2006/relationships/hyperlink" Target="https://kssst.kdor.ks.gov/lookup.cfm?CFID=839049&amp;CFTOKEN=89769083&amp;jsessionid=5e30907b287fb011cb10203a22416a287842" TargetMode="External" Id="rId30"/><Relationship Type="http://schemas.openxmlformats.org/officeDocument/2006/relationships/hyperlink" Target="https://kssst.kdor.ks.gov/lookup.cfm?CFID=839049&amp;CFTOKEN=89769083&amp;jsessionid=5e30907b287fb011cb10203a22416a287842" TargetMode="External" Id="rId31"/><Relationship Type="http://schemas.openxmlformats.org/officeDocument/2006/relationships/hyperlink" Target="https://kssst.kdor.ks.gov/lookup.cfm?CFID=839049&amp;CFTOKEN=89769083&amp;jsessionid=5e30907b287fb011cb10203a22416a287842" TargetMode="External" Id="rId32"/><Relationship Type="http://schemas.openxmlformats.org/officeDocument/2006/relationships/hyperlink" Target="https://kssst.kdor.ks.gov/lookup.cfm?CFID=839049&amp;CFTOKEN=89769083&amp;jsessionid=5e30907b287fb011cb10203a22416a287842" TargetMode="External" Id="rId33"/><Relationship Type="http://schemas.openxmlformats.org/officeDocument/2006/relationships/hyperlink" Target="https://kssst.kdor.ks.gov/lookup.cfm?CFID=839049&amp;CFTOKEN=89769083&amp;jsessionid=5e30907b287fb011cb10203a22416a287842" TargetMode="External" Id="rId34"/><Relationship Type="http://schemas.openxmlformats.org/officeDocument/2006/relationships/hyperlink" Target="https://kssst.kdor.ks.gov/lookup.cfm?CFID=839049&amp;CFTOKEN=89769083&amp;jsessionid=5e30907b287fb011cb10203a22416a287842" TargetMode="External" Id="rId35"/><Relationship Type="http://schemas.openxmlformats.org/officeDocument/2006/relationships/hyperlink" Target="https://kssst.kdor.ks.gov/lookup.cfm?CFID=839049&amp;CFTOKEN=89769083&amp;jsessionid=5e30907b287fb011cb10203a22416a287842" TargetMode="External" Id="rId36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hyperlink" Target="https://kssst.kdor.ks.gov/lookup.cfm?CFID=839049&amp;CFTOKEN=89769083&amp;jsessionid=5e30907b287fb011cb10203a22416a287842" TargetMode="Externa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M649"/>
  <sheetViews>
    <sheetView tabSelected="1" zoomScaleNormal="100" workbookViewId="0">
      <selection activeCell="B1" sqref="B1"/>
    </sheetView>
  </sheetViews>
  <sheetFormatPr baseColWidth="8" defaultColWidth="11.19921875" defaultRowHeight="15.6"/>
  <cols>
    <col width="19.796875" customWidth="1" min="1" max="1"/>
    <col width="13.796875" customWidth="1" min="2" max="2"/>
    <col width="13.296875" customWidth="1" min="3" max="3"/>
    <col width="14.296875" customWidth="1" min="4" max="4"/>
    <col width="16.796875" customWidth="1" min="5" max="5"/>
    <col width="17.796875" customWidth="1" min="6" max="6"/>
    <col width="18.19921875" customWidth="1" min="7" max="7"/>
    <col width="19.5" customWidth="1" min="8" max="9"/>
    <col width="14.19921875" bestFit="1" customWidth="1" min="10" max="10"/>
    <col width="19.296875" customWidth="1" min="11" max="11"/>
    <col width="14.796875" customWidth="1" min="12" max="12"/>
    <col width="13" customWidth="1" min="13" max="13"/>
    <col width="13.796875" customWidth="1" min="14" max="14"/>
    <col width="12.69921875" bestFit="1" customWidth="1" min="15" max="15"/>
    <col width="13.796875" customWidth="1" min="16" max="18"/>
    <col width="13.69921875" customWidth="1" min="19" max="19"/>
    <col width="13.796875" customWidth="1" min="20" max="20"/>
    <col width="9.19921875" customWidth="1" min="21" max="21"/>
    <col width="16.296875" customWidth="1" min="22" max="22"/>
    <col width="11" customWidth="1" min="23" max="23"/>
    <col width="13.69921875" customWidth="1" min="24" max="24"/>
    <col width="9.296875" customWidth="1" min="25" max="25"/>
    <col width="3.296875" customWidth="1" min="26" max="26"/>
    <col width="15.69921875" bestFit="1" customWidth="1" min="27" max="27"/>
    <col width="22.5" bestFit="1" customWidth="1" min="28" max="28"/>
    <col width="13" bestFit="1" customWidth="1" min="29" max="29"/>
    <col width="18.296875" customWidth="1" min="33" max="33"/>
    <col width="19.69921875" customWidth="1" min="35" max="35"/>
    <col width="21.69921875" bestFit="1" customWidth="1" min="37" max="37"/>
    <col width="14.69921875" customWidth="1" min="38" max="38"/>
    <col width="19" bestFit="1" customWidth="1" min="40" max="40"/>
    <col width="22.5" bestFit="1" customWidth="1" min="43" max="43"/>
    <col width="12.796875" customWidth="1" min="45" max="45"/>
    <col width="22.5" bestFit="1" customWidth="1" min="46" max="46"/>
    <col width="11.69921875" bestFit="1" customWidth="1" min="49" max="49"/>
    <col width="2.296875" customWidth="1" min="50" max="50"/>
    <col width="2.796875" customWidth="1" min="51" max="51"/>
    <col width="11.69921875" bestFit="1" customWidth="1" min="52" max="52"/>
    <col width="3" customWidth="1" min="53" max="53"/>
    <col width="3.296875" customWidth="1" min="54" max="54"/>
    <col width="11.69921875" bestFit="1" customWidth="1" min="55" max="55"/>
    <col width="2.19921875" customWidth="1" min="56" max="57"/>
    <col width="9" bestFit="1" customWidth="1" min="58" max="58"/>
    <col width="14.796875" bestFit="1" customWidth="1" min="59" max="59"/>
    <col width="9" bestFit="1" customWidth="1" min="60" max="60"/>
    <col width="2.796875" customWidth="1" min="61" max="61"/>
    <col width="12.5" bestFit="1" customWidth="1" min="62" max="62"/>
    <col width="7.69921875" bestFit="1" customWidth="1" min="63" max="63"/>
    <col width="3.296875" customWidth="1" min="64" max="64"/>
    <col width="13.69921875" bestFit="1" customWidth="1" min="65" max="65"/>
    <col width="9" bestFit="1" customWidth="1" min="66" max="66"/>
    <col width="3.296875" customWidth="1" min="67" max="67"/>
    <col width="15.69921875" bestFit="1" customWidth="1" min="68" max="68"/>
    <col width="21.69921875" bestFit="1" customWidth="1" min="79" max="79"/>
    <col width="19" bestFit="1" customWidth="1" min="82" max="82"/>
    <col width="22.5" bestFit="1" customWidth="1" min="85" max="85"/>
    <col width="22.5" bestFit="1" customWidth="1" min="88" max="88"/>
    <col width="11.69921875" bestFit="1" customWidth="1" min="91" max="91"/>
    <col width="2.296875" customWidth="1" min="92" max="92"/>
    <col width="2.796875" customWidth="1" min="93" max="93"/>
    <col width="11.69921875" bestFit="1" customWidth="1" min="94" max="94"/>
    <col width="3" customWidth="1" min="95" max="95"/>
    <col width="3.296875" customWidth="1" min="96" max="96"/>
    <col width="11.69921875" bestFit="1" customWidth="1" min="97" max="97"/>
    <col width="2.19921875" customWidth="1" min="98" max="99"/>
    <col width="9" bestFit="1" customWidth="1" min="100" max="100"/>
    <col width="14.796875" bestFit="1" customWidth="1" min="101" max="101"/>
    <col width="9" bestFit="1" customWidth="1" min="102" max="102"/>
    <col width="2.796875" customWidth="1" min="103" max="103"/>
    <col width="12.5" bestFit="1" customWidth="1" min="104" max="104"/>
    <col width="7.69921875" bestFit="1" customWidth="1" min="105" max="105"/>
    <col width="3.296875" customWidth="1" min="106" max="106"/>
    <col width="13.69921875" bestFit="1" customWidth="1" min="107" max="107"/>
    <col width="9" bestFit="1" customWidth="1" min="108" max="108"/>
    <col width="3.296875" customWidth="1" min="109" max="109"/>
    <col width="15.69921875" bestFit="1" customWidth="1" min="110" max="110"/>
  </cols>
  <sheetData>
    <row r="1" customFormat="1" s="585">
      <c r="A1" s="584" t="inlineStr">
        <is>
          <t>Project</t>
        </is>
      </c>
      <c r="G1" s="586" t="inlineStr">
        <is>
          <t>Bidding Contacts:</t>
        </is>
      </c>
      <c r="L1" s="1068" t="inlineStr">
        <is>
          <t>MVP  $ / SF Ranges: (08/2023)</t>
        </is>
      </c>
      <c r="M1" s="718" t="n"/>
    </row>
    <row r="2" customFormat="1" s="585">
      <c r="A2" s="584" t="inlineStr">
        <is>
          <t>Bid Date</t>
        </is>
      </c>
      <c r="B2" s="587" t="n"/>
      <c r="C2" s="587" t="n"/>
      <c r="D2" s="587" t="n"/>
      <c r="G2" s="588" t="n"/>
      <c r="L2" s="1927" t="n">
        <v>3</v>
      </c>
      <c r="M2" s="1070" t="inlineStr">
        <is>
          <t>Standard</t>
        </is>
      </c>
    </row>
    <row r="3" customFormat="1" s="585">
      <c r="A3" s="584" t="inlineStr">
        <is>
          <t>Address</t>
        </is>
      </c>
      <c r="F3" s="834" t="n"/>
      <c r="G3" s="588" t="n"/>
      <c r="H3" s="593" t="n"/>
      <c r="L3" s="1928" t="n">
        <v>3.25</v>
      </c>
      <c r="M3" s="590" t="inlineStr">
        <is>
          <t>&lt; 1,500 sf *</t>
        </is>
      </c>
      <c r="N3" s="590" t="inlineStr">
        <is>
          <t xml:space="preserve">  * use your </t>
        </is>
      </c>
    </row>
    <row r="4" customFormat="1" s="585">
      <c r="A4" s="1637" t="inlineStr">
        <is>
          <t>Local?</t>
        </is>
      </c>
      <c r="B4" s="585" t="inlineStr">
        <is>
          <t>Yes</t>
        </is>
      </c>
      <c r="C4" s="590" t="inlineStr">
        <is>
          <t>&lt; 70 miles?</t>
        </is>
      </c>
      <c r="D4" s="591" t="n"/>
      <c r="F4" s="834" t="n"/>
      <c r="G4" s="588" t="n"/>
      <c r="H4" s="593" t="n"/>
      <c r="I4" s="594" t="n"/>
      <c r="J4" s="594" t="n"/>
      <c r="K4" s="594" t="n"/>
      <c r="L4" s="1929" t="n">
        <v>2.75</v>
      </c>
      <c r="M4" s="1072" t="inlineStr">
        <is>
          <t>&gt; 10,000 sf *</t>
        </is>
      </c>
      <c r="N4" s="674" t="inlineStr">
        <is>
          <t xml:space="preserve">discretion </t>
        </is>
      </c>
      <c r="AK4" s="1930" t="n">
        <v>1000</v>
      </c>
      <c r="AL4" s="1930" t="n"/>
      <c r="AM4" s="1930" t="n"/>
      <c r="AN4" s="1930">
        <f>AK4</f>
        <v/>
      </c>
      <c r="AO4" s="1930" t="n"/>
      <c r="AP4" s="1930" t="n"/>
      <c r="AQ4" s="1930">
        <f>AK4+AN4</f>
        <v/>
      </c>
      <c r="AR4" s="1930" t="n"/>
      <c r="AS4" s="1930" t="n"/>
      <c r="AT4" s="1930">
        <f>AQ4</f>
        <v/>
      </c>
      <c r="AU4" s="596">
        <f>IF(AK4&lt;=#REF!,#REF!,IF(AK4&lt;=#REF!,#REF!,IF(AK4&lt;=#REF!,#REF!,IF(AK4&lt;=#REF!,#REF!,IF(AK4&lt;=#REF!,#REF!,IF(AK4&lt;=#REF!,#REF!,IF(AK4&lt;=#REF!,#REF!,0.05)))))))</f>
        <v/>
      </c>
      <c r="AV4" s="1930">
        <f>AU4*AK4</f>
        <v/>
      </c>
      <c r="AW4" s="596" t="n"/>
      <c r="AX4" s="596">
        <f>IF(AN4&lt;=#REF!,#REF!,IF(AN4&lt;=#REF!,#REF!,IF(AN4&lt;=#REF!,#REF!,IF(AN4&lt;=#REF!,#REF!,IF(AN4&lt;=#REF!,#REF!,IF(AN4&lt;=#REF!,#REF!,IF(AN4&lt;=#REF!,#REF!,0.05)))))))</f>
        <v/>
      </c>
      <c r="AY4" s="1930">
        <f>AX4*AN4</f>
        <v/>
      </c>
      <c r="AZ4" s="596" t="n"/>
      <c r="BA4" s="596">
        <f>IF(AQ4&lt;=#REF!,#REF!,IF(AQ4&lt;=#REF!,#REF!,IF(AQ4&lt;=#REF!,#REF!,IF(AQ4&lt;=#REF!,#REF!,IF(AQ4&lt;=#REF!,#REF!,IF(AQ4&lt;=#REF!,#REF!,IF(AQ4&lt;=#REF!,#REF!,0.05)))))))</f>
        <v/>
      </c>
      <c r="BB4" s="1930">
        <f>BA4*SUM(AY4,AV4,AQ4)</f>
        <v/>
      </c>
      <c r="BC4" s="596" t="n"/>
      <c r="BD4" s="1931">
        <f>IF(AT4&lt;=#REF!,#REF!,IF(AT4&lt;=#REF!,#REF!,IF(AT4&lt;=#REF!,#REF!,IF(AT4&lt;=#REF!,#REF!,IF(AT4&lt;=#REF!,#REF!,IF(AT4&lt;=#REF!,#REF!,IF(AT4&lt;=#REF!,#REF!,0.05)))))))</f>
        <v/>
      </c>
      <c r="BE4" s="1930">
        <f>BD4*AT4</f>
        <v/>
      </c>
      <c r="BG4" s="1932">
        <f>0.07*SUM(AQ4,AV4,AY4,BB4,BE4)</f>
        <v/>
      </c>
      <c r="BI4" s="1932">
        <f>SUM(BG4,BE4,BB4,AY4,AV4,AQ4)</f>
        <v/>
      </c>
      <c r="BJ4" s="1933">
        <f>SUM(BE4,BB4,AY4,AV4)</f>
        <v/>
      </c>
      <c r="BK4" s="596">
        <f>BJ4/BI4</f>
        <v/>
      </c>
      <c r="BN4" s="596" t="n">
        <v>0.1</v>
      </c>
      <c r="BO4" s="1930" t="n">
        <v>5000</v>
      </c>
      <c r="BQ4" s="596" t="n">
        <v>0.35</v>
      </c>
      <c r="BR4" s="1930" t="n">
        <v>2000</v>
      </c>
      <c r="BS4" s="1930" t="n"/>
      <c r="BT4" s="596" t="n">
        <v>0.28</v>
      </c>
      <c r="BU4" s="1930" t="n">
        <v>9000</v>
      </c>
      <c r="BW4" s="1931" t="n">
        <v>0</v>
      </c>
      <c r="BX4" s="1930" t="n">
        <v>9000</v>
      </c>
      <c r="CA4" s="1930" t="n">
        <v>1000</v>
      </c>
      <c r="CB4" s="1930" t="n"/>
      <c r="CC4" s="1930" t="n"/>
      <c r="CD4" s="1930">
        <f>CA4</f>
        <v/>
      </c>
      <c r="CE4" s="1930" t="n"/>
      <c r="CF4" s="1930" t="n"/>
      <c r="CG4" s="1930">
        <f>CA4+CD4</f>
        <v/>
      </c>
      <c r="CH4" s="1930" t="n"/>
      <c r="CI4" s="1930" t="n"/>
      <c r="CJ4" s="1930">
        <f>CG4</f>
        <v/>
      </c>
      <c r="CK4" s="596">
        <f>IF(CA4&lt;=BO$4,BN$4,IF(CA4&lt;=BO$5,BN$5,IF(CA4&lt;=BO$6,BN$6,IF(CA4&lt;=BO$7,BN$7,IF(CA4&lt;=BO$12,BN$12,IF(CA4&lt;=BO$13,BN$13,IF(CA4&lt;=BO$14,BN$14,0.05)))))))</f>
        <v/>
      </c>
      <c r="CL4" s="1930">
        <f>CK4*CA4</f>
        <v/>
      </c>
      <c r="CM4" s="596" t="n"/>
      <c r="CN4" s="596">
        <f>IF(CD4&lt;=BR$4,BQ$4,IF(CD4&lt;=BR$5,BQ$5,IF(CD4&lt;=BR$6,BQ$6,IF(CD4&lt;=BR$7,BQ$7,IF(CD4&lt;=BR$12,BQ$12,IF(CD4&lt;=BR$13,BQ$13,IF(CD4&lt;=BR$14,BQ$14,0.05)))))))</f>
        <v/>
      </c>
      <c r="CO4" s="1930">
        <f>CN4*CD4</f>
        <v/>
      </c>
      <c r="CP4" s="596" t="n"/>
      <c r="CQ4" s="596">
        <f>IF(CG4&lt;=BU$4,BT$4,IF(CG4&lt;=BU$5,BT$5,IF(CG4&lt;=BU$6,BT$6,IF(CG4&lt;=BU$7,BT$7,IF(CG4&lt;=BU$12,BT$12,IF(CG4&lt;=BU$13,BT$13,IF(CG4&lt;=BU$14,BT$14,0.05)))))))</f>
        <v/>
      </c>
      <c r="CR4" s="1930">
        <f>CQ4*SUM(CO4,CL4,CG4)</f>
        <v/>
      </c>
      <c r="CS4" s="596" t="n"/>
      <c r="CT4" s="1931">
        <f>IF(CJ4&lt;=BX$4,BW$4,IF(CJ4&lt;=BX$5,BW$5,IF(CJ4&lt;=BX$6,BW$6,IF(CJ4&lt;=BX$7,BW$7,IF(CJ4&lt;=BX$12,BW$12,IF(CJ4&lt;=BX$13,BW$13,IF(CJ4&lt;=BX$14,BW$14,0.05)))))))</f>
        <v/>
      </c>
      <c r="CU4" s="1930">
        <f>CT4*CJ4</f>
        <v/>
      </c>
      <c r="CW4" s="1932">
        <f>0.07*SUM(CG4,CL4,CO4,CR4,CU4)</f>
        <v/>
      </c>
      <c r="CY4" s="1932">
        <f>SUM(CW4,CU4,CR4,CO4,CL4,CG4)</f>
        <v/>
      </c>
      <c r="CZ4" s="1933">
        <f>SUM(CU4,CR4,CO4,CL4)</f>
        <v/>
      </c>
      <c r="DA4" s="596">
        <f>CZ4/CY4</f>
        <v/>
      </c>
    </row>
    <row r="5" customFormat="1" s="585">
      <c r="A5" s="589" t="inlineStr">
        <is>
          <t>Hard Bid?</t>
        </is>
      </c>
      <c r="B5" s="585" t="inlineStr">
        <is>
          <t>No</t>
        </is>
      </c>
      <c r="C5" s="1010" t="inlineStr">
        <is>
          <t>PrevailingWage?</t>
        </is>
      </c>
      <c r="D5" s="591" t="inlineStr">
        <is>
          <t>No</t>
        </is>
      </c>
      <c r="E5" s="1728" t="n"/>
      <c r="F5" s="593" t="n"/>
      <c r="G5" s="588" t="n"/>
      <c r="H5" s="593" t="n"/>
      <c r="I5" s="594" t="n"/>
      <c r="J5" s="594" t="n"/>
      <c r="K5" s="594" t="n"/>
      <c r="L5" s="594" t="n"/>
      <c r="M5" s="594" t="n"/>
      <c r="AK5" s="1930" t="n">
        <v>2000</v>
      </c>
      <c r="AL5" s="1930" t="n"/>
      <c r="AM5" s="1930" t="n"/>
      <c r="AN5" s="1930">
        <f>AK5</f>
        <v/>
      </c>
      <c r="AO5" s="1930" t="n"/>
      <c r="AP5" s="1930" t="n"/>
      <c r="AQ5" s="1930">
        <f>AK5+AN5</f>
        <v/>
      </c>
      <c r="AR5" s="1930" t="n"/>
      <c r="AS5" s="1930" t="n"/>
      <c r="AT5" s="1930">
        <f>AQ5</f>
        <v/>
      </c>
      <c r="AU5" s="596">
        <f>IF(AK5&lt;=#REF!,#REF!,IF(AK5&lt;=#REF!,#REF!,IF(AK5&lt;=#REF!,#REF!,IF(AK5&lt;=#REF!,#REF!,IF(AK5&lt;=#REF!,#REF!,IF(AK5&lt;=#REF!,#REF!,IF(AK5&lt;=#REF!,#REF!,0.05)))))))</f>
        <v/>
      </c>
      <c r="AV5" s="1930">
        <f>AU5*AK5</f>
        <v/>
      </c>
      <c r="AW5" s="596" t="n"/>
      <c r="AX5" s="596">
        <f>IF(AN5&lt;=#REF!,#REF!,IF(AN5&lt;=#REF!,#REF!,IF(AN5&lt;=#REF!,#REF!,IF(AN5&lt;=#REF!,#REF!,IF(AN5&lt;=#REF!,#REF!,IF(AN5&lt;=#REF!,#REF!,IF(AN5&lt;=#REF!,#REF!,0.05)))))))</f>
        <v/>
      </c>
      <c r="AY5" s="1930">
        <f>AX5*AN5</f>
        <v/>
      </c>
      <c r="AZ5" s="596" t="n"/>
      <c r="BA5" s="596">
        <f>IF(AQ5&lt;=#REF!,#REF!,IF(AQ5&lt;=#REF!,#REF!,IF(AQ5&lt;=#REF!,#REF!,IF(AQ5&lt;=#REF!,#REF!,IF(AQ5&lt;=#REF!,#REF!,IF(AQ5&lt;=#REF!,#REF!,IF(AQ5&lt;=#REF!,#REF!,0.05)))))))</f>
        <v/>
      </c>
      <c r="BB5" s="1930">
        <f>BA5*SUM(AY5,AV5,AQ5)</f>
        <v/>
      </c>
      <c r="BC5" s="596" t="n"/>
      <c r="BD5" s="1931">
        <f>IF(AT5&lt;=#REF!,#REF!,IF(AT5&lt;=#REF!,#REF!,IF(AT5&lt;=#REF!,#REF!,IF(AT5&lt;=#REF!,#REF!,IF(AT5&lt;=#REF!,#REF!,IF(AT5&lt;=#REF!,#REF!,IF(AT5&lt;=#REF!,#REF!,0.05)))))))</f>
        <v/>
      </c>
      <c r="BE5" s="1930">
        <f>BD5*AT5</f>
        <v/>
      </c>
      <c r="BG5" s="1932">
        <f>0.07*SUM(AQ5,AV5,AY5,BB5,BE5)</f>
        <v/>
      </c>
      <c r="BI5" s="1932">
        <f>SUM(BG5,BE5,BB5,AY5,AV5,AQ5)</f>
        <v/>
      </c>
      <c r="BJ5" s="1933">
        <f>SUM(BE5,BB5,AY5,AV5)</f>
        <v/>
      </c>
      <c r="BK5" s="596">
        <f>BJ5/BI5</f>
        <v/>
      </c>
      <c r="BN5" s="596" t="n">
        <v>0.05</v>
      </c>
      <c r="BO5" s="1930" t="n">
        <v>1000000000</v>
      </c>
      <c r="BQ5" s="596" t="n">
        <v>0.3</v>
      </c>
      <c r="BR5" s="1930" t="n">
        <v>3000</v>
      </c>
      <c r="BS5" s="1930" t="n"/>
      <c r="BT5" s="596" t="n">
        <v>0.24</v>
      </c>
      <c r="BU5" s="1930" t="n">
        <v>14000</v>
      </c>
      <c r="BW5" s="1931" t="n">
        <v>-0.04</v>
      </c>
      <c r="BX5" s="1930" t="n">
        <v>14000</v>
      </c>
      <c r="CA5" s="1930" t="n">
        <v>2000</v>
      </c>
      <c r="CB5" s="1930" t="n"/>
      <c r="CC5" s="1930" t="n"/>
      <c r="CD5" s="1930">
        <f>CA5</f>
        <v/>
      </c>
      <c r="CE5" s="1930" t="n"/>
      <c r="CF5" s="1930" t="n"/>
      <c r="CG5" s="1930">
        <f>CA5+CD5</f>
        <v/>
      </c>
      <c r="CH5" s="1930" t="n"/>
      <c r="CI5" s="1930" t="n"/>
      <c r="CJ5" s="1930">
        <f>CG5</f>
        <v/>
      </c>
      <c r="CK5" s="596">
        <f>IF(CA5&lt;=BO$4,BN$4,IF(CA5&lt;=BO$5,BN$5,IF(CA5&lt;=BO$6,BN$6,IF(CA5&lt;=BO$7,BN$7,IF(CA5&lt;=BO$12,BN$12,IF(CA5&lt;=BO$13,BN$13,IF(CA5&lt;=BO$14,BN$14,0.05)))))))</f>
        <v/>
      </c>
      <c r="CL5" s="1930">
        <f>CK5*CA5</f>
        <v/>
      </c>
      <c r="CM5" s="596" t="n"/>
      <c r="CN5" s="596">
        <f>IF(CD5&lt;=BR$4,BQ$4,IF(CD5&lt;=BR$5,BQ$5,IF(CD5&lt;=BR$6,BQ$6,IF(CD5&lt;=BR$7,BQ$7,IF(CD5&lt;=BR$12,BQ$12,IF(CD5&lt;=BR$13,BQ$13,IF(CD5&lt;=BR$14,BQ$14,0.05)))))))</f>
        <v/>
      </c>
      <c r="CO5" s="1930">
        <f>CN5*CD5</f>
        <v/>
      </c>
      <c r="CP5" s="596" t="n"/>
      <c r="CQ5" s="596">
        <f>IF(CG5&lt;=BU$4,BT$4,IF(CG5&lt;=BU$5,BT$5,IF(CG5&lt;=BU$6,BT$6,IF(CG5&lt;=BU$7,BT$7,IF(CG5&lt;=BU$12,BT$12,IF(CG5&lt;=BU$13,BT$13,IF(CG5&lt;=BU$14,BT$14,0.05)))))))</f>
        <v/>
      </c>
      <c r="CR5" s="1930">
        <f>CQ5*SUM(CO5,CL5,CG5)</f>
        <v/>
      </c>
      <c r="CS5" s="596" t="n"/>
      <c r="CT5" s="1931">
        <f>IF(CJ5&lt;=BX$4,BW$4,IF(CJ5&lt;=BX$5,BW$5,IF(CJ5&lt;=BX$6,BW$6,IF(CJ5&lt;=BX$7,BW$7,IF(CJ5&lt;=BX$12,BW$12,IF(CJ5&lt;=BX$13,BW$13,IF(CJ5&lt;=BX$14,BW$14,0.05)))))))</f>
        <v/>
      </c>
      <c r="CU5" s="1930">
        <f>CT5*CJ5</f>
        <v/>
      </c>
      <c r="CW5" s="1932">
        <f>0.07*SUM(CG5,CL5,CO5,CR5,CU5)</f>
        <v/>
      </c>
      <c r="CY5" s="1932">
        <f>SUM(CW5,CU5,CR5,CO5,CL5,CG5)</f>
        <v/>
      </c>
      <c r="CZ5" s="1933">
        <f>SUM(CU5,CR5,CO5,CL5)</f>
        <v/>
      </c>
      <c r="DA5" s="596">
        <f>CZ5/CY5</f>
        <v/>
      </c>
    </row>
    <row r="6" customFormat="1" s="585">
      <c r="A6" s="589" t="inlineStr">
        <is>
          <t>Taxable?</t>
        </is>
      </c>
      <c r="B6" s="585" t="inlineStr">
        <is>
          <t>Yes</t>
        </is>
      </c>
      <c r="C6" s="1539" t="inlineStr">
        <is>
          <t>Remodel Tax?</t>
        </is>
      </c>
      <c r="D6" s="591" t="inlineStr">
        <is>
          <t>No</t>
        </is>
      </c>
      <c r="E6" s="1728" t="n"/>
      <c r="F6" s="593" t="n"/>
      <c r="G6" s="588" t="n"/>
      <c r="H6" s="593" t="n"/>
      <c r="I6" s="594" t="n"/>
      <c r="J6" s="594" t="n"/>
      <c r="K6" s="594" t="n"/>
      <c r="L6" s="594" t="n"/>
      <c r="M6" s="594" t="n"/>
      <c r="AK6" s="1930" t="n">
        <v>3000</v>
      </c>
      <c r="AL6" s="1930" t="n"/>
      <c r="AM6" s="1930" t="n"/>
      <c r="AN6" s="1930">
        <f>AK6</f>
        <v/>
      </c>
      <c r="AO6" s="1930" t="n"/>
      <c r="AP6" s="1930" t="n"/>
      <c r="AQ6" s="1930">
        <f>AK6+AN6</f>
        <v/>
      </c>
      <c r="AR6" s="1930" t="n"/>
      <c r="AS6" s="1930" t="n"/>
      <c r="AT6" s="1930">
        <f>AQ6</f>
        <v/>
      </c>
      <c r="AU6" s="596">
        <f>IF(AK6&lt;=#REF!,#REF!,IF(AK6&lt;=#REF!,#REF!,IF(AK6&lt;=#REF!,#REF!,IF(AK6&lt;=#REF!,#REF!,IF(AK6&lt;=#REF!,#REF!,IF(AK6&lt;=#REF!,#REF!,IF(AK6&lt;=#REF!,#REF!,0.05)))))))</f>
        <v/>
      </c>
      <c r="AV6" s="1930">
        <f>AU6*AK6</f>
        <v/>
      </c>
      <c r="AW6" s="596" t="n"/>
      <c r="AX6" s="596">
        <f>IF(AN6&lt;=#REF!,#REF!,IF(AN6&lt;=#REF!,#REF!,IF(AN6&lt;=#REF!,#REF!,IF(AN6&lt;=#REF!,#REF!,IF(AN6&lt;=#REF!,#REF!,IF(AN6&lt;=#REF!,#REF!,IF(AN6&lt;=#REF!,#REF!,0.05)))))))</f>
        <v/>
      </c>
      <c r="AY6" s="1930">
        <f>AX6*AN6</f>
        <v/>
      </c>
      <c r="AZ6" s="596" t="n"/>
      <c r="BA6" s="596">
        <f>IF(AQ6&lt;=#REF!,#REF!,IF(AQ6&lt;=#REF!,#REF!,IF(AQ6&lt;=#REF!,#REF!,IF(AQ6&lt;=#REF!,#REF!,IF(AQ6&lt;=#REF!,#REF!,IF(AQ6&lt;=#REF!,#REF!,IF(AQ6&lt;=#REF!,#REF!,0.05)))))))</f>
        <v/>
      </c>
      <c r="BB6" s="1930">
        <f>BA6*SUM(AY6,AV6,AQ6)</f>
        <v/>
      </c>
      <c r="BC6" s="596" t="n"/>
      <c r="BD6" s="1931">
        <f>IF(AT6&lt;=#REF!,#REF!,IF(AT6&lt;=#REF!,#REF!,IF(AT6&lt;=#REF!,#REF!,IF(AT6&lt;=#REF!,#REF!,IF(AT6&lt;=#REF!,#REF!,IF(AT6&lt;=#REF!,#REF!,IF(AT6&lt;=#REF!,#REF!,0.05)))))))</f>
        <v/>
      </c>
      <c r="BE6" s="1930">
        <f>BD6*AT6</f>
        <v/>
      </c>
      <c r="BG6" s="1932">
        <f>0.07*SUM(AQ6,AV6,AY6,BB6,BE6)</f>
        <v/>
      </c>
      <c r="BI6" s="1932">
        <f>SUM(BG6,BE6,BB6,AY6,AV6,AQ6)</f>
        <v/>
      </c>
      <c r="BJ6" s="1933">
        <f>SUM(BE6,BB6,AY6,AV6)</f>
        <v/>
      </c>
      <c r="BK6" s="596">
        <f>BJ6/BI6</f>
        <v/>
      </c>
      <c r="BN6" s="596" t="n">
        <v>0.05</v>
      </c>
      <c r="BO6" s="1930" t="n">
        <v>1000000000</v>
      </c>
      <c r="BQ6" s="596" t="n">
        <v>0.2</v>
      </c>
      <c r="BR6" s="1930" t="n">
        <v>4000</v>
      </c>
      <c r="BS6" s="1930" t="n"/>
      <c r="BT6" s="596" t="n">
        <v>0.22</v>
      </c>
      <c r="BU6" s="1930" t="n">
        <v>19000</v>
      </c>
      <c r="BW6" s="1931" t="n">
        <v>-0.05</v>
      </c>
      <c r="BX6" s="1930" t="n">
        <v>19000</v>
      </c>
      <c r="CA6" s="1930" t="n">
        <v>3000</v>
      </c>
      <c r="CB6" s="1930" t="n"/>
      <c r="CC6" s="1930" t="n"/>
      <c r="CD6" s="1930">
        <f>CA6</f>
        <v/>
      </c>
      <c r="CE6" s="1930" t="n"/>
      <c r="CF6" s="1930" t="n"/>
      <c r="CG6" s="1930">
        <f>CA6+CD6</f>
        <v/>
      </c>
      <c r="CH6" s="1930" t="n"/>
      <c r="CI6" s="1930" t="n"/>
      <c r="CJ6" s="1930">
        <f>CG6</f>
        <v/>
      </c>
      <c r="CK6" s="596">
        <f>IF(CA6&lt;=BO$4,BN$4,IF(CA6&lt;=BO$5,BN$5,IF(CA6&lt;=BO$6,BN$6,IF(CA6&lt;=BO$7,BN$7,IF(CA6&lt;=BO$12,BN$12,IF(CA6&lt;=BO$13,BN$13,IF(CA6&lt;=BO$14,BN$14,0.05)))))))</f>
        <v/>
      </c>
      <c r="CL6" s="1930">
        <f>CK6*CA6</f>
        <v/>
      </c>
      <c r="CM6" s="596" t="n"/>
      <c r="CN6" s="596">
        <f>IF(CD6&lt;=BR$4,BQ$4,IF(CD6&lt;=BR$5,BQ$5,IF(CD6&lt;=BR$6,BQ$6,IF(CD6&lt;=BR$7,BQ$7,IF(CD6&lt;=BR$12,BQ$12,IF(CD6&lt;=BR$13,BQ$13,IF(CD6&lt;=BR$14,BQ$14,0.05)))))))</f>
        <v/>
      </c>
      <c r="CO6" s="1930">
        <f>CN6*CD6</f>
        <v/>
      </c>
      <c r="CP6" s="596" t="n"/>
      <c r="CQ6" s="596">
        <f>IF(CG6&lt;=BU$4,BT$4,IF(CG6&lt;=BU$5,BT$5,IF(CG6&lt;=BU$6,BT$6,IF(CG6&lt;=BU$7,BT$7,IF(CG6&lt;=BU$12,BT$12,IF(CG6&lt;=BU$13,BT$13,IF(CG6&lt;=BU$14,BT$14,0.05)))))))</f>
        <v/>
      </c>
      <c r="CR6" s="1930">
        <f>CQ6*SUM(CO6,CL6,CG6)</f>
        <v/>
      </c>
      <c r="CS6" s="596" t="n"/>
      <c r="CT6" s="1931">
        <f>IF(CJ6&lt;=BX$4,BW$4,IF(CJ6&lt;=BX$5,BW$5,IF(CJ6&lt;=BX$6,BW$6,IF(CJ6&lt;=BX$7,BW$7,IF(CJ6&lt;=BX$12,BW$12,IF(CJ6&lt;=BX$13,BW$13,IF(CJ6&lt;=BX$14,BW$14,0.05)))))))</f>
        <v/>
      </c>
      <c r="CU6" s="1930">
        <f>CT6*CJ6</f>
        <v/>
      </c>
      <c r="CW6" s="1932">
        <f>0.07*SUM(CG6,CL6,CO6,CR6,CU6)</f>
        <v/>
      </c>
      <c r="CY6" s="1932">
        <f>SUM(CW6,CU6,CR6,CO6,CL6,CG6)</f>
        <v/>
      </c>
      <c r="CZ6" s="1933">
        <f>SUM(CU6,CR6,CO6,CL6)</f>
        <v/>
      </c>
      <c r="DA6" s="596">
        <f>CZ6/CY6</f>
        <v/>
      </c>
    </row>
    <row r="7" customFormat="1" s="585">
      <c r="A7" s="589" t="inlineStr">
        <is>
          <t>Approx Start Date</t>
        </is>
      </c>
      <c r="B7" s="587" t="n"/>
      <c r="C7" s="591" t="n"/>
      <c r="D7" s="600" t="n"/>
      <c r="F7" s="593" t="n"/>
      <c r="G7" s="588" t="n"/>
      <c r="H7" s="593" t="n"/>
      <c r="I7" s="594" t="n"/>
      <c r="J7" s="594" t="n"/>
      <c r="K7" s="594" t="n"/>
      <c r="L7" s="594" t="n"/>
      <c r="M7" s="594" t="n"/>
      <c r="AK7" s="1930" t="n">
        <v>4000</v>
      </c>
      <c r="AL7" s="1930" t="n"/>
      <c r="AM7" s="1930" t="n"/>
      <c r="AN7" s="1930">
        <f>AK7</f>
        <v/>
      </c>
      <c r="AO7" s="1930" t="n"/>
      <c r="AP7" s="1930" t="n"/>
      <c r="AQ7" s="1930">
        <f>AK7+AN7</f>
        <v/>
      </c>
      <c r="AR7" s="1930" t="n"/>
      <c r="AS7" s="1930" t="n"/>
      <c r="AT7" s="1930">
        <f>AQ7</f>
        <v/>
      </c>
      <c r="AU7" s="596">
        <f>IF(AK7&lt;=#REF!,#REF!,IF(AK7&lt;=#REF!,#REF!,IF(AK7&lt;=#REF!,#REF!,IF(AK7&lt;=#REF!,#REF!,IF(AK7&lt;=#REF!,#REF!,IF(AK7&lt;=#REF!,#REF!,IF(AK7&lt;=#REF!,#REF!,0.05)))))))</f>
        <v/>
      </c>
      <c r="AV7" s="1930">
        <f>AU7*AK7</f>
        <v/>
      </c>
      <c r="AW7" s="596" t="n"/>
      <c r="AX7" s="596">
        <f>IF(AN7&lt;=#REF!,#REF!,IF(AN7&lt;=#REF!,#REF!,IF(AN7&lt;=#REF!,#REF!,IF(AN7&lt;=#REF!,#REF!,IF(AN7&lt;=#REF!,#REF!,IF(AN7&lt;=#REF!,#REF!,IF(AN7&lt;=#REF!,#REF!,0.05)))))))</f>
        <v/>
      </c>
      <c r="AY7" s="1930">
        <f>AX7*AN7</f>
        <v/>
      </c>
      <c r="AZ7" s="596" t="n"/>
      <c r="BA7" s="596">
        <f>IF(AQ7&lt;=#REF!,#REF!,IF(AQ7&lt;=#REF!,#REF!,IF(AQ7&lt;=#REF!,#REF!,IF(AQ7&lt;=#REF!,#REF!,IF(AQ7&lt;=#REF!,#REF!,IF(AQ7&lt;=#REF!,#REF!,IF(AQ7&lt;=#REF!,#REF!,0.05)))))))</f>
        <v/>
      </c>
      <c r="BB7" s="1930">
        <f>BA7*SUM(AY7,AV7,AQ7)</f>
        <v/>
      </c>
      <c r="BC7" s="596" t="n"/>
      <c r="BD7" s="1931">
        <f>IF(AT7&lt;=#REF!,#REF!,IF(AT7&lt;=#REF!,#REF!,IF(AT7&lt;=#REF!,#REF!,IF(AT7&lt;=#REF!,#REF!,IF(AT7&lt;=#REF!,#REF!,IF(AT7&lt;=#REF!,#REF!,IF(AT7&lt;=#REF!,#REF!,0.05)))))))</f>
        <v/>
      </c>
      <c r="BE7" s="1930">
        <f>BD7*AT7</f>
        <v/>
      </c>
      <c r="BG7" s="1932">
        <f>0.07*SUM(AQ7,AV7,AY7,BB7,BE7)</f>
        <v/>
      </c>
      <c r="BI7" s="1932">
        <f>SUM(BG7,BE7,BB7,AY7,AV7,AQ7)</f>
        <v/>
      </c>
      <c r="BJ7" s="1933">
        <f>SUM(BE7,BB7,AY7,AV7)</f>
        <v/>
      </c>
      <c r="BK7" s="596">
        <f>BJ7/BI7</f>
        <v/>
      </c>
      <c r="BN7" s="596" t="n">
        <v>0.05</v>
      </c>
      <c r="BO7" s="1930" t="n">
        <v>1000000000</v>
      </c>
      <c r="BQ7" s="596" t="n">
        <v>0.1</v>
      </c>
      <c r="BR7" s="1930" t="n">
        <v>7000</v>
      </c>
      <c r="BS7" s="1930" t="n"/>
      <c r="BT7" s="596" t="n">
        <v>0.2</v>
      </c>
      <c r="BU7" s="1930" t="n">
        <v>24000</v>
      </c>
      <c r="BW7" s="1931" t="n">
        <v>-0.05</v>
      </c>
      <c r="BX7" s="1930" t="n">
        <v>34000</v>
      </c>
      <c r="CA7" s="1930" t="n">
        <v>4000</v>
      </c>
      <c r="CB7" s="1930" t="n"/>
      <c r="CC7" s="1930" t="n"/>
      <c r="CD7" s="1930">
        <f>CA7</f>
        <v/>
      </c>
      <c r="CE7" s="1930" t="n"/>
      <c r="CF7" s="1930" t="n"/>
      <c r="CG7" s="1930">
        <f>CA7+CD7</f>
        <v/>
      </c>
      <c r="CH7" s="1930" t="n"/>
      <c r="CI7" s="1930" t="n"/>
      <c r="CJ7" s="1930">
        <f>CG7</f>
        <v/>
      </c>
      <c r="CK7" s="596">
        <f>IF(CA7&lt;=BO$4,BN$4,IF(CA7&lt;=BO$5,BN$5,IF(CA7&lt;=BO$6,BN$6,IF(CA7&lt;=BO$7,BN$7,IF(CA7&lt;=BO$12,BN$12,IF(CA7&lt;=BO$13,BN$13,IF(CA7&lt;=BO$14,BN$14,0.05)))))))</f>
        <v/>
      </c>
      <c r="CL7" s="1930">
        <f>CK7*CA7</f>
        <v/>
      </c>
      <c r="CM7" s="596" t="n"/>
      <c r="CN7" s="596">
        <f>IF(CD7&lt;=BR$4,BQ$4,IF(CD7&lt;=BR$5,BQ$5,IF(CD7&lt;=BR$6,BQ$6,IF(CD7&lt;=BR$7,BQ$7,IF(CD7&lt;=BR$12,BQ$12,IF(CD7&lt;=BR$13,BQ$13,IF(CD7&lt;=BR$14,BQ$14,0.05)))))))</f>
        <v/>
      </c>
      <c r="CO7" s="1930">
        <f>CN7*CD7</f>
        <v/>
      </c>
      <c r="CP7" s="596" t="n"/>
      <c r="CQ7" s="596">
        <f>IF(CG7&lt;=BU$4,BT$4,IF(CG7&lt;=BU$5,BT$5,IF(CG7&lt;=BU$6,BT$6,IF(CG7&lt;=BU$7,BT$7,IF(CG7&lt;=BU$12,BT$12,IF(CG7&lt;=BU$13,BT$13,IF(CG7&lt;=BU$14,BT$14,0.05)))))))</f>
        <v/>
      </c>
      <c r="CR7" s="1930">
        <f>CQ7*SUM(CO7,CL7,CG7)</f>
        <v/>
      </c>
      <c r="CS7" s="596" t="n"/>
      <c r="CT7" s="1931">
        <f>IF(CJ7&lt;=BX$4,BW$4,IF(CJ7&lt;=BX$5,BW$5,IF(CJ7&lt;=BX$6,BW$6,IF(CJ7&lt;=BX$7,BW$7,IF(CJ7&lt;=BX$12,BW$12,IF(CJ7&lt;=BX$13,BW$13,IF(CJ7&lt;=BX$14,BW$14,0.05)))))))</f>
        <v/>
      </c>
      <c r="CU7" s="1930">
        <f>CT7*CJ7</f>
        <v/>
      </c>
      <c r="CW7" s="1932">
        <f>0.07*SUM(CG7,CL7,CO7,CR7,CU7)</f>
        <v/>
      </c>
      <c r="CY7" s="1932">
        <f>SUM(CW7,CU7,CR7,CO7,CL7,CG7)</f>
        <v/>
      </c>
      <c r="CZ7" s="1933">
        <f>SUM(CU7,CR7,CO7,CL7)</f>
        <v/>
      </c>
      <c r="DA7" s="596">
        <f>CZ7/CY7</f>
        <v/>
      </c>
    </row>
    <row r="8" customFormat="1" s="585">
      <c r="A8" s="602" t="inlineStr">
        <is>
          <t>Architect</t>
        </is>
      </c>
      <c r="B8" s="603" t="n"/>
      <c r="C8" s="591" t="n"/>
      <c r="D8" s="600" t="n"/>
      <c r="E8" s="1469" t="n"/>
      <c r="F8" s="593" t="n"/>
      <c r="G8" s="588" t="n"/>
      <c r="H8" s="593" t="n"/>
      <c r="I8" s="594" t="n"/>
      <c r="J8" s="1934" t="n"/>
      <c r="K8" s="1934" t="n"/>
      <c r="L8" s="594" t="n"/>
      <c r="M8" s="594" t="n"/>
      <c r="AK8" s="1930" t="n"/>
      <c r="AL8" s="1930" t="n"/>
      <c r="AM8" s="1930" t="n"/>
      <c r="AN8" s="1930" t="n"/>
      <c r="AO8" s="1930" t="n"/>
      <c r="AP8" s="1930" t="n"/>
      <c r="AQ8" s="1930" t="n"/>
      <c r="AR8" s="1930" t="n"/>
      <c r="AS8" s="1930" t="n"/>
      <c r="AT8" s="1930" t="n"/>
      <c r="AU8" s="596" t="n"/>
      <c r="AV8" s="1930" t="n"/>
      <c r="AW8" s="596" t="n"/>
      <c r="AX8" s="596" t="n"/>
      <c r="AY8" s="1930" t="n"/>
      <c r="AZ8" s="596" t="n"/>
      <c r="BA8" s="596" t="n"/>
      <c r="BB8" s="1930" t="n"/>
      <c r="BC8" s="596" t="n"/>
      <c r="BD8" s="1931" t="n"/>
      <c r="BE8" s="1930" t="n"/>
      <c r="BG8" s="1932" t="n"/>
      <c r="BI8" s="1932" t="n"/>
      <c r="BJ8" s="1933" t="n"/>
      <c r="BK8" s="596" t="n"/>
      <c r="BN8" s="596" t="n"/>
      <c r="BO8" s="1930" t="n"/>
      <c r="BQ8" s="596" t="n"/>
      <c r="BR8" s="1930" t="n"/>
      <c r="BS8" s="1930" t="n"/>
      <c r="BT8" s="596" t="n"/>
      <c r="BU8" s="1930" t="n"/>
      <c r="BW8" s="1931" t="n"/>
      <c r="BX8" s="1930" t="n"/>
      <c r="CA8" s="1930" t="n"/>
      <c r="CB8" s="1930" t="n"/>
      <c r="CC8" s="1930" t="n"/>
      <c r="CD8" s="1930" t="n"/>
      <c r="CE8" s="1930" t="n"/>
      <c r="CF8" s="1930" t="n"/>
      <c r="CG8" s="1930" t="n"/>
      <c r="CH8" s="1930" t="n"/>
      <c r="CI8" s="1930" t="n"/>
      <c r="CJ8" s="1930" t="n"/>
      <c r="CK8" s="596" t="n"/>
      <c r="CL8" s="1930" t="n"/>
      <c r="CM8" s="596" t="n"/>
      <c r="CN8" s="596" t="n"/>
      <c r="CO8" s="1930" t="n"/>
      <c r="CP8" s="596" t="n"/>
      <c r="CQ8" s="596" t="n"/>
      <c r="CR8" s="1930" t="n"/>
      <c r="CS8" s="596" t="n"/>
      <c r="CT8" s="1931" t="n"/>
      <c r="CU8" s="1930" t="n"/>
      <c r="CW8" s="1932" t="n"/>
      <c r="CY8" s="1932" t="n"/>
      <c r="CZ8" s="1933" t="n"/>
      <c r="DA8" s="596" t="n"/>
    </row>
    <row r="9" customFormat="1" s="585">
      <c r="A9" s="602" t="inlineStr">
        <is>
          <t>Drawings Dated</t>
        </is>
      </c>
      <c r="B9" s="587" t="n"/>
      <c r="C9" s="591" t="n"/>
      <c r="D9" s="600" t="n"/>
      <c r="E9" s="601" t="n"/>
      <c r="F9" s="593" t="n"/>
      <c r="G9" s="588" t="n"/>
      <c r="H9" s="593" t="n"/>
      <c r="I9" s="1934" t="n"/>
      <c r="J9" s="1934" t="n"/>
      <c r="K9" s="1934" t="n"/>
      <c r="L9" s="1934" t="n"/>
      <c r="M9" s="1934" t="n"/>
      <c r="AK9" s="1930" t="n"/>
      <c r="AL9" s="1930" t="n"/>
      <c r="AM9" s="1930" t="n"/>
      <c r="AN9" s="1930" t="n"/>
      <c r="AO9" s="1930" t="n"/>
      <c r="AP9" s="1930" t="n"/>
      <c r="AQ9" s="1930" t="n"/>
      <c r="AR9" s="1930" t="n"/>
      <c r="AS9" s="1930" t="n"/>
      <c r="AT9" s="1930" t="n"/>
      <c r="AU9" s="596" t="n"/>
      <c r="AV9" s="1930" t="n"/>
      <c r="AW9" s="596" t="n"/>
      <c r="AX9" s="596" t="n"/>
      <c r="AY9" s="1930" t="n"/>
      <c r="AZ9" s="596" t="n"/>
      <c r="BA9" s="596" t="n"/>
      <c r="BB9" s="1930" t="n"/>
      <c r="BC9" s="596" t="n"/>
      <c r="BD9" s="1931" t="n"/>
      <c r="BE9" s="1930" t="n"/>
      <c r="BG9" s="1932" t="n"/>
      <c r="BI9" s="1932" t="n"/>
      <c r="BJ9" s="1933" t="n"/>
      <c r="BK9" s="596" t="n"/>
      <c r="BN9" s="596" t="n"/>
      <c r="BO9" s="1930" t="n"/>
      <c r="BQ9" s="596" t="n"/>
      <c r="BR9" s="1930" t="n"/>
      <c r="BS9" s="1930" t="n"/>
      <c r="BT9" s="596" t="n"/>
      <c r="BU9" s="1930" t="n"/>
      <c r="BW9" s="1931" t="n"/>
      <c r="BX9" s="1930" t="n"/>
      <c r="CA9" s="1930" t="n"/>
      <c r="CB9" s="1930" t="n"/>
      <c r="CC9" s="1930" t="n"/>
      <c r="CD9" s="1930" t="n"/>
      <c r="CE9" s="1930" t="n"/>
      <c r="CF9" s="1930" t="n"/>
      <c r="CG9" s="1930" t="n"/>
      <c r="CH9" s="1930" t="n"/>
      <c r="CI9" s="1930" t="n"/>
      <c r="CJ9" s="1930" t="n"/>
      <c r="CK9" s="596" t="n"/>
      <c r="CL9" s="1930" t="n"/>
      <c r="CM9" s="596" t="n"/>
      <c r="CN9" s="596" t="n"/>
      <c r="CO9" s="1930" t="n"/>
      <c r="CP9" s="596" t="n"/>
      <c r="CQ9" s="596" t="n"/>
      <c r="CR9" s="1930" t="n"/>
      <c r="CS9" s="596" t="n"/>
      <c r="CT9" s="1931" t="n"/>
      <c r="CU9" s="1930" t="n"/>
      <c r="CW9" s="1932" t="n"/>
      <c r="CY9" s="1932" t="n"/>
      <c r="CZ9" s="1933" t="n"/>
      <c r="DA9" s="596" t="n"/>
    </row>
    <row r="10" customFormat="1" s="585">
      <c r="A10" s="606" t="inlineStr">
        <is>
          <t>New / Reno:</t>
        </is>
      </c>
      <c r="B10" s="603" t="n"/>
      <c r="C10" s="591" t="n"/>
      <c r="D10" s="600" t="n"/>
      <c r="E10" s="601" t="n"/>
      <c r="F10" s="593" t="n"/>
      <c r="G10" s="1935" t="n"/>
      <c r="H10" s="593" t="n"/>
      <c r="I10" s="1934" t="n"/>
      <c r="J10" s="1934" t="n"/>
      <c r="K10" s="1934" t="n"/>
      <c r="L10" s="1934" t="n"/>
      <c r="M10" s="1934" t="n"/>
      <c r="AK10" s="1930" t="n"/>
      <c r="AL10" s="1930" t="n"/>
      <c r="AM10" s="1930" t="n"/>
      <c r="AN10" s="1930" t="n"/>
      <c r="AO10" s="1930" t="n"/>
      <c r="AP10" s="1930" t="n"/>
      <c r="AQ10" s="1930" t="n"/>
      <c r="AR10" s="1930" t="n"/>
      <c r="AS10" s="1930" t="n"/>
      <c r="AT10" s="1930" t="n"/>
      <c r="AU10" s="596" t="n"/>
      <c r="AV10" s="1930" t="n"/>
      <c r="AW10" s="596" t="n"/>
      <c r="AX10" s="596" t="n"/>
      <c r="AY10" s="1930" t="n"/>
      <c r="AZ10" s="596" t="n"/>
      <c r="BA10" s="596" t="n"/>
      <c r="BB10" s="1930" t="n"/>
      <c r="BC10" s="596" t="n"/>
      <c r="BD10" s="1931" t="n"/>
      <c r="BE10" s="1930" t="n"/>
      <c r="BG10" s="1932" t="n"/>
      <c r="BI10" s="1932" t="n"/>
      <c r="BJ10" s="1933" t="n"/>
      <c r="BK10" s="596" t="n"/>
      <c r="BN10" s="596" t="n"/>
      <c r="BO10" s="1930" t="n"/>
      <c r="BQ10" s="596" t="n"/>
      <c r="BR10" s="1930" t="n"/>
      <c r="BS10" s="1930" t="n"/>
      <c r="BT10" s="596" t="n"/>
      <c r="BU10" s="1930" t="n"/>
      <c r="BW10" s="1931" t="n"/>
      <c r="BX10" s="1930" t="n"/>
      <c r="CA10" s="1930" t="n"/>
      <c r="CB10" s="1930" t="n"/>
      <c r="CC10" s="1930" t="n"/>
      <c r="CD10" s="1930" t="n"/>
      <c r="CE10" s="1930" t="n"/>
      <c r="CF10" s="1930" t="n"/>
      <c r="CG10" s="1930" t="n"/>
      <c r="CH10" s="1930" t="n"/>
      <c r="CI10" s="1930" t="n"/>
      <c r="CJ10" s="1930" t="n"/>
      <c r="CK10" s="596" t="n"/>
      <c r="CL10" s="1930" t="n"/>
      <c r="CM10" s="596" t="n"/>
      <c r="CN10" s="596" t="n"/>
      <c r="CO10" s="1930" t="n"/>
      <c r="CP10" s="596" t="n"/>
      <c r="CQ10" s="596" t="n"/>
      <c r="CR10" s="1930" t="n"/>
      <c r="CS10" s="596" t="n"/>
      <c r="CT10" s="1931" t="n"/>
      <c r="CU10" s="1930" t="n"/>
      <c r="CW10" s="1932" t="n"/>
      <c r="CY10" s="1932" t="n"/>
      <c r="CZ10" s="1933" t="n"/>
      <c r="DA10" s="596" t="n"/>
    </row>
    <row r="11" customFormat="1" s="585">
      <c r="A11" s="1423" t="n"/>
      <c r="B11" s="603" t="n"/>
      <c r="C11" s="591" t="n"/>
      <c r="D11" s="600" t="n"/>
      <c r="E11" s="601" t="n"/>
      <c r="F11" s="593" t="n"/>
      <c r="G11" s="1935" t="n"/>
      <c r="H11" s="593" t="n"/>
      <c r="I11" s="1934" t="n"/>
      <c r="J11" s="1934" t="n"/>
      <c r="K11" s="1934" t="n"/>
      <c r="L11" s="1934" t="n"/>
      <c r="M11" s="1934" t="n"/>
      <c r="AK11" s="1930" t="n"/>
      <c r="AL11" s="1930" t="n"/>
      <c r="AM11" s="1930" t="n"/>
      <c r="AN11" s="1930" t="n"/>
      <c r="AO11" s="1930" t="n"/>
      <c r="AP11" s="1930" t="n"/>
      <c r="AQ11" s="1930" t="n"/>
      <c r="AR11" s="1930" t="n"/>
      <c r="AS11" s="1930" t="n"/>
      <c r="AT11" s="1930" t="n"/>
      <c r="AU11" s="596" t="n"/>
      <c r="AV11" s="1930" t="n"/>
      <c r="AW11" s="596" t="n"/>
      <c r="AX11" s="596" t="n"/>
      <c r="AY11" s="1930" t="n"/>
      <c r="AZ11" s="596" t="n"/>
      <c r="BA11" s="596" t="n"/>
      <c r="BB11" s="1930" t="n"/>
      <c r="BC11" s="596" t="n"/>
      <c r="BD11" s="1931" t="n"/>
      <c r="BE11" s="1930" t="n"/>
      <c r="BG11" s="1932" t="n"/>
      <c r="BI11" s="1932" t="n"/>
      <c r="BJ11" s="1933" t="n"/>
      <c r="BK11" s="596" t="n"/>
      <c r="BN11" s="596" t="n"/>
      <c r="BO11" s="1930" t="n"/>
      <c r="BQ11" s="596" t="n"/>
      <c r="BR11" s="1930" t="n"/>
      <c r="BS11" s="1930" t="n"/>
      <c r="BT11" s="596" t="n"/>
      <c r="BU11" s="1930" t="n"/>
      <c r="BW11" s="1931" t="n"/>
      <c r="BX11" s="1930" t="n"/>
      <c r="CA11" s="1930" t="n"/>
      <c r="CB11" s="1930" t="n"/>
      <c r="CC11" s="1930" t="n"/>
      <c r="CD11" s="1930" t="n"/>
      <c r="CE11" s="1930" t="n"/>
      <c r="CF11" s="1930" t="n"/>
      <c r="CG11" s="1930" t="n"/>
      <c r="CH11" s="1930" t="n"/>
      <c r="CI11" s="1930" t="n"/>
      <c r="CJ11" s="1930" t="n"/>
      <c r="CK11" s="596" t="n"/>
      <c r="CL11" s="1930" t="n"/>
      <c r="CM11" s="596" t="n"/>
      <c r="CN11" s="596" t="n"/>
      <c r="CO11" s="1930" t="n"/>
      <c r="CP11" s="596" t="n"/>
      <c r="CQ11" s="596" t="n"/>
      <c r="CR11" s="1930" t="n"/>
      <c r="CS11" s="596" t="n"/>
      <c r="CT11" s="1931" t="n"/>
      <c r="CU11" s="1930" t="n"/>
      <c r="CW11" s="1932" t="n"/>
      <c r="CY11" s="1932" t="n"/>
      <c r="CZ11" s="1933" t="n"/>
      <c r="DA11" s="596" t="n"/>
    </row>
    <row r="12" customFormat="1" s="585">
      <c r="A12" s="608" t="inlineStr">
        <is>
          <t>Floor System-    Epoxy:</t>
        </is>
      </c>
      <c r="B12" s="603" t="n"/>
      <c r="C12" s="591" t="n"/>
      <c r="D12" s="600" t="n"/>
      <c r="E12" s="601" t="n"/>
      <c r="F12" s="593" t="n"/>
      <c r="G12" s="1935" t="n"/>
      <c r="H12" s="593" t="n"/>
      <c r="I12" s="1934" t="n"/>
      <c r="J12" s="1934" t="n"/>
      <c r="K12" s="1934" t="n"/>
      <c r="L12" s="1934" t="n"/>
      <c r="M12" s="1934" t="n"/>
      <c r="AK12" s="1930" t="n">
        <v>5000</v>
      </c>
      <c r="AL12" s="1930" t="n"/>
      <c r="AM12" s="1930" t="n"/>
      <c r="AN12" s="1930">
        <f>AK12</f>
        <v/>
      </c>
      <c r="AO12" s="1930" t="n"/>
      <c r="AP12" s="1930" t="n"/>
      <c r="AQ12" s="1930">
        <f>AK12+AN12</f>
        <v/>
      </c>
      <c r="AR12" s="1930" t="n"/>
      <c r="AS12" s="1930" t="n"/>
      <c r="AT12" s="1930">
        <f>AQ12</f>
        <v/>
      </c>
      <c r="AU12" s="596">
        <f>IF(AK12&lt;=#REF!,#REF!,IF(AK12&lt;=#REF!,#REF!,IF(AK12&lt;=#REF!,#REF!,IF(AK12&lt;=#REF!,#REF!,IF(AK12&lt;=#REF!,#REF!,IF(AK12&lt;=#REF!,#REF!,IF(AK12&lt;=#REF!,#REF!,0.05)))))))</f>
        <v/>
      </c>
      <c r="AV12" s="1930">
        <f>AU12*AK12</f>
        <v/>
      </c>
      <c r="AW12" s="596" t="n"/>
      <c r="AX12" s="596">
        <f>IF(AN12&lt;=#REF!,#REF!,IF(AN12&lt;=#REF!,#REF!,IF(AN12&lt;=#REF!,#REF!,IF(AN12&lt;=#REF!,#REF!,IF(AN12&lt;=#REF!,#REF!,IF(AN12&lt;=#REF!,#REF!,IF(AN12&lt;=#REF!,#REF!,0.05)))))))</f>
        <v/>
      </c>
      <c r="AY12" s="1930">
        <f>AX12*AN12</f>
        <v/>
      </c>
      <c r="AZ12" s="596" t="n"/>
      <c r="BA12" s="596">
        <f>IF(AQ12&lt;=#REF!,#REF!,IF(AQ12&lt;=#REF!,#REF!,IF(AQ12&lt;=#REF!,#REF!,IF(AQ12&lt;=#REF!,#REF!,IF(AQ12&lt;=#REF!,#REF!,IF(AQ12&lt;=#REF!,#REF!,IF(AQ12&lt;=#REF!,#REF!,0.05)))))))</f>
        <v/>
      </c>
      <c r="BB12" s="1930">
        <f>BA12*SUM(AY12,AV12,AQ12)</f>
        <v/>
      </c>
      <c r="BC12" s="596" t="n"/>
      <c r="BD12" s="1931">
        <f>IF(AT12&lt;=#REF!,#REF!,IF(AT12&lt;=#REF!,#REF!,IF(AT12&lt;=#REF!,#REF!,IF(AT12&lt;=#REF!,#REF!,IF(AT12&lt;=#REF!,#REF!,IF(AT12&lt;=#REF!,#REF!,IF(AT12&lt;=#REF!,#REF!,0.05)))))))</f>
        <v/>
      </c>
      <c r="BE12" s="1930">
        <f>BD12*AT12</f>
        <v/>
      </c>
      <c r="BG12" s="1932">
        <f>0.07*SUM(AQ12,AV12,AY12,BB12,BE12)</f>
        <v/>
      </c>
      <c r="BI12" s="1932">
        <f>SUM(BG12,BE12,BB12,AY12,AV12,AQ12)</f>
        <v/>
      </c>
      <c r="BJ12" s="1933">
        <f>SUM(BE12,BB12,AY12,AV12)</f>
        <v/>
      </c>
      <c r="BK12" s="596">
        <f>BJ12/BI12</f>
        <v/>
      </c>
      <c r="BN12" s="596" t="n">
        <v>0.05</v>
      </c>
      <c r="BO12" s="1930" t="n">
        <v>1000000000</v>
      </c>
      <c r="BQ12" s="596" t="n">
        <v>0.05</v>
      </c>
      <c r="BR12" s="1930" t="n">
        <v>10000</v>
      </c>
      <c r="BS12" s="1930" t="n"/>
      <c r="BT12" s="596" t="n">
        <v>0.18</v>
      </c>
      <c r="BU12" s="1930" t="n">
        <v>1000000000</v>
      </c>
      <c r="BW12" s="1931" t="n">
        <v>-0.055</v>
      </c>
      <c r="BX12" s="1930" t="n">
        <v>44000</v>
      </c>
      <c r="CA12" s="1930" t="n">
        <v>5000</v>
      </c>
      <c r="CB12" s="1930" t="n"/>
      <c r="CC12" s="1930" t="n"/>
      <c r="CD12" s="1930">
        <f>CA12</f>
        <v/>
      </c>
      <c r="CE12" s="1930" t="n"/>
      <c r="CF12" s="1930" t="n"/>
      <c r="CG12" s="1930">
        <f>CA12+CD12</f>
        <v/>
      </c>
      <c r="CH12" s="1930" t="n"/>
      <c r="CI12" s="1930" t="n"/>
      <c r="CJ12" s="1930">
        <f>CG12</f>
        <v/>
      </c>
      <c r="CK12" s="596">
        <f>IF(CA12&lt;=BO$4,BN$4,IF(CA12&lt;=BO$5,BN$5,IF(CA12&lt;=BO$6,BN$6,IF(CA12&lt;=BO$7,BN$7,IF(CA12&lt;=BO$12,BN$12,IF(CA12&lt;=BO$13,BN$13,IF(CA12&lt;=BO$14,BN$14,0.05)))))))</f>
        <v/>
      </c>
      <c r="CL12" s="1930">
        <f>CK12*CA12</f>
        <v/>
      </c>
      <c r="CM12" s="596" t="n"/>
      <c r="CN12" s="596">
        <f>IF(CD12&lt;=BR$4,BQ$4,IF(CD12&lt;=BR$5,BQ$5,IF(CD12&lt;=BR$6,BQ$6,IF(CD12&lt;=BR$7,BQ$7,IF(CD12&lt;=BR$12,BQ$12,IF(CD12&lt;=BR$13,BQ$13,IF(CD12&lt;=BR$14,BQ$14,0.05)))))))</f>
        <v/>
      </c>
      <c r="CO12" s="1930">
        <f>CN12*CD12</f>
        <v/>
      </c>
      <c r="CP12" s="596" t="n"/>
      <c r="CQ12" s="596">
        <f>IF(CG12&lt;=BU$4,BT$4,IF(CG12&lt;=BU$5,BT$5,IF(CG12&lt;=BU$6,BT$6,IF(CG12&lt;=BU$7,BT$7,IF(CG12&lt;=BU$12,BT$12,IF(CG12&lt;=BU$13,BT$13,IF(CG12&lt;=BU$14,BT$14,0.05)))))))</f>
        <v/>
      </c>
      <c r="CR12" s="1930">
        <f>CQ12*SUM(CO12,CL12,CG12)</f>
        <v/>
      </c>
      <c r="CS12" s="596" t="n"/>
      <c r="CT12" s="1931">
        <f>IF(CJ12&lt;=BX$4,BW$4,IF(CJ12&lt;=BX$5,BW$5,IF(CJ12&lt;=BX$6,BW$6,IF(CJ12&lt;=BX$7,BW$7,IF(CJ12&lt;=BX$12,BW$12,IF(CJ12&lt;=BX$13,BW$13,IF(CJ12&lt;=BX$14,BW$14,0.05)))))))</f>
        <v/>
      </c>
      <c r="CU12" s="1930">
        <f>CT12*CJ12</f>
        <v/>
      </c>
      <c r="CW12" s="1932">
        <f>0.07*SUM(CG12,CL12,CO12,CR12,CU12)</f>
        <v/>
      </c>
      <c r="CY12" s="1932">
        <f>SUM(CW12,CU12,CR12,CO12,CL12,CG12)</f>
        <v/>
      </c>
      <c r="CZ12" s="1933">
        <f>SUM(CU12,CR12,CO12,CL12)</f>
        <v/>
      </c>
      <c r="DA12" s="596">
        <f>CZ12/CY12</f>
        <v/>
      </c>
    </row>
    <row r="13" customFormat="1" s="585">
      <c r="A13" s="608" t="inlineStr">
        <is>
          <t>Cove:</t>
        </is>
      </c>
      <c r="B13" s="603" t="n"/>
      <c r="C13" s="591" t="n"/>
      <c r="D13" s="591" t="n"/>
      <c r="E13" s="609" t="n"/>
      <c r="F13" s="593" t="n"/>
      <c r="G13" s="1935" t="n"/>
      <c r="H13" s="593" t="n"/>
      <c r="I13" s="1934" t="n"/>
      <c r="J13" s="1934" t="n"/>
      <c r="K13" s="1934" t="n"/>
      <c r="L13" s="1934" t="n"/>
      <c r="M13" s="1934" t="n"/>
      <c r="AK13" s="1930" t="n">
        <v>6000</v>
      </c>
      <c r="AL13" s="1930" t="n"/>
      <c r="AM13" s="1930" t="n"/>
      <c r="AN13" s="1930">
        <f>AK13</f>
        <v/>
      </c>
      <c r="AO13" s="1930" t="n"/>
      <c r="AP13" s="1930" t="n"/>
      <c r="AQ13" s="1930">
        <f>AK13+AN13</f>
        <v/>
      </c>
      <c r="AR13" s="1930" t="n"/>
      <c r="AS13" s="1930" t="n"/>
      <c r="AT13" s="1930">
        <f>AQ13</f>
        <v/>
      </c>
      <c r="AU13" s="596">
        <f>IF(AK13&lt;=#REF!,#REF!,IF(AK13&lt;=#REF!,#REF!,IF(AK13&lt;=#REF!,#REF!,IF(AK13&lt;=#REF!,#REF!,IF(AK13&lt;=#REF!,#REF!,IF(AK13&lt;=#REF!,#REF!,IF(AK13&lt;=#REF!,#REF!,0.05)))))))</f>
        <v/>
      </c>
      <c r="AV13" s="1930">
        <f>AU13*AK13</f>
        <v/>
      </c>
      <c r="AW13" s="596" t="n"/>
      <c r="AX13" s="596">
        <f>IF(AN13&lt;=#REF!,#REF!,IF(AN13&lt;=#REF!,#REF!,IF(AN13&lt;=#REF!,#REF!,IF(AN13&lt;=#REF!,#REF!,IF(AN13&lt;=#REF!,#REF!,IF(AN13&lt;=#REF!,#REF!,IF(AN13&lt;=#REF!,#REF!,0.05)))))))</f>
        <v/>
      </c>
      <c r="AY13" s="1930">
        <f>AX13*AN13</f>
        <v/>
      </c>
      <c r="AZ13" s="596" t="n"/>
      <c r="BA13" s="596">
        <f>IF(AQ13&lt;=#REF!,#REF!,IF(AQ13&lt;=#REF!,#REF!,IF(AQ13&lt;=#REF!,#REF!,IF(AQ13&lt;=#REF!,#REF!,IF(AQ13&lt;=#REF!,#REF!,IF(AQ13&lt;=#REF!,#REF!,IF(AQ13&lt;=#REF!,#REF!,0.05)))))))</f>
        <v/>
      </c>
      <c r="BB13" s="1930">
        <f>BA13*SUM(AY13,AV13,AQ13)</f>
        <v/>
      </c>
      <c r="BC13" s="596" t="n"/>
      <c r="BD13" s="1931">
        <f>IF(AT13&lt;=#REF!,#REF!,IF(AT13&lt;=#REF!,#REF!,IF(AT13&lt;=#REF!,#REF!,IF(AT13&lt;=#REF!,#REF!,IF(AT13&lt;=#REF!,#REF!,IF(AT13&lt;=#REF!,#REF!,IF(AT13&lt;=#REF!,#REF!,0.05)))))))</f>
        <v/>
      </c>
      <c r="BE13" s="1930">
        <f>BD13*AT13</f>
        <v/>
      </c>
      <c r="BG13" s="1932">
        <f>0.07*SUM(AQ13,AV13,AY13,BB13,BE13)</f>
        <v/>
      </c>
      <c r="BI13" s="1932">
        <f>SUM(BG13,BE13,BB13,AY13,AV13,AQ13)</f>
        <v/>
      </c>
      <c r="BJ13" s="1933">
        <f>SUM(BE13,BB13,AY13,AV13)</f>
        <v/>
      </c>
      <c r="BK13" s="596">
        <f>BJ13/BI13</f>
        <v/>
      </c>
      <c r="BN13" s="596" t="n">
        <v>0.05</v>
      </c>
      <c r="BO13" s="1930" t="n">
        <v>1000000000</v>
      </c>
      <c r="BQ13" s="596" t="n">
        <v>0.03</v>
      </c>
      <c r="BR13" s="1930" t="n">
        <v>1000000000</v>
      </c>
      <c r="BS13" s="1930" t="n"/>
      <c r="BT13" s="596" t="n">
        <v>0.18</v>
      </c>
      <c r="BU13" s="1930" t="n">
        <v>1000000000</v>
      </c>
      <c r="BW13" s="1931" t="n">
        <v>-0.06</v>
      </c>
      <c r="BX13" s="1930" t="n">
        <v>1000000000</v>
      </c>
      <c r="CA13" s="1930" t="n">
        <v>6000</v>
      </c>
      <c r="CB13" s="1930" t="n"/>
      <c r="CC13" s="1930" t="n"/>
      <c r="CD13" s="1930">
        <f>CA13</f>
        <v/>
      </c>
      <c r="CE13" s="1930" t="n"/>
      <c r="CF13" s="1930" t="n"/>
      <c r="CG13" s="1930">
        <f>CA13+CD13</f>
        <v/>
      </c>
      <c r="CH13" s="1930" t="n"/>
      <c r="CI13" s="1930" t="n"/>
      <c r="CJ13" s="1930">
        <f>CG13</f>
        <v/>
      </c>
      <c r="CK13" s="596">
        <f>IF(CA13&lt;=BO$4,BN$4,IF(CA13&lt;=BO$5,BN$5,IF(CA13&lt;=BO$6,BN$6,IF(CA13&lt;=BO$7,BN$7,IF(CA13&lt;=BO$12,BN$12,IF(CA13&lt;=BO$13,BN$13,IF(CA13&lt;=BO$14,BN$14,0.05)))))))</f>
        <v/>
      </c>
      <c r="CL13" s="1930">
        <f>CK13*CA13</f>
        <v/>
      </c>
      <c r="CM13" s="596" t="n"/>
      <c r="CN13" s="596">
        <f>IF(CD13&lt;=BR$4,BQ$4,IF(CD13&lt;=BR$5,BQ$5,IF(CD13&lt;=BR$6,BQ$6,IF(CD13&lt;=BR$7,BQ$7,IF(CD13&lt;=BR$12,BQ$12,IF(CD13&lt;=BR$13,BQ$13,IF(CD13&lt;=BR$14,BQ$14,0.05)))))))</f>
        <v/>
      </c>
      <c r="CO13" s="1930">
        <f>CN13*CD13</f>
        <v/>
      </c>
      <c r="CP13" s="596" t="n"/>
      <c r="CQ13" s="596">
        <f>IF(CG13&lt;=BU$4,BT$4,IF(CG13&lt;=BU$5,BT$5,IF(CG13&lt;=BU$6,BT$6,IF(CG13&lt;=BU$7,BT$7,IF(CG13&lt;=BU$12,BT$12,IF(CG13&lt;=BU$13,BT$13,IF(CG13&lt;=BU$14,BT$14,0.05)))))))</f>
        <v/>
      </c>
      <c r="CR13" s="1930">
        <f>CQ13*SUM(CO13,CL13,CG13)</f>
        <v/>
      </c>
      <c r="CS13" s="596" t="n"/>
      <c r="CT13" s="1931">
        <f>IF(CJ13&lt;=BX$4,BW$4,IF(CJ13&lt;=BX$5,BW$5,IF(CJ13&lt;=BX$6,BW$6,IF(CJ13&lt;=BX$7,BW$7,IF(CJ13&lt;=BX$12,BW$12,IF(CJ13&lt;=BX$13,BW$13,IF(CJ13&lt;=BX$14,BW$14,0.05)))))))</f>
        <v/>
      </c>
      <c r="CU13" s="1930">
        <f>CT13*CJ13</f>
        <v/>
      </c>
      <c r="CW13" s="1932">
        <f>0.07*SUM(CG13,CL13,CO13,CR13,CU13)</f>
        <v/>
      </c>
      <c r="CY13" s="1932">
        <f>SUM(CW13,CU13,CR13,CO13,CL13,CG13)</f>
        <v/>
      </c>
      <c r="CZ13" s="1933">
        <f>SUM(CU13,CR13,CO13,CL13)</f>
        <v/>
      </c>
      <c r="DA13" s="596">
        <f>CZ13/CY13</f>
        <v/>
      </c>
    </row>
    <row r="14" customFormat="1" s="585">
      <c r="A14" s="608" t="inlineStr">
        <is>
          <t>? - Walls:</t>
        </is>
      </c>
      <c r="B14" s="600" t="n"/>
      <c r="C14" s="591" t="n"/>
      <c r="D14" s="600" t="n"/>
      <c r="E14" s="609" t="n"/>
      <c r="F14" s="593" t="n"/>
      <c r="G14" s="1935" t="n"/>
      <c r="H14" s="593" t="n"/>
      <c r="I14" s="1934" t="n"/>
      <c r="J14" s="1934" t="n"/>
      <c r="K14" s="1934" t="n"/>
      <c r="L14" s="1934" t="n"/>
      <c r="M14" s="1934" t="n"/>
      <c r="AK14" s="1930" t="n">
        <v>7000</v>
      </c>
      <c r="AL14" s="1930" t="n"/>
      <c r="AM14" s="1930" t="n"/>
      <c r="AN14" s="1930">
        <f>AK14</f>
        <v/>
      </c>
      <c r="AO14" s="1930" t="n"/>
      <c r="AP14" s="1930" t="n"/>
      <c r="AQ14" s="1930">
        <f>AK14+AN14</f>
        <v/>
      </c>
      <c r="AR14" s="1930" t="n"/>
      <c r="AS14" s="1930" t="n"/>
      <c r="AT14" s="1930">
        <f>AQ14</f>
        <v/>
      </c>
      <c r="AU14" s="596">
        <f>IF(AK14&lt;=#REF!,#REF!,IF(AK14&lt;=#REF!,#REF!,IF(AK14&lt;=#REF!,#REF!,IF(AK14&lt;=#REF!,#REF!,IF(AK14&lt;=#REF!,#REF!,IF(AK14&lt;=#REF!,#REF!,IF(AK14&lt;=#REF!,#REF!,0.05)))))))</f>
        <v/>
      </c>
      <c r="AV14" s="1930">
        <f>AU14*AK14</f>
        <v/>
      </c>
      <c r="AW14" s="596" t="n"/>
      <c r="AX14" s="596">
        <f>IF(AN14&lt;=#REF!,#REF!,IF(AN14&lt;=#REF!,#REF!,IF(AN14&lt;=#REF!,#REF!,IF(AN14&lt;=#REF!,#REF!,IF(AN14&lt;=#REF!,#REF!,IF(AN14&lt;=#REF!,#REF!,IF(AN14&lt;=#REF!,#REF!,0.05)))))))</f>
        <v/>
      </c>
      <c r="AY14" s="1930">
        <f>AX14*AN14</f>
        <v/>
      </c>
      <c r="AZ14" s="596" t="n"/>
      <c r="BA14" s="596">
        <f>IF(AQ14&lt;=#REF!,#REF!,IF(AQ14&lt;=#REF!,#REF!,IF(AQ14&lt;=#REF!,#REF!,IF(AQ14&lt;=#REF!,#REF!,IF(AQ14&lt;=#REF!,#REF!,IF(AQ14&lt;=#REF!,#REF!,IF(AQ14&lt;=#REF!,#REF!,0.05)))))))</f>
        <v/>
      </c>
      <c r="BB14" s="1930">
        <f>BA14*SUM(AY14,AV14,AQ14)</f>
        <v/>
      </c>
      <c r="BC14" s="596" t="n"/>
      <c r="BD14" s="1931">
        <f>IF(AT14&lt;=#REF!,#REF!,IF(AT14&lt;=#REF!,#REF!,IF(AT14&lt;=#REF!,#REF!,IF(AT14&lt;=#REF!,#REF!,IF(AT14&lt;=#REF!,#REF!,IF(AT14&lt;=#REF!,#REF!,IF(AT14&lt;=#REF!,#REF!,0.05)))))))</f>
        <v/>
      </c>
      <c r="BE14" s="1930">
        <f>BD14*AT14</f>
        <v/>
      </c>
      <c r="BG14" s="1932">
        <f>0.07*SUM(AQ14,AV14,AY14,BB14,BE14)</f>
        <v/>
      </c>
      <c r="BI14" s="1932">
        <f>SUM(BG14,BE14,BB14,AY14,AV14,AQ14)</f>
        <v/>
      </c>
      <c r="BJ14" s="1933">
        <f>SUM(BE14,BB14,AY14,AV14)</f>
        <v/>
      </c>
      <c r="BK14" s="596">
        <f>BJ14/BI14</f>
        <v/>
      </c>
      <c r="BN14" s="596" t="n">
        <v>0.05</v>
      </c>
      <c r="BO14" s="1930" t="n">
        <v>1000000000</v>
      </c>
      <c r="BQ14" s="596" t="n">
        <v>0.03</v>
      </c>
      <c r="BR14" s="1930" t="n">
        <v>1000000000</v>
      </c>
      <c r="BS14" s="1930" t="n"/>
      <c r="BT14" s="596" t="n">
        <v>0.18</v>
      </c>
      <c r="BU14" s="1930" t="n">
        <v>1000000000</v>
      </c>
      <c r="BW14" s="1931" t="n">
        <v>0</v>
      </c>
      <c r="BX14" s="1930" t="n">
        <v>1000000000</v>
      </c>
      <c r="CA14" s="1930" t="n">
        <v>7000</v>
      </c>
      <c r="CB14" s="1930" t="n"/>
      <c r="CC14" s="1930" t="n"/>
      <c r="CD14" s="1930">
        <f>CA14</f>
        <v/>
      </c>
      <c r="CE14" s="1930" t="n"/>
      <c r="CF14" s="1930" t="n"/>
      <c r="CG14" s="1930">
        <f>CA14+CD14</f>
        <v/>
      </c>
      <c r="CH14" s="1930" t="n"/>
      <c r="CI14" s="1930" t="n"/>
      <c r="CJ14" s="1930">
        <f>CG14</f>
        <v/>
      </c>
      <c r="CK14" s="596">
        <f>IF(CA14&lt;=BO$4,BN$4,IF(CA14&lt;=BO$5,BN$5,IF(CA14&lt;=BO$6,BN$6,IF(CA14&lt;=BO$7,BN$7,IF(CA14&lt;=BO$12,BN$12,IF(CA14&lt;=BO$13,BN$13,IF(CA14&lt;=BO$14,BN$14,0.05)))))))</f>
        <v/>
      </c>
      <c r="CL14" s="1930">
        <f>CK14*CA14</f>
        <v/>
      </c>
      <c r="CM14" s="596" t="n"/>
      <c r="CN14" s="596">
        <f>IF(CD14&lt;=BR$4,BQ$4,IF(CD14&lt;=BR$5,BQ$5,IF(CD14&lt;=BR$6,BQ$6,IF(CD14&lt;=BR$7,BQ$7,IF(CD14&lt;=BR$12,BQ$12,IF(CD14&lt;=BR$13,BQ$13,IF(CD14&lt;=BR$14,BQ$14,0.05)))))))</f>
        <v/>
      </c>
      <c r="CO14" s="1930">
        <f>CN14*CD14</f>
        <v/>
      </c>
      <c r="CP14" s="596" t="n"/>
      <c r="CQ14" s="596">
        <f>IF(CG14&lt;=BU$4,BT$4,IF(CG14&lt;=BU$5,BT$5,IF(CG14&lt;=BU$6,BT$6,IF(CG14&lt;=BU$7,BT$7,IF(CG14&lt;=BU$12,BT$12,IF(CG14&lt;=BU$13,BT$13,IF(CG14&lt;=BU$14,BT$14,0.05)))))))</f>
        <v/>
      </c>
      <c r="CR14" s="1930">
        <f>CQ14*SUM(CO14,CL14,CG14)</f>
        <v/>
      </c>
      <c r="CS14" s="596" t="n"/>
      <c r="CT14" s="1931">
        <f>IF(CJ14&lt;=BX$4,BW$4,IF(CJ14&lt;=BX$5,BW$5,IF(CJ14&lt;=BX$6,BW$6,IF(CJ14&lt;=BX$7,BW$7,IF(CJ14&lt;=BX$12,BW$12,IF(CJ14&lt;=BX$13,BW$13,IF(CJ14&lt;=BX$14,BW$14,0.05)))))))</f>
        <v/>
      </c>
      <c r="CU14" s="1930">
        <f>CT14*CJ14</f>
        <v/>
      </c>
      <c r="CW14" s="1932">
        <f>0.07*SUM(CG14,CL14,CO14,CR14,CU14)</f>
        <v/>
      </c>
      <c r="CY14" s="1932">
        <f>SUM(CW14,CU14,CR14,CO14,CL14,CG14)</f>
        <v/>
      </c>
      <c r="CZ14" s="1933">
        <f>SUM(CU14,CR14,CO14,CL14)</f>
        <v/>
      </c>
      <c r="DA14" s="596">
        <f>CZ14/CY14</f>
        <v/>
      </c>
    </row>
    <row r="15" ht="16.2" customFormat="1" customHeight="1" s="585" thickBot="1">
      <c r="A15" s="608" t="n"/>
      <c r="B15" s="600" t="n"/>
      <c r="C15" s="591" t="n"/>
      <c r="D15" s="600" t="n"/>
      <c r="E15" s="609" t="n"/>
      <c r="F15" s="593" t="n"/>
      <c r="G15" s="1935" t="n"/>
      <c r="H15" s="593" t="n"/>
      <c r="I15" s="1936" t="n"/>
      <c r="J15" s="1934" t="n"/>
      <c r="K15" s="1934" t="n"/>
      <c r="L15" s="1937" t="n"/>
      <c r="M15" s="1937" t="n"/>
      <c r="AK15" s="1930" t="n">
        <v>8000</v>
      </c>
      <c r="AL15" s="1930" t="n"/>
      <c r="AM15" s="1930" t="n"/>
      <c r="AN15" s="1930">
        <f>AK15</f>
        <v/>
      </c>
      <c r="AO15" s="1930" t="n"/>
      <c r="AP15" s="1930" t="n"/>
      <c r="AQ15" s="1930">
        <f>AK15+AN15</f>
        <v/>
      </c>
      <c r="AR15" s="1930" t="n"/>
      <c r="AS15" s="1930" t="n"/>
      <c r="AT15" s="1930">
        <f>AQ15</f>
        <v/>
      </c>
      <c r="AU15" s="596">
        <f>IF(AK15&lt;=#REF!,#REF!,IF(AK15&lt;=#REF!,#REF!,IF(AK15&lt;=#REF!,#REF!,IF(AK15&lt;=#REF!,#REF!,IF(AK15&lt;=#REF!,#REF!,IF(AK15&lt;=#REF!,#REF!,IF(AK15&lt;=#REF!,#REF!,0.05)))))))</f>
        <v/>
      </c>
      <c r="AV15" s="1930">
        <f>AU15*AK15</f>
        <v/>
      </c>
      <c r="AW15" s="596" t="n"/>
      <c r="AX15" s="596">
        <f>IF(AN15&lt;=#REF!,#REF!,IF(AN15&lt;=#REF!,#REF!,IF(AN15&lt;=#REF!,#REF!,IF(AN15&lt;=#REF!,#REF!,IF(AN15&lt;=#REF!,#REF!,IF(AN15&lt;=#REF!,#REF!,IF(AN15&lt;=#REF!,#REF!,0.05)))))))</f>
        <v/>
      </c>
      <c r="AY15" s="1930">
        <f>AX15*AN15</f>
        <v/>
      </c>
      <c r="AZ15" s="596" t="n"/>
      <c r="BA15" s="596">
        <f>IF(AQ15&lt;=#REF!,#REF!,IF(AQ15&lt;=#REF!,#REF!,IF(AQ15&lt;=#REF!,#REF!,IF(AQ15&lt;=#REF!,#REF!,IF(AQ15&lt;=#REF!,#REF!,IF(AQ15&lt;=#REF!,#REF!,IF(AQ15&lt;=#REF!,#REF!,0.05)))))))</f>
        <v/>
      </c>
      <c r="BB15" s="1930">
        <f>BA15*SUM(AY15,AV15,AQ15)</f>
        <v/>
      </c>
      <c r="BC15" s="596" t="n"/>
      <c r="BD15" s="1931">
        <f>IF(AT15&lt;=#REF!,#REF!,IF(AT15&lt;=#REF!,#REF!,IF(AT15&lt;=#REF!,#REF!,IF(AT15&lt;=#REF!,#REF!,IF(AT15&lt;=#REF!,#REF!,IF(AT15&lt;=#REF!,#REF!,IF(AT15&lt;=#REF!,#REF!,0.05)))))))</f>
        <v/>
      </c>
      <c r="BE15" s="1930">
        <f>BD15*AT15</f>
        <v/>
      </c>
      <c r="BG15" s="1932">
        <f>0.07*SUM(AQ15,AV15,AY15,BB15,BE15)</f>
        <v/>
      </c>
      <c r="BI15" s="1932">
        <f>SUM(BG15,BE15,BB15,AY15,AV15,AQ15)</f>
        <v/>
      </c>
      <c r="BJ15" s="1933">
        <f>SUM(BE15,BB15,AY15,AV15)</f>
        <v/>
      </c>
      <c r="BK15" s="596">
        <f>BJ15/BI15</f>
        <v/>
      </c>
      <c r="CA15" s="1930" t="n">
        <v>8000</v>
      </c>
      <c r="CB15" s="1930" t="n"/>
      <c r="CC15" s="1930" t="n"/>
      <c r="CD15" s="1930">
        <f>CA15</f>
        <v/>
      </c>
      <c r="CE15" s="1930" t="n"/>
      <c r="CF15" s="1930" t="n"/>
      <c r="CG15" s="1930">
        <f>CA15+CD15</f>
        <v/>
      </c>
      <c r="CH15" s="1930" t="n"/>
      <c r="CI15" s="1930" t="n"/>
      <c r="CJ15" s="1930">
        <f>CG15</f>
        <v/>
      </c>
      <c r="CK15" s="596">
        <f>IF(CA15&lt;=BO$4,BN$4,IF(CA15&lt;=BO$5,BN$5,IF(CA15&lt;=BO$6,BN$6,IF(CA15&lt;=BO$7,BN$7,IF(CA15&lt;=BO$12,BN$12,IF(CA15&lt;=BO$13,BN$13,IF(CA15&lt;=BO$14,BN$14,0.05)))))))</f>
        <v/>
      </c>
      <c r="CL15" s="1930">
        <f>CK15*CA15</f>
        <v/>
      </c>
      <c r="CM15" s="596" t="n"/>
      <c r="CN15" s="596">
        <f>IF(CD15&lt;=BR$4,BQ$4,IF(CD15&lt;=BR$5,BQ$5,IF(CD15&lt;=BR$6,BQ$6,IF(CD15&lt;=BR$7,BQ$7,IF(CD15&lt;=BR$12,BQ$12,IF(CD15&lt;=BR$13,BQ$13,IF(CD15&lt;=BR$14,BQ$14,0.05)))))))</f>
        <v/>
      </c>
      <c r="CO15" s="1930">
        <f>CN15*CD15</f>
        <v/>
      </c>
      <c r="CP15" s="596" t="n"/>
      <c r="CQ15" s="596">
        <f>IF(CG15&lt;=BU$4,BT$4,IF(CG15&lt;=BU$5,BT$5,IF(CG15&lt;=BU$6,BT$6,IF(CG15&lt;=BU$7,BT$7,IF(CG15&lt;=BU$12,BT$12,IF(CG15&lt;=BU$13,BT$13,IF(CG15&lt;=BU$14,BT$14,0.05)))))))</f>
        <v/>
      </c>
      <c r="CR15" s="1930">
        <f>CQ15*SUM(CO15,CL15,CG15)</f>
        <v/>
      </c>
      <c r="CS15" s="596" t="n"/>
      <c r="CT15" s="1931">
        <f>IF(CJ15&lt;=BX$4,BW$4,IF(CJ15&lt;=BX$5,BW$5,IF(CJ15&lt;=BX$6,BW$6,IF(CJ15&lt;=BX$7,BW$7,IF(CJ15&lt;=BX$12,BW$12,IF(CJ15&lt;=BX$13,BW$13,IF(CJ15&lt;=BX$14,BW$14,0.05)))))))</f>
        <v/>
      </c>
      <c r="CU15" s="1930">
        <f>CT15*CJ15</f>
        <v/>
      </c>
      <c r="CW15" s="1932">
        <f>0.07*SUM(CG15,CL15,CO15,CR15,CU15)</f>
        <v/>
      </c>
      <c r="CY15" s="1932">
        <f>SUM(CW15,CU15,CR15,CO15,CL15,CG15)</f>
        <v/>
      </c>
      <c r="CZ15" s="1933">
        <f>SUM(CU15,CR15,CO15,CL15)</f>
        <v/>
      </c>
      <c r="DA15" s="596">
        <f>CZ15/CY15</f>
        <v/>
      </c>
    </row>
    <row r="16" ht="16.2" customFormat="1" customHeight="1" s="585" thickBot="1">
      <c r="A16" s="612" t="inlineStr">
        <is>
          <t>Total Base Bid:</t>
        </is>
      </c>
      <c r="B16" s="1938">
        <f>D88</f>
        <v/>
      </c>
      <c r="C16" s="614" t="inlineStr">
        <is>
          <t>$ / SF:</t>
        </is>
      </c>
      <c r="D16" s="1939">
        <f>C88</f>
        <v/>
      </c>
      <c r="E16" s="593" t="n"/>
      <c r="F16" s="593" t="n"/>
      <c r="G16" s="1935" t="n"/>
      <c r="H16" s="593" t="n"/>
      <c r="I16" s="1936" t="n"/>
      <c r="J16" s="1934" t="n"/>
      <c r="K16" s="1934" t="n"/>
      <c r="M16" s="1936" t="n"/>
      <c r="N16" s="600" t="n"/>
      <c r="O16" s="600" t="n"/>
      <c r="P16" s="600" t="n"/>
      <c r="AK16" s="1930" t="n">
        <v>9000</v>
      </c>
      <c r="AL16" s="1930" t="n"/>
      <c r="AM16" s="1930" t="n"/>
      <c r="AN16" s="1930">
        <f>AK16</f>
        <v/>
      </c>
      <c r="AO16" s="1930" t="n"/>
      <c r="AP16" s="1930" t="n"/>
      <c r="AQ16" s="1930">
        <f>AK16+AN16</f>
        <v/>
      </c>
      <c r="AR16" s="1930" t="n"/>
      <c r="AS16" s="1930" t="n"/>
      <c r="AT16" s="1930">
        <f>AQ16</f>
        <v/>
      </c>
      <c r="AU16" s="596">
        <f>IF(AK16&lt;=#REF!,#REF!,IF(AK16&lt;=#REF!,#REF!,IF(AK16&lt;=#REF!,#REF!,IF(AK16&lt;=#REF!,#REF!,IF(AK16&lt;=#REF!,#REF!,IF(AK16&lt;=#REF!,#REF!,IF(AK16&lt;=#REF!,#REF!,0.05)))))))</f>
        <v/>
      </c>
      <c r="AV16" s="1930">
        <f>AU16*AK16</f>
        <v/>
      </c>
      <c r="AW16" s="596" t="n"/>
      <c r="AX16" s="596">
        <f>IF(AN16&lt;=#REF!,#REF!,IF(AN16&lt;=#REF!,#REF!,IF(AN16&lt;=#REF!,#REF!,IF(AN16&lt;=#REF!,#REF!,IF(AN16&lt;=#REF!,#REF!,IF(AN16&lt;=#REF!,#REF!,IF(AN16&lt;=#REF!,#REF!,0.05)))))))</f>
        <v/>
      </c>
      <c r="AY16" s="1930">
        <f>AX16*AN16</f>
        <v/>
      </c>
      <c r="AZ16" s="596" t="n"/>
      <c r="BA16" s="596">
        <f>IF(AQ16&lt;=#REF!,#REF!,IF(AQ16&lt;=#REF!,#REF!,IF(AQ16&lt;=#REF!,#REF!,IF(AQ16&lt;=#REF!,#REF!,IF(AQ16&lt;=#REF!,#REF!,IF(AQ16&lt;=#REF!,#REF!,IF(AQ16&lt;=#REF!,#REF!,0.05)))))))</f>
        <v/>
      </c>
      <c r="BB16" s="1930">
        <f>BA16*SUM(AY16,AV16,AQ16)</f>
        <v/>
      </c>
      <c r="BC16" s="596" t="n"/>
      <c r="BD16" s="1931">
        <f>IF(AT16&lt;=#REF!,#REF!,IF(AT16&lt;=#REF!,#REF!,IF(AT16&lt;=#REF!,#REF!,IF(AT16&lt;=#REF!,#REF!,IF(AT16&lt;=#REF!,#REF!,IF(AT16&lt;=#REF!,#REF!,IF(AT16&lt;=#REF!,#REF!,0.05)))))))</f>
        <v/>
      </c>
      <c r="BE16" s="1930">
        <f>BD16*AT16</f>
        <v/>
      </c>
      <c r="BG16" s="1932">
        <f>0.07*SUM(AQ16,AV16,AY16,BB16,BE16)</f>
        <v/>
      </c>
      <c r="BI16" s="1932">
        <f>SUM(BG16,BE16,BB16,AY16,AV16,AQ16)</f>
        <v/>
      </c>
      <c r="BJ16" s="1933">
        <f>SUM(BE16,BB16,AY16,AV16)</f>
        <v/>
      </c>
      <c r="BK16" s="596">
        <f>BJ16/BI16</f>
        <v/>
      </c>
      <c r="CA16" s="1930" t="n">
        <v>9000</v>
      </c>
      <c r="CB16" s="1930" t="n"/>
      <c r="CC16" s="1930" t="n"/>
      <c r="CD16" s="1930">
        <f>CA16</f>
        <v/>
      </c>
      <c r="CE16" s="1930" t="n"/>
      <c r="CF16" s="1930" t="n"/>
      <c r="CG16" s="1930">
        <f>CA16+CD16</f>
        <v/>
      </c>
      <c r="CH16" s="1930" t="n"/>
      <c r="CI16" s="1930" t="n"/>
      <c r="CJ16" s="1930">
        <f>CG16</f>
        <v/>
      </c>
      <c r="CK16" s="596">
        <f>IF(CA16&lt;=BO$4,BN$4,IF(CA16&lt;=BO$5,BN$5,IF(CA16&lt;=BO$6,BN$6,IF(CA16&lt;=BO$7,BN$7,IF(CA16&lt;=BO$12,BN$12,IF(CA16&lt;=BO$13,BN$13,IF(CA16&lt;=BO$14,BN$14,0.05)))))))</f>
        <v/>
      </c>
      <c r="CL16" s="1930">
        <f>CK16*CA16</f>
        <v/>
      </c>
      <c r="CM16" s="596" t="n"/>
      <c r="CN16" s="596">
        <f>IF(CD16&lt;=BR$4,BQ$4,IF(CD16&lt;=BR$5,BQ$5,IF(CD16&lt;=BR$6,BQ$6,IF(CD16&lt;=BR$7,BQ$7,IF(CD16&lt;=BR$12,BQ$12,IF(CD16&lt;=BR$13,BQ$13,IF(CD16&lt;=BR$14,BQ$14,0.05)))))))</f>
        <v/>
      </c>
      <c r="CO16" s="1930">
        <f>CN16*CD16</f>
        <v/>
      </c>
      <c r="CP16" s="596" t="n"/>
      <c r="CQ16" s="596">
        <f>IF(CG16&lt;=BU$4,BT$4,IF(CG16&lt;=BU$5,BT$5,IF(CG16&lt;=BU$6,BT$6,IF(CG16&lt;=BU$7,BT$7,IF(CG16&lt;=BU$12,BT$12,IF(CG16&lt;=BU$13,BT$13,IF(CG16&lt;=BU$14,BT$14,0.05)))))))</f>
        <v/>
      </c>
      <c r="CR16" s="1930">
        <f>CQ16*SUM(CO16,CL16,CG16)</f>
        <v/>
      </c>
      <c r="CS16" s="596" t="n"/>
      <c r="CT16" s="1931">
        <f>IF(CJ16&lt;=BX$4,BW$4,IF(CJ16&lt;=BX$5,BW$5,IF(CJ16&lt;=BX$6,BW$6,IF(CJ16&lt;=BX$7,BW$7,IF(CJ16&lt;=BX$12,BW$12,IF(CJ16&lt;=BX$13,BW$13,IF(CJ16&lt;=BX$14,BW$14,0.05)))))))</f>
        <v/>
      </c>
      <c r="CU16" s="1930">
        <f>CT16*CJ16</f>
        <v/>
      </c>
      <c r="CW16" s="1932">
        <f>0.07*SUM(CG16,CL16,CO16,CR16,CU16)</f>
        <v/>
      </c>
      <c r="CY16" s="1932">
        <f>SUM(CW16,CU16,CR16,CO16,CL16,CG16)</f>
        <v/>
      </c>
      <c r="CZ16" s="1933">
        <f>SUM(CU16,CR16,CO16,CL16)</f>
        <v/>
      </c>
      <c r="DA16" s="596">
        <f>CZ16/CY16</f>
        <v/>
      </c>
    </row>
    <row r="17" customFormat="1" s="585">
      <c r="A17" s="616" t="inlineStr">
        <is>
          <t>MATERIAL - Patch</t>
        </is>
      </c>
      <c r="B17" s="617" t="inlineStr">
        <is>
          <t>Quantity</t>
        </is>
      </c>
      <c r="C17" s="617" t="inlineStr">
        <is>
          <t>Cost</t>
        </is>
      </c>
      <c r="D17" s="618" t="inlineStr">
        <is>
          <t>Total</t>
        </is>
      </c>
      <c r="E17" s="600" t="n"/>
      <c r="F17" s="1729" t="n"/>
      <c r="G17" s="593" t="n"/>
      <c r="H17" s="621" t="inlineStr">
        <is>
          <t>Standard  Add's</t>
        </is>
      </c>
      <c r="I17" s="622" t="inlineStr">
        <is>
          <t>Cost / Unit</t>
        </is>
      </c>
      <c r="J17" s="622" t="inlineStr">
        <is>
          <t>SF -or- LF</t>
        </is>
      </c>
      <c r="K17" s="1940" t="inlineStr">
        <is>
          <t xml:space="preserve">Total </t>
        </is>
      </c>
      <c r="Q17" s="590" t="n"/>
      <c r="AK17" s="1930" t="n">
        <v>10000</v>
      </c>
      <c r="AL17" s="1930" t="n"/>
      <c r="AM17" s="1930" t="n"/>
      <c r="AN17" s="1930">
        <f>AK17</f>
        <v/>
      </c>
      <c r="AO17" s="1930" t="n"/>
      <c r="AP17" s="1930" t="n"/>
      <c r="AQ17" s="1930">
        <f>AK17+AN17</f>
        <v/>
      </c>
      <c r="AR17" s="1930" t="n"/>
      <c r="AS17" s="1930" t="n"/>
      <c r="AT17" s="1930">
        <f>AQ17</f>
        <v/>
      </c>
      <c r="AU17" s="596">
        <f>IF(AK17&lt;=#REF!,#REF!,IF(AK17&lt;=#REF!,#REF!,IF(AK17&lt;=#REF!,#REF!,IF(AK17&lt;=#REF!,#REF!,IF(AK17&lt;=#REF!,#REF!,IF(AK17&lt;=#REF!,#REF!,IF(AK17&lt;=#REF!,#REF!,0.05)))))))</f>
        <v/>
      </c>
      <c r="AV17" s="1930">
        <f>AU17*AK17</f>
        <v/>
      </c>
      <c r="AW17" s="596" t="n"/>
      <c r="AX17" s="596">
        <f>IF(AN17&lt;=#REF!,#REF!,IF(AN17&lt;=#REF!,#REF!,IF(AN17&lt;=#REF!,#REF!,IF(AN17&lt;=#REF!,#REF!,IF(AN17&lt;=#REF!,#REF!,IF(AN17&lt;=#REF!,#REF!,IF(AN17&lt;=#REF!,#REF!,0.05)))))))</f>
        <v/>
      </c>
      <c r="AY17" s="1930">
        <f>AX17*AN17</f>
        <v/>
      </c>
      <c r="AZ17" s="596" t="n"/>
      <c r="BA17" s="596">
        <f>IF(AQ17&lt;=#REF!,#REF!,IF(AQ17&lt;=#REF!,#REF!,IF(AQ17&lt;=#REF!,#REF!,IF(AQ17&lt;=#REF!,#REF!,IF(AQ17&lt;=#REF!,#REF!,IF(AQ17&lt;=#REF!,#REF!,IF(AQ17&lt;=#REF!,#REF!,0.05)))))))</f>
        <v/>
      </c>
      <c r="BB17" s="1930">
        <f>BA17*SUM(AY17,AV17,AQ17)</f>
        <v/>
      </c>
      <c r="BC17" s="596" t="n"/>
      <c r="BD17" s="1931">
        <f>IF(AT17&lt;=#REF!,#REF!,IF(AT17&lt;=#REF!,#REF!,IF(AT17&lt;=#REF!,#REF!,IF(AT17&lt;=#REF!,#REF!,IF(AT17&lt;=#REF!,#REF!,IF(AT17&lt;=#REF!,#REF!,IF(AT17&lt;=#REF!,#REF!,0.05)))))))</f>
        <v/>
      </c>
      <c r="BE17" s="1930">
        <f>BD17*AT17</f>
        <v/>
      </c>
      <c r="BG17" s="1932">
        <f>0.07*SUM(AQ17,AV17,AY17,BB17,BE17)</f>
        <v/>
      </c>
      <c r="BI17" s="1932">
        <f>SUM(BG17,BE17,BB17,AY17,AV17,AQ17)</f>
        <v/>
      </c>
      <c r="BJ17" s="1933">
        <f>SUM(BE17,BB17,AY17,AV17)</f>
        <v/>
      </c>
      <c r="BK17" s="596">
        <f>BJ17/BI17</f>
        <v/>
      </c>
      <c r="CA17" s="1930" t="n">
        <v>10000</v>
      </c>
      <c r="CB17" s="1930" t="n"/>
      <c r="CC17" s="1930" t="n"/>
      <c r="CD17" s="1930">
        <f>CA17</f>
        <v/>
      </c>
      <c r="CE17" s="1930" t="n"/>
      <c r="CF17" s="1930" t="n"/>
      <c r="CG17" s="1930">
        <f>CA17+CD17</f>
        <v/>
      </c>
      <c r="CH17" s="1930" t="n"/>
      <c r="CI17" s="1930" t="n"/>
      <c r="CJ17" s="1930">
        <f>CG17</f>
        <v/>
      </c>
      <c r="CK17" s="596">
        <f>IF(CA17&lt;=BO$4,BN$4,IF(CA17&lt;=BO$5,BN$5,IF(CA17&lt;=BO$6,BN$6,IF(CA17&lt;=BO$7,BN$7,IF(CA17&lt;=BO$12,BN$12,IF(CA17&lt;=BO$13,BN$13,IF(CA17&lt;=BO$14,BN$14,0.05)))))))</f>
        <v/>
      </c>
      <c r="CL17" s="1930">
        <f>CK17*CA17</f>
        <v/>
      </c>
      <c r="CM17" s="596" t="n"/>
      <c r="CN17" s="596">
        <f>IF(CD17&lt;=BR$4,BQ$4,IF(CD17&lt;=BR$5,BQ$5,IF(CD17&lt;=BR$6,BQ$6,IF(CD17&lt;=BR$7,BQ$7,IF(CD17&lt;=BR$12,BQ$12,IF(CD17&lt;=BR$13,BQ$13,IF(CD17&lt;=BR$14,BQ$14,0.05)))))))</f>
        <v/>
      </c>
      <c r="CO17" s="1930">
        <f>CN17*CD17</f>
        <v/>
      </c>
      <c r="CP17" s="596" t="n"/>
      <c r="CQ17" s="596">
        <f>IF(CG17&lt;=BU$4,BT$4,IF(CG17&lt;=BU$5,BT$5,IF(CG17&lt;=BU$6,BT$6,IF(CG17&lt;=BU$7,BT$7,IF(CG17&lt;=BU$12,BT$12,IF(CG17&lt;=BU$13,BT$13,IF(CG17&lt;=BU$14,BT$14,0.05)))))))</f>
        <v/>
      </c>
      <c r="CR17" s="1930">
        <f>CQ17*SUM(CO17,CL17,CG17)</f>
        <v/>
      </c>
      <c r="CS17" s="596" t="n"/>
      <c r="CT17" s="1931">
        <f>IF(CJ17&lt;=BX$4,BW$4,IF(CJ17&lt;=BX$5,BW$5,IF(CJ17&lt;=BX$6,BW$6,IF(CJ17&lt;=BX$7,BW$7,IF(CJ17&lt;=BX$12,BW$12,IF(CJ17&lt;=BX$13,BW$13,IF(CJ17&lt;=BX$14,BW$14,0.05)))))))</f>
        <v/>
      </c>
      <c r="CU17" s="1930">
        <f>CT17*CJ17</f>
        <v/>
      </c>
      <c r="CW17" s="1932">
        <f>0.07*SUM(CG17,CL17,CO17,CR17,CU17)</f>
        <v/>
      </c>
      <c r="CY17" s="1932">
        <f>SUM(CW17,CU17,CR17,CO17,CL17,CG17)</f>
        <v/>
      </c>
      <c r="CZ17" s="1933">
        <f>SUM(CU17,CR17,CO17,CL17)</f>
        <v/>
      </c>
      <c r="DA17" s="596">
        <f>CZ17/CY17</f>
        <v/>
      </c>
    </row>
    <row r="18" customFormat="1" s="585">
      <c r="A18" s="647" t="inlineStr">
        <is>
          <t>system 1</t>
        </is>
      </c>
      <c r="B18" s="1941">
        <f>E20</f>
        <v/>
      </c>
      <c r="C18" s="1942" t="n">
        <v>0.1</v>
      </c>
      <c r="D18" s="1943">
        <f>B18*C18</f>
        <v/>
      </c>
      <c r="E18" s="600" t="n"/>
      <c r="F18" s="1729" t="n"/>
      <c r="G18" s="593" t="n"/>
      <c r="H18" s="628" t="inlineStr">
        <is>
          <t>Ram Board</t>
        </is>
      </c>
      <c r="I18" s="1944">
        <f>IF(J18&lt;=1000,validation!$R$4,IF(J18&lt;1500,validation!$R$6,IF(J18&lt;2000,validation!$R$8,IF(J18&lt;2500,validation!$R$10,IF(J18&lt;=3000,validation!$R$12,IF(J18&lt;3500,validation!$R$14,IF(J18&lt;4000,validation!$R$16,IF(J18&lt;5000,validation!$R$18,validation!$R$20))))))))</f>
        <v/>
      </c>
      <c r="J18" s="1945">
        <f>B45</f>
        <v/>
      </c>
      <c r="K18" s="1946">
        <f>ROUNDUP((I18*J18),0)</f>
        <v/>
      </c>
      <c r="L18" s="1947" t="inlineStr">
        <is>
          <t>LF</t>
        </is>
      </c>
      <c r="M18" s="633" t="inlineStr">
        <is>
          <t>$ / LF</t>
        </is>
      </c>
      <c r="Q18" s="590" t="n"/>
      <c r="AK18" s="1930" t="n">
        <v>11000</v>
      </c>
      <c r="AL18" s="1930" t="n"/>
      <c r="AM18" s="1930" t="n"/>
      <c r="AN18" s="1930">
        <f>AK18</f>
        <v/>
      </c>
      <c r="AO18" s="1930" t="n"/>
      <c r="AP18" s="1930" t="n"/>
      <c r="AQ18" s="1930">
        <f>AK18+AN18</f>
        <v/>
      </c>
      <c r="AR18" s="1930" t="n"/>
      <c r="AS18" s="1930" t="n"/>
      <c r="AT18" s="1930">
        <f>AQ18</f>
        <v/>
      </c>
      <c r="AU18" s="596">
        <f>IF(AK18&lt;=#REF!,#REF!,IF(AK18&lt;=#REF!,#REF!,IF(AK18&lt;=#REF!,#REF!,IF(AK18&lt;=#REF!,#REF!,IF(AK18&lt;=#REF!,#REF!,IF(AK18&lt;=#REF!,#REF!,IF(AK18&lt;=#REF!,#REF!,0.05)))))))</f>
        <v/>
      </c>
      <c r="AV18" s="1930">
        <f>AU18*AK18</f>
        <v/>
      </c>
      <c r="AW18" s="596" t="n"/>
      <c r="AX18" s="596">
        <f>IF(AN18&lt;=#REF!,#REF!,IF(AN18&lt;=#REF!,#REF!,IF(AN18&lt;=#REF!,#REF!,IF(AN18&lt;=#REF!,#REF!,IF(AN18&lt;=#REF!,#REF!,IF(AN18&lt;=#REF!,#REF!,IF(AN18&lt;=#REF!,#REF!,0.05)))))))</f>
        <v/>
      </c>
      <c r="AY18" s="1930">
        <f>AX18*AN18</f>
        <v/>
      </c>
      <c r="AZ18" s="596" t="n"/>
      <c r="BA18" s="596">
        <f>IF(AQ18&lt;=#REF!,#REF!,IF(AQ18&lt;=#REF!,#REF!,IF(AQ18&lt;=#REF!,#REF!,IF(AQ18&lt;=#REF!,#REF!,IF(AQ18&lt;=#REF!,#REF!,IF(AQ18&lt;=#REF!,#REF!,IF(AQ18&lt;=#REF!,#REF!,0.05)))))))</f>
        <v/>
      </c>
      <c r="BB18" s="1930">
        <f>BA18*SUM(AY18,AV18,AQ18)</f>
        <v/>
      </c>
      <c r="BC18" s="596" t="n"/>
      <c r="BD18" s="1931">
        <f>IF(AT18&lt;=#REF!,#REF!,IF(AT18&lt;=#REF!,#REF!,IF(AT18&lt;=#REF!,#REF!,IF(AT18&lt;=#REF!,#REF!,IF(AT18&lt;=#REF!,#REF!,IF(AT18&lt;=#REF!,#REF!,IF(AT18&lt;=#REF!,#REF!,0.05)))))))</f>
        <v/>
      </c>
      <c r="BE18" s="1930">
        <f>BD18*AT18</f>
        <v/>
      </c>
      <c r="BG18" s="1932">
        <f>0.07*SUM(AQ18,AV18,AY18,BB18,BE18)</f>
        <v/>
      </c>
      <c r="BI18" s="1932">
        <f>SUM(BG18,BE18,BB18,AY18,AV18,AQ18)</f>
        <v/>
      </c>
      <c r="BJ18" s="1933">
        <f>SUM(BE18,BB18,AY18,AV18)</f>
        <v/>
      </c>
      <c r="BK18" s="596">
        <f>BJ18/BI18</f>
        <v/>
      </c>
      <c r="CA18" s="1930" t="n">
        <v>11000</v>
      </c>
      <c r="CB18" s="1930" t="n"/>
      <c r="CC18" s="1930" t="n"/>
      <c r="CD18" s="1930">
        <f>CA18</f>
        <v/>
      </c>
      <c r="CE18" s="1930" t="n"/>
      <c r="CF18" s="1930" t="n"/>
      <c r="CG18" s="1930">
        <f>CA18+CD18</f>
        <v/>
      </c>
      <c r="CH18" s="1930" t="n"/>
      <c r="CI18" s="1930" t="n"/>
      <c r="CJ18" s="1930">
        <f>CG18</f>
        <v/>
      </c>
      <c r="CK18" s="596">
        <f>IF(CA18&lt;=BO$4,BN$4,IF(CA18&lt;=BO$5,BN$5,IF(CA18&lt;=BO$6,BN$6,IF(CA18&lt;=BO$7,BN$7,IF(CA18&lt;=BO$12,BN$12,IF(CA18&lt;=BO$13,BN$13,IF(CA18&lt;=BO$14,BN$14,0.05)))))))</f>
        <v/>
      </c>
      <c r="CL18" s="1930">
        <f>CK18*CA18</f>
        <v/>
      </c>
      <c r="CM18" s="596" t="n"/>
      <c r="CN18" s="596">
        <f>IF(CD18&lt;=BR$4,BQ$4,IF(CD18&lt;=BR$5,BQ$5,IF(CD18&lt;=BR$6,BQ$6,IF(CD18&lt;=BR$7,BQ$7,IF(CD18&lt;=BR$12,BQ$12,IF(CD18&lt;=BR$13,BQ$13,IF(CD18&lt;=BR$14,BQ$14,0.05)))))))</f>
        <v/>
      </c>
      <c r="CO18" s="1930">
        <f>CN18*CD18</f>
        <v/>
      </c>
      <c r="CP18" s="596" t="n"/>
      <c r="CQ18" s="596">
        <f>IF(CG18&lt;=BU$4,BT$4,IF(CG18&lt;=BU$5,BT$5,IF(CG18&lt;=BU$6,BT$6,IF(CG18&lt;=BU$7,BT$7,IF(CG18&lt;=BU$12,BT$12,IF(CG18&lt;=BU$13,BT$13,IF(CG18&lt;=BU$14,BT$14,0.05)))))))</f>
        <v/>
      </c>
      <c r="CR18" s="1930">
        <f>CQ18*SUM(CO18,CL18,CG18)</f>
        <v/>
      </c>
      <c r="CS18" s="596" t="n"/>
      <c r="CT18" s="1931">
        <f>IF(CJ18&lt;=BX$4,BW$4,IF(CJ18&lt;=BX$5,BW$5,IF(CJ18&lt;=BX$6,BW$6,IF(CJ18&lt;=BX$7,BW$7,IF(CJ18&lt;=BX$12,BW$12,IF(CJ18&lt;=BX$13,BW$13,IF(CJ18&lt;=BX$14,BW$14,0.05)))))))</f>
        <v/>
      </c>
      <c r="CU18" s="1930">
        <f>CT18*CJ18</f>
        <v/>
      </c>
      <c r="CW18" s="1932">
        <f>0.07*SUM(CG18,CL18,CO18,CR18,CU18)</f>
        <v/>
      </c>
      <c r="CY18" s="1932">
        <f>SUM(CW18,CU18,CR18,CO18,CL18,CG18)</f>
        <v/>
      </c>
      <c r="CZ18" s="1933">
        <f>SUM(CU18,CR18,CO18,CL18)</f>
        <v/>
      </c>
      <c r="DA18" s="596">
        <f>CZ18/CY18</f>
        <v/>
      </c>
    </row>
    <row r="19" customFormat="1" s="585">
      <c r="A19" s="647" t="inlineStr">
        <is>
          <t>system 2</t>
        </is>
      </c>
      <c r="B19" s="1941">
        <f>E24</f>
        <v/>
      </c>
      <c r="C19" s="1942">
        <f>C18</f>
        <v/>
      </c>
      <c r="D19" s="1943">
        <f>B19*C19</f>
        <v/>
      </c>
      <c r="E19" s="600" t="n"/>
      <c r="F19" s="1729" t="n"/>
      <c r="G19" s="593" t="n"/>
      <c r="H19" s="635" t="inlineStr">
        <is>
          <t>Joint Filler</t>
        </is>
      </c>
      <c r="I19" s="1948">
        <f>IF(J19&lt;=1000,validation!$U$4,IF(J19&lt;1500,validation!$U$6,IF(J19&lt;2000,validation!$U$8,IF(J19&lt;2500,validation!$U$10,IF(J19&lt;=3000,validation!$U$12,IF(J19&lt;3500,validation!$U$14,IF(J19&lt;4000,validation!$U$16,IF(J19&lt;5000,validation!$U$18,validation!$U$20))))))))</f>
        <v/>
      </c>
      <c r="J19" s="1949">
        <f>B45</f>
        <v/>
      </c>
      <c r="K19" s="1950">
        <f>ROUNDUP((I19*J19),0)</f>
        <v/>
      </c>
      <c r="L19" s="1951">
        <f>0.2*J19</f>
        <v/>
      </c>
      <c r="M19" s="1952">
        <f>K19/L19</f>
        <v/>
      </c>
      <c r="N19" s="590" t="inlineStr">
        <is>
          <t>*Double for removal of existing soft joints</t>
        </is>
      </c>
      <c r="AK19" s="1930" t="n">
        <v>12000</v>
      </c>
      <c r="AL19" s="1930" t="n"/>
      <c r="AM19" s="1930" t="n"/>
      <c r="AN19" s="1930">
        <f>AK19</f>
        <v/>
      </c>
      <c r="AO19" s="1930" t="n"/>
      <c r="AP19" s="1930" t="n"/>
      <c r="AQ19" s="1930">
        <f>AK19+AN19</f>
        <v/>
      </c>
      <c r="AR19" s="1930" t="n"/>
      <c r="AS19" s="1930" t="n"/>
      <c r="AT19" s="1930">
        <f>AQ19</f>
        <v/>
      </c>
      <c r="AU19" s="596">
        <f>IF(AK19&lt;=#REF!,#REF!,IF(AK19&lt;=#REF!,#REF!,IF(AK19&lt;=#REF!,#REF!,IF(AK19&lt;=#REF!,#REF!,IF(AK19&lt;=#REF!,#REF!,IF(AK19&lt;=#REF!,#REF!,IF(AK19&lt;=#REF!,#REF!,0.05)))))))</f>
        <v/>
      </c>
      <c r="AV19" s="1930">
        <f>AU19*AK19</f>
        <v/>
      </c>
      <c r="AW19" s="596" t="n"/>
      <c r="AX19" s="596">
        <f>IF(AN19&lt;=#REF!,#REF!,IF(AN19&lt;=#REF!,#REF!,IF(AN19&lt;=#REF!,#REF!,IF(AN19&lt;=#REF!,#REF!,IF(AN19&lt;=#REF!,#REF!,IF(AN19&lt;=#REF!,#REF!,IF(AN19&lt;=#REF!,#REF!,0.05)))))))</f>
        <v/>
      </c>
      <c r="AY19" s="1930">
        <f>AX19*AN19</f>
        <v/>
      </c>
      <c r="AZ19" s="596" t="n"/>
      <c r="BA19" s="596">
        <f>IF(AQ19&lt;=#REF!,#REF!,IF(AQ19&lt;=#REF!,#REF!,IF(AQ19&lt;=#REF!,#REF!,IF(AQ19&lt;=#REF!,#REF!,IF(AQ19&lt;=#REF!,#REF!,IF(AQ19&lt;=#REF!,#REF!,IF(AQ19&lt;=#REF!,#REF!,0.05)))))))</f>
        <v/>
      </c>
      <c r="BB19" s="1930">
        <f>BA19*SUM(AY19,AV19,AQ19)</f>
        <v/>
      </c>
      <c r="BC19" s="596" t="n"/>
      <c r="BD19" s="1931">
        <f>IF(AT19&lt;=#REF!,#REF!,IF(AT19&lt;=#REF!,#REF!,IF(AT19&lt;=#REF!,#REF!,IF(AT19&lt;=#REF!,#REF!,IF(AT19&lt;=#REF!,#REF!,IF(AT19&lt;=#REF!,#REF!,IF(AT19&lt;=#REF!,#REF!,0.05)))))))</f>
        <v/>
      </c>
      <c r="BE19" s="1930">
        <f>BD19*AT19</f>
        <v/>
      </c>
      <c r="BG19" s="1932">
        <f>0.07*SUM(AQ19,AV19,AY19,BB19,BE19)</f>
        <v/>
      </c>
      <c r="BI19" s="1932">
        <f>SUM(BG19,BE19,BB19,AY19,AV19,AQ19)</f>
        <v/>
      </c>
      <c r="BJ19" s="1933">
        <f>SUM(BE19,BB19,AY19,AV19)</f>
        <v/>
      </c>
      <c r="BK19" s="596">
        <f>BJ19/BI19</f>
        <v/>
      </c>
      <c r="CA19" s="1930" t="n">
        <v>12000</v>
      </c>
      <c r="CB19" s="1930" t="n"/>
      <c r="CC19" s="1930" t="n"/>
      <c r="CD19" s="1930">
        <f>CA19</f>
        <v/>
      </c>
      <c r="CE19" s="1930" t="n"/>
      <c r="CF19" s="1930" t="n"/>
      <c r="CG19" s="1930">
        <f>CA19+CD19</f>
        <v/>
      </c>
      <c r="CH19" s="1930" t="n"/>
      <c r="CI19" s="1930" t="n"/>
      <c r="CJ19" s="1930">
        <f>CG19</f>
        <v/>
      </c>
      <c r="CK19" s="596">
        <f>IF(CA19&lt;=BO$4,BN$4,IF(CA19&lt;=BO$5,BN$5,IF(CA19&lt;=BO$6,BN$6,IF(CA19&lt;=BO$7,BN$7,IF(CA19&lt;=BO$12,BN$12,IF(CA19&lt;=BO$13,BN$13,IF(CA19&lt;=BO$14,BN$14,0.05)))))))</f>
        <v/>
      </c>
      <c r="CL19" s="1930">
        <f>CK19*CA19</f>
        <v/>
      </c>
      <c r="CM19" s="596" t="n"/>
      <c r="CN19" s="596">
        <f>IF(CD19&lt;=BR$4,BQ$4,IF(CD19&lt;=BR$5,BQ$5,IF(CD19&lt;=BR$6,BQ$6,IF(CD19&lt;=BR$7,BQ$7,IF(CD19&lt;=BR$12,BQ$12,IF(CD19&lt;=BR$13,BQ$13,IF(CD19&lt;=BR$14,BQ$14,0.05)))))))</f>
        <v/>
      </c>
      <c r="CO19" s="1930">
        <f>CN19*CD19</f>
        <v/>
      </c>
      <c r="CP19" s="596" t="n"/>
      <c r="CQ19" s="596">
        <f>IF(CG19&lt;=BU$4,BT$4,IF(CG19&lt;=BU$5,BT$5,IF(CG19&lt;=BU$6,BT$6,IF(CG19&lt;=BU$7,BT$7,IF(CG19&lt;=BU$12,BT$12,IF(CG19&lt;=BU$13,BT$13,IF(CG19&lt;=BU$14,BT$14,0.05)))))))</f>
        <v/>
      </c>
      <c r="CR19" s="1930">
        <f>CQ19*SUM(CO19,CL19,CG19)</f>
        <v/>
      </c>
      <c r="CS19" s="596" t="n"/>
      <c r="CT19" s="1931">
        <f>IF(CJ19&lt;=BX$4,BW$4,IF(CJ19&lt;=BX$5,BW$5,IF(CJ19&lt;=BX$6,BW$6,IF(CJ19&lt;=BX$7,BW$7,IF(CJ19&lt;=BX$12,BW$12,IF(CJ19&lt;=BX$13,BW$13,IF(CJ19&lt;=BX$14,BW$14,0.05)))))))</f>
        <v/>
      </c>
      <c r="CU19" s="1930">
        <f>CT19*CJ19</f>
        <v/>
      </c>
      <c r="CW19" s="1932">
        <f>0.07*SUM(CG19,CL19,CO19,CR19,CU19)</f>
        <v/>
      </c>
      <c r="CY19" s="1932">
        <f>SUM(CW19,CU19,CR19,CO19,CL19,CG19)</f>
        <v/>
      </c>
      <c r="CZ19" s="1933">
        <f>SUM(CU19,CR19,CO19,CL19)</f>
        <v/>
      </c>
      <c r="DA19" s="596">
        <f>CZ19/CY19</f>
        <v/>
      </c>
    </row>
    <row r="20" customFormat="1" s="585">
      <c r="A20" s="641" t="inlineStr">
        <is>
          <t>MATERIAL - Epoxy Liquids</t>
        </is>
      </c>
      <c r="B20" s="1953" t="n"/>
      <c r="C20" s="643" t="n"/>
      <c r="D20" s="644" t="n"/>
      <c r="E20" s="1954" t="n">
        <v>0</v>
      </c>
      <c r="F20" s="1363" t="inlineStr">
        <is>
          <t>SF -- System 1</t>
        </is>
      </c>
      <c r="H20" s="628" t="inlineStr">
        <is>
          <t>4" Rubber Cove    (/LF)</t>
        </is>
      </c>
      <c r="I20" s="1944">
        <f>IF(J20&lt;=100,validation!$R$24,IF(J20&lt;150,validation!$R$26,IF(J20&lt;200,validation!$R$28,IF(J20&lt;250,validation!$R$30,IF(J20&lt;=300,validation!$R$32,IF(J20&lt;350,validation!$R$34,IF(J20&lt;400,validation!$R$36,IF(J20&lt;500,validation!$R$38,validation!$R$40))))))))</f>
        <v/>
      </c>
      <c r="J20" s="1945">
        <f>E34+E37</f>
        <v/>
      </c>
      <c r="K20" s="1946">
        <f>ROUNDUP((I20*J20),0)</f>
        <v/>
      </c>
      <c r="P20" s="1944" t="n"/>
      <c r="AK20" s="1930" t="n">
        <v>13000</v>
      </c>
      <c r="AL20" s="1930" t="n"/>
      <c r="AM20" s="1930" t="n"/>
      <c r="AN20" s="1930">
        <f>AK20</f>
        <v/>
      </c>
      <c r="AO20" s="1930" t="n"/>
      <c r="AP20" s="1930" t="n"/>
      <c r="AQ20" s="1930">
        <f>AK20+AN20</f>
        <v/>
      </c>
      <c r="AR20" s="1930" t="n"/>
      <c r="AS20" s="1930" t="n"/>
      <c r="AT20" s="1930">
        <f>AQ20</f>
        <v/>
      </c>
      <c r="AU20" s="596">
        <f>IF(AK20&lt;=#REF!,#REF!,IF(AK20&lt;=#REF!,#REF!,IF(AK20&lt;=#REF!,#REF!,IF(AK20&lt;=#REF!,#REF!,IF(AK20&lt;=#REF!,#REF!,IF(AK20&lt;=#REF!,#REF!,IF(AK20&lt;=#REF!,#REF!,0.05)))))))</f>
        <v/>
      </c>
      <c r="AV20" s="1930">
        <f>AU20*AK20</f>
        <v/>
      </c>
      <c r="AW20" s="596" t="n"/>
      <c r="AX20" s="596">
        <f>IF(AN20&lt;=#REF!,#REF!,IF(AN20&lt;=#REF!,#REF!,IF(AN20&lt;=#REF!,#REF!,IF(AN20&lt;=#REF!,#REF!,IF(AN20&lt;=#REF!,#REF!,IF(AN20&lt;=#REF!,#REF!,IF(AN20&lt;=#REF!,#REF!,0.05)))))))</f>
        <v/>
      </c>
      <c r="AY20" s="1930">
        <f>AX20*AN20</f>
        <v/>
      </c>
      <c r="AZ20" s="596" t="n"/>
      <c r="BA20" s="596">
        <f>IF(AQ20&lt;=#REF!,#REF!,IF(AQ20&lt;=#REF!,#REF!,IF(AQ20&lt;=#REF!,#REF!,IF(AQ20&lt;=#REF!,#REF!,IF(AQ20&lt;=#REF!,#REF!,IF(AQ20&lt;=#REF!,#REF!,IF(AQ20&lt;=#REF!,#REF!,0.05)))))))</f>
        <v/>
      </c>
      <c r="BB20" s="1930">
        <f>BA20*SUM(AY20,AV20,AQ20)</f>
        <v/>
      </c>
      <c r="BC20" s="596" t="n"/>
      <c r="BD20" s="1931">
        <f>IF(AT20&lt;=#REF!,#REF!,IF(AT20&lt;=#REF!,#REF!,IF(AT20&lt;=#REF!,#REF!,IF(AT20&lt;=#REF!,#REF!,IF(AT20&lt;=#REF!,#REF!,IF(AT20&lt;=#REF!,#REF!,IF(AT20&lt;=#REF!,#REF!,0.05)))))))</f>
        <v/>
      </c>
      <c r="BE20" s="1930">
        <f>BD20*AT20</f>
        <v/>
      </c>
      <c r="BG20" s="1932">
        <f>0.07*SUM(AQ20,AV20,AY20,BB20,BE20)</f>
        <v/>
      </c>
      <c r="BI20" s="1932">
        <f>SUM(BG20,BE20,BB20,AY20,AV20,AQ20)</f>
        <v/>
      </c>
      <c r="BJ20" s="1933">
        <f>SUM(BE20,BB20,AY20,AV20)</f>
        <v/>
      </c>
      <c r="BK20" s="596">
        <f>BJ20/BI20</f>
        <v/>
      </c>
      <c r="CA20" s="1930" t="n">
        <v>13000</v>
      </c>
      <c r="CB20" s="1930" t="n"/>
      <c r="CC20" s="1930" t="n"/>
      <c r="CD20" s="1930">
        <f>CA20</f>
        <v/>
      </c>
      <c r="CE20" s="1930" t="n"/>
      <c r="CF20" s="1930" t="n"/>
      <c r="CG20" s="1930">
        <f>CA20+CD20</f>
        <v/>
      </c>
      <c r="CH20" s="1930" t="n"/>
      <c r="CI20" s="1930" t="n"/>
      <c r="CJ20" s="1930">
        <f>CG20</f>
        <v/>
      </c>
      <c r="CK20" s="596">
        <f>IF(CA20&lt;=BO$4,BN$4,IF(CA20&lt;=BO$5,BN$5,IF(CA20&lt;=BO$6,BN$6,IF(CA20&lt;=BO$7,BN$7,IF(CA20&lt;=BO$12,BN$12,IF(CA20&lt;=BO$13,BN$13,IF(CA20&lt;=BO$14,BN$14,0.05)))))))</f>
        <v/>
      </c>
      <c r="CL20" s="1930">
        <f>CK20*CA20</f>
        <v/>
      </c>
      <c r="CM20" s="596" t="n"/>
      <c r="CN20" s="596">
        <f>IF(CD20&lt;=BR$4,BQ$4,IF(CD20&lt;=BR$5,BQ$5,IF(CD20&lt;=BR$6,BQ$6,IF(CD20&lt;=BR$7,BQ$7,IF(CD20&lt;=BR$12,BQ$12,IF(CD20&lt;=BR$13,BQ$13,IF(CD20&lt;=BR$14,BQ$14,0.05)))))))</f>
        <v/>
      </c>
      <c r="CO20" s="1930">
        <f>CN20*CD20</f>
        <v/>
      </c>
      <c r="CP20" s="596" t="n"/>
      <c r="CQ20" s="596">
        <f>IF(CG20&lt;=BU$4,BT$4,IF(CG20&lt;=BU$5,BT$5,IF(CG20&lt;=BU$6,BT$6,IF(CG20&lt;=BU$7,BT$7,IF(CG20&lt;=BU$12,BT$12,IF(CG20&lt;=BU$13,BT$13,IF(CG20&lt;=BU$14,BT$14,0.05)))))))</f>
        <v/>
      </c>
      <c r="CR20" s="1930">
        <f>CQ20*SUM(CO20,CL20,CG20)</f>
        <v/>
      </c>
      <c r="CS20" s="596" t="n"/>
      <c r="CT20" s="1931">
        <f>IF(CJ20&lt;=BX$4,BW$4,IF(CJ20&lt;=BX$5,BW$5,IF(CJ20&lt;=BX$6,BW$6,IF(CJ20&lt;=BX$7,BW$7,IF(CJ20&lt;=BX$12,BW$12,IF(CJ20&lt;=BX$13,BW$13,IF(CJ20&lt;=BX$14,BW$14,0.05)))))))</f>
        <v/>
      </c>
      <c r="CU20" s="1930">
        <f>CT20*CJ20</f>
        <v/>
      </c>
      <c r="CW20" s="1932">
        <f>0.07*SUM(CG20,CL20,CO20,CR20,CU20)</f>
        <v/>
      </c>
      <c r="CY20" s="1932">
        <f>SUM(CW20,CU20,CR20,CO20,CL20,CG20)</f>
        <v/>
      </c>
      <c r="CZ20" s="1933">
        <f>SUM(CU20,CR20,CO20,CL20)</f>
        <v/>
      </c>
      <c r="DA20" s="596">
        <f>CZ20/CY20</f>
        <v/>
      </c>
    </row>
    <row r="21" customFormat="1" s="585">
      <c r="A21" s="1327" t="inlineStr">
        <is>
          <t>Primer Options</t>
        </is>
      </c>
      <c r="B21" s="1955" t="n"/>
      <c r="C21" s="1326" t="inlineStr">
        <is>
          <t xml:space="preserve"> Liquids </t>
        </is>
      </c>
      <c r="D21" s="1956">
        <f>IF(A21=B162,F162,IF(A21=B163,F163,IF(A21=B164,F164,IF(A21=B165,F165,0))))</f>
        <v/>
      </c>
      <c r="E21" s="1957" t="n"/>
      <c r="F21" s="600" t="n"/>
      <c r="H21" s="635" t="inlineStr">
        <is>
          <t>6" Rubber Cove    (/LF)</t>
        </is>
      </c>
      <c r="I21" s="1948">
        <f>IF(J20&lt;=100,validation!$U$24,IF(J20&lt;150,validation!$U$26,IF(J20&lt;200,validation!$U$28,IF(J20&lt;250,validation!$U$30,IF(J20&lt;=300,validation!$U$32,IF(J20&lt;350,validation!$U$34,IF(J20&lt;400,validation!$U$36,IF(J20&lt;500,validation!$U$38,validation!$U$40))))))))</f>
        <v/>
      </c>
      <c r="J21" s="1949">
        <f>E34+E37</f>
        <v/>
      </c>
      <c r="K21" s="1950">
        <f>ROUNDUP((I21*J21),0)</f>
        <v/>
      </c>
      <c r="M21" s="650" t="inlineStr">
        <is>
          <t>Epoxy:</t>
        </is>
      </c>
      <c r="N21" s="1958">
        <f>'Stnd Alts'!E243</f>
        <v/>
      </c>
      <c r="O21" s="652" t="inlineStr">
        <is>
          <t>Mock-Up*</t>
        </is>
      </c>
      <c r="P21" s="600" t="n"/>
      <c r="AK21" s="1930" t="n">
        <v>14000</v>
      </c>
      <c r="AL21" s="1930" t="n"/>
      <c r="AM21" s="1930" t="n"/>
      <c r="AN21" s="1930">
        <f>AK21</f>
        <v/>
      </c>
      <c r="AO21" s="1930" t="n"/>
      <c r="AP21" s="1930" t="n"/>
      <c r="AQ21" s="1930">
        <f>AK21+AN21</f>
        <v/>
      </c>
      <c r="AR21" s="1930" t="n"/>
      <c r="AS21" s="1930" t="n"/>
      <c r="AT21" s="1930">
        <f>AQ21</f>
        <v/>
      </c>
      <c r="AU21" s="596">
        <f>IF(AK21&lt;=#REF!,#REF!,IF(AK21&lt;=#REF!,#REF!,IF(AK21&lt;=#REF!,#REF!,IF(AK21&lt;=#REF!,#REF!,IF(AK21&lt;=#REF!,#REF!,IF(AK21&lt;=#REF!,#REF!,IF(AK21&lt;=#REF!,#REF!,0.05)))))))</f>
        <v/>
      </c>
      <c r="AV21" s="1930">
        <f>AU21*AK21</f>
        <v/>
      </c>
      <c r="AW21" s="596" t="n"/>
      <c r="AX21" s="596">
        <f>IF(AN21&lt;=#REF!,#REF!,IF(AN21&lt;=#REF!,#REF!,IF(AN21&lt;=#REF!,#REF!,IF(AN21&lt;=#REF!,#REF!,IF(AN21&lt;=#REF!,#REF!,IF(AN21&lt;=#REF!,#REF!,IF(AN21&lt;=#REF!,#REF!,0.05)))))))</f>
        <v/>
      </c>
      <c r="AY21" s="1930">
        <f>AX21*AN21</f>
        <v/>
      </c>
      <c r="AZ21" s="596" t="n"/>
      <c r="BA21" s="596">
        <f>IF(AQ21&lt;=#REF!,#REF!,IF(AQ21&lt;=#REF!,#REF!,IF(AQ21&lt;=#REF!,#REF!,IF(AQ21&lt;=#REF!,#REF!,IF(AQ21&lt;=#REF!,#REF!,IF(AQ21&lt;=#REF!,#REF!,IF(AQ21&lt;=#REF!,#REF!,0.05)))))))</f>
        <v/>
      </c>
      <c r="BB21" s="1930">
        <f>BA21*SUM(AY21,AV21,AQ21)</f>
        <v/>
      </c>
      <c r="BC21" s="596" t="n"/>
      <c r="BD21" s="1931">
        <f>IF(AT21&lt;=#REF!,#REF!,IF(AT21&lt;=#REF!,#REF!,IF(AT21&lt;=#REF!,#REF!,IF(AT21&lt;=#REF!,#REF!,IF(AT21&lt;=#REF!,#REF!,IF(AT21&lt;=#REF!,#REF!,IF(AT21&lt;=#REF!,#REF!,0.05)))))))</f>
        <v/>
      </c>
      <c r="BE21" s="1930">
        <f>BD21*AT21</f>
        <v/>
      </c>
      <c r="BG21" s="1932">
        <f>0.07*SUM(AQ21,AV21,AY21,BB21,BE21)</f>
        <v/>
      </c>
      <c r="BI21" s="1932">
        <f>SUM(BG21,BE21,BB21,AY21,AV21,AQ21)</f>
        <v/>
      </c>
      <c r="BJ21" s="1933">
        <f>SUM(BE21,BB21,AY21,AV21)</f>
        <v/>
      </c>
      <c r="BK21" s="596">
        <f>BJ21/BI21</f>
        <v/>
      </c>
      <c r="CA21" s="1930" t="n">
        <v>14000</v>
      </c>
      <c r="CB21" s="1930" t="n"/>
      <c r="CC21" s="1930" t="n"/>
      <c r="CD21" s="1930">
        <f>CA21</f>
        <v/>
      </c>
      <c r="CE21" s="1930" t="n"/>
      <c r="CF21" s="1930" t="n"/>
      <c r="CG21" s="1930">
        <f>CA21+CD21</f>
        <v/>
      </c>
      <c r="CH21" s="1930" t="n"/>
      <c r="CI21" s="1930" t="n"/>
      <c r="CJ21" s="1930">
        <f>CG21</f>
        <v/>
      </c>
      <c r="CK21" s="596">
        <f>IF(CA21&lt;=BO$4,BN$4,IF(CA21&lt;=BO$5,BN$5,IF(CA21&lt;=BO$6,BN$6,IF(CA21&lt;=BO$7,BN$7,IF(CA21&lt;=BO$12,BN$12,IF(CA21&lt;=BO$13,BN$13,IF(CA21&lt;=BO$14,BN$14,0.05)))))))</f>
        <v/>
      </c>
      <c r="CL21" s="1930">
        <f>CK21*CA21</f>
        <v/>
      </c>
      <c r="CM21" s="596" t="n"/>
      <c r="CN21" s="596">
        <f>IF(CD21&lt;=BR$4,BQ$4,IF(CD21&lt;=BR$5,BQ$5,IF(CD21&lt;=BR$6,BQ$6,IF(CD21&lt;=BR$7,BQ$7,IF(CD21&lt;=BR$12,BQ$12,IF(CD21&lt;=BR$13,BQ$13,IF(CD21&lt;=BR$14,BQ$14,0.05)))))))</f>
        <v/>
      </c>
      <c r="CO21" s="1930">
        <f>CN21*CD21</f>
        <v/>
      </c>
      <c r="CP21" s="596" t="n"/>
      <c r="CQ21" s="596">
        <f>IF(CG21&lt;=BU$4,BT$4,IF(CG21&lt;=BU$5,BT$5,IF(CG21&lt;=BU$6,BT$6,IF(CG21&lt;=BU$7,BT$7,IF(CG21&lt;=BU$12,BT$12,IF(CG21&lt;=BU$13,BT$13,IF(CG21&lt;=BU$14,BT$14,0.05)))))))</f>
        <v/>
      </c>
      <c r="CR21" s="1930">
        <f>CQ21*SUM(CO21,CL21,CG21)</f>
        <v/>
      </c>
      <c r="CS21" s="596" t="n"/>
      <c r="CT21" s="1931">
        <f>IF(CJ21&lt;=BX$4,BW$4,IF(CJ21&lt;=BX$5,BW$5,IF(CJ21&lt;=BX$6,BW$6,IF(CJ21&lt;=BX$7,BW$7,IF(CJ21&lt;=BX$12,BW$12,IF(CJ21&lt;=BX$13,BW$13,IF(CJ21&lt;=BX$14,BW$14,0.05)))))))</f>
        <v/>
      </c>
      <c r="CU21" s="1930">
        <f>CT21*CJ21</f>
        <v/>
      </c>
      <c r="CW21" s="1932">
        <f>0.07*SUM(CG21,CL21,CO21,CR21,CU21)</f>
        <v/>
      </c>
      <c r="CY21" s="1932">
        <f>SUM(CW21,CU21,CR21,CO21,CL21,CG21)</f>
        <v/>
      </c>
      <c r="CZ21" s="1933">
        <f>SUM(CU21,CR21,CO21,CL21)</f>
        <v/>
      </c>
      <c r="DA21" s="596">
        <f>CZ21/CY21</f>
        <v/>
      </c>
    </row>
    <row r="22" customFormat="1" s="585">
      <c r="A22" s="1327" t="inlineStr">
        <is>
          <t>System 1 Options</t>
        </is>
      </c>
      <c r="B22" s="1955" t="n"/>
      <c r="C22" s="1326" t="inlineStr">
        <is>
          <t xml:space="preserve"> Liquids </t>
        </is>
      </c>
      <c r="D22" s="1956">
        <f>IF(A22=R181,F175,IF(A22=R182,F182,IF(A22=R183,F188,IF(A22=R184,F197,IF(A22=R185,F205,IF(A22=R186,F213,IF(A22=R187,F221,IF(A22=R188,F227,IF(A22=R189,F237,IF(A22=R190,F245,IF(A22=R191,F254,IF(A22=R192,F264,IF(A22=R193,F271,IF(A22=R194,F279,IF(A22=R195,F286,0)))))))))))))))</f>
        <v/>
      </c>
      <c r="E22" s="1957" t="n"/>
      <c r="F22" s="600" t="n"/>
      <c r="G22" s="600" t="n"/>
      <c r="H22" s="653" t="inlineStr">
        <is>
          <t>4" Line Striping    (/LF)</t>
        </is>
      </c>
      <c r="I22" s="1959">
        <f>IF(J22&lt;=100,validation!$R$44,IF(J22&lt;150,validation!$R$46,IF(J22&lt;200,validation!$R$48,IF(J22&lt;250,validation!$R$50,IF(J22&lt;=300,validation!$R$52,IF(J22&lt;350,validation!$R$54,IF(J22&lt;400,validation!$R$56,IF(J22&lt;500,validation!$R$58,validation!$R$60))))))))</f>
        <v/>
      </c>
      <c r="J22" s="1960" t="n">
        <v>0</v>
      </c>
      <c r="K22" s="1961">
        <f>ROUNDUP((I22*J22),0)</f>
        <v/>
      </c>
      <c r="M22" s="657" t="inlineStr">
        <is>
          <t>**In Town**</t>
        </is>
      </c>
      <c r="N22" s="1958">
        <f>'Stnd Alts'!E145</f>
        <v/>
      </c>
      <c r="O22" s="652" t="inlineStr">
        <is>
          <t>Mob Fee*</t>
        </is>
      </c>
      <c r="P22" s="590" t="inlineStr">
        <is>
          <t>*see "Stnd Alts" tab</t>
        </is>
      </c>
      <c r="AK22" s="1930" t="n">
        <v>15000</v>
      </c>
      <c r="AL22" s="1930" t="n"/>
      <c r="AM22" s="1930" t="n"/>
      <c r="AN22" s="1930">
        <f>AK22</f>
        <v/>
      </c>
      <c r="AO22" s="1930" t="n"/>
      <c r="AP22" s="1930" t="n"/>
      <c r="AQ22" s="1930">
        <f>AK22+AN22</f>
        <v/>
      </c>
      <c r="AR22" s="1930" t="n"/>
      <c r="AS22" s="1930" t="n"/>
      <c r="AT22" s="1930">
        <f>AQ22</f>
        <v/>
      </c>
      <c r="AU22" s="596">
        <f>IF(AK22&lt;=#REF!,#REF!,IF(AK22&lt;=#REF!,#REF!,IF(AK22&lt;=#REF!,#REF!,IF(AK22&lt;=#REF!,#REF!,IF(AK22&lt;=#REF!,#REF!,IF(AK22&lt;=#REF!,#REF!,IF(AK22&lt;=#REF!,#REF!,0.05)))))))</f>
        <v/>
      </c>
      <c r="AV22" s="1930">
        <f>AU22*AK22</f>
        <v/>
      </c>
      <c r="AW22" s="596" t="n"/>
      <c r="AX22" s="596">
        <f>IF(AN22&lt;=#REF!,#REF!,IF(AN22&lt;=#REF!,#REF!,IF(AN22&lt;=#REF!,#REF!,IF(AN22&lt;=#REF!,#REF!,IF(AN22&lt;=#REF!,#REF!,IF(AN22&lt;=#REF!,#REF!,IF(AN22&lt;=#REF!,#REF!,0.05)))))))</f>
        <v/>
      </c>
      <c r="AY22" s="1930">
        <f>AX22*AN22</f>
        <v/>
      </c>
      <c r="AZ22" s="596" t="n"/>
      <c r="BA22" s="596">
        <f>IF(AQ22&lt;=#REF!,#REF!,IF(AQ22&lt;=#REF!,#REF!,IF(AQ22&lt;=#REF!,#REF!,IF(AQ22&lt;=#REF!,#REF!,IF(AQ22&lt;=#REF!,#REF!,IF(AQ22&lt;=#REF!,#REF!,IF(AQ22&lt;=#REF!,#REF!,0.05)))))))</f>
        <v/>
      </c>
      <c r="BB22" s="1930">
        <f>BA22*SUM(AY22,AV22,AQ22)</f>
        <v/>
      </c>
      <c r="BC22" s="596" t="n"/>
      <c r="BD22" s="1931">
        <f>IF(AT22&lt;=#REF!,#REF!,IF(AT22&lt;=#REF!,#REF!,IF(AT22&lt;=#REF!,#REF!,IF(AT22&lt;=#REF!,#REF!,IF(AT22&lt;=#REF!,#REF!,IF(AT22&lt;=#REF!,#REF!,IF(AT22&lt;=#REF!,#REF!,0.05)))))))</f>
        <v/>
      </c>
      <c r="BE22" s="1930">
        <f>BD22*AT22</f>
        <v/>
      </c>
      <c r="BG22" s="1932">
        <f>0.07*SUM(AQ22,AV22,AY22,BB22,BE22)</f>
        <v/>
      </c>
      <c r="BI22" s="1932">
        <f>SUM(BG22,BE22,BB22,AY22,AV22,AQ22)</f>
        <v/>
      </c>
      <c r="BJ22" s="1933">
        <f>SUM(BE22,BB22,AY22,AV22)</f>
        <v/>
      </c>
      <c r="BK22" s="596">
        <f>BJ22/BI22</f>
        <v/>
      </c>
      <c r="CA22" s="1930" t="n">
        <v>15000</v>
      </c>
      <c r="CB22" s="1930" t="n"/>
      <c r="CC22" s="1930" t="n"/>
      <c r="CD22" s="1930">
        <f>CA22</f>
        <v/>
      </c>
      <c r="CE22" s="1930" t="n"/>
      <c r="CF22" s="1930" t="n"/>
      <c r="CG22" s="1930">
        <f>CA22+CD22</f>
        <v/>
      </c>
      <c r="CH22" s="1930" t="n"/>
      <c r="CI22" s="1930" t="n"/>
      <c r="CJ22" s="1930">
        <f>CG22</f>
        <v/>
      </c>
      <c r="CK22" s="596">
        <f>IF(CA22&lt;=BO$4,BN$4,IF(CA22&lt;=BO$5,BN$5,IF(CA22&lt;=BO$6,BN$6,IF(CA22&lt;=BO$7,BN$7,IF(CA22&lt;=BO$12,BN$12,IF(CA22&lt;=BO$13,BN$13,IF(CA22&lt;=BO$14,BN$14,0.05)))))))</f>
        <v/>
      </c>
      <c r="CL22" s="1930">
        <f>CK22*CA22</f>
        <v/>
      </c>
      <c r="CM22" s="596" t="n"/>
      <c r="CN22" s="596">
        <f>IF(CD22&lt;=BR$4,BQ$4,IF(CD22&lt;=BR$5,BQ$5,IF(CD22&lt;=BR$6,BQ$6,IF(CD22&lt;=BR$7,BQ$7,IF(CD22&lt;=BR$12,BQ$12,IF(CD22&lt;=BR$13,BQ$13,IF(CD22&lt;=BR$14,BQ$14,0.05)))))))</f>
        <v/>
      </c>
      <c r="CO22" s="1930">
        <f>CN22*CD22</f>
        <v/>
      </c>
      <c r="CP22" s="596" t="n"/>
      <c r="CQ22" s="596">
        <f>IF(CG22&lt;=BU$4,BT$4,IF(CG22&lt;=BU$5,BT$5,IF(CG22&lt;=BU$6,BT$6,IF(CG22&lt;=BU$7,BT$7,IF(CG22&lt;=BU$12,BT$12,IF(CG22&lt;=BU$13,BT$13,IF(CG22&lt;=BU$14,BT$14,0.05)))))))</f>
        <v/>
      </c>
      <c r="CR22" s="1930">
        <f>CQ22*SUM(CO22,CL22,CG22)</f>
        <v/>
      </c>
      <c r="CS22" s="596" t="n"/>
      <c r="CT22" s="1931">
        <f>IF(CJ22&lt;=BX$4,BW$4,IF(CJ22&lt;=BX$5,BW$5,IF(CJ22&lt;=BX$6,BW$6,IF(CJ22&lt;=BX$7,BW$7,IF(CJ22&lt;=BX$12,BW$12,IF(CJ22&lt;=BX$13,BW$13,IF(CJ22&lt;=BX$14,BW$14,0.05)))))))</f>
        <v/>
      </c>
      <c r="CU22" s="1930">
        <f>CT22*CJ22</f>
        <v/>
      </c>
      <c r="CW22" s="1932">
        <f>0.07*SUM(CG22,CL22,CO22,CR22,CU22)</f>
        <v/>
      </c>
      <c r="CY22" s="1932">
        <f>SUM(CW22,CU22,CR22,CO22,CL22,CG22)</f>
        <v/>
      </c>
      <c r="CZ22" s="1933">
        <f>SUM(CU22,CR22,CO22,CL22)</f>
        <v/>
      </c>
      <c r="DA22" s="596">
        <f>CZ22/CY22</f>
        <v/>
      </c>
    </row>
    <row r="23" customFormat="1" s="585">
      <c r="A23" s="647" t="n"/>
      <c r="B23" s="1941" t="n"/>
      <c r="C23" s="1944" t="n"/>
      <c r="D23" s="1962">
        <f>B23*C23</f>
        <v/>
      </c>
      <c r="E23" s="600" t="n"/>
      <c r="F23" s="600" t="n"/>
      <c r="G23" s="600" t="n"/>
      <c r="H23" s="635" t="inlineStr">
        <is>
          <t>6" Line Striping    (/LF)</t>
        </is>
      </c>
      <c r="I23" s="1948">
        <f>IF(J22&lt;=100,validation!$U$44,IF(J22&lt;150,validation!$U$46,IF(J22&lt;200,validation!$U$48,IF(J22&lt;250,validation!$U$50,IF(J22&lt;=300,validation!$U$52,IF(J22&lt;350,validation!$U$54,IF(J22&lt;400,validation!$U$56,IF(J22&lt;500,validation!$U$58,validation!$U$60))))))))</f>
        <v/>
      </c>
      <c r="J23" s="1949" t="n">
        <v>0</v>
      </c>
      <c r="K23" s="1950">
        <f>ROUNDUP((I23*J23),0)</f>
        <v/>
      </c>
      <c r="O23" s="590" t="n"/>
      <c r="AK23" s="1930" t="n">
        <v>16000</v>
      </c>
      <c r="AL23" s="1930" t="n"/>
      <c r="AM23" s="1930" t="n"/>
      <c r="AN23" s="1930">
        <f>AK23</f>
        <v/>
      </c>
      <c r="AO23" s="1930" t="n"/>
      <c r="AP23" s="1930" t="n"/>
      <c r="AQ23" s="1930">
        <f>AK23+AN23</f>
        <v/>
      </c>
      <c r="AR23" s="1930" t="n"/>
      <c r="AS23" s="1930" t="n"/>
      <c r="AT23" s="1930">
        <f>AQ23</f>
        <v/>
      </c>
      <c r="AU23" s="596">
        <f>IF(AK23&lt;=#REF!,#REF!,IF(AK23&lt;=#REF!,#REF!,IF(AK23&lt;=#REF!,#REF!,IF(AK23&lt;=#REF!,#REF!,IF(AK23&lt;=#REF!,#REF!,IF(AK23&lt;=#REF!,#REF!,IF(AK23&lt;=#REF!,#REF!,0.05)))))))</f>
        <v/>
      </c>
      <c r="AV23" s="1930">
        <f>AU23*AK23</f>
        <v/>
      </c>
      <c r="AW23" s="596" t="n"/>
      <c r="AX23" s="596">
        <f>IF(AN23&lt;=#REF!,#REF!,IF(AN23&lt;=#REF!,#REF!,IF(AN23&lt;=#REF!,#REF!,IF(AN23&lt;=#REF!,#REF!,IF(AN23&lt;=#REF!,#REF!,IF(AN23&lt;=#REF!,#REF!,IF(AN23&lt;=#REF!,#REF!,0.05)))))))</f>
        <v/>
      </c>
      <c r="AY23" s="1930">
        <f>AX23*AN23</f>
        <v/>
      </c>
      <c r="AZ23" s="596" t="n"/>
      <c r="BA23" s="596">
        <f>IF(AQ23&lt;=#REF!,#REF!,IF(AQ23&lt;=#REF!,#REF!,IF(AQ23&lt;=#REF!,#REF!,IF(AQ23&lt;=#REF!,#REF!,IF(AQ23&lt;=#REF!,#REF!,IF(AQ23&lt;=#REF!,#REF!,IF(AQ23&lt;=#REF!,#REF!,0.05)))))))</f>
        <v/>
      </c>
      <c r="BB23" s="1930">
        <f>BA23*SUM(AY23,AV23,AQ23)</f>
        <v/>
      </c>
      <c r="BC23" s="596" t="n"/>
      <c r="BD23" s="1931">
        <f>IF(AT23&lt;=#REF!,#REF!,IF(AT23&lt;=#REF!,#REF!,IF(AT23&lt;=#REF!,#REF!,IF(AT23&lt;=#REF!,#REF!,IF(AT23&lt;=#REF!,#REF!,IF(AT23&lt;=#REF!,#REF!,IF(AT23&lt;=#REF!,#REF!,0.05)))))))</f>
        <v/>
      </c>
      <c r="BE23" s="1930">
        <f>BD23*AT23</f>
        <v/>
      </c>
      <c r="BG23" s="1932">
        <f>0.07*SUM(AQ23,AV23,AY23,BB23,BE23)</f>
        <v/>
      </c>
      <c r="BI23" s="1932">
        <f>SUM(BG23,BE23,BB23,AY23,AV23,AQ23)</f>
        <v/>
      </c>
      <c r="BJ23" s="1933">
        <f>SUM(BE23,BB23,AY23,AV23)</f>
        <v/>
      </c>
      <c r="BK23" s="596">
        <f>BJ23/BI23</f>
        <v/>
      </c>
      <c r="CA23" s="1930" t="n">
        <v>16000</v>
      </c>
      <c r="CB23" s="1930" t="n"/>
      <c r="CC23" s="1930" t="n"/>
      <c r="CD23" s="1930">
        <f>CA23</f>
        <v/>
      </c>
      <c r="CE23" s="1930" t="n"/>
      <c r="CF23" s="1930" t="n"/>
      <c r="CG23" s="1930">
        <f>CA23+CD23</f>
        <v/>
      </c>
      <c r="CH23" s="1930" t="n"/>
      <c r="CI23" s="1930" t="n"/>
      <c r="CJ23" s="1930">
        <f>CG23</f>
        <v/>
      </c>
      <c r="CK23" s="596">
        <f>IF(CA23&lt;=BO$4,BN$4,IF(CA23&lt;=BO$5,BN$5,IF(CA23&lt;=BO$6,BN$6,IF(CA23&lt;=BO$7,BN$7,IF(CA23&lt;=BO$12,BN$12,IF(CA23&lt;=BO$13,BN$13,IF(CA23&lt;=BO$14,BN$14,0.05)))))))</f>
        <v/>
      </c>
      <c r="CL23" s="1930">
        <f>CK23*CA23</f>
        <v/>
      </c>
      <c r="CM23" s="596" t="n"/>
      <c r="CN23" s="596">
        <f>IF(CD23&lt;=BR$4,BQ$4,IF(CD23&lt;=BR$5,BQ$5,IF(CD23&lt;=BR$6,BQ$6,IF(CD23&lt;=BR$7,BQ$7,IF(CD23&lt;=BR$12,BQ$12,IF(CD23&lt;=BR$13,BQ$13,IF(CD23&lt;=BR$14,BQ$14,0.05)))))))</f>
        <v/>
      </c>
      <c r="CO23" s="1930">
        <f>CN23*CD23</f>
        <v/>
      </c>
      <c r="CP23" s="596" t="n"/>
      <c r="CQ23" s="596">
        <f>IF(CG23&lt;=BU$4,BT$4,IF(CG23&lt;=BU$5,BT$5,IF(CG23&lt;=BU$6,BT$6,IF(CG23&lt;=BU$7,BT$7,IF(CG23&lt;=BU$12,BT$12,IF(CG23&lt;=BU$13,BT$13,IF(CG23&lt;=BU$14,BT$14,0.05)))))))</f>
        <v/>
      </c>
      <c r="CR23" s="1930">
        <f>CQ23*SUM(CO23,CL23,CG23)</f>
        <v/>
      </c>
      <c r="CS23" s="596" t="n"/>
      <c r="CT23" s="1931">
        <f>IF(CJ23&lt;=BX$4,BW$4,IF(CJ23&lt;=BX$5,BW$5,IF(CJ23&lt;=BX$6,BW$6,IF(CJ23&lt;=BX$7,BW$7,IF(CJ23&lt;=BX$12,BW$12,IF(CJ23&lt;=BX$13,BW$13,IF(CJ23&lt;=BX$14,BW$14,0.05)))))))</f>
        <v/>
      </c>
      <c r="CU23" s="1930">
        <f>CT23*CJ23</f>
        <v/>
      </c>
      <c r="CW23" s="1932">
        <f>0.07*SUM(CG23,CL23,CO23,CR23,CU23)</f>
        <v/>
      </c>
      <c r="CY23" s="1932">
        <f>SUM(CW23,CU23,CR23,CO23,CL23,CG23)</f>
        <v/>
      </c>
      <c r="CZ23" s="1933">
        <f>SUM(CU23,CR23,CO23,CL23)</f>
        <v/>
      </c>
      <c r="DA23" s="596">
        <f>CZ23/CY23</f>
        <v/>
      </c>
    </row>
    <row r="24" customFormat="1" s="585">
      <c r="A24" s="641" t="inlineStr">
        <is>
          <t>MATERIAL - Epoxy Liquids</t>
        </is>
      </c>
      <c r="B24" s="1953" t="n"/>
      <c r="C24" s="643" t="n"/>
      <c r="D24" s="644" t="n"/>
      <c r="E24" s="1954" t="n">
        <v>0</v>
      </c>
      <c r="F24" s="1362" t="inlineStr">
        <is>
          <t>SF -- System 2</t>
        </is>
      </c>
      <c r="G24" s="600" t="n"/>
      <c r="H24" s="658" t="inlineStr">
        <is>
          <t>Patch: Gallons CoveRez</t>
        </is>
      </c>
      <c r="I24" s="1963" t="n">
        <v>86</v>
      </c>
      <c r="J24" s="1964">
        <f>(SUM(D18:D19))</f>
        <v/>
      </c>
      <c r="K24" s="1965">
        <f>ROUND(J24/I24,0)</f>
        <v/>
      </c>
      <c r="L24" s="662" t="inlineStr">
        <is>
          <t># of Gallons (if CoveRez)</t>
        </is>
      </c>
      <c r="N24" s="1463" t="inlineStr">
        <is>
          <t>AT satin clr + Grit =</t>
        </is>
      </c>
      <c r="O24" s="1464">
        <f>AT_Clear_Satin_w_Grit</f>
        <v/>
      </c>
      <c r="P24" s="991" t="inlineStr">
        <is>
          <t>&lt;---broken cell, can't change "Defined Name"</t>
        </is>
      </c>
      <c r="AK24" s="1966" t="n">
        <v>17000</v>
      </c>
      <c r="AL24" s="1966" t="n"/>
      <c r="AM24" s="1966" t="n"/>
      <c r="AN24" s="1966">
        <f>AK24</f>
        <v/>
      </c>
      <c r="AO24" s="1966" t="n"/>
      <c r="AP24" s="1966" t="n"/>
      <c r="AQ24" s="1966">
        <f>AK24+AN24</f>
        <v/>
      </c>
      <c r="AR24" s="1966" t="n"/>
      <c r="AS24" s="1966" t="n"/>
      <c r="AT24" s="1930">
        <f>AQ24</f>
        <v/>
      </c>
      <c r="AU24" s="665">
        <f>IF(AK24&lt;=#REF!,#REF!,IF(AK24&lt;=#REF!,#REF!,IF(AK24&lt;=#REF!,#REF!,IF(AK24&lt;=#REF!,#REF!,IF(AK24&lt;=#REF!,#REF!,IF(AK24&lt;=#REF!,#REF!,IF(AK24&lt;=#REF!,#REF!,0.05)))))))</f>
        <v/>
      </c>
      <c r="AV24" s="1966">
        <f>AU24*AK24</f>
        <v/>
      </c>
      <c r="AW24" s="665" t="n"/>
      <c r="AX24" s="665">
        <f>IF(AN24&lt;=#REF!,#REF!,IF(AN24&lt;=#REF!,#REF!,IF(AN24&lt;=#REF!,#REF!,IF(AN24&lt;=#REF!,#REF!,IF(AN24&lt;=#REF!,#REF!,IF(AN24&lt;=#REF!,#REF!,IF(AN24&lt;=#REF!,#REF!,0.05)))))))</f>
        <v/>
      </c>
      <c r="AY24" s="1966">
        <f>AX24*AN24</f>
        <v/>
      </c>
      <c r="AZ24" s="665" t="n"/>
      <c r="BA24" s="665">
        <f>IF(AQ24&lt;=#REF!,#REF!,IF(AQ24&lt;=#REF!,#REF!,IF(AQ24&lt;=#REF!,#REF!,IF(AQ24&lt;=#REF!,#REF!,IF(AQ24&lt;=#REF!,#REF!,IF(AQ24&lt;=#REF!,#REF!,IF(AQ24&lt;=#REF!,#REF!,0.05)))))))</f>
        <v/>
      </c>
      <c r="BB24" s="1930">
        <f>BA24*SUM(AY24,AV24,AQ24)</f>
        <v/>
      </c>
      <c r="BC24" s="665" t="n"/>
      <c r="BD24" s="1967">
        <f>IF(AT24&lt;=#REF!,#REF!,IF(AT24&lt;=#REF!,#REF!,IF(AT24&lt;=#REF!,#REF!,IF(AT24&lt;=#REF!,#REF!,IF(AT24&lt;=#REF!,#REF!,IF(AT24&lt;=#REF!,#REF!,IF(AT24&lt;=#REF!,#REF!,0.05)))))))</f>
        <v/>
      </c>
      <c r="BE24" s="1966">
        <f>BD24*AT24</f>
        <v/>
      </c>
      <c r="BF24" s="667" t="n"/>
      <c r="BG24" s="1968">
        <f>0.07*SUM(AQ24,AV24,AY24,BB24,BE24)</f>
        <v/>
      </c>
      <c r="BH24" s="667" t="n"/>
      <c r="BI24" s="1968">
        <f>SUM(BG24,BE24,BB24,AY24,AV24,AQ24)</f>
        <v/>
      </c>
      <c r="BJ24" s="1969">
        <f>SUM(BE24,BB24,AY24,AV24)</f>
        <v/>
      </c>
      <c r="BK24" s="665">
        <f>BJ24/BI24</f>
        <v/>
      </c>
      <c r="CA24" s="1966" t="n">
        <v>17000</v>
      </c>
      <c r="CB24" s="1966" t="n"/>
      <c r="CC24" s="1966" t="n"/>
      <c r="CD24" s="1966">
        <f>CA24</f>
        <v/>
      </c>
      <c r="CE24" s="1966" t="n"/>
      <c r="CF24" s="1966" t="n"/>
      <c r="CG24" s="1966">
        <f>CA24+CD24</f>
        <v/>
      </c>
      <c r="CH24" s="1966" t="n"/>
      <c r="CI24" s="1966" t="n"/>
      <c r="CJ24" s="1930">
        <f>CG24</f>
        <v/>
      </c>
      <c r="CK24" s="665">
        <f>IF(CA24&lt;=BO$4,BN$4,IF(CA24&lt;=BO$5,BN$5,IF(CA24&lt;=BO$6,BN$6,IF(CA24&lt;=BO$7,BN$7,IF(CA24&lt;=BO$12,BN$12,IF(CA24&lt;=BO$13,BN$13,IF(CA24&lt;=BO$14,BN$14,0.05)))))))</f>
        <v/>
      </c>
      <c r="CL24" s="1966">
        <f>CK24*CA24</f>
        <v/>
      </c>
      <c r="CM24" s="665" t="n"/>
      <c r="CN24" s="665">
        <f>IF(CD24&lt;=BR$4,BQ$4,IF(CD24&lt;=BR$5,BQ$5,IF(CD24&lt;=BR$6,BQ$6,IF(CD24&lt;=BR$7,BQ$7,IF(CD24&lt;=BR$12,BQ$12,IF(CD24&lt;=BR$13,BQ$13,IF(CD24&lt;=BR$14,BQ$14,0.05)))))))</f>
        <v/>
      </c>
      <c r="CO24" s="1966">
        <f>CN24*CD24</f>
        <v/>
      </c>
      <c r="CP24" s="665" t="n"/>
      <c r="CQ24" s="665">
        <f>IF(CG24&lt;=BU$4,BT$4,IF(CG24&lt;=BU$5,BT$5,IF(CG24&lt;=BU$6,BT$6,IF(CG24&lt;=BU$7,BT$7,IF(CG24&lt;=BU$12,BT$12,IF(CG24&lt;=BU$13,BT$13,IF(CG24&lt;=BU$14,BT$14,0.05)))))))</f>
        <v/>
      </c>
      <c r="CR24" s="1930">
        <f>CQ24*SUM(CO24,CL24,CG24)</f>
        <v/>
      </c>
      <c r="CS24" s="665" t="n"/>
      <c r="CT24" s="1967">
        <f>IF(CJ24&lt;=BX$4,BW$4,IF(CJ24&lt;=BX$5,BW$5,IF(CJ24&lt;=BX$6,BW$6,IF(CJ24&lt;=BX$7,BW$7,IF(CJ24&lt;=BX$12,BW$12,IF(CJ24&lt;=BX$13,BW$13,IF(CJ24&lt;=BX$14,BW$14,0.05)))))))</f>
        <v/>
      </c>
      <c r="CU24" s="1966">
        <f>CT24*CJ24</f>
        <v/>
      </c>
      <c r="CV24" s="667" t="n"/>
      <c r="CW24" s="1968">
        <f>0.07*SUM(CG24,CL24,CO24,CR24,CU24)</f>
        <v/>
      </c>
      <c r="CX24" s="667" t="n"/>
      <c r="CY24" s="1968">
        <f>SUM(CW24,CU24,CR24,CO24,CL24,CG24)</f>
        <v/>
      </c>
      <c r="CZ24" s="1969">
        <f>SUM(CU24,CR24,CO24,CL24)</f>
        <v/>
      </c>
      <c r="DA24" s="665">
        <f>CZ24/CY24</f>
        <v/>
      </c>
    </row>
    <row r="25" customFormat="1" s="585">
      <c r="A25" s="1358" t="inlineStr">
        <is>
          <t>Primer Options</t>
        </is>
      </c>
      <c r="B25" s="1970" t="n"/>
      <c r="C25" s="1360" t="inlineStr">
        <is>
          <t>Liquids</t>
        </is>
      </c>
      <c r="D25" s="1971">
        <f>IF(A25=AB162,AF162,IF(A25=AB163,AF163,IF(A25=AB164,AF164,IF(A25=AB165,AF165,IF(A25=AB166,AF166,IF(A25=AB167,AF167,0))))))</f>
        <v/>
      </c>
      <c r="E25" s="1957" t="n"/>
      <c r="F25" s="600" t="n"/>
      <c r="G25" s="600" t="n"/>
      <c r="H25" s="670" t="inlineStr">
        <is>
          <t>Patch: Kits of WR</t>
        </is>
      </c>
      <c r="I25" s="1972" t="n">
        <v>59</v>
      </c>
      <c r="J25" s="1973">
        <f>(SUM(D18:D19))</f>
        <v/>
      </c>
      <c r="K25" s="1974">
        <f>ROUND(J25/I25,0)</f>
        <v/>
      </c>
      <c r="L25" s="662" t="inlineStr">
        <is>
          <t># of Kits (if WR)</t>
        </is>
      </c>
      <c r="O25" s="663" t="inlineStr">
        <is>
          <t>Takoff Tab</t>
        </is>
      </c>
      <c r="P25" s="633" t="inlineStr">
        <is>
          <t>sf</t>
        </is>
      </c>
      <c r="Q25" s="633" t="inlineStr">
        <is>
          <t>lf</t>
        </is>
      </c>
      <c r="R25" s="674" t="inlineStr">
        <is>
          <t>extra cell</t>
        </is>
      </c>
      <c r="S25" s="674" t="inlineStr">
        <is>
          <t>extra cell</t>
        </is>
      </c>
      <c r="T25" s="674" t="inlineStr">
        <is>
          <t>extra cell</t>
        </is>
      </c>
      <c r="AK25" s="1930" t="n">
        <v>18000</v>
      </c>
      <c r="AL25" s="1930" t="n"/>
      <c r="AM25" s="1930" t="n"/>
      <c r="AN25" s="1930">
        <f>AK25</f>
        <v/>
      </c>
      <c r="AO25" s="1930" t="n"/>
      <c r="AP25" s="1930" t="n"/>
      <c r="AQ25" s="1930">
        <f>AK25+AN25</f>
        <v/>
      </c>
      <c r="AR25" s="1930" t="n"/>
      <c r="AS25" s="1930" t="n"/>
      <c r="AT25" s="1930">
        <f>AQ25</f>
        <v/>
      </c>
      <c r="AU25" s="596">
        <f>IF(AK25&lt;=#REF!,#REF!,IF(AK25&lt;=#REF!,#REF!,IF(AK25&lt;=#REF!,#REF!,IF(AK25&lt;=#REF!,#REF!,IF(AK25&lt;=#REF!,#REF!,IF(AK25&lt;=#REF!,#REF!,IF(AK25&lt;=#REF!,#REF!,0.05)))))))</f>
        <v/>
      </c>
      <c r="AV25" s="1930">
        <f>AU25*AK25</f>
        <v/>
      </c>
      <c r="AW25" s="596" t="n"/>
      <c r="AX25" s="596">
        <f>IF(AN25&lt;=#REF!,#REF!,IF(AN25&lt;=#REF!,#REF!,IF(AN25&lt;=#REF!,#REF!,IF(AN25&lt;=#REF!,#REF!,IF(AN25&lt;=#REF!,#REF!,IF(AN25&lt;=#REF!,#REF!,IF(AN25&lt;=#REF!,#REF!,0.05)))))))</f>
        <v/>
      </c>
      <c r="AY25" s="1930">
        <f>AX25*AN25</f>
        <v/>
      </c>
      <c r="AZ25" s="596" t="n"/>
      <c r="BA25" s="596">
        <f>IF(AQ25&lt;=#REF!,#REF!,IF(AQ25&lt;=#REF!,#REF!,IF(AQ25&lt;=#REF!,#REF!,IF(AQ25&lt;=#REF!,#REF!,IF(AQ25&lt;=#REF!,#REF!,IF(AQ25&lt;=#REF!,#REF!,IF(AQ25&lt;=#REF!,#REF!,0.05)))))))</f>
        <v/>
      </c>
      <c r="BB25" s="1930">
        <f>BA25*SUM(AY25,AV25,AQ25)</f>
        <v/>
      </c>
      <c r="BC25" s="596" t="n"/>
      <c r="BD25" s="1931">
        <f>IF(AT25&lt;=#REF!,#REF!,IF(AT25&lt;=#REF!,#REF!,IF(AT25&lt;=#REF!,#REF!,IF(AT25&lt;=#REF!,#REF!,IF(AT25&lt;=#REF!,#REF!,IF(AT25&lt;=#REF!,#REF!,IF(AT25&lt;=#REF!,#REF!,0.05)))))))</f>
        <v/>
      </c>
      <c r="BE25" s="1930">
        <f>BD25*AT25</f>
        <v/>
      </c>
      <c r="BG25" s="1932">
        <f>0.07*SUM(AQ25,AV25,AY25,BB25,BE25)</f>
        <v/>
      </c>
      <c r="BI25" s="1932">
        <f>SUM(BG25,BE25,BB25,AY25,AV25,AQ25)</f>
        <v/>
      </c>
      <c r="BJ25" s="1933">
        <f>SUM(BE25,BB25,AY25,AV25)</f>
        <v/>
      </c>
      <c r="BK25" s="596">
        <f>BJ25/BI25</f>
        <v/>
      </c>
      <c r="CA25" s="1930" t="n">
        <v>18000</v>
      </c>
      <c r="CB25" s="1930" t="n"/>
      <c r="CC25" s="1930" t="n"/>
      <c r="CD25" s="1930">
        <f>CA25</f>
        <v/>
      </c>
      <c r="CE25" s="1930" t="n"/>
      <c r="CF25" s="1930" t="n"/>
      <c r="CG25" s="1930">
        <f>CA25+CD25</f>
        <v/>
      </c>
      <c r="CH25" s="1930" t="n"/>
      <c r="CI25" s="1930" t="n"/>
      <c r="CJ25" s="1930">
        <f>CG25</f>
        <v/>
      </c>
      <c r="CK25" s="596">
        <f>IF(CA25&lt;=BO$4,BN$4,IF(CA25&lt;=BO$5,BN$5,IF(CA25&lt;=BO$6,BN$6,IF(CA25&lt;=BO$7,BN$7,IF(CA25&lt;=BO$12,BN$12,IF(CA25&lt;=BO$13,BN$13,IF(CA25&lt;=BO$14,BN$14,0.05)))))))</f>
        <v/>
      </c>
      <c r="CL25" s="1930">
        <f>CK25*CA25</f>
        <v/>
      </c>
      <c r="CM25" s="596" t="n"/>
      <c r="CN25" s="596">
        <f>IF(CD25&lt;=BR$4,BQ$4,IF(CD25&lt;=BR$5,BQ$5,IF(CD25&lt;=BR$6,BQ$6,IF(CD25&lt;=BR$7,BQ$7,IF(CD25&lt;=BR$12,BQ$12,IF(CD25&lt;=BR$13,BQ$13,IF(CD25&lt;=BR$14,BQ$14,0.05)))))))</f>
        <v/>
      </c>
      <c r="CO25" s="1930">
        <f>CN25*CD25</f>
        <v/>
      </c>
      <c r="CP25" s="596" t="n"/>
      <c r="CQ25" s="596">
        <f>IF(CG25&lt;=BU$4,BT$4,IF(CG25&lt;=BU$5,BT$5,IF(CG25&lt;=BU$6,BT$6,IF(CG25&lt;=BU$7,BT$7,IF(CG25&lt;=BU$12,BT$12,IF(CG25&lt;=BU$13,BT$13,IF(CG25&lt;=BU$14,BT$14,0.05)))))))</f>
        <v/>
      </c>
      <c r="CR25" s="1930">
        <f>CQ25*SUM(CO25,CL25,CG25)</f>
        <v/>
      </c>
      <c r="CS25" s="596" t="n"/>
      <c r="CT25" s="1931">
        <f>IF(CJ25&lt;=BX$4,BW$4,IF(CJ25&lt;=BX$5,BW$5,IF(CJ25&lt;=BX$6,BW$6,IF(CJ25&lt;=BX$7,BW$7,IF(CJ25&lt;=BX$12,BW$12,IF(CJ25&lt;=BX$13,BW$13,IF(CJ25&lt;=BX$14,BW$14,0.05)))))))</f>
        <v/>
      </c>
      <c r="CU25" s="1930">
        <f>CT25*CJ25</f>
        <v/>
      </c>
      <c r="CW25" s="1932">
        <f>0.07*SUM(CG25,CL25,CO25,CR25,CU25)</f>
        <v/>
      </c>
      <c r="CY25" s="1932">
        <f>SUM(CW25,CU25,CR25,CO25,CL25,CG25)</f>
        <v/>
      </c>
      <c r="CZ25" s="1933">
        <f>SUM(CU25,CR25,CO25,CL25)</f>
        <v/>
      </c>
      <c r="DA25" s="596">
        <f>CZ25/CY25</f>
        <v/>
      </c>
    </row>
    <row r="26" customFormat="1" s="585">
      <c r="A26" s="1358" t="inlineStr">
        <is>
          <t>System 2 Options / Walls (scroll down)</t>
        </is>
      </c>
      <c r="B26" s="1970" t="n"/>
      <c r="C26" s="1360" t="inlineStr">
        <is>
          <t>Liquids</t>
        </is>
      </c>
      <c r="D26" s="1971">
        <f>IF(A26=AR181,AF175,IF(A26=AR182,AF182,IF(A26=AR183,AF188,IF(A26=AR184,AF197,IF(A26=AR185,AF205,IF(A26=AR186,AF213,IF(A26=AR187,AF221,IF(A26=AR188,AF227,IF(A26=AR189,AF237,IF(A26=AR190,AF245,IF(A26=AR191,AF254,IF(A26=AR192,AF264,IF(A26=AR193,AF271,IF(A26=AR194,AF279,IF(A26=AR195,AF286,IF(A26=AR198,AF297,IF(A26=AR199,AF308,IF(A26=AR200,AF316,IF(A26=AR201,AF324,IF(A26=AR202,AF331,IF(A26=AR203,AF339,0)))))))))))))))))))))</f>
        <v/>
      </c>
      <c r="E26" s="1957" t="n"/>
      <c r="F26" s="600" t="n"/>
      <c r="G26" s="600" t="n"/>
      <c r="I26" s="590" t="n"/>
      <c r="O26" s="675">
        <f>Takeoff!B14</f>
        <v/>
      </c>
      <c r="P26" s="1975">
        <f>Takeoff!C14</f>
        <v/>
      </c>
      <c r="Q26" s="1975">
        <f>Takeoff!D14</f>
        <v/>
      </c>
      <c r="R26" s="1975">
        <f>Takeoff!E14</f>
        <v/>
      </c>
      <c r="S26" s="1945">
        <f>Takeoff!F14</f>
        <v/>
      </c>
      <c r="T26" s="1945">
        <f>Takeoff!G14</f>
        <v/>
      </c>
      <c r="AK26" s="1930" t="n">
        <v>19000</v>
      </c>
      <c r="AL26" s="1930" t="n"/>
      <c r="AM26" s="1930" t="n"/>
      <c r="AN26" s="1930">
        <f>AK26</f>
        <v/>
      </c>
      <c r="AO26" s="1930" t="n"/>
      <c r="AP26" s="1930" t="n"/>
      <c r="AQ26" s="1930">
        <f>AK26+AN26</f>
        <v/>
      </c>
      <c r="AR26" s="1930" t="n"/>
      <c r="AS26" s="1930" t="n"/>
      <c r="AT26" s="1930">
        <f>AQ26</f>
        <v/>
      </c>
      <c r="AU26" s="596">
        <f>IF(AK26&lt;=#REF!,#REF!,IF(AK26&lt;=#REF!,#REF!,IF(AK26&lt;=#REF!,#REF!,IF(AK26&lt;=#REF!,#REF!,IF(AK26&lt;=#REF!,#REF!,IF(AK26&lt;=#REF!,#REF!,IF(AK26&lt;=#REF!,#REF!,0.05)))))))</f>
        <v/>
      </c>
      <c r="AV26" s="1930">
        <f>AU26*AK26</f>
        <v/>
      </c>
      <c r="AW26" s="596" t="n"/>
      <c r="AX26" s="596">
        <f>IF(AN26&lt;=#REF!,#REF!,IF(AN26&lt;=#REF!,#REF!,IF(AN26&lt;=#REF!,#REF!,IF(AN26&lt;=#REF!,#REF!,IF(AN26&lt;=#REF!,#REF!,IF(AN26&lt;=#REF!,#REF!,IF(AN26&lt;=#REF!,#REF!,0.05)))))))</f>
        <v/>
      </c>
      <c r="AY26" s="1930">
        <f>AX26*AN26</f>
        <v/>
      </c>
      <c r="AZ26" s="596" t="n"/>
      <c r="BA26" s="596">
        <f>IF(AQ26&lt;=#REF!,#REF!,IF(AQ26&lt;=#REF!,#REF!,IF(AQ26&lt;=#REF!,#REF!,IF(AQ26&lt;=#REF!,#REF!,IF(AQ26&lt;=#REF!,#REF!,IF(AQ26&lt;=#REF!,#REF!,IF(AQ26&lt;=#REF!,#REF!,0.05)))))))</f>
        <v/>
      </c>
      <c r="BB26" s="1930">
        <f>BA26*SUM(AY26,AV26,AQ26)</f>
        <v/>
      </c>
      <c r="BC26" s="596" t="n"/>
      <c r="BD26" s="1931">
        <f>IF(AT26&lt;=#REF!,#REF!,IF(AT26&lt;=#REF!,#REF!,IF(AT26&lt;=#REF!,#REF!,IF(AT26&lt;=#REF!,#REF!,IF(AT26&lt;=#REF!,#REF!,IF(AT26&lt;=#REF!,#REF!,IF(AT26&lt;=#REF!,#REF!,0.05)))))))</f>
        <v/>
      </c>
      <c r="BE26" s="1930">
        <f>BD26*AT26</f>
        <v/>
      </c>
      <c r="BG26" s="1932">
        <f>0.07*SUM(AQ26,AV26,AY26,BB26,BE26)</f>
        <v/>
      </c>
      <c r="BI26" s="1932">
        <f>SUM(BG26,BE26,BB26,AY26,AV26,AQ26)</f>
        <v/>
      </c>
      <c r="BJ26" s="1933">
        <f>SUM(BE26,BB26,AY26,AV26)</f>
        <v/>
      </c>
      <c r="BK26" s="596">
        <f>BJ26/BI26</f>
        <v/>
      </c>
      <c r="CA26" s="1930" t="n">
        <v>19000</v>
      </c>
      <c r="CB26" s="1930" t="n"/>
      <c r="CC26" s="1930" t="n"/>
      <c r="CD26" s="1930">
        <f>CA26</f>
        <v/>
      </c>
      <c r="CE26" s="1930" t="n"/>
      <c r="CF26" s="1930" t="n"/>
      <c r="CG26" s="1930">
        <f>CA26+CD26</f>
        <v/>
      </c>
      <c r="CH26" s="1930" t="n"/>
      <c r="CI26" s="1930" t="n"/>
      <c r="CJ26" s="1930">
        <f>CG26</f>
        <v/>
      </c>
      <c r="CK26" s="596">
        <f>IF(CA26&lt;=BO$4,BN$4,IF(CA26&lt;=BO$5,BN$5,IF(CA26&lt;=BO$6,BN$6,IF(CA26&lt;=BO$7,BN$7,IF(CA26&lt;=BO$12,BN$12,IF(CA26&lt;=BO$13,BN$13,IF(CA26&lt;=BO$14,BN$14,0.05)))))))</f>
        <v/>
      </c>
      <c r="CL26" s="1930">
        <f>CK26*CA26</f>
        <v/>
      </c>
      <c r="CM26" s="596" t="n"/>
      <c r="CN26" s="596">
        <f>IF(CD26&lt;=BR$4,BQ$4,IF(CD26&lt;=BR$5,BQ$5,IF(CD26&lt;=BR$6,BQ$6,IF(CD26&lt;=BR$7,BQ$7,IF(CD26&lt;=BR$12,BQ$12,IF(CD26&lt;=BR$13,BQ$13,IF(CD26&lt;=BR$14,BQ$14,0.05)))))))</f>
        <v/>
      </c>
      <c r="CO26" s="1930">
        <f>CN26*CD26</f>
        <v/>
      </c>
      <c r="CP26" s="596" t="n"/>
      <c r="CQ26" s="596">
        <f>IF(CG26&lt;=BU$4,BT$4,IF(CG26&lt;=BU$5,BT$5,IF(CG26&lt;=BU$6,BT$6,IF(CG26&lt;=BU$7,BT$7,IF(CG26&lt;=BU$12,BT$12,IF(CG26&lt;=BU$13,BT$13,IF(CG26&lt;=BU$14,BT$14,0.05)))))))</f>
        <v/>
      </c>
      <c r="CR26" s="1930">
        <f>CQ26*SUM(CO26,CL26,CG26)</f>
        <v/>
      </c>
      <c r="CS26" s="596" t="n"/>
      <c r="CT26" s="1931">
        <f>IF(CJ26&lt;=BX$4,BW$4,IF(CJ26&lt;=BX$5,BW$5,IF(CJ26&lt;=BX$6,BW$6,IF(CJ26&lt;=BX$7,BW$7,IF(CJ26&lt;=BX$12,BW$12,IF(CJ26&lt;=BX$13,BW$13,IF(CJ26&lt;=BX$14,BW$14,0.05)))))))</f>
        <v/>
      </c>
      <c r="CU26" s="1930">
        <f>CT26*CJ26</f>
        <v/>
      </c>
      <c r="CW26" s="1932">
        <f>0.07*SUM(CG26,CL26,CO26,CR26,CU26)</f>
        <v/>
      </c>
      <c r="CY26" s="1932">
        <f>SUM(CW26,CU26,CR26,CO26,CL26,CG26)</f>
        <v/>
      </c>
      <c r="CZ26" s="1933">
        <f>SUM(CU26,CR26,CO26,CL26)</f>
        <v/>
      </c>
      <c r="DA26" s="596">
        <f>CZ26/CY26</f>
        <v/>
      </c>
    </row>
    <row r="27" customFormat="1" s="585">
      <c r="A27" s="647" t="n"/>
      <c r="B27" s="1941" t="n"/>
      <c r="C27" s="1944" t="n"/>
      <c r="D27" s="1962">
        <f>B27*C27</f>
        <v/>
      </c>
      <c r="E27" s="600" t="n"/>
      <c r="F27" s="600" t="n"/>
      <c r="G27" s="600" t="n"/>
      <c r="H27" s="600" t="n"/>
      <c r="O27" s="675">
        <f>Takeoff!I14</f>
        <v/>
      </c>
      <c r="P27" s="1975">
        <f>Takeoff!J14</f>
        <v/>
      </c>
      <c r="Q27" s="1975">
        <f>Takeoff!K14</f>
        <v/>
      </c>
      <c r="R27" s="1975">
        <f>Takeoff!L14</f>
        <v/>
      </c>
      <c r="S27" s="1945">
        <f>Takeoff!M14</f>
        <v/>
      </c>
      <c r="T27" s="1945">
        <f>Takeoff!N14</f>
        <v/>
      </c>
      <c r="AW27" s="1930" t="n">
        <v>20000</v>
      </c>
      <c r="AX27" s="1930" t="n"/>
      <c r="AY27" s="1930" t="n"/>
      <c r="AZ27" s="1930">
        <f>AW27</f>
        <v/>
      </c>
      <c r="BA27" s="1930" t="n"/>
      <c r="BB27" s="1930" t="n"/>
      <c r="BC27" s="1930">
        <f>AW27+AZ27</f>
        <v/>
      </c>
      <c r="BD27" s="1930" t="n"/>
      <c r="BE27" s="1930" t="n"/>
      <c r="BF27" s="1930">
        <f>BC27</f>
        <v/>
      </c>
      <c r="BG27" s="596">
        <f>IF(AW27&lt;=#REF!,#REF!,IF(AW27&lt;=#REF!,#REF!,IF(AW27&lt;=#REF!,#REF!,IF(AW27&lt;=#REF!,#REF!,IF(AW27&lt;=#REF!,#REF!,IF(AW27&lt;=#REF!,#REF!,IF(AW27&lt;=#REF!,#REF!,0.05)))))))</f>
        <v/>
      </c>
      <c r="BH27" s="1930">
        <f>BG27*AW27</f>
        <v/>
      </c>
      <c r="BI27" s="596" t="n"/>
      <c r="BJ27" s="596">
        <f>IF(AZ27&lt;=#REF!,#REF!,IF(AZ27&lt;=#REF!,#REF!,IF(AZ27&lt;=#REF!,#REF!,IF(AZ27&lt;=#REF!,#REF!,IF(AZ27&lt;=#REF!,#REF!,IF(AZ27&lt;=#REF!,#REF!,IF(AZ27&lt;=#REF!,#REF!,0.05)))))))</f>
        <v/>
      </c>
      <c r="BK27" s="1930">
        <f>BJ27*AZ27</f>
        <v/>
      </c>
      <c r="BL27" s="596" t="n"/>
      <c r="BM27" s="596">
        <f>IF(BC27&lt;=#REF!,#REF!,IF(BC27&lt;=#REF!,#REF!,IF(BC27&lt;=#REF!,#REF!,IF(BC27&lt;=#REF!,#REF!,IF(BC27&lt;=#REF!,#REF!,IF(BC27&lt;=#REF!,#REF!,IF(BC27&lt;=#REF!,#REF!,0.05)))))))</f>
        <v/>
      </c>
      <c r="BN27" s="1930">
        <f>BM27*SUM(BK27,BH27,BC27)</f>
        <v/>
      </c>
      <c r="BO27" s="596" t="n"/>
      <c r="BP27" s="1931">
        <f>IF(BF27&lt;=#REF!,#REF!,IF(BF27&lt;=#REF!,#REF!,IF(BF27&lt;=#REF!,#REF!,IF(BF27&lt;=#REF!,#REF!,IF(BF27&lt;=#REF!,#REF!,IF(BF27&lt;=#REF!,#REF!,IF(BF27&lt;=#REF!,#REF!,0.05)))))))</f>
        <v/>
      </c>
      <c r="BQ27" s="1930">
        <f>BP27*BF27</f>
        <v/>
      </c>
      <c r="BS27" s="1932">
        <f>0.07*SUM(BC27,BH27,BK27,BN27,BQ27)</f>
        <v/>
      </c>
      <c r="BU27" s="1932">
        <f>SUM(BS27,BQ27,BN27,BK27,BH27,BC27)</f>
        <v/>
      </c>
      <c r="BV27" s="1933">
        <f>SUM(BQ27,BN27,BK27,BH27)</f>
        <v/>
      </c>
      <c r="BW27" s="596">
        <f>BV27/BU27</f>
        <v/>
      </c>
      <c r="CM27" s="1930" t="n">
        <v>20000</v>
      </c>
      <c r="CN27" s="1930" t="n"/>
      <c r="CO27" s="1930" t="n"/>
      <c r="CP27" s="1930">
        <f>CM27</f>
        <v/>
      </c>
      <c r="CQ27" s="1930" t="n"/>
      <c r="CR27" s="1930" t="n"/>
      <c r="CS27" s="1930">
        <f>CM27+CP27</f>
        <v/>
      </c>
      <c r="CT27" s="1930" t="n"/>
      <c r="CU27" s="1930" t="n"/>
      <c r="CV27" s="1930">
        <f>CS27</f>
        <v/>
      </c>
      <c r="CW27" s="596">
        <f>IF(CM27&lt;=BO$4,BN$4,IF(CM27&lt;=BO$5,BN$5,IF(CM27&lt;=BO$6,BN$6,IF(CM27&lt;=BO$7,BN$7,IF(CM27&lt;=BO$12,BN$12,IF(CM27&lt;=BO$13,BN$13,IF(CM27&lt;=BO$14,BN$14,0.05)))))))</f>
        <v/>
      </c>
      <c r="CX27" s="1930">
        <f>CW27*CM27</f>
        <v/>
      </c>
      <c r="CY27" s="596" t="n"/>
      <c r="CZ27" s="596">
        <f>IF(CP27&lt;=BR$4,BQ$4,IF(CP27&lt;=BR$5,BQ$5,IF(CP27&lt;=BR$6,BQ$6,IF(CP27&lt;=BR$7,BQ$7,IF(CP27&lt;=BR$12,BQ$12,IF(CP27&lt;=BR$13,BQ$13,IF(CP27&lt;=BR$14,BQ$14,0.05)))))))</f>
        <v/>
      </c>
      <c r="DA27" s="1930">
        <f>CZ27*CP27</f>
        <v/>
      </c>
      <c r="DB27" s="596" t="n"/>
      <c r="DC27" s="596">
        <f>IF(CS27&lt;=BU$4,BT$4,IF(CS27&lt;=BU$5,BT$5,IF(CS27&lt;=BU$6,BT$6,IF(CS27&lt;=BU$7,BT$7,IF(CS27&lt;=BU$12,BT$12,IF(CS27&lt;=BU$13,BT$13,IF(CS27&lt;=BU$14,BT$14,0.05)))))))</f>
        <v/>
      </c>
      <c r="DD27" s="1930">
        <f>DC27*SUM(DA27,CX27,CS27)</f>
        <v/>
      </c>
      <c r="DE27" s="596" t="n"/>
      <c r="DF27" s="1931">
        <f>IF(CV27&lt;=BX$4,BW$4,IF(CV27&lt;=BX$5,BW$5,IF(CV27&lt;=BX$6,BW$6,IF(CV27&lt;=BX$7,BW$7,IF(CV27&lt;=BX$12,BW$12,IF(CV27&lt;=BX$13,BW$13,IF(CV27&lt;=BX$14,BW$14,0.05)))))))</f>
        <v/>
      </c>
      <c r="DG27" s="1930">
        <f>DF27*CV27</f>
        <v/>
      </c>
      <c r="DI27" s="1932">
        <f>0.07*SUM(CS27,CX27,DA27,DD27,DG27)</f>
        <v/>
      </c>
      <c r="DK27" s="1932">
        <f>SUM(DI27,DG27,DD27,DA27,CX27,CS27)</f>
        <v/>
      </c>
      <c r="DL27" s="1933">
        <f>SUM(DG27,DD27,DA27,CX27)</f>
        <v/>
      </c>
      <c r="DM27" s="596">
        <f>DL27/DK27</f>
        <v/>
      </c>
    </row>
    <row r="28" customFormat="1" s="585">
      <c r="A28" s="647" t="n"/>
      <c r="B28" s="1941" t="n"/>
      <c r="C28" s="1944" t="n"/>
      <c r="D28" s="1962">
        <f>B28*C28</f>
        <v/>
      </c>
      <c r="E28" s="600" t="n"/>
      <c r="F28" s="600" t="n"/>
      <c r="G28" s="600" t="n"/>
      <c r="O28" s="675">
        <f>Takeoff!P14</f>
        <v/>
      </c>
      <c r="P28" s="1975">
        <f>Takeoff!Q14</f>
        <v/>
      </c>
      <c r="Q28" s="1975">
        <f>Takeoff!R14</f>
        <v/>
      </c>
      <c r="R28" s="1975">
        <f>Takeoff!S14</f>
        <v/>
      </c>
      <c r="S28" s="1945">
        <f>Takeoff!T14</f>
        <v/>
      </c>
      <c r="T28" s="1945">
        <f>Takeoff!U14</f>
        <v/>
      </c>
      <c r="AW28" s="1930" t="n">
        <v>21000</v>
      </c>
      <c r="AX28" s="1930" t="n"/>
      <c r="AY28" s="1930" t="n"/>
      <c r="AZ28" s="1930">
        <f>AW28</f>
        <v/>
      </c>
      <c r="BA28" s="1930" t="n"/>
      <c r="BB28" s="1930" t="n"/>
      <c r="BC28" s="1930">
        <f>AW28+AZ28</f>
        <v/>
      </c>
      <c r="BD28" s="1930" t="n"/>
      <c r="BE28" s="1930" t="n"/>
      <c r="BF28" s="1930">
        <f>BC28</f>
        <v/>
      </c>
      <c r="BG28" s="596">
        <f>IF(AW28&lt;=#REF!,#REF!,IF(AW28&lt;=#REF!,#REF!,IF(AW28&lt;=#REF!,#REF!,IF(AW28&lt;=#REF!,#REF!,IF(AW28&lt;=#REF!,#REF!,IF(AW28&lt;=#REF!,#REF!,IF(AW28&lt;=#REF!,#REF!,0.05)))))))</f>
        <v/>
      </c>
      <c r="BH28" s="1930">
        <f>BG28*AW28</f>
        <v/>
      </c>
      <c r="BI28" s="596" t="n"/>
      <c r="BJ28" s="596">
        <f>IF(AZ28&lt;=#REF!,#REF!,IF(AZ28&lt;=#REF!,#REF!,IF(AZ28&lt;=#REF!,#REF!,IF(AZ28&lt;=#REF!,#REF!,IF(AZ28&lt;=#REF!,#REF!,IF(AZ28&lt;=#REF!,#REF!,IF(AZ28&lt;=#REF!,#REF!,0.05)))))))</f>
        <v/>
      </c>
      <c r="BK28" s="1930">
        <f>BJ28*AZ28</f>
        <v/>
      </c>
      <c r="BL28" s="596" t="n"/>
      <c r="BM28" s="596">
        <f>IF(BC28&lt;=#REF!,#REF!,IF(BC28&lt;=#REF!,#REF!,IF(BC28&lt;=#REF!,#REF!,IF(BC28&lt;=#REF!,#REF!,IF(BC28&lt;=#REF!,#REF!,IF(BC28&lt;=#REF!,#REF!,IF(BC28&lt;=#REF!,#REF!,0.05)))))))</f>
        <v/>
      </c>
      <c r="BN28" s="1930">
        <f>BM28*SUM(BK28,BH28,BC28)</f>
        <v/>
      </c>
      <c r="BO28" s="596" t="n"/>
      <c r="BP28" s="1931">
        <f>IF(BF28&lt;=#REF!,#REF!,IF(BF28&lt;=#REF!,#REF!,IF(BF28&lt;=#REF!,#REF!,IF(BF28&lt;=#REF!,#REF!,IF(BF28&lt;=#REF!,#REF!,IF(BF28&lt;=#REF!,#REF!,IF(BF28&lt;=#REF!,#REF!,0.05)))))))</f>
        <v/>
      </c>
      <c r="BQ28" s="1930">
        <f>BP28*BF28</f>
        <v/>
      </c>
      <c r="BS28" s="1932">
        <f>0.07*SUM(BC28,BH28,BK28,BN28,BQ28)</f>
        <v/>
      </c>
      <c r="BU28" s="1932">
        <f>SUM(BS28,BQ28,BN28,BK28,BH28,BC28)</f>
        <v/>
      </c>
      <c r="BV28" s="1933">
        <f>SUM(BQ28,BN28,BK28,BH28)</f>
        <v/>
      </c>
      <c r="BW28" s="596">
        <f>BV28/BU28</f>
        <v/>
      </c>
      <c r="CM28" s="1930" t="n">
        <v>21000</v>
      </c>
      <c r="CN28" s="1930" t="n"/>
      <c r="CO28" s="1930" t="n"/>
      <c r="CP28" s="1930">
        <f>CM28</f>
        <v/>
      </c>
      <c r="CQ28" s="1930" t="n"/>
      <c r="CR28" s="1930" t="n"/>
      <c r="CS28" s="1930">
        <f>CM28+CP28</f>
        <v/>
      </c>
      <c r="CT28" s="1930" t="n"/>
      <c r="CU28" s="1930" t="n"/>
      <c r="CV28" s="1930">
        <f>CS28</f>
        <v/>
      </c>
      <c r="CW28" s="596">
        <f>IF(CM28&lt;=BO$4,BN$4,IF(CM28&lt;=BO$5,BN$5,IF(CM28&lt;=BO$6,BN$6,IF(CM28&lt;=BO$7,BN$7,IF(CM28&lt;=BO$12,BN$12,IF(CM28&lt;=BO$13,BN$13,IF(CM28&lt;=BO$14,BN$14,0.05)))))))</f>
        <v/>
      </c>
      <c r="CX28" s="1930">
        <f>CW28*CM28</f>
        <v/>
      </c>
      <c r="CY28" s="596" t="n"/>
      <c r="CZ28" s="596">
        <f>IF(CP28&lt;=BR$4,BQ$4,IF(CP28&lt;=BR$5,BQ$5,IF(CP28&lt;=BR$6,BQ$6,IF(CP28&lt;=BR$7,BQ$7,IF(CP28&lt;=BR$12,BQ$12,IF(CP28&lt;=BR$13,BQ$13,IF(CP28&lt;=BR$14,BQ$14,0.05)))))))</f>
        <v/>
      </c>
      <c r="DA28" s="1930">
        <f>CZ28*CP28</f>
        <v/>
      </c>
      <c r="DB28" s="596" t="n"/>
      <c r="DC28" s="596">
        <f>IF(CS28&lt;=BU$4,BT$4,IF(CS28&lt;=BU$5,BT$5,IF(CS28&lt;=BU$6,BT$6,IF(CS28&lt;=BU$7,BT$7,IF(CS28&lt;=BU$12,BT$12,IF(CS28&lt;=BU$13,BT$13,IF(CS28&lt;=BU$14,BT$14,0.05)))))))</f>
        <v/>
      </c>
      <c r="DD28" s="1930">
        <f>DC28*SUM(DA28,CX28,CS28)</f>
        <v/>
      </c>
      <c r="DE28" s="596" t="n"/>
      <c r="DF28" s="1931">
        <f>IF(CV28&lt;=BX$4,BW$4,IF(CV28&lt;=BX$5,BW$5,IF(CV28&lt;=BX$6,BW$6,IF(CV28&lt;=BX$7,BW$7,IF(CV28&lt;=BX$12,BW$12,IF(CV28&lt;=BX$13,BW$13,IF(CV28&lt;=BX$14,BW$14,0.05)))))))</f>
        <v/>
      </c>
      <c r="DG28" s="1930">
        <f>DF28*CV28</f>
        <v/>
      </c>
      <c r="DI28" s="1932">
        <f>0.07*SUM(CS28,CX28,DA28,DD28,DG28)</f>
        <v/>
      </c>
      <c r="DK28" s="1932">
        <f>SUM(DI28,DG28,DD28,DA28,CX28,CS28)</f>
        <v/>
      </c>
      <c r="DL28" s="1933">
        <f>SUM(DG28,DD28,DA28,CX28)</f>
        <v/>
      </c>
      <c r="DM28" s="596">
        <f>DL28/DK28</f>
        <v/>
      </c>
    </row>
    <row r="29" customFormat="1" s="585">
      <c r="A29" s="641" t="inlineStr">
        <is>
          <t>MATERIAL - Extras</t>
        </is>
      </c>
      <c r="B29" s="1976" t="n"/>
      <c r="C29" s="1977" t="n"/>
      <c r="D29" s="1978" t="n"/>
      <c r="E29" s="600" t="n"/>
      <c r="F29" s="600" t="n"/>
      <c r="G29" s="600" t="n"/>
      <c r="O29" s="675">
        <f>Takeoff!I3</f>
        <v/>
      </c>
      <c r="P29" s="1975">
        <f>Takeoff!J3</f>
        <v/>
      </c>
      <c r="Q29" s="1979">
        <f>Takeoff!K3</f>
        <v/>
      </c>
      <c r="R29" s="1975">
        <f>Takeoff!L3</f>
        <v/>
      </c>
      <c r="S29" s="1945">
        <f>Takeoff!M3</f>
        <v/>
      </c>
      <c r="T29" s="1945">
        <f>Takeoff!N3</f>
        <v/>
      </c>
      <c r="AW29" s="1930" t="n">
        <v>22000</v>
      </c>
      <c r="AX29" s="1930" t="n"/>
      <c r="AY29" s="1930" t="n"/>
      <c r="AZ29" s="1930">
        <f>AW29</f>
        <v/>
      </c>
      <c r="BA29" s="1930" t="n"/>
      <c r="BB29" s="1930" t="n"/>
      <c r="BC29" s="1930">
        <f>AW29+AZ29</f>
        <v/>
      </c>
      <c r="BD29" s="1930" t="n"/>
      <c r="BE29" s="1930" t="n"/>
      <c r="BF29" s="1930">
        <f>BC29</f>
        <v/>
      </c>
      <c r="BG29" s="596">
        <f>IF(AW29&lt;=#REF!,#REF!,IF(AW29&lt;=#REF!,#REF!,IF(AW29&lt;=#REF!,#REF!,IF(AW29&lt;=#REF!,#REF!,IF(AW29&lt;=#REF!,#REF!,IF(AW29&lt;=#REF!,#REF!,IF(AW29&lt;=#REF!,#REF!,0.05)))))))</f>
        <v/>
      </c>
      <c r="BH29" s="1930">
        <f>BG29*AW29</f>
        <v/>
      </c>
      <c r="BI29" s="596" t="n"/>
      <c r="BJ29" s="596">
        <f>IF(AZ29&lt;=#REF!,#REF!,IF(AZ29&lt;=#REF!,#REF!,IF(AZ29&lt;=#REF!,#REF!,IF(AZ29&lt;=#REF!,#REF!,IF(AZ29&lt;=#REF!,#REF!,IF(AZ29&lt;=#REF!,#REF!,IF(AZ29&lt;=#REF!,#REF!,0.05)))))))</f>
        <v/>
      </c>
      <c r="BK29" s="1930">
        <f>BJ29*AZ29</f>
        <v/>
      </c>
      <c r="BL29" s="596" t="n"/>
      <c r="BM29" s="596">
        <f>IF(BC29&lt;=#REF!,#REF!,IF(BC29&lt;=#REF!,#REF!,IF(BC29&lt;=#REF!,#REF!,IF(BC29&lt;=#REF!,#REF!,IF(BC29&lt;=#REF!,#REF!,IF(BC29&lt;=#REF!,#REF!,IF(BC29&lt;=#REF!,#REF!,0.05)))))))</f>
        <v/>
      </c>
      <c r="BN29" s="1930">
        <f>BM29*SUM(BK29,BH29,BC29)</f>
        <v/>
      </c>
      <c r="BO29" s="596" t="n"/>
      <c r="BP29" s="1931">
        <f>IF(BF29&lt;=#REF!,#REF!,IF(BF29&lt;=#REF!,#REF!,IF(BF29&lt;=#REF!,#REF!,IF(BF29&lt;=#REF!,#REF!,IF(BF29&lt;=#REF!,#REF!,IF(BF29&lt;=#REF!,#REF!,IF(BF29&lt;=#REF!,#REF!,0.05)))))))</f>
        <v/>
      </c>
      <c r="BQ29" s="1930">
        <f>BP29*BF29</f>
        <v/>
      </c>
      <c r="BS29" s="1932">
        <f>0.07*SUM(BC29,BH29,BK29,BN29,BQ29)</f>
        <v/>
      </c>
      <c r="BU29" s="1932">
        <f>SUM(BS29,BQ29,BN29,BK29,BH29,BC29)</f>
        <v/>
      </c>
      <c r="BV29" s="1933">
        <f>SUM(BQ29,BN29,BK29,BH29)</f>
        <v/>
      </c>
      <c r="BW29" s="596">
        <f>BV29/BU29</f>
        <v/>
      </c>
      <c r="CM29" s="1930" t="n">
        <v>22000</v>
      </c>
      <c r="CN29" s="1930" t="n"/>
      <c r="CO29" s="1930" t="n"/>
      <c r="CP29" s="1930">
        <f>CM29</f>
        <v/>
      </c>
      <c r="CQ29" s="1930" t="n"/>
      <c r="CR29" s="1930" t="n"/>
      <c r="CS29" s="1930">
        <f>CM29+CP29</f>
        <v/>
      </c>
      <c r="CT29" s="1930" t="n"/>
      <c r="CU29" s="1930" t="n"/>
      <c r="CV29" s="1930">
        <f>CS29</f>
        <v/>
      </c>
      <c r="CW29" s="596">
        <f>IF(CM29&lt;=BO$4,BN$4,IF(CM29&lt;=BO$5,BN$5,IF(CM29&lt;=BO$6,BN$6,IF(CM29&lt;=BO$7,BN$7,IF(CM29&lt;=BO$12,BN$12,IF(CM29&lt;=BO$13,BN$13,IF(CM29&lt;=BO$14,BN$14,0.05)))))))</f>
        <v/>
      </c>
      <c r="CX29" s="1930">
        <f>CW29*CM29</f>
        <v/>
      </c>
      <c r="CY29" s="596" t="n"/>
      <c r="CZ29" s="596">
        <f>IF(CP29&lt;=BR$4,BQ$4,IF(CP29&lt;=BR$5,BQ$5,IF(CP29&lt;=BR$6,BQ$6,IF(CP29&lt;=BR$7,BQ$7,IF(CP29&lt;=BR$12,BQ$12,IF(CP29&lt;=BR$13,BQ$13,IF(CP29&lt;=BR$14,BQ$14,0.05)))))))</f>
        <v/>
      </c>
      <c r="DA29" s="1930">
        <f>CZ29*CP29</f>
        <v/>
      </c>
      <c r="DB29" s="596" t="n"/>
      <c r="DC29" s="596">
        <f>IF(CS29&lt;=BU$4,BT$4,IF(CS29&lt;=BU$5,BT$5,IF(CS29&lt;=BU$6,BT$6,IF(CS29&lt;=BU$7,BT$7,IF(CS29&lt;=BU$12,BT$12,IF(CS29&lt;=BU$13,BT$13,IF(CS29&lt;=BU$14,BT$14,0.05)))))))</f>
        <v/>
      </c>
      <c r="DD29" s="1930">
        <f>DC29*SUM(DA29,CX29,CS29)</f>
        <v/>
      </c>
      <c r="DE29" s="596" t="n"/>
      <c r="DF29" s="1931">
        <f>IF(CV29&lt;=BX$4,BW$4,IF(CV29&lt;=BX$5,BW$5,IF(CV29&lt;=BX$6,BW$6,IF(CV29&lt;=BX$7,BW$7,IF(CV29&lt;=BX$12,BW$12,IF(CV29&lt;=BX$13,BW$13,IF(CV29&lt;=BX$14,BW$14,0.05)))))))</f>
        <v/>
      </c>
      <c r="DG29" s="1930">
        <f>DF29*CV29</f>
        <v/>
      </c>
      <c r="DI29" s="1932">
        <f>0.07*SUM(CS29,CX29,DA29,DD29,DG29)</f>
        <v/>
      </c>
      <c r="DK29" s="1932">
        <f>SUM(DI29,DG29,DD29,DA29,CX29,CS29)</f>
        <v/>
      </c>
      <c r="DL29" s="1933">
        <f>SUM(DG29,DD29,DA29,CX29)</f>
        <v/>
      </c>
      <c r="DM29" s="596">
        <f>DL29/DK29</f>
        <v/>
      </c>
    </row>
    <row r="30" ht="16.05" customFormat="1" customHeight="1" s="585">
      <c r="A30" s="1327">
        <f>A22</f>
        <v/>
      </c>
      <c r="B30" s="1955" t="n"/>
      <c r="C30" s="1326" t="inlineStr">
        <is>
          <t>other</t>
        </is>
      </c>
      <c r="D30" s="1956">
        <f>IF(A30=R181,P174,IF(A30=R182,P180,IF(A30=R183,P187,IF(A30=R184,P195,IF(A30=R185,P203,IF(A30=R186,P211,IF(A30=R187,P219,IF(A30=R188,P226,IF(A30=R189,P235,IF(A30=R190,P243,IF(A30=R191,P251,IF(A30=R192,P262,IF(A30=R193,P269,IF(A30=R194,P278,IF(A30=R195,P286,0)))))))))))))))</f>
        <v/>
      </c>
      <c r="E30" s="662" t="inlineStr">
        <is>
          <t>silica, flake (MACRO/micro), quartz</t>
        </is>
      </c>
      <c r="F30" s="600" t="n"/>
      <c r="G30" s="600" t="n"/>
      <c r="Q30" s="600" t="n"/>
      <c r="R30" s="600" t="n"/>
      <c r="S30" s="600" t="n"/>
      <c r="T30" s="600" t="n"/>
      <c r="AW30" s="1930" t="n">
        <v>23000</v>
      </c>
      <c r="AX30" s="1930" t="n"/>
      <c r="AY30" s="1930" t="n"/>
      <c r="AZ30" s="1930">
        <f>AW30</f>
        <v/>
      </c>
      <c r="BA30" s="1930" t="n"/>
      <c r="BB30" s="1930" t="n"/>
      <c r="BC30" s="1930">
        <f>AW30+AZ30</f>
        <v/>
      </c>
      <c r="BD30" s="1930" t="n"/>
      <c r="BE30" s="1930" t="n"/>
      <c r="BF30" s="1930">
        <f>BC30</f>
        <v/>
      </c>
      <c r="BG30" s="596">
        <f>IF(AW30&lt;=#REF!,#REF!,IF(AW30&lt;=#REF!,#REF!,IF(AW30&lt;=#REF!,#REF!,IF(AW30&lt;=#REF!,#REF!,IF(AW30&lt;=#REF!,#REF!,IF(AW30&lt;=#REF!,#REF!,IF(AW30&lt;=#REF!,#REF!,0.05)))))))</f>
        <v/>
      </c>
      <c r="BH30" s="1930">
        <f>BG30*AW30</f>
        <v/>
      </c>
      <c r="BI30" s="596" t="n"/>
      <c r="BJ30" s="596">
        <f>IF(AZ30&lt;=#REF!,#REF!,IF(AZ30&lt;=#REF!,#REF!,IF(AZ30&lt;=#REF!,#REF!,IF(AZ30&lt;=#REF!,#REF!,IF(AZ30&lt;=#REF!,#REF!,IF(AZ30&lt;=#REF!,#REF!,IF(AZ30&lt;=#REF!,#REF!,0.05)))))))</f>
        <v/>
      </c>
      <c r="BK30" s="1930">
        <f>BJ30*AZ30</f>
        <v/>
      </c>
      <c r="BL30" s="596" t="n"/>
      <c r="BM30" s="596">
        <f>IF(BC30&lt;=#REF!,#REF!,IF(BC30&lt;=#REF!,#REF!,IF(BC30&lt;=#REF!,#REF!,IF(BC30&lt;=#REF!,#REF!,IF(BC30&lt;=#REF!,#REF!,IF(BC30&lt;=#REF!,#REF!,IF(BC30&lt;=#REF!,#REF!,0.05)))))))</f>
        <v/>
      </c>
      <c r="BN30" s="1930">
        <f>BM30*SUM(BK30,BH30,BC30)</f>
        <v/>
      </c>
      <c r="BO30" s="596" t="n"/>
      <c r="BP30" s="1931">
        <f>IF(BF30&lt;=#REF!,#REF!,IF(BF30&lt;=#REF!,#REF!,IF(BF30&lt;=#REF!,#REF!,IF(BF30&lt;=#REF!,#REF!,IF(BF30&lt;=#REF!,#REF!,IF(BF30&lt;=#REF!,#REF!,IF(BF30&lt;=#REF!,#REF!,0.05)))))))</f>
        <v/>
      </c>
      <c r="BQ30" s="1930">
        <f>BP30*BF30</f>
        <v/>
      </c>
      <c r="BS30" s="1932">
        <f>0.07*SUM(BC30,BH30,BK30,BN30,BQ30)</f>
        <v/>
      </c>
      <c r="BU30" s="1932">
        <f>SUM(BS30,BQ30,BN30,BK30,BH30,BC30)</f>
        <v/>
      </c>
      <c r="BV30" s="1933">
        <f>SUM(BQ30,BN30,BK30,BH30)</f>
        <v/>
      </c>
      <c r="BW30" s="596">
        <f>BV30/BU30</f>
        <v/>
      </c>
      <c r="CM30" s="1930" t="n">
        <v>23000</v>
      </c>
      <c r="CN30" s="1930" t="n"/>
      <c r="CO30" s="1930" t="n"/>
      <c r="CP30" s="1930">
        <f>CM30</f>
        <v/>
      </c>
      <c r="CQ30" s="1930" t="n"/>
      <c r="CR30" s="1930" t="n"/>
      <c r="CS30" s="1930">
        <f>CM30+CP30</f>
        <v/>
      </c>
      <c r="CT30" s="1930" t="n"/>
      <c r="CU30" s="1930" t="n"/>
      <c r="CV30" s="1930">
        <f>CS30</f>
        <v/>
      </c>
      <c r="CW30" s="596">
        <f>IF(CM30&lt;=BO$4,BN$4,IF(CM30&lt;=BO$5,BN$5,IF(CM30&lt;=BO$6,BN$6,IF(CM30&lt;=BO$7,BN$7,IF(CM30&lt;=BO$12,BN$12,IF(CM30&lt;=BO$13,BN$13,IF(CM30&lt;=BO$14,BN$14,0.05)))))))</f>
        <v/>
      </c>
      <c r="CX30" s="1930">
        <f>CW30*CM30</f>
        <v/>
      </c>
      <c r="CY30" s="596" t="n"/>
      <c r="CZ30" s="596">
        <f>IF(CP30&lt;=BR$4,BQ$4,IF(CP30&lt;=BR$5,BQ$5,IF(CP30&lt;=BR$6,BQ$6,IF(CP30&lt;=BR$7,BQ$7,IF(CP30&lt;=BR$12,BQ$12,IF(CP30&lt;=BR$13,BQ$13,IF(CP30&lt;=BR$14,BQ$14,0.05)))))))</f>
        <v/>
      </c>
      <c r="DA30" s="1930">
        <f>CZ30*CP30</f>
        <v/>
      </c>
      <c r="DB30" s="596" t="n"/>
      <c r="DC30" s="596">
        <f>IF(CS30&lt;=BU$4,BT$4,IF(CS30&lt;=BU$5,BT$5,IF(CS30&lt;=BU$6,BT$6,IF(CS30&lt;=BU$7,BT$7,IF(CS30&lt;=BU$12,BT$12,IF(CS30&lt;=BU$13,BT$13,IF(CS30&lt;=BU$14,BT$14,0.05)))))))</f>
        <v/>
      </c>
      <c r="DD30" s="1930">
        <f>DC30*SUM(DA30,CX30,CS30)</f>
        <v/>
      </c>
      <c r="DE30" s="596" t="n"/>
      <c r="DF30" s="1931">
        <f>IF(CV30&lt;=BX$4,BW$4,IF(CV30&lt;=BX$5,BW$5,IF(CV30&lt;=BX$6,BW$6,IF(CV30&lt;=BX$7,BW$7,IF(CV30&lt;=BX$12,BW$12,IF(CV30&lt;=BX$13,BW$13,IF(CV30&lt;=BX$14,BW$14,0.05)))))))</f>
        <v/>
      </c>
      <c r="DG30" s="1930">
        <f>DF30*CV30</f>
        <v/>
      </c>
      <c r="DI30" s="1932">
        <f>0.07*SUM(CS30,CX30,DA30,DD30,DG30)</f>
        <v/>
      </c>
      <c r="DK30" s="1932">
        <f>SUM(DI30,DG30,DD30,DA30,CX30,CS30)</f>
        <v/>
      </c>
      <c r="DL30" s="1933">
        <f>SUM(DG30,DD30,DA30,CX30)</f>
        <v/>
      </c>
      <c r="DM30" s="596">
        <f>DL30/DK30</f>
        <v/>
      </c>
    </row>
    <row r="31" ht="16.05" customFormat="1" customHeight="1" s="585">
      <c r="A31" s="1358">
        <f>A26</f>
        <v/>
      </c>
      <c r="B31" s="1970" t="n"/>
      <c r="C31" s="1360" t="inlineStr">
        <is>
          <t>other</t>
        </is>
      </c>
      <c r="D31" s="1971">
        <f>IF(A31=AR181,AP174,IF(A31=AR182,AP180,IF(A31=AR183,AP187,IF(A31=AR184,AP195,IF(A31=AR185,AP203,IF(A31=AR186,AP211,IF(A31=AR187,AP219,IF(A31=AR188,AP226,IF(A31=AR189,AP235,IF(A31=AR190,AP243,IF(A31=AR191,AP251,IF(A31=AR192,AP262,IF(A31=AR193,AP269,IF(A31=AR194,AP278,IF(A31=AR195,AP286,IF(A31=AR198,AP296,IF(A31=AR199,AP306,IF(A31=AR200,AP314,IF(A31=AR201,AQ324,IF(A31=AR202,AQ330,IF(A31=AR203,AP336,0)))))))))))))))))))))</f>
        <v/>
      </c>
      <c r="E31" s="662" t="inlineStr">
        <is>
          <t>silica, flake (MACRO/micro), quartz</t>
        </is>
      </c>
      <c r="F31" s="780" t="n"/>
      <c r="G31" s="780" t="n"/>
      <c r="O31" s="1425" t="inlineStr">
        <is>
          <t>Cant Cove Calculator (must be a 45° Angle):</t>
        </is>
      </c>
      <c r="P31" s="1426" t="n"/>
      <c r="Q31" s="1426" t="n"/>
      <c r="R31" s="1427" t="n"/>
      <c r="S31" s="600" t="n"/>
      <c r="T31" s="600" t="n"/>
      <c r="AW31" s="1930" t="n"/>
      <c r="AX31" s="1930" t="n"/>
      <c r="AY31" s="1930" t="n"/>
      <c r="AZ31" s="1930" t="n"/>
      <c r="BA31" s="1930" t="n"/>
      <c r="BB31" s="1930" t="n"/>
      <c r="BC31" s="1930" t="n"/>
      <c r="BD31" s="1930" t="n"/>
      <c r="BE31" s="1930" t="n"/>
      <c r="BF31" s="1930" t="n"/>
      <c r="BG31" s="596" t="n"/>
      <c r="BH31" s="1930" t="n"/>
      <c r="BI31" s="596" t="n"/>
      <c r="BJ31" s="596" t="n"/>
      <c r="BK31" s="1930" t="n"/>
      <c r="BL31" s="596" t="n"/>
      <c r="BM31" s="596" t="n"/>
      <c r="BN31" s="1930" t="n"/>
      <c r="BO31" s="596" t="n"/>
      <c r="BP31" s="1931" t="n"/>
      <c r="BQ31" s="1930" t="n"/>
      <c r="BS31" s="1932" t="n"/>
      <c r="BU31" s="1932" t="n"/>
      <c r="BV31" s="1933" t="n"/>
      <c r="BW31" s="596" t="n"/>
      <c r="CM31" s="1930" t="n"/>
      <c r="CN31" s="1930" t="n"/>
      <c r="CO31" s="1930" t="n"/>
      <c r="CP31" s="1930" t="n"/>
      <c r="CQ31" s="1930" t="n"/>
      <c r="CR31" s="1930" t="n"/>
      <c r="CS31" s="1930" t="n"/>
      <c r="CT31" s="1930" t="n"/>
      <c r="CU31" s="1930" t="n"/>
      <c r="CV31" s="1930" t="n"/>
      <c r="CW31" s="596" t="n"/>
      <c r="CX31" s="1930" t="n"/>
      <c r="CY31" s="596" t="n"/>
      <c r="CZ31" s="596" t="n"/>
      <c r="DA31" s="1930" t="n"/>
      <c r="DB31" s="596" t="n"/>
      <c r="DC31" s="596" t="n"/>
      <c r="DD31" s="1930" t="n"/>
      <c r="DE31" s="596" t="n"/>
      <c r="DF31" s="1931" t="n"/>
      <c r="DG31" s="1930" t="n"/>
      <c r="DI31" s="1932" t="n"/>
      <c r="DK31" s="1932" t="n"/>
      <c r="DL31" s="1933" t="n"/>
      <c r="DM31" s="596" t="n"/>
    </row>
    <row r="32" ht="16.05" customFormat="1" customHeight="1" s="585">
      <c r="A32" s="647" t="n"/>
      <c r="B32" s="1941" t="n"/>
      <c r="C32" s="1944" t="n"/>
      <c r="D32" s="1962">
        <f>B32*C32</f>
        <v/>
      </c>
      <c r="E32" s="600" t="n"/>
      <c r="F32" s="600" t="n"/>
      <c r="G32" s="600" t="n"/>
      <c r="O32" s="1428" t="inlineStr">
        <is>
          <t>h2/1.5 = Ratio to 6" cove w/ cap (1/8" thick)</t>
        </is>
      </c>
      <c r="P32" s="1429" t="n"/>
      <c r="Q32" s="1429" t="n"/>
      <c r="R32" s="1430" t="n"/>
      <c r="S32" s="600" t="n"/>
      <c r="T32" s="600" t="n"/>
      <c r="AW32" s="1930" t="n"/>
      <c r="AX32" s="1930" t="n"/>
      <c r="AY32" s="1930" t="n"/>
      <c r="AZ32" s="1930" t="n"/>
      <c r="BA32" s="1930" t="n"/>
      <c r="BB32" s="1930" t="n"/>
      <c r="BC32" s="1930" t="n"/>
      <c r="BD32" s="1930" t="n"/>
      <c r="BE32" s="1930" t="n"/>
      <c r="BF32" s="1930" t="n"/>
      <c r="BG32" s="596" t="n"/>
      <c r="BH32" s="1930" t="n"/>
      <c r="BI32" s="596" t="n"/>
      <c r="BJ32" s="596" t="n"/>
      <c r="BK32" s="1930" t="n"/>
      <c r="BL32" s="596" t="n"/>
      <c r="BM32" s="596" t="n"/>
      <c r="BN32" s="1930" t="n"/>
      <c r="BO32" s="596" t="n"/>
      <c r="BP32" s="1931" t="n"/>
      <c r="BQ32" s="1930" t="n"/>
      <c r="BS32" s="1932" t="n"/>
      <c r="BU32" s="1932" t="n"/>
      <c r="BV32" s="1933" t="n"/>
      <c r="BW32" s="596" t="n"/>
      <c r="CM32" s="1930" t="n"/>
      <c r="CN32" s="1930" t="n"/>
      <c r="CO32" s="1930" t="n"/>
      <c r="CP32" s="1930" t="n"/>
      <c r="CQ32" s="1930" t="n"/>
      <c r="CR32" s="1930" t="n"/>
      <c r="CS32" s="1930" t="n"/>
      <c r="CT32" s="1930" t="n"/>
      <c r="CU32" s="1930" t="n"/>
      <c r="CV32" s="1930" t="n"/>
      <c r="CW32" s="596" t="n"/>
      <c r="CX32" s="1930" t="n"/>
      <c r="CY32" s="596" t="n"/>
      <c r="CZ32" s="596" t="n"/>
      <c r="DA32" s="1930" t="n"/>
      <c r="DB32" s="596" t="n"/>
      <c r="DC32" s="596" t="n"/>
      <c r="DD32" s="1930" t="n"/>
      <c r="DE32" s="596" t="n"/>
      <c r="DF32" s="1931" t="n"/>
      <c r="DG32" s="1930" t="n"/>
      <c r="DI32" s="1932" t="n"/>
      <c r="DK32" s="1932" t="n"/>
      <c r="DL32" s="1933" t="n"/>
      <c r="DM32" s="596" t="n"/>
    </row>
    <row r="33" ht="16.05" customFormat="1" customHeight="1" s="585">
      <c r="A33" s="647" t="n"/>
      <c r="B33" s="1941" t="n"/>
      <c r="C33" s="1944" t="n"/>
      <c r="D33" s="1962">
        <f>B33*C33</f>
        <v/>
      </c>
      <c r="E33" s="600" t="n"/>
      <c r="F33" s="600" t="n"/>
      <c r="G33" s="714" t="inlineStr">
        <is>
          <t>? Yes / No ?</t>
        </is>
      </c>
      <c r="H33" s="933" t="inlineStr">
        <is>
          <t>Special Transitions ?</t>
        </is>
      </c>
      <c r="I33" s="590" t="inlineStr">
        <is>
          <t>"Nat. Guard" = 8' @ ~$130 ea. ($16.25 /lf.)</t>
        </is>
      </c>
      <c r="O33" s="686">
        <f>(P33*P33)/1.5</f>
        <v/>
      </c>
      <c r="P33" s="687" t="n"/>
      <c r="Q33" s="1980" t="inlineStr">
        <is>
          <t>Height of Cant Cove</t>
        </is>
      </c>
      <c r="R33" s="699" t="n"/>
      <c r="S33" s="600" t="n"/>
      <c r="T33" s="600" t="n"/>
      <c r="AW33" s="1930" t="n"/>
      <c r="AX33" s="1930" t="n"/>
      <c r="AY33" s="1930" t="n"/>
      <c r="AZ33" s="1930" t="n"/>
      <c r="BA33" s="1930" t="n"/>
      <c r="BB33" s="1930" t="n"/>
      <c r="BC33" s="1930" t="n"/>
      <c r="BD33" s="1930" t="n"/>
      <c r="BE33" s="1930" t="n"/>
      <c r="BF33" s="1930" t="n"/>
      <c r="BG33" s="596" t="n"/>
      <c r="BH33" s="1930" t="n"/>
      <c r="BI33" s="596" t="n"/>
      <c r="BJ33" s="596" t="n"/>
      <c r="BK33" s="1930" t="n"/>
      <c r="BL33" s="596" t="n"/>
      <c r="BM33" s="596" t="n"/>
      <c r="BN33" s="1930" t="n"/>
      <c r="BO33" s="596" t="n"/>
      <c r="BP33" s="1931" t="n"/>
      <c r="BQ33" s="1930" t="n"/>
      <c r="BS33" s="1932" t="n"/>
      <c r="BU33" s="1932" t="n"/>
      <c r="BV33" s="1933" t="n"/>
      <c r="BW33" s="596" t="n"/>
      <c r="CM33" s="1930" t="n"/>
      <c r="CN33" s="1930" t="n"/>
      <c r="CO33" s="1930" t="n"/>
      <c r="CP33" s="1930" t="n"/>
      <c r="CQ33" s="1930" t="n"/>
      <c r="CR33" s="1930" t="n"/>
      <c r="CS33" s="1930" t="n"/>
      <c r="CT33" s="1930" t="n"/>
      <c r="CU33" s="1930" t="n"/>
      <c r="CV33" s="1930" t="n"/>
      <c r="CW33" s="596" t="n"/>
      <c r="CX33" s="1930" t="n"/>
      <c r="CY33" s="596" t="n"/>
      <c r="CZ33" s="596" t="n"/>
      <c r="DA33" s="1930" t="n"/>
      <c r="DB33" s="596" t="n"/>
      <c r="DC33" s="596" t="n"/>
      <c r="DD33" s="1930" t="n"/>
      <c r="DE33" s="596" t="n"/>
      <c r="DF33" s="1931" t="n"/>
      <c r="DG33" s="1930" t="n"/>
      <c r="DI33" s="1932" t="n"/>
      <c r="DK33" s="1932" t="n"/>
      <c r="DL33" s="1933" t="n"/>
      <c r="DM33" s="596" t="n"/>
    </row>
    <row r="34" ht="16.05" customFormat="1" customHeight="1" s="585">
      <c r="A34" s="683" t="inlineStr">
        <is>
          <t>MATERIAL - Cove</t>
        </is>
      </c>
      <c r="B34" s="1976" t="n"/>
      <c r="C34" s="1977" t="n"/>
      <c r="D34" s="1978" t="n"/>
      <c r="E34" s="1954" t="n">
        <v>0</v>
      </c>
      <c r="F34" s="1328" t="inlineStr">
        <is>
          <t>LF -- System 1</t>
        </is>
      </c>
      <c r="G34" s="1729" t="n"/>
      <c r="H34" s="593" t="n"/>
      <c r="O34" s="686">
        <f>P34*O33</f>
        <v/>
      </c>
      <c r="P34" s="687" t="n"/>
      <c r="Q34" s="1980" t="inlineStr">
        <is>
          <t>Total Resin + Hardner</t>
        </is>
      </c>
      <c r="R34" s="699" t="n"/>
      <c r="S34" s="600" t="n"/>
      <c r="T34" s="600" t="n"/>
      <c r="AW34" s="1930" t="n"/>
      <c r="AX34" s="1930" t="n"/>
      <c r="AY34" s="1930" t="n"/>
      <c r="AZ34" s="1930" t="n"/>
      <c r="BA34" s="1930" t="n"/>
      <c r="BB34" s="1930" t="n"/>
      <c r="BC34" s="1930" t="n"/>
      <c r="BD34" s="1930" t="n"/>
      <c r="BE34" s="1930" t="n"/>
      <c r="BF34" s="1930" t="n"/>
      <c r="BG34" s="596" t="n"/>
      <c r="BH34" s="1930" t="n"/>
      <c r="BI34" s="596" t="n"/>
      <c r="BJ34" s="596" t="n"/>
      <c r="BK34" s="1930" t="n"/>
      <c r="BL34" s="596" t="n"/>
      <c r="BM34" s="596" t="n"/>
      <c r="BN34" s="1930" t="n"/>
      <c r="BO34" s="596" t="n"/>
      <c r="BP34" s="1931" t="n"/>
      <c r="BQ34" s="1930" t="n"/>
      <c r="BS34" s="1932" t="n"/>
      <c r="BU34" s="1932" t="n"/>
      <c r="BV34" s="1933" t="n"/>
      <c r="BW34" s="596" t="n"/>
      <c r="CM34" s="1930" t="n"/>
      <c r="CN34" s="1930" t="n"/>
      <c r="CO34" s="1930" t="n"/>
      <c r="CP34" s="1930" t="n"/>
      <c r="CQ34" s="1930" t="n"/>
      <c r="CR34" s="1930" t="n"/>
      <c r="CS34" s="1930" t="n"/>
      <c r="CT34" s="1930" t="n"/>
      <c r="CU34" s="1930" t="n"/>
      <c r="CV34" s="1930" t="n"/>
      <c r="CW34" s="596" t="n"/>
      <c r="CX34" s="1930" t="n"/>
      <c r="CY34" s="596" t="n"/>
      <c r="CZ34" s="596" t="n"/>
      <c r="DA34" s="1930" t="n"/>
      <c r="DB34" s="596" t="n"/>
      <c r="DC34" s="596" t="n"/>
      <c r="DD34" s="1930" t="n"/>
      <c r="DE34" s="596" t="n"/>
      <c r="DF34" s="1931" t="n"/>
      <c r="DG34" s="1930" t="n"/>
      <c r="DI34" s="1932" t="n"/>
      <c r="DK34" s="1932" t="n"/>
      <c r="DL34" s="1933" t="n"/>
      <c r="DM34" s="596" t="n"/>
    </row>
    <row r="35" customFormat="1" s="585">
      <c r="A35" s="1327" t="inlineStr">
        <is>
          <t>Cove 1 Options</t>
        </is>
      </c>
      <c r="B35" s="1955" t="n"/>
      <c r="C35" s="1326" t="inlineStr">
        <is>
          <t xml:space="preserve"> Liquids </t>
        </is>
      </c>
      <c r="D35" s="1956">
        <f>IF(A35=S125,F125,IF(A35=S126,F130,IF(A35=S127,F135,IF(A35=S128,F141,IF(A35=S129,F147,IF(A35=S130,F152,IF(A35=S131,P125,IF(A35=S132,P130,IF(A35=S133,P135,IF(A35=S134,P141,IF(A35=S135,P147,IF(A35=S136,P152,0))))))))))))</f>
        <v/>
      </c>
      <c r="E35" s="662">
        <f>B13</f>
        <v/>
      </c>
      <c r="F35" s="600" t="n"/>
      <c r="G35" s="1729" t="n"/>
      <c r="H35" s="593" t="n"/>
      <c r="O35" s="686">
        <f>P35*O33</f>
        <v/>
      </c>
      <c r="P35" s="687" t="n"/>
      <c r="Q35" s="1980" t="inlineStr">
        <is>
          <t>Total Aggregate</t>
        </is>
      </c>
      <c r="R35" s="699" t="n"/>
      <c r="AW35" s="1930" t="n">
        <v>24000</v>
      </c>
      <c r="AX35" s="1930" t="n"/>
      <c r="AY35" s="1930" t="n"/>
      <c r="AZ35" s="1930">
        <f>AW35</f>
        <v/>
      </c>
      <c r="BA35" s="1930" t="n"/>
      <c r="BB35" s="1930" t="n"/>
      <c r="BC35" s="1930">
        <f>AW35+AZ35</f>
        <v/>
      </c>
      <c r="BD35" s="1930" t="n"/>
      <c r="BE35" s="1930" t="n"/>
      <c r="BF35" s="1930">
        <f>BC35</f>
        <v/>
      </c>
      <c r="BG35" s="596">
        <f>IF(AW35&lt;=#REF!,#REF!,IF(AW35&lt;=#REF!,#REF!,IF(AW35&lt;=#REF!,#REF!,IF(AW35&lt;=#REF!,#REF!,IF(AW35&lt;=#REF!,#REF!,IF(AW35&lt;=#REF!,#REF!,IF(AW35&lt;=#REF!,#REF!,0.05)))))))</f>
        <v/>
      </c>
      <c r="BH35" s="1930">
        <f>BG35*AW35</f>
        <v/>
      </c>
      <c r="BI35" s="596" t="n"/>
      <c r="BJ35" s="596">
        <f>IF(AZ35&lt;=#REF!,#REF!,IF(AZ35&lt;=#REF!,#REF!,IF(AZ35&lt;=#REF!,#REF!,IF(AZ35&lt;=#REF!,#REF!,IF(AZ35&lt;=#REF!,#REF!,IF(AZ35&lt;=#REF!,#REF!,IF(AZ35&lt;=#REF!,#REF!,0.05)))))))</f>
        <v/>
      </c>
      <c r="BK35" s="1930">
        <f>BJ35*AZ35</f>
        <v/>
      </c>
      <c r="BL35" s="596" t="n"/>
      <c r="BM35" s="596">
        <f>IF(BC35&lt;=#REF!,#REF!,IF(BC35&lt;=#REF!,#REF!,IF(BC35&lt;=#REF!,#REF!,IF(BC35&lt;=#REF!,#REF!,IF(BC35&lt;=#REF!,#REF!,IF(BC35&lt;=#REF!,#REF!,IF(BC35&lt;=#REF!,#REF!,0.05)))))))</f>
        <v/>
      </c>
      <c r="BN35" s="1930">
        <f>BM35*SUM(BK35,BH35,BC35)</f>
        <v/>
      </c>
      <c r="BO35" s="596" t="n"/>
      <c r="BP35" s="1931">
        <f>IF(BF35&lt;=#REF!,#REF!,IF(BF35&lt;=#REF!,#REF!,IF(BF35&lt;=#REF!,#REF!,IF(BF35&lt;=#REF!,#REF!,IF(BF35&lt;=#REF!,#REF!,IF(BF35&lt;=#REF!,#REF!,IF(BF35&lt;=#REF!,#REF!,0.05)))))))</f>
        <v/>
      </c>
      <c r="BQ35" s="1930">
        <f>BP35*BF35</f>
        <v/>
      </c>
      <c r="BS35" s="1932">
        <f>0.07*SUM(BC35,BH35,BK35,BN35,BQ35)</f>
        <v/>
      </c>
      <c r="BU35" s="1932">
        <f>SUM(BS35,BQ35,BN35,BK35,BH35,BC35)</f>
        <v/>
      </c>
      <c r="BV35" s="1933">
        <f>SUM(BQ35,BN35,BK35,BH35)</f>
        <v/>
      </c>
      <c r="BW35" s="596">
        <f>BV35/BU35</f>
        <v/>
      </c>
      <c r="CM35" s="1930" t="n">
        <v>24000</v>
      </c>
      <c r="CN35" s="1930" t="n"/>
      <c r="CO35" s="1930" t="n"/>
      <c r="CP35" s="1930">
        <f>CM35</f>
        <v/>
      </c>
      <c r="CQ35" s="1930" t="n"/>
      <c r="CR35" s="1930" t="n"/>
      <c r="CS35" s="1930">
        <f>CM35+CP35</f>
        <v/>
      </c>
      <c r="CT35" s="1930" t="n"/>
      <c r="CU35" s="1930" t="n"/>
      <c r="CV35" s="1930">
        <f>CS35</f>
        <v/>
      </c>
      <c r="CW35" s="596">
        <f>IF(CM35&lt;=BO$4,BN$4,IF(CM35&lt;=BO$5,BN$5,IF(CM35&lt;=BO$6,BN$6,IF(CM35&lt;=BO$7,BN$7,IF(CM35&lt;=BO$12,BN$12,IF(CM35&lt;=BO$13,BN$13,IF(CM35&lt;=BO$14,BN$14,0.05)))))))</f>
        <v/>
      </c>
      <c r="CX35" s="1930">
        <f>CW35*CM35</f>
        <v/>
      </c>
      <c r="CY35" s="596" t="n"/>
      <c r="CZ35" s="596">
        <f>IF(CP35&lt;=BR$4,BQ$4,IF(CP35&lt;=BR$5,BQ$5,IF(CP35&lt;=BR$6,BQ$6,IF(CP35&lt;=BR$7,BQ$7,IF(CP35&lt;=BR$12,BQ$12,IF(CP35&lt;=BR$13,BQ$13,IF(CP35&lt;=BR$14,BQ$14,0.05)))))))</f>
        <v/>
      </c>
      <c r="DA35" s="1930">
        <f>CZ35*CP35</f>
        <v/>
      </c>
      <c r="DB35" s="596" t="n"/>
      <c r="DC35" s="596">
        <f>IF(CS35&lt;=BU$4,BT$4,IF(CS35&lt;=BU$5,BT$5,IF(CS35&lt;=BU$6,BT$6,IF(CS35&lt;=BU$7,BT$7,IF(CS35&lt;=BU$12,BT$12,IF(CS35&lt;=BU$13,BT$13,IF(CS35&lt;=BU$14,BT$14,0.05)))))))</f>
        <v/>
      </c>
      <c r="DD35" s="1930">
        <f>DC35*SUM(DA35,CX35,CS35)</f>
        <v/>
      </c>
      <c r="DE35" s="596" t="n"/>
      <c r="DF35" s="1931">
        <f>IF(CV35&lt;=BX$4,BW$4,IF(CV35&lt;=BX$5,BW$5,IF(CV35&lt;=BX$6,BW$6,IF(CV35&lt;=BX$7,BW$7,IF(CV35&lt;=BX$12,BW$12,IF(CV35&lt;=BX$13,BW$13,IF(CV35&lt;=BX$14,BW$14,0.05)))))))</f>
        <v/>
      </c>
      <c r="DG35" s="1930">
        <f>DF35*CV35</f>
        <v/>
      </c>
      <c r="DI35" s="1932">
        <f>0.07*SUM(CS35,CX35,DA35,DD35,DG35)</f>
        <v/>
      </c>
      <c r="DK35" s="1932">
        <f>SUM(DI35,DG35,DD35,DA35,CX35,CS35)</f>
        <v/>
      </c>
      <c r="DL35" s="1933">
        <f>SUM(DG35,DD35,DA35,CX35)</f>
        <v/>
      </c>
      <c r="DM35" s="596">
        <f>DL35/DK35</f>
        <v/>
      </c>
    </row>
    <row r="36" ht="16.05" customFormat="1" customHeight="1" s="585">
      <c r="A36" s="647" t="n"/>
      <c r="B36" s="1941" t="n"/>
      <c r="C36" s="1326" t="inlineStr">
        <is>
          <t>Sand &amp;/or Cap</t>
        </is>
      </c>
      <c r="D36" s="1956">
        <f>IF(A35=S125,F126,IF(A35=S126,F131,IF(A35=S127,H137,IF(A35=S128,H143,IF(A35=S129,F148,IF(A35=S130,H154,IF(A35=S131,0,IF(A35=S132,0,IF(A35=S133,P136,IF(A35=S134,P142,IF(A35=S135,0,IF(A35=S136,P153,0))))))))))))</f>
        <v/>
      </c>
      <c r="E36" s="600" t="n"/>
      <c r="F36" s="600" t="n"/>
      <c r="G36" s="1729" t="n"/>
      <c r="H36" s="593" t="n"/>
      <c r="O36" s="686">
        <f>P36*O33</f>
        <v/>
      </c>
      <c r="P36" s="687" t="n"/>
      <c r="Q36" s="1980" t="inlineStr">
        <is>
          <t>WR</t>
        </is>
      </c>
      <c r="R36" s="699" t="n"/>
      <c r="AW36" s="1930" t="n">
        <v>25000</v>
      </c>
      <c r="AX36" s="1930" t="n"/>
      <c r="AY36" s="1930" t="n"/>
      <c r="AZ36" s="1930">
        <f>AW36</f>
        <v/>
      </c>
      <c r="BA36" s="1930" t="n"/>
      <c r="BB36" s="1930" t="n"/>
      <c r="BC36" s="1930">
        <f>AW36+AZ36</f>
        <v/>
      </c>
      <c r="BD36" s="1930" t="n"/>
      <c r="BE36" s="1930" t="n"/>
      <c r="BF36" s="1930">
        <f>BC36</f>
        <v/>
      </c>
      <c r="BG36" s="596">
        <f>IF(AW36&lt;=#REF!,#REF!,IF(AW36&lt;=#REF!,#REF!,IF(AW36&lt;=#REF!,#REF!,IF(AW36&lt;=#REF!,#REF!,IF(AW36&lt;=#REF!,#REF!,IF(AW36&lt;=#REF!,#REF!,IF(AW36&lt;=#REF!,#REF!,0.05)))))))</f>
        <v/>
      </c>
      <c r="BH36" s="1930">
        <f>BG36*AW36</f>
        <v/>
      </c>
      <c r="BI36" s="596" t="n"/>
      <c r="BJ36" s="596">
        <f>IF(AZ36&lt;=#REF!,#REF!,IF(AZ36&lt;=#REF!,#REF!,IF(AZ36&lt;=#REF!,#REF!,IF(AZ36&lt;=#REF!,#REF!,IF(AZ36&lt;=#REF!,#REF!,IF(AZ36&lt;=#REF!,#REF!,IF(AZ36&lt;=#REF!,#REF!,0.05)))))))</f>
        <v/>
      </c>
      <c r="BK36" s="1930">
        <f>BJ36*AZ36</f>
        <v/>
      </c>
      <c r="BL36" s="596" t="n"/>
      <c r="BM36" s="596">
        <f>IF(BC36&lt;=#REF!,#REF!,IF(BC36&lt;=#REF!,#REF!,IF(BC36&lt;=#REF!,#REF!,IF(BC36&lt;=#REF!,#REF!,IF(BC36&lt;=#REF!,#REF!,IF(BC36&lt;=#REF!,#REF!,IF(BC36&lt;=#REF!,#REF!,0.05)))))))</f>
        <v/>
      </c>
      <c r="BN36" s="1930">
        <f>BM36*SUM(BK36,BH36,BC36)</f>
        <v/>
      </c>
      <c r="BO36" s="596" t="n"/>
      <c r="BP36" s="1931">
        <f>IF(BF36&lt;=#REF!,#REF!,IF(BF36&lt;=#REF!,#REF!,IF(BF36&lt;=#REF!,#REF!,IF(BF36&lt;=#REF!,#REF!,IF(BF36&lt;=#REF!,#REF!,IF(BF36&lt;=#REF!,#REF!,IF(BF36&lt;=#REF!,#REF!,0.05)))))))</f>
        <v/>
      </c>
      <c r="BQ36" s="1930">
        <f>BP36*BF36</f>
        <v/>
      </c>
      <c r="BS36" s="1932">
        <f>0.07*SUM(BC36,BH36,BK36,BN36,BQ36)</f>
        <v/>
      </c>
      <c r="BU36" s="1932">
        <f>SUM(BS36,BQ36,BN36,BK36,BH36,BC36)</f>
        <v/>
      </c>
      <c r="BV36" s="1933">
        <f>SUM(BQ36,BN36,BK36,BH36)</f>
        <v/>
      </c>
      <c r="BW36" s="596">
        <f>BV36/BU36</f>
        <v/>
      </c>
      <c r="CM36" s="1930" t="n">
        <v>25000</v>
      </c>
      <c r="CN36" s="1930" t="n"/>
      <c r="CO36" s="1930" t="n"/>
      <c r="CP36" s="1930">
        <f>CM36</f>
        <v/>
      </c>
      <c r="CQ36" s="1930" t="n"/>
      <c r="CR36" s="1930" t="n"/>
      <c r="CS36" s="1930">
        <f>CM36+CP36</f>
        <v/>
      </c>
      <c r="CT36" s="1930" t="n"/>
      <c r="CU36" s="1930" t="n"/>
      <c r="CV36" s="1930">
        <f>CS36</f>
        <v/>
      </c>
      <c r="CW36" s="596">
        <f>IF(CM36&lt;=BO$4,BN$4,IF(CM36&lt;=BO$5,BN$5,IF(CM36&lt;=BO$6,BN$6,IF(CM36&lt;=BO$7,BN$7,IF(CM36&lt;=BO$12,BN$12,IF(CM36&lt;=BO$13,BN$13,IF(CM36&lt;=BO$14,BN$14,0.05)))))))</f>
        <v/>
      </c>
      <c r="CX36" s="1930">
        <f>CW36*CM36</f>
        <v/>
      </c>
      <c r="CY36" s="596" t="n"/>
      <c r="CZ36" s="596">
        <f>IF(CP36&lt;=BR$4,BQ$4,IF(CP36&lt;=BR$5,BQ$5,IF(CP36&lt;=BR$6,BQ$6,IF(CP36&lt;=BR$7,BQ$7,IF(CP36&lt;=BR$12,BQ$12,IF(CP36&lt;=BR$13,BQ$13,IF(CP36&lt;=BR$14,BQ$14,0.05)))))))</f>
        <v/>
      </c>
      <c r="DA36" s="1930">
        <f>CZ36*CP36</f>
        <v/>
      </c>
      <c r="DB36" s="596" t="n"/>
      <c r="DC36" s="596">
        <f>IF(CS36&lt;=BU$4,BT$4,IF(CS36&lt;=BU$5,BT$5,IF(CS36&lt;=BU$6,BT$6,IF(CS36&lt;=BU$7,BT$7,IF(CS36&lt;=BU$12,BT$12,IF(CS36&lt;=BU$13,BT$13,IF(CS36&lt;=BU$14,BT$14,0.05)))))))</f>
        <v/>
      </c>
      <c r="DD36" s="1930">
        <f>DC36*SUM(DA36,CX36,CS36)</f>
        <v/>
      </c>
      <c r="DE36" s="596" t="n"/>
      <c r="DF36" s="1931">
        <f>IF(CV36&lt;=BX$4,BW$4,IF(CV36&lt;=BX$5,BW$5,IF(CV36&lt;=BX$6,BW$6,IF(CV36&lt;=BX$7,BW$7,IF(CV36&lt;=BX$12,BW$12,IF(CV36&lt;=BX$13,BW$13,IF(CV36&lt;=BX$14,BW$14,0.05)))))))</f>
        <v/>
      </c>
      <c r="DG36" s="1930">
        <f>DF36*CV36</f>
        <v/>
      </c>
      <c r="DI36" s="1932">
        <f>0.07*SUM(CS36,CX36,DA36,DD36,DG36)</f>
        <v/>
      </c>
      <c r="DK36" s="1932">
        <f>SUM(DI36,DG36,DD36,DA36,CX36,CS36)</f>
        <v/>
      </c>
      <c r="DL36" s="1933">
        <f>SUM(DG36,DD36,DA36,CX36)</f>
        <v/>
      </c>
      <c r="DM36" s="596">
        <f>DL36/DK36</f>
        <v/>
      </c>
    </row>
    <row r="37" customFormat="1" s="585">
      <c r="A37" s="1358" t="inlineStr">
        <is>
          <t>Cove 2 Options</t>
        </is>
      </c>
      <c r="B37" s="1970" t="n"/>
      <c r="C37" s="1360" t="inlineStr">
        <is>
          <t>Liquids</t>
        </is>
      </c>
      <c r="D37" s="1971">
        <f>IF(A37=AS125,AF125,IF(A37=AS126,AF130,IF(A37=AS127,AF135,IF(A37=AS128,AF141,IF(A37=AS129,AF147,IF(A37=AS130,AF152,IF(A37=AS131,AP125,IF(A37=AS132,AP130,IF(A37=AS133,AP135,IF(A37=AS134,AP141,IF(A37=AS135,AP147,IF(A37=AS136,AP152,0))))))))))))</f>
        <v/>
      </c>
      <c r="E37" s="1981" t="n">
        <v>0</v>
      </c>
      <c r="F37" s="1361" t="inlineStr">
        <is>
          <t>LF -- System 2</t>
        </is>
      </c>
      <c r="G37" s="1729" t="n"/>
      <c r="H37" s="593" t="n"/>
      <c r="AW37" s="1930" t="n">
        <v>26000</v>
      </c>
      <c r="AX37" s="1930" t="n"/>
      <c r="AY37" s="1930" t="n"/>
      <c r="AZ37" s="1930">
        <f>AW37</f>
        <v/>
      </c>
      <c r="BA37" s="1930" t="n"/>
      <c r="BB37" s="1930" t="n"/>
      <c r="BC37" s="1930">
        <f>AW37+AZ37</f>
        <v/>
      </c>
      <c r="BD37" s="1930" t="n"/>
      <c r="BE37" s="1930" t="n"/>
      <c r="BF37" s="1930">
        <f>BC37</f>
        <v/>
      </c>
      <c r="BG37" s="596">
        <f>IF(AW37&lt;=#REF!,#REF!,IF(AW37&lt;=#REF!,#REF!,IF(AW37&lt;=#REF!,#REF!,IF(AW37&lt;=#REF!,#REF!,IF(AW37&lt;=#REF!,#REF!,IF(AW37&lt;=#REF!,#REF!,IF(AW37&lt;=#REF!,#REF!,0.05)))))))</f>
        <v/>
      </c>
      <c r="BH37" s="1930">
        <f>BG37*AW37</f>
        <v/>
      </c>
      <c r="BI37" s="596" t="n"/>
      <c r="BJ37" s="596">
        <f>IF(AZ37&lt;=#REF!,#REF!,IF(AZ37&lt;=#REF!,#REF!,IF(AZ37&lt;=#REF!,#REF!,IF(AZ37&lt;=#REF!,#REF!,IF(AZ37&lt;=#REF!,#REF!,IF(AZ37&lt;=#REF!,#REF!,IF(AZ37&lt;=#REF!,#REF!,0.05)))))))</f>
        <v/>
      </c>
      <c r="BK37" s="1930">
        <f>BJ37*AZ37</f>
        <v/>
      </c>
      <c r="BL37" s="596" t="n"/>
      <c r="BM37" s="596">
        <f>IF(BC37&lt;=#REF!,#REF!,IF(BC37&lt;=#REF!,#REF!,IF(BC37&lt;=#REF!,#REF!,IF(BC37&lt;=#REF!,#REF!,IF(BC37&lt;=#REF!,#REF!,IF(BC37&lt;=#REF!,#REF!,IF(BC37&lt;=#REF!,#REF!,0.05)))))))</f>
        <v/>
      </c>
      <c r="BN37" s="1930">
        <f>BM37*SUM(BK37,BH37,BC37)</f>
        <v/>
      </c>
      <c r="BO37" s="596" t="n"/>
      <c r="BP37" s="1931">
        <f>IF(BF37&lt;=#REF!,#REF!,IF(BF37&lt;=#REF!,#REF!,IF(BF37&lt;=#REF!,#REF!,IF(BF37&lt;=#REF!,#REF!,IF(BF37&lt;=#REF!,#REF!,IF(BF37&lt;=#REF!,#REF!,IF(BF37&lt;=#REF!,#REF!,0.05)))))))</f>
        <v/>
      </c>
      <c r="BQ37" s="1930">
        <f>BP37*BF37</f>
        <v/>
      </c>
      <c r="BS37" s="1932">
        <f>0.07*SUM(BC37,BH37,BK37,BN37,BQ37)</f>
        <v/>
      </c>
      <c r="BU37" s="1932">
        <f>SUM(BS37,BQ37,BN37,BK37,BH37,BC37)</f>
        <v/>
      </c>
      <c r="BV37" s="1933">
        <f>SUM(BQ37,BN37,BK37,BH37)</f>
        <v/>
      </c>
      <c r="BW37" s="596">
        <f>BV37/BU37</f>
        <v/>
      </c>
      <c r="CM37" s="1930" t="n">
        <v>26000</v>
      </c>
      <c r="CN37" s="1930" t="n"/>
      <c r="CO37" s="1930" t="n"/>
      <c r="CP37" s="1930">
        <f>CM37</f>
        <v/>
      </c>
      <c r="CQ37" s="1930" t="n"/>
      <c r="CR37" s="1930" t="n"/>
      <c r="CS37" s="1930">
        <f>CM37+CP37</f>
        <v/>
      </c>
      <c r="CT37" s="1930" t="n"/>
      <c r="CU37" s="1930" t="n"/>
      <c r="CV37" s="1930">
        <f>CS37</f>
        <v/>
      </c>
      <c r="CW37" s="596">
        <f>IF(CM37&lt;=BO$4,BN$4,IF(CM37&lt;=BO$5,BN$5,IF(CM37&lt;=BO$6,BN$6,IF(CM37&lt;=BO$7,BN$7,IF(CM37&lt;=BO$12,BN$12,IF(CM37&lt;=BO$13,BN$13,IF(CM37&lt;=BO$14,BN$14,0.05)))))))</f>
        <v/>
      </c>
      <c r="CX37" s="1930">
        <f>CW37*CM37</f>
        <v/>
      </c>
      <c r="CY37" s="596" t="n"/>
      <c r="CZ37" s="596">
        <f>IF(CP37&lt;=BR$4,BQ$4,IF(CP37&lt;=BR$5,BQ$5,IF(CP37&lt;=BR$6,BQ$6,IF(CP37&lt;=BR$7,BQ$7,IF(CP37&lt;=BR$12,BQ$12,IF(CP37&lt;=BR$13,BQ$13,IF(CP37&lt;=BR$14,BQ$14,0.05)))))))</f>
        <v/>
      </c>
      <c r="DA37" s="1930">
        <f>CZ37*CP37</f>
        <v/>
      </c>
      <c r="DB37" s="596" t="n"/>
      <c r="DC37" s="596">
        <f>IF(CS37&lt;=BU$4,BT$4,IF(CS37&lt;=BU$5,BT$5,IF(CS37&lt;=BU$6,BT$6,IF(CS37&lt;=BU$7,BT$7,IF(CS37&lt;=BU$12,BT$12,IF(CS37&lt;=BU$13,BT$13,IF(CS37&lt;=BU$14,BT$14,0.05)))))))</f>
        <v/>
      </c>
      <c r="DD37" s="1930">
        <f>DC37*SUM(DA37,CX37,CS37)</f>
        <v/>
      </c>
      <c r="DE37" s="596" t="n"/>
      <c r="DF37" s="1931">
        <f>IF(CV37&lt;=BX$4,BW$4,IF(CV37&lt;=BX$5,BW$5,IF(CV37&lt;=BX$6,BW$6,IF(CV37&lt;=BX$7,BW$7,IF(CV37&lt;=BX$12,BW$12,IF(CV37&lt;=BX$13,BW$13,IF(CV37&lt;=BX$14,BW$14,0.05)))))))</f>
        <v/>
      </c>
      <c r="DG37" s="1930">
        <f>DF37*CV37</f>
        <v/>
      </c>
      <c r="DI37" s="1932">
        <f>0.07*SUM(CS37,CX37,DA37,DD37,DG37)</f>
        <v/>
      </c>
      <c r="DK37" s="1932">
        <f>SUM(DI37,DG37,DD37,DA37,CX37,CS37)</f>
        <v/>
      </c>
      <c r="DL37" s="1933">
        <f>SUM(DG37,DD37,DA37,CX37)</f>
        <v/>
      </c>
      <c r="DM37" s="596">
        <f>DL37/DK37</f>
        <v/>
      </c>
    </row>
    <row r="38" customFormat="1" s="585">
      <c r="A38" s="647" t="n"/>
      <c r="B38" s="1941" t="n"/>
      <c r="C38" s="1360" t="inlineStr">
        <is>
          <t>Sand &amp;/or Cap</t>
        </is>
      </c>
      <c r="D38" s="1971">
        <f>IF(A37=AS125,AF126,IF(A37=AS126,AF131,IF(A37=AS127,AH137,IF(A37=AS128,AH143,IF(A37=AS129,AF148,IF(A37=AS130,AH154,IF(A37=AS131,0,IF(A37=AS132,0,IF(A37=AS133,AP136,IF(A37=AS134,AP142,IF(A37=AS135,0,IF(A37=AS136,AP153,0))))))))))))</f>
        <v/>
      </c>
      <c r="E38" s="600" t="n"/>
      <c r="F38" s="600" t="n"/>
      <c r="G38" s="1729" t="n"/>
      <c r="H38" s="593" t="n"/>
      <c r="K38" s="1091" t="inlineStr">
        <is>
          <t>divided SF</t>
        </is>
      </c>
      <c r="L38" s="1982">
        <f>$B$45/M38</f>
        <v/>
      </c>
      <c r="M38" s="1983" t="n">
        <v>6</v>
      </c>
      <c r="N38" s="1094" t="inlineStr">
        <is>
          <t># divided by</t>
        </is>
      </c>
      <c r="AW38" s="1930" t="n">
        <v>27000</v>
      </c>
      <c r="AX38" s="1930" t="n"/>
      <c r="AY38" s="1930" t="n"/>
      <c r="AZ38" s="1930">
        <f>AW38</f>
        <v/>
      </c>
      <c r="BA38" s="1930" t="n"/>
      <c r="BB38" s="1930" t="n"/>
      <c r="BC38" s="1930">
        <f>AW38+AZ38</f>
        <v/>
      </c>
      <c r="BD38" s="1930" t="n"/>
      <c r="BE38" s="1930" t="n"/>
      <c r="BF38" s="1930">
        <f>BC38</f>
        <v/>
      </c>
      <c r="BG38" s="596">
        <f>IF(AW38&lt;=#REF!,#REF!,IF(AW38&lt;=#REF!,#REF!,IF(AW38&lt;=#REF!,#REF!,IF(AW38&lt;=#REF!,#REF!,IF(AW38&lt;=#REF!,#REF!,IF(AW38&lt;=#REF!,#REF!,IF(AW38&lt;=#REF!,#REF!,0.05)))))))</f>
        <v/>
      </c>
      <c r="BH38" s="1930">
        <f>BG38*AW38</f>
        <v/>
      </c>
      <c r="BI38" s="596" t="n"/>
      <c r="BJ38" s="596">
        <f>IF(AZ38&lt;=#REF!,#REF!,IF(AZ38&lt;=#REF!,#REF!,IF(AZ38&lt;=#REF!,#REF!,IF(AZ38&lt;=#REF!,#REF!,IF(AZ38&lt;=#REF!,#REF!,IF(AZ38&lt;=#REF!,#REF!,IF(AZ38&lt;=#REF!,#REF!,0.05)))))))</f>
        <v/>
      </c>
      <c r="BK38" s="1930">
        <f>BJ38*AZ38</f>
        <v/>
      </c>
      <c r="BL38" s="596" t="n"/>
      <c r="BM38" s="596">
        <f>IF(BC38&lt;=#REF!,#REF!,IF(BC38&lt;=#REF!,#REF!,IF(BC38&lt;=#REF!,#REF!,IF(BC38&lt;=#REF!,#REF!,IF(BC38&lt;=#REF!,#REF!,IF(BC38&lt;=#REF!,#REF!,IF(BC38&lt;=#REF!,#REF!,0.05)))))))</f>
        <v/>
      </c>
      <c r="BN38" s="1930">
        <f>BM38*SUM(BK38,BH38,BC38)</f>
        <v/>
      </c>
      <c r="BO38" s="596" t="n"/>
      <c r="BP38" s="1931">
        <f>IF(BF38&lt;=#REF!,#REF!,IF(BF38&lt;=#REF!,#REF!,IF(BF38&lt;=#REF!,#REF!,IF(BF38&lt;=#REF!,#REF!,IF(BF38&lt;=#REF!,#REF!,IF(BF38&lt;=#REF!,#REF!,IF(BF38&lt;=#REF!,#REF!,0.05)))))))</f>
        <v/>
      </c>
      <c r="BQ38" s="1930">
        <f>BP38*BF38</f>
        <v/>
      </c>
      <c r="BS38" s="1932">
        <f>0.07*SUM(BC38,BH38,BK38,BN38,BQ38)</f>
        <v/>
      </c>
      <c r="BU38" s="1932">
        <f>SUM(BS38,BQ38,BN38,BK38,BH38,BC38)</f>
        <v/>
      </c>
      <c r="BV38" s="1933">
        <f>SUM(BQ38,BN38,BK38,BH38)</f>
        <v/>
      </c>
      <c r="BW38" s="596">
        <f>BV38/BU38</f>
        <v/>
      </c>
      <c r="CM38" s="1930" t="n">
        <v>27000</v>
      </c>
      <c r="CN38" s="1930" t="n"/>
      <c r="CO38" s="1930" t="n"/>
      <c r="CP38" s="1930">
        <f>CM38</f>
        <v/>
      </c>
      <c r="CQ38" s="1930" t="n"/>
      <c r="CR38" s="1930" t="n"/>
      <c r="CS38" s="1930">
        <f>CM38+CP38</f>
        <v/>
      </c>
      <c r="CT38" s="1930" t="n"/>
      <c r="CU38" s="1930" t="n"/>
      <c r="CV38" s="1930">
        <f>CS38</f>
        <v/>
      </c>
      <c r="CW38" s="596">
        <f>IF(CM38&lt;=BO$4,BN$4,IF(CM38&lt;=BO$5,BN$5,IF(CM38&lt;=BO$6,BN$6,IF(CM38&lt;=BO$7,BN$7,IF(CM38&lt;=BO$12,BN$12,IF(CM38&lt;=BO$13,BN$13,IF(CM38&lt;=BO$14,BN$14,0.05)))))))</f>
        <v/>
      </c>
      <c r="CX38" s="1930">
        <f>CW38*CM38</f>
        <v/>
      </c>
      <c r="CY38" s="596" t="n"/>
      <c r="CZ38" s="596">
        <f>IF(CP38&lt;=BR$4,BQ$4,IF(CP38&lt;=BR$5,BQ$5,IF(CP38&lt;=BR$6,BQ$6,IF(CP38&lt;=BR$7,BQ$7,IF(CP38&lt;=BR$12,BQ$12,IF(CP38&lt;=BR$13,BQ$13,IF(CP38&lt;=BR$14,BQ$14,0.05)))))))</f>
        <v/>
      </c>
      <c r="DA38" s="1930">
        <f>CZ38*CP38</f>
        <v/>
      </c>
      <c r="DB38" s="596" t="n"/>
      <c r="DC38" s="596">
        <f>IF(CS38&lt;=BU$4,BT$4,IF(CS38&lt;=BU$5,BT$5,IF(CS38&lt;=BU$6,BT$6,IF(CS38&lt;=BU$7,BT$7,IF(CS38&lt;=BU$12,BT$12,IF(CS38&lt;=BU$13,BT$13,IF(CS38&lt;=BU$14,BT$14,0.05)))))))</f>
        <v/>
      </c>
      <c r="DD38" s="1930">
        <f>DC38*SUM(DA38,CX38,CS38)</f>
        <v/>
      </c>
      <c r="DE38" s="596" t="n"/>
      <c r="DF38" s="1931">
        <f>IF(CV38&lt;=BX$4,BW$4,IF(CV38&lt;=BX$5,BW$5,IF(CV38&lt;=BX$6,BW$6,IF(CV38&lt;=BX$7,BW$7,IF(CV38&lt;=BX$12,BW$12,IF(CV38&lt;=BX$13,BW$13,IF(CV38&lt;=BX$14,BW$14,0.05)))))))</f>
        <v/>
      </c>
      <c r="DG38" s="1930">
        <f>DF38*CV38</f>
        <v/>
      </c>
      <c r="DI38" s="1932">
        <f>0.07*SUM(CS38,CX38,DA38,DD38,DG38)</f>
        <v/>
      </c>
      <c r="DK38" s="1932">
        <f>SUM(DI38,DG38,DD38,DA38,CX38,CS38)</f>
        <v/>
      </c>
      <c r="DL38" s="1933">
        <f>SUM(DG38,DD38,DA38,CX38)</f>
        <v/>
      </c>
      <c r="DM38" s="596">
        <f>DL38/DK38</f>
        <v/>
      </c>
    </row>
    <row r="39" customFormat="1" s="585">
      <c r="A39" s="688" t="n"/>
      <c r="B39" s="1984" t="n"/>
      <c r="C39" s="1985" t="n"/>
      <c r="D39" s="1986">
        <f>B39*C39</f>
        <v/>
      </c>
      <c r="E39" s="600" t="n"/>
      <c r="F39" s="600" t="n"/>
      <c r="G39" s="600" t="n"/>
      <c r="H39" s="600" t="n"/>
      <c r="K39" s="1091" t="inlineStr">
        <is>
          <t>divided SF</t>
        </is>
      </c>
      <c r="L39" s="1982">
        <f>$B$45/M39</f>
        <v/>
      </c>
      <c r="M39" s="1983" t="n">
        <v>5</v>
      </c>
      <c r="N39" s="1094" t="inlineStr">
        <is>
          <t># divided by</t>
        </is>
      </c>
      <c r="AW39" s="1930" t="n">
        <v>28000</v>
      </c>
      <c r="AX39" s="1930" t="n"/>
      <c r="AY39" s="1930" t="n"/>
      <c r="AZ39" s="1930">
        <f>AW39</f>
        <v/>
      </c>
      <c r="BA39" s="1930" t="n"/>
      <c r="BB39" s="1930" t="n"/>
      <c r="BC39" s="1930">
        <f>AW39+AZ39</f>
        <v/>
      </c>
      <c r="BD39" s="1930" t="n"/>
      <c r="BE39" s="1930" t="n"/>
      <c r="BF39" s="1930">
        <f>BC39</f>
        <v/>
      </c>
      <c r="BG39" s="596">
        <f>IF(AW39&lt;=#REF!,#REF!,IF(AW39&lt;=#REF!,#REF!,IF(AW39&lt;=#REF!,#REF!,IF(AW39&lt;=#REF!,#REF!,IF(AW39&lt;=#REF!,#REF!,IF(AW39&lt;=#REF!,#REF!,IF(AW39&lt;=#REF!,#REF!,0.05)))))))</f>
        <v/>
      </c>
      <c r="BH39" s="1930">
        <f>BG39*AW39</f>
        <v/>
      </c>
      <c r="BI39" s="596" t="n"/>
      <c r="BJ39" s="596">
        <f>IF(AZ39&lt;=#REF!,#REF!,IF(AZ39&lt;=#REF!,#REF!,IF(AZ39&lt;=#REF!,#REF!,IF(AZ39&lt;=#REF!,#REF!,IF(AZ39&lt;=#REF!,#REF!,IF(AZ39&lt;=#REF!,#REF!,IF(AZ39&lt;=#REF!,#REF!,0.05)))))))</f>
        <v/>
      </c>
      <c r="BK39" s="1930">
        <f>BJ39*AZ39</f>
        <v/>
      </c>
      <c r="BL39" s="596" t="n"/>
      <c r="BM39" s="596">
        <f>IF(BC39&lt;=#REF!,#REF!,IF(BC39&lt;=#REF!,#REF!,IF(BC39&lt;=#REF!,#REF!,IF(BC39&lt;=#REF!,#REF!,IF(BC39&lt;=#REF!,#REF!,IF(BC39&lt;=#REF!,#REF!,IF(BC39&lt;=#REF!,#REF!,0.05)))))))</f>
        <v/>
      </c>
      <c r="BN39" s="1930">
        <f>BM39*SUM(BK39,BH39,BC39)</f>
        <v/>
      </c>
      <c r="BO39" s="596" t="n"/>
      <c r="BP39" s="1931">
        <f>IF(BF39&lt;=#REF!,#REF!,IF(BF39&lt;=#REF!,#REF!,IF(BF39&lt;=#REF!,#REF!,IF(BF39&lt;=#REF!,#REF!,IF(BF39&lt;=#REF!,#REF!,IF(BF39&lt;=#REF!,#REF!,IF(BF39&lt;=#REF!,#REF!,0.05)))))))</f>
        <v/>
      </c>
      <c r="BQ39" s="1930">
        <f>BP39*BF39</f>
        <v/>
      </c>
      <c r="BS39" s="1932">
        <f>0.07*SUM(BC39,BH39,BK39,BN39,BQ39)</f>
        <v/>
      </c>
      <c r="BU39" s="1932">
        <f>SUM(BS39,BQ39,BN39,BK39,BH39,BC39)</f>
        <v/>
      </c>
      <c r="BV39" s="1933">
        <f>SUM(BQ39,BN39,BK39,BH39)</f>
        <v/>
      </c>
      <c r="BW39" s="596">
        <f>BV39/BU39</f>
        <v/>
      </c>
      <c r="CM39" s="1930" t="n">
        <v>28000</v>
      </c>
      <c r="CN39" s="1930" t="n"/>
      <c r="CO39" s="1930" t="n"/>
      <c r="CP39" s="1930">
        <f>CM39</f>
        <v/>
      </c>
      <c r="CQ39" s="1930" t="n"/>
      <c r="CR39" s="1930" t="n"/>
      <c r="CS39" s="1930">
        <f>CM39+CP39</f>
        <v/>
      </c>
      <c r="CT39" s="1930" t="n"/>
      <c r="CU39" s="1930" t="n"/>
      <c r="CV39" s="1930">
        <f>CS39</f>
        <v/>
      </c>
      <c r="CW39" s="596">
        <f>IF(CM39&lt;=BO$4,BN$4,IF(CM39&lt;=BO$5,BN$5,IF(CM39&lt;=BO$6,BN$6,IF(CM39&lt;=BO$7,BN$7,IF(CM39&lt;=BO$12,BN$12,IF(CM39&lt;=BO$13,BN$13,IF(CM39&lt;=BO$14,BN$14,0.05)))))))</f>
        <v/>
      </c>
      <c r="CX39" s="1930">
        <f>CW39*CM39</f>
        <v/>
      </c>
      <c r="CY39" s="596" t="n"/>
      <c r="CZ39" s="596">
        <f>IF(CP39&lt;=BR$4,BQ$4,IF(CP39&lt;=BR$5,BQ$5,IF(CP39&lt;=BR$6,BQ$6,IF(CP39&lt;=BR$7,BQ$7,IF(CP39&lt;=BR$12,BQ$12,IF(CP39&lt;=BR$13,BQ$13,IF(CP39&lt;=BR$14,BQ$14,0.05)))))))</f>
        <v/>
      </c>
      <c r="DA39" s="1930">
        <f>CZ39*CP39</f>
        <v/>
      </c>
      <c r="DB39" s="596" t="n"/>
      <c r="DC39" s="596">
        <f>IF(CS39&lt;=BU$4,BT$4,IF(CS39&lt;=BU$5,BT$5,IF(CS39&lt;=BU$6,BT$6,IF(CS39&lt;=BU$7,BT$7,IF(CS39&lt;=BU$12,BT$12,IF(CS39&lt;=BU$13,BT$13,IF(CS39&lt;=BU$14,BT$14,0.05)))))))</f>
        <v/>
      </c>
      <c r="DD39" s="1930">
        <f>DC39*SUM(DA39,CX39,CS39)</f>
        <v/>
      </c>
      <c r="DE39" s="596" t="n"/>
      <c r="DF39" s="1931">
        <f>IF(CV39&lt;=BX$4,BW$4,IF(CV39&lt;=BX$5,BW$5,IF(CV39&lt;=BX$6,BW$6,IF(CV39&lt;=BX$7,BW$7,IF(CV39&lt;=BX$12,BW$12,IF(CV39&lt;=BX$13,BW$13,IF(CV39&lt;=BX$14,BW$14,0.05)))))))</f>
        <v/>
      </c>
      <c r="DG39" s="1930">
        <f>DF39*CV39</f>
        <v/>
      </c>
      <c r="DI39" s="1932">
        <f>0.07*SUM(CS39,CX39,DA39,DD39,DG39)</f>
        <v/>
      </c>
      <c r="DK39" s="1932">
        <f>SUM(DI39,DG39,DD39,DA39,CX39,CS39)</f>
        <v/>
      </c>
      <c r="DL39" s="1933">
        <f>SUM(DG39,DD39,DA39,CX39)</f>
        <v/>
      </c>
      <c r="DM39" s="596">
        <f>DL39/DK39</f>
        <v/>
      </c>
    </row>
    <row r="40" ht="16.05" customFormat="1" customHeight="1" s="585" thickBot="1">
      <c r="A40" s="1783" t="inlineStr">
        <is>
          <t>Material Sub Total</t>
        </is>
      </c>
      <c r="B40" s="1785" t="inlineStr">
        <is>
          <t>Epoxy Discount</t>
        </is>
      </c>
      <c r="C40" s="1785" t="inlineStr">
        <is>
          <t>Poly-Crete Discount</t>
        </is>
      </c>
      <c r="D40" s="1987">
        <f>ROUNDUP(SUM(D18:D39),0)</f>
        <v/>
      </c>
      <c r="E40" s="697" t="inlineStr">
        <is>
          <t>$ per SW 010126</t>
        </is>
      </c>
      <c r="F40" s="1825" t="inlineStr">
        <is>
          <t>+6% for 5/1/26 ^ $</t>
        </is>
      </c>
      <c r="G40" s="1829" t="inlineStr">
        <is>
          <t>and Torginol Flake: +0.07 &amp; Quartz: +0.05</t>
        </is>
      </c>
      <c r="H40" s="1829" t="n"/>
      <c r="K40" s="1091" t="inlineStr">
        <is>
          <t>divided SF</t>
        </is>
      </c>
      <c r="L40" s="1982">
        <f>$B$45/M40</f>
        <v/>
      </c>
      <c r="M40" s="1983" t="n">
        <v>4</v>
      </c>
      <c r="N40" s="1094" t="inlineStr">
        <is>
          <t># divided by</t>
        </is>
      </c>
      <c r="AW40" s="1930" t="n">
        <v>29000</v>
      </c>
      <c r="AX40" s="1930" t="n"/>
      <c r="AY40" s="1930" t="n"/>
      <c r="AZ40" s="1930">
        <f>AW40</f>
        <v/>
      </c>
      <c r="BA40" s="1930" t="n"/>
      <c r="BB40" s="1930" t="n"/>
      <c r="BC40" s="1930">
        <f>AW40+AZ40</f>
        <v/>
      </c>
      <c r="BD40" s="1930" t="n"/>
      <c r="BE40" s="1930" t="n"/>
      <c r="BF40" s="1930">
        <f>BC40</f>
        <v/>
      </c>
      <c r="BG40" s="596">
        <f>IF(AW40&lt;=#REF!,#REF!,IF(AW40&lt;=#REF!,#REF!,IF(AW40&lt;=#REF!,#REF!,IF(AW40&lt;=#REF!,#REF!,IF(AW40&lt;=#REF!,#REF!,IF(AW40&lt;=#REF!,#REF!,IF(AW40&lt;=#REF!,#REF!,0.05)))))))</f>
        <v/>
      </c>
      <c r="BH40" s="1930">
        <f>BG40*AW40</f>
        <v/>
      </c>
      <c r="BI40" s="596" t="n"/>
      <c r="BJ40" s="596">
        <f>IF(AZ40&lt;=#REF!,#REF!,IF(AZ40&lt;=#REF!,#REF!,IF(AZ40&lt;=#REF!,#REF!,IF(AZ40&lt;=#REF!,#REF!,IF(AZ40&lt;=#REF!,#REF!,IF(AZ40&lt;=#REF!,#REF!,IF(AZ40&lt;=#REF!,#REF!,0.05)))))))</f>
        <v/>
      </c>
      <c r="BK40" s="1930">
        <f>BJ40*AZ40</f>
        <v/>
      </c>
      <c r="BL40" s="596" t="n"/>
      <c r="BM40" s="596">
        <f>IF(BC40&lt;=#REF!,#REF!,IF(BC40&lt;=#REF!,#REF!,IF(BC40&lt;=#REF!,#REF!,IF(BC40&lt;=#REF!,#REF!,IF(BC40&lt;=#REF!,#REF!,IF(BC40&lt;=#REF!,#REF!,IF(BC40&lt;=#REF!,#REF!,0.05)))))))</f>
        <v/>
      </c>
      <c r="BN40" s="1930">
        <f>BM40*SUM(BK40,BH40,BC40)</f>
        <v/>
      </c>
      <c r="BO40" s="596" t="n"/>
      <c r="BP40" s="1931">
        <f>IF(BF40&lt;=#REF!,#REF!,IF(BF40&lt;=#REF!,#REF!,IF(BF40&lt;=#REF!,#REF!,IF(BF40&lt;=#REF!,#REF!,IF(BF40&lt;=#REF!,#REF!,IF(BF40&lt;=#REF!,#REF!,IF(BF40&lt;=#REF!,#REF!,0.05)))))))</f>
        <v/>
      </c>
      <c r="BQ40" s="1930">
        <f>BP40*BF40</f>
        <v/>
      </c>
      <c r="BS40" s="1932">
        <f>0.07*SUM(BC40,BH40,BK40,BN40,BQ40)</f>
        <v/>
      </c>
      <c r="BU40" s="1932">
        <f>SUM(BS40,BQ40,BN40,BK40,BH40,BC40)</f>
        <v/>
      </c>
      <c r="BV40" s="1933">
        <f>SUM(BQ40,BN40,BK40,BH40)</f>
        <v/>
      </c>
      <c r="BW40" s="596">
        <f>BV40/BU40</f>
        <v/>
      </c>
      <c r="CM40" s="1930" t="n">
        <v>29000</v>
      </c>
      <c r="CN40" s="1930" t="n"/>
      <c r="CO40" s="1930" t="n"/>
      <c r="CP40" s="1930">
        <f>CM40</f>
        <v/>
      </c>
      <c r="CQ40" s="1930" t="n"/>
      <c r="CR40" s="1930" t="n"/>
      <c r="CS40" s="1930">
        <f>CM40+CP40</f>
        <v/>
      </c>
      <c r="CT40" s="1930" t="n"/>
      <c r="CU40" s="1930" t="n"/>
      <c r="CV40" s="1930">
        <f>CS40</f>
        <v/>
      </c>
      <c r="CW40" s="596">
        <f>IF(CM40&lt;=BO$4,BN$4,IF(CM40&lt;=BO$5,BN$5,IF(CM40&lt;=BO$6,BN$6,IF(CM40&lt;=BO$7,BN$7,IF(CM40&lt;=BO$12,BN$12,IF(CM40&lt;=BO$13,BN$13,IF(CM40&lt;=BO$14,BN$14,0.05)))))))</f>
        <v/>
      </c>
      <c r="CX40" s="1930">
        <f>CW40*CM40</f>
        <v/>
      </c>
      <c r="CY40" s="596" t="n"/>
      <c r="CZ40" s="596">
        <f>IF(CP40&lt;=BR$4,BQ$4,IF(CP40&lt;=BR$5,BQ$5,IF(CP40&lt;=BR$6,BQ$6,IF(CP40&lt;=BR$7,BQ$7,IF(CP40&lt;=BR$12,BQ$12,IF(CP40&lt;=BR$13,BQ$13,IF(CP40&lt;=BR$14,BQ$14,0.05)))))))</f>
        <v/>
      </c>
      <c r="DA40" s="1930">
        <f>CZ40*CP40</f>
        <v/>
      </c>
      <c r="DB40" s="596" t="n"/>
      <c r="DC40" s="596">
        <f>IF(CS40&lt;=BU$4,BT$4,IF(CS40&lt;=BU$5,BT$5,IF(CS40&lt;=BU$6,BT$6,IF(CS40&lt;=BU$7,BT$7,IF(CS40&lt;=BU$12,BT$12,IF(CS40&lt;=BU$13,BT$13,IF(CS40&lt;=BU$14,BT$14,0.05)))))))</f>
        <v/>
      </c>
      <c r="DD40" s="1930">
        <f>DC40*SUM(DA40,CX40,CS40)</f>
        <v/>
      </c>
      <c r="DE40" s="596" t="n"/>
      <c r="DF40" s="1931">
        <f>IF(CV40&lt;=BX$4,BW$4,IF(CV40&lt;=BX$5,BW$5,IF(CV40&lt;=BX$6,BW$6,IF(CV40&lt;=BX$7,BW$7,IF(CV40&lt;=BX$12,BW$12,IF(CV40&lt;=BX$13,BW$13,IF(CV40&lt;=BX$14,BW$14,0.05)))))))</f>
        <v/>
      </c>
      <c r="DG40" s="1930">
        <f>DF40*CV40</f>
        <v/>
      </c>
      <c r="DI40" s="1932">
        <f>0.07*SUM(CS40,CX40,DA40,DD40,DG40)</f>
        <v/>
      </c>
      <c r="DK40" s="1932">
        <f>SUM(DI40,DG40,DD40,DA40,CX40,CS40)</f>
        <v/>
      </c>
      <c r="DL40" s="1933">
        <f>SUM(DG40,DD40,DA40,CX40)</f>
        <v/>
      </c>
      <c r="DM40" s="596">
        <f>DL40/DK40</f>
        <v/>
      </c>
    </row>
    <row r="41" ht="16.2" customFormat="1" customHeight="1" s="585" thickBot="1">
      <c r="A41" s="693" t="inlineStr">
        <is>
          <t>Discount / Overage</t>
        </is>
      </c>
      <c r="B41" s="694" t="n">
        <v>0</v>
      </c>
      <c r="C41" s="1376">
        <f>B41</f>
        <v/>
      </c>
      <c r="D41" s="1988" t="inlineStr">
        <is>
          <t>Bulk Discount OFF</t>
        </is>
      </c>
      <c r="E41" s="697" t="inlineStr">
        <is>
          <t>? Extra discount ?</t>
        </is>
      </c>
      <c r="F41" s="697" t="n"/>
      <c r="G41" s="698">
        <f>IF(H41="15%","Request Discount:",IF(H41="20%","Request Discount:",IF(H41="25%","Request Discount:")))</f>
        <v/>
      </c>
      <c r="H41" s="699">
        <f>IF(D40&gt;=100000,"25%",IF(D40&gt;=30000,"20%",IF(D40&gt;=10000,"15%")))</f>
        <v/>
      </c>
      <c r="J41" s="700" t="n"/>
      <c r="K41" s="1091" t="inlineStr">
        <is>
          <t>divided SF</t>
        </is>
      </c>
      <c r="L41" s="1982">
        <f>$B$45/M41</f>
        <v/>
      </c>
      <c r="M41" s="1983" t="n">
        <v>3</v>
      </c>
      <c r="N41" s="1731" t="inlineStr">
        <is>
          <t># divided by</t>
        </is>
      </c>
      <c r="O41" s="1982">
        <f>O43/M41</f>
        <v/>
      </c>
      <c r="AW41" s="1930" t="n">
        <v>30000</v>
      </c>
      <c r="AX41" s="1930" t="n"/>
      <c r="AY41" s="1930" t="n"/>
      <c r="AZ41" s="1930">
        <f>AW41</f>
        <v/>
      </c>
      <c r="BA41" s="1930" t="n"/>
      <c r="BB41" s="1930" t="n"/>
      <c r="BC41" s="1930">
        <f>AW41+AZ41</f>
        <v/>
      </c>
      <c r="BD41" s="1930" t="n"/>
      <c r="BE41" s="1930" t="n"/>
      <c r="BF41" s="1930">
        <f>BC41</f>
        <v/>
      </c>
      <c r="BG41" s="596">
        <f>IF(AW41&lt;=#REF!,#REF!,IF(AW41&lt;=#REF!,#REF!,IF(AW41&lt;=#REF!,#REF!,IF(AW41&lt;=#REF!,#REF!,IF(AW41&lt;=#REF!,#REF!,IF(AW41&lt;=#REF!,#REF!,IF(AW41&lt;=#REF!,#REF!,0.05)))))))</f>
        <v/>
      </c>
      <c r="BH41" s="1930">
        <f>BG41*AW41</f>
        <v/>
      </c>
      <c r="BI41" s="596" t="n"/>
      <c r="BJ41" s="596">
        <f>IF(AZ41&lt;=#REF!,#REF!,IF(AZ41&lt;=#REF!,#REF!,IF(AZ41&lt;=#REF!,#REF!,IF(AZ41&lt;=#REF!,#REF!,IF(AZ41&lt;=#REF!,#REF!,IF(AZ41&lt;=#REF!,#REF!,IF(AZ41&lt;=#REF!,#REF!,0.05)))))))</f>
        <v/>
      </c>
      <c r="BK41" s="1930">
        <f>BJ41*AZ41</f>
        <v/>
      </c>
      <c r="BL41" s="596" t="n"/>
      <c r="BM41" s="596">
        <f>IF(BC41&lt;=#REF!,#REF!,IF(BC41&lt;=#REF!,#REF!,IF(BC41&lt;=#REF!,#REF!,IF(BC41&lt;=#REF!,#REF!,IF(BC41&lt;=#REF!,#REF!,IF(BC41&lt;=#REF!,#REF!,IF(BC41&lt;=#REF!,#REF!,0.05)))))))</f>
        <v/>
      </c>
      <c r="BN41" s="1930">
        <f>BM41*SUM(BK41,BH41,BC41)</f>
        <v/>
      </c>
      <c r="BO41" s="596" t="n"/>
      <c r="BP41" s="1931">
        <f>IF(BF41&lt;=#REF!,#REF!,IF(BF41&lt;=#REF!,#REF!,IF(BF41&lt;=#REF!,#REF!,IF(BF41&lt;=#REF!,#REF!,IF(BF41&lt;=#REF!,#REF!,IF(BF41&lt;=#REF!,#REF!,IF(BF41&lt;=#REF!,#REF!,0.05)))))))</f>
        <v/>
      </c>
      <c r="BQ41" s="1930">
        <f>BP41*BF41</f>
        <v/>
      </c>
      <c r="BS41" s="1932">
        <f>0.07*SUM(BC41,BH41,BK41,BN41,BQ41)</f>
        <v/>
      </c>
      <c r="BU41" s="1932">
        <f>SUM(BS41,BQ41,BN41,BK41,BH41,BC41)</f>
        <v/>
      </c>
      <c r="BV41" s="1933">
        <f>SUM(BQ41,BN41,BK41,BH41)</f>
        <v/>
      </c>
      <c r="BW41" s="596">
        <f>BV41/BU41</f>
        <v/>
      </c>
      <c r="CM41" s="1930" t="n">
        <v>30000</v>
      </c>
      <c r="CN41" s="1930" t="n"/>
      <c r="CO41" s="1930" t="n"/>
      <c r="CP41" s="1930">
        <f>CM41</f>
        <v/>
      </c>
      <c r="CQ41" s="1930" t="n"/>
      <c r="CR41" s="1930" t="n"/>
      <c r="CS41" s="1930">
        <f>CM41+CP41</f>
        <v/>
      </c>
      <c r="CT41" s="1930" t="n"/>
      <c r="CU41" s="1930" t="n"/>
      <c r="CV41" s="1930">
        <f>CS41</f>
        <v/>
      </c>
      <c r="CW41" s="596">
        <f>IF(CM41&lt;=BO$4,BN$4,IF(CM41&lt;=BO$5,BN$5,IF(CM41&lt;=BO$6,BN$6,IF(CM41&lt;=BO$7,BN$7,IF(CM41&lt;=BO$12,BN$12,IF(CM41&lt;=BO$13,BN$13,IF(CM41&lt;=BO$14,BN$14,0.05)))))))</f>
        <v/>
      </c>
      <c r="CX41" s="1930">
        <f>CW41*CM41</f>
        <v/>
      </c>
      <c r="CY41" s="596" t="n"/>
      <c r="CZ41" s="596">
        <f>IF(CP41&lt;=BR$4,BQ$4,IF(CP41&lt;=BR$5,BQ$5,IF(CP41&lt;=BR$6,BQ$6,IF(CP41&lt;=BR$7,BQ$7,IF(CP41&lt;=BR$12,BQ$12,IF(CP41&lt;=BR$13,BQ$13,IF(CP41&lt;=BR$14,BQ$14,0.05)))))))</f>
        <v/>
      </c>
      <c r="DA41" s="1930">
        <f>CZ41*CP41</f>
        <v/>
      </c>
      <c r="DB41" s="596" t="n"/>
      <c r="DC41" s="596">
        <f>IF(CS41&lt;=BU$4,BT$4,IF(CS41&lt;=BU$5,BT$5,IF(CS41&lt;=BU$6,BT$6,IF(CS41&lt;=BU$7,BT$7,IF(CS41&lt;=BU$12,BT$12,IF(CS41&lt;=BU$13,BT$13,IF(CS41&lt;=BU$14,BT$14,0.05)))))))</f>
        <v/>
      </c>
      <c r="DD41" s="1930">
        <f>DC41*SUM(DA41,CX41,CS41)</f>
        <v/>
      </c>
      <c r="DE41" s="596" t="n"/>
      <c r="DF41" s="1931">
        <f>IF(CV41&lt;=BX$4,BW$4,IF(CV41&lt;=BX$5,BW$5,IF(CV41&lt;=BX$6,BW$6,IF(CV41&lt;=BX$7,BW$7,IF(CV41&lt;=BX$12,BW$12,IF(CV41&lt;=BX$13,BW$13,IF(CV41&lt;=BX$14,BW$14,0.05)))))))</f>
        <v/>
      </c>
      <c r="DG41" s="1930">
        <f>DF41*CV41</f>
        <v/>
      </c>
      <c r="DI41" s="1932">
        <f>0.07*SUM(CS41,CX41,DA41,DD41,DG41)</f>
        <v/>
      </c>
      <c r="DK41" s="1932">
        <f>SUM(DI41,DG41,DD41,DA41,CX41,CS41)</f>
        <v/>
      </c>
      <c r="DL41" s="1933">
        <f>SUM(DG41,DD41,DA41,CX41)</f>
        <v/>
      </c>
      <c r="DM41" s="596">
        <f>DL41/DK41</f>
        <v/>
      </c>
    </row>
    <row r="42" customFormat="1" s="585">
      <c r="A42" s="701" t="inlineStr">
        <is>
          <t>Shipping + Matr'l Escln</t>
        </is>
      </c>
      <c r="B42" s="702">
        <f>0.05+IF(D40&lt;=5000,0.1,IF(D40&lt;=10000,0.06,0.04))</f>
        <v/>
      </c>
      <c r="C42" s="1989" t="n"/>
      <c r="D42" s="1990">
        <f>ROUNDUP(D40*B42,0)</f>
        <v/>
      </c>
      <c r="E42" s="600" t="n"/>
      <c r="G42" s="705" t="n"/>
      <c r="H42" s="706" t="inlineStr">
        <is>
          <t>Material Budget</t>
        </is>
      </c>
      <c r="I42" s="707" t="n"/>
      <c r="K42" s="1091" t="inlineStr">
        <is>
          <t>divided SF</t>
        </is>
      </c>
      <c r="L42" s="1982">
        <f>$B$45/M42</f>
        <v/>
      </c>
      <c r="M42" s="1983" t="n">
        <v>2</v>
      </c>
      <c r="N42" s="1731" t="inlineStr">
        <is>
          <t># divided by</t>
        </is>
      </c>
      <c r="O42" s="1982">
        <f>O43/M42</f>
        <v/>
      </c>
      <c r="AB42" s="1477" t="inlineStr">
        <is>
          <t>MACRO Single Flake</t>
        </is>
      </c>
      <c r="AW42" s="1930" t="n">
        <v>31000</v>
      </c>
      <c r="AX42" s="1930" t="n"/>
      <c r="AY42" s="1930" t="n"/>
      <c r="AZ42" s="1930">
        <f>AW42</f>
        <v/>
      </c>
      <c r="BA42" s="1930" t="n"/>
      <c r="BB42" s="1930" t="n"/>
      <c r="BC42" s="1930">
        <f>AW42+AZ42</f>
        <v/>
      </c>
      <c r="BD42" s="1930" t="n"/>
      <c r="BE42" s="1930" t="n"/>
      <c r="BF42" s="1930">
        <f>BC42</f>
        <v/>
      </c>
      <c r="BG42" s="596">
        <f>IF(AW42&lt;=#REF!,#REF!,IF(AW42&lt;=#REF!,#REF!,IF(AW42&lt;=#REF!,#REF!,IF(AW42&lt;=#REF!,#REF!,IF(AW42&lt;=#REF!,#REF!,IF(AW42&lt;=#REF!,#REF!,IF(AW42&lt;=#REF!,#REF!,0.05)))))))</f>
        <v/>
      </c>
      <c r="BH42" s="1930">
        <f>BG42*AW42</f>
        <v/>
      </c>
      <c r="BI42" s="596" t="n"/>
      <c r="BJ42" s="596">
        <f>IF(AZ42&lt;=#REF!,#REF!,IF(AZ42&lt;=#REF!,#REF!,IF(AZ42&lt;=#REF!,#REF!,IF(AZ42&lt;=#REF!,#REF!,IF(AZ42&lt;=#REF!,#REF!,IF(AZ42&lt;=#REF!,#REF!,IF(AZ42&lt;=#REF!,#REF!,0.05)))))))</f>
        <v/>
      </c>
      <c r="BK42" s="1930">
        <f>BJ42*AZ42</f>
        <v/>
      </c>
      <c r="BL42" s="596" t="n"/>
      <c r="BM42" s="596">
        <f>IF(BC42&lt;=#REF!,#REF!,IF(BC42&lt;=#REF!,#REF!,IF(BC42&lt;=#REF!,#REF!,IF(BC42&lt;=#REF!,#REF!,IF(BC42&lt;=#REF!,#REF!,IF(BC42&lt;=#REF!,#REF!,IF(BC42&lt;=#REF!,#REF!,0.05)))))))</f>
        <v/>
      </c>
      <c r="BN42" s="1930">
        <f>BM42*SUM(BK42,BH42,BC42)</f>
        <v/>
      </c>
      <c r="BO42" s="596" t="n"/>
      <c r="BP42" s="1931">
        <f>IF(BF42&lt;=#REF!,#REF!,IF(BF42&lt;=#REF!,#REF!,IF(BF42&lt;=#REF!,#REF!,IF(BF42&lt;=#REF!,#REF!,IF(BF42&lt;=#REF!,#REF!,IF(BF42&lt;=#REF!,#REF!,IF(BF42&lt;=#REF!,#REF!,0.05)))))))</f>
        <v/>
      </c>
      <c r="BQ42" s="1930">
        <f>BP42*BF42</f>
        <v/>
      </c>
      <c r="BS42" s="1932">
        <f>0.07*SUM(BC42,BH42,BK42,BN42,BQ42)</f>
        <v/>
      </c>
      <c r="BU42" s="1932">
        <f>SUM(BS42,BQ42,BN42,BK42,BH42,BC42)</f>
        <v/>
      </c>
      <c r="BV42" s="1933">
        <f>SUM(BQ42,BN42,BK42,BH42)</f>
        <v/>
      </c>
      <c r="BW42" s="596">
        <f>BV42/BU42</f>
        <v/>
      </c>
      <c r="CM42" s="1930" t="n">
        <v>31000</v>
      </c>
      <c r="CN42" s="1930" t="n"/>
      <c r="CO42" s="1930" t="n"/>
      <c r="CP42" s="1930">
        <f>CM42</f>
        <v/>
      </c>
      <c r="CQ42" s="1930" t="n"/>
      <c r="CR42" s="1930" t="n"/>
      <c r="CS42" s="1930">
        <f>CM42+CP42</f>
        <v/>
      </c>
      <c r="CT42" s="1930" t="n"/>
      <c r="CU42" s="1930" t="n"/>
      <c r="CV42" s="1930">
        <f>CS42</f>
        <v/>
      </c>
      <c r="CW42" s="596">
        <f>IF(CM42&lt;=BO$4,BN$4,IF(CM42&lt;=BO$5,BN$5,IF(CM42&lt;=BO$6,BN$6,IF(CM42&lt;=BO$7,BN$7,IF(CM42&lt;=BO$12,BN$12,IF(CM42&lt;=BO$13,BN$13,IF(CM42&lt;=BO$14,BN$14,0.05)))))))</f>
        <v/>
      </c>
      <c r="CX42" s="1930">
        <f>CW42*CM42</f>
        <v/>
      </c>
      <c r="CY42" s="596" t="n"/>
      <c r="CZ42" s="596">
        <f>IF(CP42&lt;=BR$4,BQ$4,IF(CP42&lt;=BR$5,BQ$5,IF(CP42&lt;=BR$6,BQ$6,IF(CP42&lt;=BR$7,BQ$7,IF(CP42&lt;=BR$12,BQ$12,IF(CP42&lt;=BR$13,BQ$13,IF(CP42&lt;=BR$14,BQ$14,0.05)))))))</f>
        <v/>
      </c>
      <c r="DA42" s="1930">
        <f>CZ42*CP42</f>
        <v/>
      </c>
      <c r="DB42" s="596" t="n"/>
      <c r="DC42" s="596">
        <f>IF(CS42&lt;=BU$4,BT$4,IF(CS42&lt;=BU$5,BT$5,IF(CS42&lt;=BU$6,BT$6,IF(CS42&lt;=BU$7,BT$7,IF(CS42&lt;=BU$12,BT$12,IF(CS42&lt;=BU$13,BT$13,IF(CS42&lt;=BU$14,BT$14,0.05)))))))</f>
        <v/>
      </c>
      <c r="DD42" s="1930">
        <f>DC42*SUM(DA42,CX42,CS42)</f>
        <v/>
      </c>
      <c r="DE42" s="596" t="n"/>
      <c r="DF42" s="1931">
        <f>IF(CV42&lt;=BX$4,BW$4,IF(CV42&lt;=BX$5,BW$5,IF(CV42&lt;=BX$6,BW$6,IF(CV42&lt;=BX$7,BW$7,IF(CV42&lt;=BX$12,BW$12,IF(CV42&lt;=BX$13,BW$13,IF(CV42&lt;=BX$14,BW$14,0.05)))))))</f>
        <v/>
      </c>
      <c r="DG42" s="1930">
        <f>DF42*CV42</f>
        <v/>
      </c>
      <c r="DI42" s="1932">
        <f>0.07*SUM(CS42,CX42,DA42,DD42,DG42)</f>
        <v/>
      </c>
      <c r="DK42" s="1932">
        <f>SUM(DI42,DG42,DD42,DA42,CX42,CS42)</f>
        <v/>
      </c>
      <c r="DL42" s="1933">
        <f>SUM(DG42,DD42,DA42,CX42)</f>
        <v/>
      </c>
      <c r="DM42" s="596">
        <f>DL42/DK42</f>
        <v/>
      </c>
    </row>
    <row r="43" customFormat="1" s="585">
      <c r="A43" s="708" t="inlineStr">
        <is>
          <t>Material Total</t>
        </is>
      </c>
      <c r="B43" s="709" t="n"/>
      <c r="C43" s="1991" t="n"/>
      <c r="D43" s="1991">
        <f>SUM(D40:D42)</f>
        <v/>
      </c>
      <c r="E43" s="711">
        <f>D43/B45</f>
        <v/>
      </c>
      <c r="F43" s="712" t="inlineStr">
        <is>
          <t>Material $/SF</t>
        </is>
      </c>
      <c r="G43" s="1944" t="n"/>
      <c r="H43" s="1992">
        <f>D43</f>
        <v/>
      </c>
      <c r="I43" s="596" t="n"/>
      <c r="J43" s="600" t="n"/>
      <c r="K43" s="1453" t="inlineStr">
        <is>
          <t>TOTAL SF</t>
        </is>
      </c>
      <c r="L43" s="1993">
        <f>B45</f>
        <v/>
      </c>
      <c r="O43" s="1994">
        <f>I47</f>
        <v/>
      </c>
      <c r="P43" s="1459" t="inlineStr">
        <is>
          <t>SF for System</t>
        </is>
      </c>
      <c r="Q43" s="1995">
        <f>J47</f>
        <v/>
      </c>
      <c r="R43" s="699" t="inlineStr">
        <is>
          <t>LF Cove</t>
        </is>
      </c>
      <c r="S43" s="1462">
        <f>Q43/O43</f>
        <v/>
      </c>
      <c r="T43" s="1094" t="inlineStr">
        <is>
          <t>cove ratio</t>
        </is>
      </c>
      <c r="AB43" s="1994">
        <f>B45</f>
        <v/>
      </c>
      <c r="AC43" s="1459" t="inlineStr">
        <is>
          <t>SF for System</t>
        </is>
      </c>
      <c r="AD43" s="1995">
        <f>D45</f>
        <v/>
      </c>
      <c r="AE43" s="699" t="inlineStr">
        <is>
          <t>LF Cove</t>
        </is>
      </c>
      <c r="AF43" s="1462">
        <f>AD43/AB43</f>
        <v/>
      </c>
      <c r="AG43" s="1094" t="inlineStr">
        <is>
          <t>cove ratio</t>
        </is>
      </c>
      <c r="AW43" s="1930" t="n">
        <v>32000</v>
      </c>
      <c r="AX43" s="1930" t="n"/>
      <c r="AY43" s="1930" t="n"/>
      <c r="AZ43" s="1930">
        <f>AW43</f>
        <v/>
      </c>
      <c r="BA43" s="1930" t="n"/>
      <c r="BB43" s="1930" t="n"/>
      <c r="BC43" s="1930">
        <f>AW43+AZ43</f>
        <v/>
      </c>
      <c r="BD43" s="1930" t="n"/>
      <c r="BE43" s="1930" t="n"/>
      <c r="BF43" s="1930">
        <f>BC43</f>
        <v/>
      </c>
      <c r="BG43" s="596">
        <f>IF(AW43&lt;=#REF!,#REF!,IF(AW43&lt;=#REF!,#REF!,IF(AW43&lt;=#REF!,#REF!,IF(AW43&lt;=#REF!,#REF!,IF(AW43&lt;=#REF!,#REF!,IF(AW43&lt;=#REF!,#REF!,IF(AW43&lt;=#REF!,#REF!,0.05)))))))</f>
        <v/>
      </c>
      <c r="BH43" s="1930">
        <f>BG43*AW43</f>
        <v/>
      </c>
      <c r="BI43" s="596" t="n"/>
      <c r="BJ43" s="596">
        <f>IF(AZ43&lt;=#REF!,#REF!,IF(AZ43&lt;=#REF!,#REF!,IF(AZ43&lt;=#REF!,#REF!,IF(AZ43&lt;=#REF!,#REF!,IF(AZ43&lt;=#REF!,#REF!,IF(AZ43&lt;=#REF!,#REF!,IF(AZ43&lt;=#REF!,#REF!,0.05)))))))</f>
        <v/>
      </c>
      <c r="BK43" s="1930">
        <f>BJ43*AZ43</f>
        <v/>
      </c>
      <c r="BL43" s="596" t="n"/>
      <c r="BM43" s="596">
        <f>IF(BC43&lt;=#REF!,#REF!,IF(BC43&lt;=#REF!,#REF!,IF(BC43&lt;=#REF!,#REF!,IF(BC43&lt;=#REF!,#REF!,IF(BC43&lt;=#REF!,#REF!,IF(BC43&lt;=#REF!,#REF!,IF(BC43&lt;=#REF!,#REF!,0.05)))))))</f>
        <v/>
      </c>
      <c r="BN43" s="1930">
        <f>BM43*SUM(BK43,BH43,BC43)</f>
        <v/>
      </c>
      <c r="BO43" s="596" t="n"/>
      <c r="BP43" s="1931">
        <f>IF(BF43&lt;=#REF!,#REF!,IF(BF43&lt;=#REF!,#REF!,IF(BF43&lt;=#REF!,#REF!,IF(BF43&lt;=#REF!,#REF!,IF(BF43&lt;=#REF!,#REF!,IF(BF43&lt;=#REF!,#REF!,IF(BF43&lt;=#REF!,#REF!,0.05)))))))</f>
        <v/>
      </c>
      <c r="BQ43" s="1930">
        <f>BP43*BF43</f>
        <v/>
      </c>
      <c r="BS43" s="1932">
        <f>0.07*SUM(BC43,BH43,BK43,BN43,BQ43)</f>
        <v/>
      </c>
      <c r="BU43" s="1932">
        <f>SUM(BS43,BQ43,BN43,BK43,BH43,BC43)</f>
        <v/>
      </c>
      <c r="BV43" s="1933">
        <f>SUM(BQ43,BN43,BK43,BH43)</f>
        <v/>
      </c>
      <c r="BW43" s="596">
        <f>BV43/BU43</f>
        <v/>
      </c>
      <c r="CM43" s="1930" t="n">
        <v>32000</v>
      </c>
      <c r="CN43" s="1930" t="n"/>
      <c r="CO43" s="1930" t="n"/>
      <c r="CP43" s="1930">
        <f>CM43</f>
        <v/>
      </c>
      <c r="CQ43" s="1930" t="n"/>
      <c r="CR43" s="1930" t="n"/>
      <c r="CS43" s="1930">
        <f>CM43+CP43</f>
        <v/>
      </c>
      <c r="CT43" s="1930" t="n"/>
      <c r="CU43" s="1930" t="n"/>
      <c r="CV43" s="1930">
        <f>CS43</f>
        <v/>
      </c>
      <c r="CW43" s="596">
        <f>IF(CM43&lt;=BO$4,BN$4,IF(CM43&lt;=BO$5,BN$5,IF(CM43&lt;=BO$6,BN$6,IF(CM43&lt;=BO$7,BN$7,IF(CM43&lt;=BO$12,BN$12,IF(CM43&lt;=BO$13,BN$13,IF(CM43&lt;=BO$14,BN$14,0.05)))))))</f>
        <v/>
      </c>
      <c r="CX43" s="1930">
        <f>CW43*CM43</f>
        <v/>
      </c>
      <c r="CY43" s="596" t="n"/>
      <c r="CZ43" s="596">
        <f>IF(CP43&lt;=BR$4,BQ$4,IF(CP43&lt;=BR$5,BQ$5,IF(CP43&lt;=BR$6,BQ$6,IF(CP43&lt;=BR$7,BQ$7,IF(CP43&lt;=BR$12,BQ$12,IF(CP43&lt;=BR$13,BQ$13,IF(CP43&lt;=BR$14,BQ$14,0.05)))))))</f>
        <v/>
      </c>
      <c r="DA43" s="1930">
        <f>CZ43*CP43</f>
        <v/>
      </c>
      <c r="DB43" s="596" t="n"/>
      <c r="DC43" s="596">
        <f>IF(CS43&lt;=BU$4,BT$4,IF(CS43&lt;=BU$5,BT$5,IF(CS43&lt;=BU$6,BT$6,IF(CS43&lt;=BU$7,BT$7,IF(CS43&lt;=BU$12,BT$12,IF(CS43&lt;=BU$13,BT$13,IF(CS43&lt;=BU$14,BT$14,0.05)))))))</f>
        <v/>
      </c>
      <c r="DD43" s="1930">
        <f>DC43*SUM(DA43,CX43,CS43)</f>
        <v/>
      </c>
      <c r="DE43" s="596" t="n"/>
      <c r="DF43" s="1931">
        <f>IF(CV43&lt;=BX$4,BW$4,IF(CV43&lt;=BX$5,BW$5,IF(CV43&lt;=BX$6,BW$6,IF(CV43&lt;=BX$7,BW$7,IF(CV43&lt;=BX$12,BW$12,IF(CV43&lt;=BX$13,BW$13,IF(CV43&lt;=BX$14,BW$14,0.05)))))))</f>
        <v/>
      </c>
      <c r="DG43" s="1930">
        <f>DF43*CV43</f>
        <v/>
      </c>
      <c r="DI43" s="1932">
        <f>0.07*SUM(CS43,CX43,DA43,DD43,DG43)</f>
        <v/>
      </c>
      <c r="DK43" s="1932">
        <f>SUM(DI43,DG43,DD43,DA43,CX43,CS43)</f>
        <v/>
      </c>
      <c r="DL43" s="1933">
        <f>SUM(DG43,DD43,DA43,CX43)</f>
        <v/>
      </c>
      <c r="DM43" s="596">
        <f>DL43/DK43</f>
        <v/>
      </c>
    </row>
    <row r="44" customFormat="1" s="585">
      <c r="A44" s="714" t="inlineStr">
        <is>
          <t>Floor ONLY SF:</t>
        </is>
      </c>
      <c r="B44" s="1996">
        <f>E20+E24</f>
        <v/>
      </c>
      <c r="C44" s="714" t="n"/>
      <c r="D44" s="1996" t="n"/>
      <c r="E44" s="600" t="n"/>
      <c r="G44" s="716" t="n"/>
      <c r="H44" s="600" t="n"/>
      <c r="I44" s="600" t="n"/>
      <c r="L44" s="717" t="inlineStr">
        <is>
          <t xml:space="preserve">             # of Guys (epoxy)</t>
        </is>
      </c>
      <c r="M44" s="718" t="n"/>
      <c r="O44" s="1481" t="inlineStr">
        <is>
          <t>(Avg.)   Guys</t>
        </is>
      </c>
      <c r="P44" s="1130" t="inlineStr">
        <is>
          <t>(Avg.)     Days</t>
        </is>
      </c>
      <c r="Q44" s="1091" t="inlineStr">
        <is>
          <t>Labor Value</t>
        </is>
      </c>
      <c r="R44" s="1138" t="inlineStr">
        <is>
          <t>Wage Rate</t>
        </is>
      </c>
      <c r="AB44" s="1132" t="inlineStr">
        <is>
          <t>(Avg.)   Guys</t>
        </is>
      </c>
      <c r="AC44" s="1130" t="inlineStr">
        <is>
          <t>(Avg.)     Days</t>
        </is>
      </c>
      <c r="AD44" s="1091" t="inlineStr">
        <is>
          <t>Labor Value</t>
        </is>
      </c>
      <c r="AE44" s="1138" t="inlineStr">
        <is>
          <t>Wage Rate</t>
        </is>
      </c>
      <c r="AW44" s="1930" t="n">
        <v>33000</v>
      </c>
      <c r="AX44" s="1930" t="n"/>
      <c r="AY44" s="1930" t="n"/>
      <c r="AZ44" s="1930">
        <f>AW44</f>
        <v/>
      </c>
      <c r="BA44" s="1930" t="n"/>
      <c r="BB44" s="1930" t="n"/>
      <c r="BC44" s="1930">
        <f>AW44+AZ44</f>
        <v/>
      </c>
      <c r="BD44" s="1930" t="n"/>
      <c r="BE44" s="1930" t="n"/>
      <c r="BF44" s="1930">
        <f>BC44</f>
        <v/>
      </c>
      <c r="BG44" s="596">
        <f>IF(AW44&lt;=#REF!,#REF!,IF(AW44&lt;=#REF!,#REF!,IF(AW44&lt;=#REF!,#REF!,IF(AW44&lt;=#REF!,#REF!,IF(AW44&lt;=#REF!,#REF!,IF(AW44&lt;=#REF!,#REF!,IF(AW44&lt;=#REF!,#REF!,0.05)))))))</f>
        <v/>
      </c>
      <c r="BH44" s="1930">
        <f>BG44*AW44</f>
        <v/>
      </c>
      <c r="BI44" s="596" t="n"/>
      <c r="BJ44" s="596">
        <f>IF(AZ44&lt;=#REF!,#REF!,IF(AZ44&lt;=#REF!,#REF!,IF(AZ44&lt;=#REF!,#REF!,IF(AZ44&lt;=#REF!,#REF!,IF(AZ44&lt;=#REF!,#REF!,IF(AZ44&lt;=#REF!,#REF!,IF(AZ44&lt;=#REF!,#REF!,0.05)))))))</f>
        <v/>
      </c>
      <c r="BK44" s="1930">
        <f>BJ44*AZ44</f>
        <v/>
      </c>
      <c r="BL44" s="596" t="n"/>
      <c r="BM44" s="596">
        <f>IF(BC44&lt;=#REF!,#REF!,IF(BC44&lt;=#REF!,#REF!,IF(BC44&lt;=#REF!,#REF!,IF(BC44&lt;=#REF!,#REF!,IF(BC44&lt;=#REF!,#REF!,IF(BC44&lt;=#REF!,#REF!,IF(BC44&lt;=#REF!,#REF!,0.05)))))))</f>
        <v/>
      </c>
      <c r="BN44" s="1930">
        <f>BM44*SUM(BK44,BH44,BC44)</f>
        <v/>
      </c>
      <c r="BO44" s="596" t="n"/>
      <c r="BP44" s="1931">
        <f>IF(BF44&lt;=#REF!,#REF!,IF(BF44&lt;=#REF!,#REF!,IF(BF44&lt;=#REF!,#REF!,IF(BF44&lt;=#REF!,#REF!,IF(BF44&lt;=#REF!,#REF!,IF(BF44&lt;=#REF!,#REF!,IF(BF44&lt;=#REF!,#REF!,0.05)))))))</f>
        <v/>
      </c>
      <c r="BQ44" s="1930">
        <f>BP44*BF44</f>
        <v/>
      </c>
      <c r="BS44" s="1932">
        <f>0.07*SUM(BC44,BH44,BK44,BN44,BQ44)</f>
        <v/>
      </c>
      <c r="BU44" s="1932">
        <f>SUM(BS44,BQ44,BN44,BK44,BH44,BC44)</f>
        <v/>
      </c>
      <c r="BV44" s="1933">
        <f>SUM(BQ44,BN44,BK44,BH44)</f>
        <v/>
      </c>
      <c r="BW44" s="596">
        <f>BV44/BU44</f>
        <v/>
      </c>
      <c r="CM44" s="1930" t="n">
        <v>33000</v>
      </c>
      <c r="CN44" s="1930" t="n"/>
      <c r="CO44" s="1930" t="n"/>
      <c r="CP44" s="1930">
        <f>CM44</f>
        <v/>
      </c>
      <c r="CQ44" s="1930" t="n"/>
      <c r="CR44" s="1930" t="n"/>
      <c r="CS44" s="1930">
        <f>CM44+CP44</f>
        <v/>
      </c>
      <c r="CT44" s="1930" t="n"/>
      <c r="CU44" s="1930" t="n"/>
      <c r="CV44" s="1930">
        <f>CS44</f>
        <v/>
      </c>
      <c r="CW44" s="596">
        <f>IF(CM44&lt;=BO$4,BN$4,IF(CM44&lt;=BO$5,BN$5,IF(CM44&lt;=BO$6,BN$6,IF(CM44&lt;=BO$7,BN$7,IF(CM44&lt;=BO$12,BN$12,IF(CM44&lt;=BO$13,BN$13,IF(CM44&lt;=BO$14,BN$14,0.05)))))))</f>
        <v/>
      </c>
      <c r="CX44" s="1930">
        <f>CW44*CM44</f>
        <v/>
      </c>
      <c r="CY44" s="596" t="n"/>
      <c r="CZ44" s="596">
        <f>IF(CP44&lt;=BR$4,BQ$4,IF(CP44&lt;=BR$5,BQ$5,IF(CP44&lt;=BR$6,BQ$6,IF(CP44&lt;=BR$7,BQ$7,IF(CP44&lt;=BR$12,BQ$12,IF(CP44&lt;=BR$13,BQ$13,IF(CP44&lt;=BR$14,BQ$14,0.05)))))))</f>
        <v/>
      </c>
      <c r="DA44" s="1930">
        <f>CZ44*CP44</f>
        <v/>
      </c>
      <c r="DB44" s="596" t="n"/>
      <c r="DC44" s="596">
        <f>IF(CS44&lt;=BU$4,BT$4,IF(CS44&lt;=BU$5,BT$5,IF(CS44&lt;=BU$6,BT$6,IF(CS44&lt;=BU$7,BT$7,IF(CS44&lt;=BU$12,BT$12,IF(CS44&lt;=BU$13,BT$13,IF(CS44&lt;=BU$14,BT$14,0.05)))))))</f>
        <v/>
      </c>
      <c r="DD44" s="1930">
        <f>DC44*SUM(DA44,CX44,CS44)</f>
        <v/>
      </c>
      <c r="DE44" s="596" t="n"/>
      <c r="DF44" s="1931">
        <f>IF(CV44&lt;=BX$4,BW$4,IF(CV44&lt;=BX$5,BW$5,IF(CV44&lt;=BX$6,BW$6,IF(CV44&lt;=BX$7,BW$7,IF(CV44&lt;=BX$12,BW$12,IF(CV44&lt;=BX$13,BW$13,IF(CV44&lt;=BX$14,BW$14,0.05)))))))</f>
        <v/>
      </c>
      <c r="DG44" s="1930">
        <f>DF44*CV44</f>
        <v/>
      </c>
      <c r="DI44" s="1932">
        <f>0.07*SUM(CS44,CX44,DA44,DD44,DG44)</f>
        <v/>
      </c>
      <c r="DK44" s="1932">
        <f>SUM(DI44,DG44,DD44,DA44,CX44,CS44)</f>
        <v/>
      </c>
      <c r="DL44" s="1933">
        <f>SUM(DG44,DD44,DA44,CX44)</f>
        <v/>
      </c>
      <c r="DM44" s="596">
        <f>DL44/DK44</f>
        <v/>
      </c>
    </row>
    <row r="45" customFormat="1" s="585">
      <c r="A45" s="719" t="inlineStr">
        <is>
          <t>Square Footage:</t>
        </is>
      </c>
      <c r="B45" s="1997">
        <f>E20+E24</f>
        <v/>
      </c>
      <c r="C45" s="719" t="inlineStr">
        <is>
          <t>Linear Footage:</t>
        </is>
      </c>
      <c r="D45" s="1998">
        <f>E34+E37</f>
        <v/>
      </c>
      <c r="E45" s="722" t="inlineStr">
        <is>
          <t>8 hour days</t>
        </is>
      </c>
      <c r="F45" s="723">
        <f>D45/B45</f>
        <v/>
      </c>
      <c r="G45" s="724" t="inlineStr">
        <is>
          <t>: Ratio of Cove-Floor</t>
        </is>
      </c>
      <c r="H45" s="725" t="inlineStr">
        <is>
          <t>15%-25% = Normal</t>
        </is>
      </c>
      <c r="I45" s="726" t="inlineStr">
        <is>
          <t>SF for MH Calc</t>
        </is>
      </c>
      <c r="J45" s="727" t="inlineStr">
        <is>
          <t>LF</t>
        </is>
      </c>
      <c r="K45" s="728" t="inlineStr">
        <is>
          <t>Cove Ratio %</t>
        </is>
      </c>
      <c r="L45" s="729" t="inlineStr">
        <is>
          <t>Flake or lesser</t>
        </is>
      </c>
      <c r="M45" s="729" t="inlineStr">
        <is>
          <t>Qrtz/SLB or +</t>
        </is>
      </c>
      <c r="O45" s="1480" t="n">
        <v>3</v>
      </c>
      <c r="P45" s="1131">
        <f>P50/O45</f>
        <v/>
      </c>
      <c r="Q45" s="1999">
        <f>O45*P45*R45*8</f>
        <v/>
      </c>
      <c r="R45" s="2000">
        <f>C47</f>
        <v/>
      </c>
      <c r="AB45" s="1480" t="n">
        <v>3</v>
      </c>
      <c r="AC45" s="1131">
        <f>AC50/AB45</f>
        <v/>
      </c>
      <c r="AD45" s="1999">
        <f>AB45*AC45*AE45*8</f>
        <v/>
      </c>
      <c r="AE45" s="2000">
        <f>C47</f>
        <v/>
      </c>
      <c r="AW45" s="1930" t="n">
        <v>34000</v>
      </c>
      <c r="AX45" s="1930" t="n"/>
      <c r="AY45" s="1930" t="n"/>
      <c r="AZ45" s="1930">
        <f>AW45</f>
        <v/>
      </c>
      <c r="BA45" s="1930" t="n"/>
      <c r="BB45" s="1930" t="n"/>
      <c r="BC45" s="1930">
        <f>AW45+AZ45</f>
        <v/>
      </c>
      <c r="BD45" s="1930" t="n"/>
      <c r="BE45" s="1930" t="n"/>
      <c r="BF45" s="1930">
        <f>BC45</f>
        <v/>
      </c>
      <c r="BG45" s="596">
        <f>IF(AW45&lt;=#REF!,#REF!,IF(AW45&lt;=#REF!,#REF!,IF(AW45&lt;=#REF!,#REF!,IF(AW45&lt;=#REF!,#REF!,IF(AW45&lt;=#REF!,#REF!,IF(AW45&lt;=#REF!,#REF!,IF(AW45&lt;=#REF!,#REF!,0.05)))))))</f>
        <v/>
      </c>
      <c r="BH45" s="1930">
        <f>BG45*AW45</f>
        <v/>
      </c>
      <c r="BI45" s="596" t="n"/>
      <c r="BJ45" s="596">
        <f>IF(AZ45&lt;=#REF!,#REF!,IF(AZ45&lt;=#REF!,#REF!,IF(AZ45&lt;=#REF!,#REF!,IF(AZ45&lt;=#REF!,#REF!,IF(AZ45&lt;=#REF!,#REF!,IF(AZ45&lt;=#REF!,#REF!,IF(AZ45&lt;=#REF!,#REF!,0.05)))))))</f>
        <v/>
      </c>
      <c r="BK45" s="1930">
        <f>BJ45*AZ45</f>
        <v/>
      </c>
      <c r="BL45" s="596" t="n"/>
      <c r="BM45" s="596">
        <f>IF(BC45&lt;=#REF!,#REF!,IF(BC45&lt;=#REF!,#REF!,IF(BC45&lt;=#REF!,#REF!,IF(BC45&lt;=#REF!,#REF!,IF(BC45&lt;=#REF!,#REF!,IF(BC45&lt;=#REF!,#REF!,IF(BC45&lt;=#REF!,#REF!,0.05)))))))</f>
        <v/>
      </c>
      <c r="BN45" s="1930">
        <f>BM45*SUM(BK45,BH45,BC45)</f>
        <v/>
      </c>
      <c r="BO45" s="596" t="n"/>
      <c r="BP45" s="1931">
        <f>IF(BF45&lt;=#REF!,#REF!,IF(BF45&lt;=#REF!,#REF!,IF(BF45&lt;=#REF!,#REF!,IF(BF45&lt;=#REF!,#REF!,IF(BF45&lt;=#REF!,#REF!,IF(BF45&lt;=#REF!,#REF!,IF(BF45&lt;=#REF!,#REF!,0.05)))))))</f>
        <v/>
      </c>
      <c r="BQ45" s="1930">
        <f>BP45*BF45</f>
        <v/>
      </c>
      <c r="BS45" s="1932">
        <f>0.07*SUM(BC45,BH45,BK45,BN45,BQ45)</f>
        <v/>
      </c>
      <c r="BU45" s="1932">
        <f>SUM(BS45,BQ45,BN45,BK45,BH45,BC45)</f>
        <v/>
      </c>
      <c r="BV45" s="1933">
        <f>SUM(BQ45,BN45,BK45,BH45)</f>
        <v/>
      </c>
      <c r="BW45" s="596">
        <f>BV45/BU45</f>
        <v/>
      </c>
      <c r="CM45" s="1930" t="n">
        <v>34000</v>
      </c>
      <c r="CN45" s="1930" t="n"/>
      <c r="CO45" s="1930" t="n"/>
      <c r="CP45" s="1930">
        <f>CM45</f>
        <v/>
      </c>
      <c r="CQ45" s="1930" t="n"/>
      <c r="CR45" s="1930" t="n"/>
      <c r="CS45" s="1930">
        <f>CM45+CP45</f>
        <v/>
      </c>
      <c r="CT45" s="1930" t="n"/>
      <c r="CU45" s="1930" t="n"/>
      <c r="CV45" s="1930">
        <f>CS45</f>
        <v/>
      </c>
      <c r="CW45" s="596">
        <f>IF(CM45&lt;=BO$4,BN$4,IF(CM45&lt;=BO$5,BN$5,IF(CM45&lt;=BO$6,BN$6,IF(CM45&lt;=BO$7,BN$7,IF(CM45&lt;=BO$12,BN$12,IF(CM45&lt;=BO$13,BN$13,IF(CM45&lt;=BO$14,BN$14,0.05)))))))</f>
        <v/>
      </c>
      <c r="CX45" s="1930">
        <f>CW45*CM45</f>
        <v/>
      </c>
      <c r="CY45" s="596" t="n"/>
      <c r="CZ45" s="596">
        <f>IF(CP45&lt;=BR$4,BQ$4,IF(CP45&lt;=BR$5,BQ$5,IF(CP45&lt;=BR$6,BQ$6,IF(CP45&lt;=BR$7,BQ$7,IF(CP45&lt;=BR$12,BQ$12,IF(CP45&lt;=BR$13,BQ$13,IF(CP45&lt;=BR$14,BQ$14,0.05)))))))</f>
        <v/>
      </c>
      <c r="DA45" s="1930">
        <f>CZ45*CP45</f>
        <v/>
      </c>
      <c r="DB45" s="596" t="n"/>
      <c r="DC45" s="596">
        <f>IF(CS45&lt;=BU$4,BT$4,IF(CS45&lt;=BU$5,BT$5,IF(CS45&lt;=BU$6,BT$6,IF(CS45&lt;=BU$7,BT$7,IF(CS45&lt;=BU$12,BT$12,IF(CS45&lt;=BU$13,BT$13,IF(CS45&lt;=BU$14,BT$14,0.05)))))))</f>
        <v/>
      </c>
      <c r="DD45" s="1930">
        <f>DC45*SUM(DA45,CX45,CS45)</f>
        <v/>
      </c>
      <c r="DE45" s="596" t="n"/>
      <c r="DF45" s="1931">
        <f>IF(CV45&lt;=BX$4,BW$4,IF(CV45&lt;=BX$5,BW$5,IF(CV45&lt;=BX$6,BW$6,IF(CV45&lt;=BX$7,BW$7,IF(CV45&lt;=BX$12,BW$12,IF(CV45&lt;=BX$13,BW$13,IF(CV45&lt;=BX$14,BW$14,0.05)))))))</f>
        <v/>
      </c>
      <c r="DG45" s="1930">
        <f>DF45*CV45</f>
        <v/>
      </c>
      <c r="DI45" s="1932">
        <f>0.07*SUM(CS45,CX45,DA45,DD45,DG45)</f>
        <v/>
      </c>
      <c r="DK45" s="1932">
        <f>SUM(DI45,DG45,DD45,DA45,CX45,CS45)</f>
        <v/>
      </c>
      <c r="DL45" s="1933">
        <f>SUM(DG45,DD45,DA45,CX45)</f>
        <v/>
      </c>
      <c r="DM45" s="596">
        <f>DL45/DK45</f>
        <v/>
      </c>
    </row>
    <row r="46" customFormat="1" s="585">
      <c r="A46" s="730" t="inlineStr">
        <is>
          <t>Labor:              Guys</t>
        </is>
      </c>
      <c r="B46" s="731" t="inlineStr">
        <is>
          <t>Days</t>
        </is>
      </c>
      <c r="C46" s="731" t="inlineStr">
        <is>
          <t>Rate (PW?)</t>
        </is>
      </c>
      <c r="D46" s="732" t="inlineStr">
        <is>
          <t>Totals</t>
        </is>
      </c>
      <c r="E46" s="1877">
        <f>(IF(D5="Yes","PW","-"))</f>
        <v/>
      </c>
      <c r="F46" s="734" t="inlineStr">
        <is>
          <t>Estimated SF/MH</t>
        </is>
      </c>
      <c r="G46" s="735" t="inlineStr">
        <is>
          <t>SF/MH Benchmark (1K sf - 3K sf)</t>
        </is>
      </c>
      <c r="H46" s="736" t="n"/>
      <c r="K46" s="737" t="n"/>
      <c r="L46" s="738" t="n">
        <v>2</v>
      </c>
      <c r="M46" s="738" t="n">
        <v>2</v>
      </c>
      <c r="N46" s="585" t="inlineStr">
        <is>
          <t>&lt; 500 sf</t>
        </is>
      </c>
      <c r="O46" s="1456" t="inlineStr">
        <is>
          <t>UNIT</t>
        </is>
      </c>
      <c r="P46" s="1508" t="inlineStr">
        <is>
          <t>Prep / Patch</t>
        </is>
      </c>
      <c r="Q46" s="1508" t="inlineStr">
        <is>
          <t>Cove</t>
        </is>
      </c>
      <c r="R46" s="1508" t="inlineStr">
        <is>
          <t>Prime</t>
        </is>
      </c>
      <c r="S46" s="1508" t="inlineStr">
        <is>
          <t>Broadcast</t>
        </is>
      </c>
      <c r="T46" s="1509" t="inlineStr">
        <is>
          <t>(? double BC ?)</t>
        </is>
      </c>
      <c r="U46" s="1508" t="inlineStr">
        <is>
          <t>Grout</t>
        </is>
      </c>
      <c r="V46" s="1509" t="inlineStr">
        <is>
          <t>(? double Grout ?)</t>
        </is>
      </c>
      <c r="W46" s="1508" t="inlineStr">
        <is>
          <t>Topcoat</t>
        </is>
      </c>
      <c r="AB46" s="1456" t="inlineStr">
        <is>
          <t>UNIT</t>
        </is>
      </c>
      <c r="AC46" s="1508" t="inlineStr">
        <is>
          <t>Prep / Patch</t>
        </is>
      </c>
      <c r="AD46" s="1508" t="inlineStr">
        <is>
          <t>Cove</t>
        </is>
      </c>
      <c r="AE46" s="1508" t="inlineStr">
        <is>
          <t>Prime</t>
        </is>
      </c>
      <c r="AF46" s="1508" t="inlineStr">
        <is>
          <t>Broadcast</t>
        </is>
      </c>
      <c r="AG46" s="1509" t="inlineStr">
        <is>
          <t>(? double BC ?)</t>
        </is>
      </c>
      <c r="AH46" s="1508" t="inlineStr">
        <is>
          <t>Grout</t>
        </is>
      </c>
      <c r="AI46" s="1509" t="inlineStr">
        <is>
          <t>(? double Grout ?)</t>
        </is>
      </c>
      <c r="AJ46" s="1508" t="inlineStr">
        <is>
          <t>Topcoat</t>
        </is>
      </c>
      <c r="AW46" s="1930" t="n">
        <v>35000</v>
      </c>
      <c r="AX46" s="1930" t="n"/>
      <c r="AY46" s="1930" t="n"/>
      <c r="AZ46" s="1930">
        <f>AW46</f>
        <v/>
      </c>
      <c r="BA46" s="1930" t="n"/>
      <c r="BB46" s="1930" t="n"/>
      <c r="BC46" s="1930">
        <f>AW46+AZ46</f>
        <v/>
      </c>
      <c r="BD46" s="1930" t="n"/>
      <c r="BE46" s="1930" t="n"/>
      <c r="BF46" s="1930">
        <f>BC46</f>
        <v/>
      </c>
      <c r="BG46" s="596">
        <f>IF(AW46&lt;=#REF!,#REF!,IF(AW46&lt;=#REF!,#REF!,IF(AW46&lt;=#REF!,#REF!,IF(AW46&lt;=#REF!,#REF!,IF(AW46&lt;=#REF!,#REF!,IF(AW46&lt;=#REF!,#REF!,IF(AW46&lt;=#REF!,#REF!,0.05)))))))</f>
        <v/>
      </c>
      <c r="BH46" s="1930">
        <f>BG46*AW46</f>
        <v/>
      </c>
      <c r="BI46" s="596" t="n"/>
      <c r="BJ46" s="596">
        <f>IF(AZ46&lt;=#REF!,#REF!,IF(AZ46&lt;=#REF!,#REF!,IF(AZ46&lt;=#REF!,#REF!,IF(AZ46&lt;=#REF!,#REF!,IF(AZ46&lt;=#REF!,#REF!,IF(AZ46&lt;=#REF!,#REF!,IF(AZ46&lt;=#REF!,#REF!,0.05)))))))</f>
        <v/>
      </c>
      <c r="BK46" s="1930">
        <f>BJ46*AZ46</f>
        <v/>
      </c>
      <c r="BL46" s="596" t="n"/>
      <c r="BM46" s="596">
        <f>IF(BC46&lt;=#REF!,#REF!,IF(BC46&lt;=#REF!,#REF!,IF(BC46&lt;=#REF!,#REF!,IF(BC46&lt;=#REF!,#REF!,IF(BC46&lt;=#REF!,#REF!,IF(BC46&lt;=#REF!,#REF!,IF(BC46&lt;=#REF!,#REF!,0.05)))))))</f>
        <v/>
      </c>
      <c r="BN46" s="1930">
        <f>BM46*SUM(BK46,BH46,BC46)</f>
        <v/>
      </c>
      <c r="BO46" s="596" t="n"/>
      <c r="BP46" s="1931">
        <f>IF(BF46&lt;=#REF!,#REF!,IF(BF46&lt;=#REF!,#REF!,IF(BF46&lt;=#REF!,#REF!,IF(BF46&lt;=#REF!,#REF!,IF(BF46&lt;=#REF!,#REF!,IF(BF46&lt;=#REF!,#REF!,IF(BF46&lt;=#REF!,#REF!,0.05)))))))</f>
        <v/>
      </c>
      <c r="BQ46" s="1930">
        <f>BP46*BF46</f>
        <v/>
      </c>
      <c r="BS46" s="1932">
        <f>0.07*SUM(BC46,BH46,BK46,BN46,BQ46)</f>
        <v/>
      </c>
      <c r="BU46" s="1932">
        <f>SUM(BS46,BQ46,BN46,BK46,BH46,BC46)</f>
        <v/>
      </c>
      <c r="BV46" s="1933">
        <f>SUM(BQ46,BN46,BK46,BH46)</f>
        <v/>
      </c>
      <c r="BW46" s="596">
        <f>BV46/BU46</f>
        <v/>
      </c>
      <c r="CM46" s="1930" t="n">
        <v>35000</v>
      </c>
      <c r="CN46" s="1930" t="n"/>
      <c r="CO46" s="1930" t="n"/>
      <c r="CP46" s="1930">
        <f>CM46</f>
        <v/>
      </c>
      <c r="CQ46" s="1930" t="n"/>
      <c r="CR46" s="1930" t="n"/>
      <c r="CS46" s="1930">
        <f>CM46+CP46</f>
        <v/>
      </c>
      <c r="CT46" s="1930" t="n"/>
      <c r="CU46" s="1930" t="n"/>
      <c r="CV46" s="1930">
        <f>CS46</f>
        <v/>
      </c>
      <c r="CW46" s="596">
        <f>IF(CM46&lt;=BO$4,BN$4,IF(CM46&lt;=BO$5,BN$5,IF(CM46&lt;=BO$6,BN$6,IF(CM46&lt;=BO$7,BN$7,IF(CM46&lt;=BO$12,BN$12,IF(CM46&lt;=BO$13,BN$13,IF(CM46&lt;=BO$14,BN$14,0.05)))))))</f>
        <v/>
      </c>
      <c r="CX46" s="1930">
        <f>CW46*CM46</f>
        <v/>
      </c>
      <c r="CY46" s="596" t="n"/>
      <c r="CZ46" s="596">
        <f>IF(CP46&lt;=BR$4,BQ$4,IF(CP46&lt;=BR$5,BQ$5,IF(CP46&lt;=BR$6,BQ$6,IF(CP46&lt;=BR$7,BQ$7,IF(CP46&lt;=BR$12,BQ$12,IF(CP46&lt;=BR$13,BQ$13,IF(CP46&lt;=BR$14,BQ$14,0.05)))))))</f>
        <v/>
      </c>
      <c r="DA46" s="1930">
        <f>CZ46*CP46</f>
        <v/>
      </c>
      <c r="DB46" s="596" t="n"/>
      <c r="DC46" s="596">
        <f>IF(CS46&lt;=BU$4,BT$4,IF(CS46&lt;=BU$5,BT$5,IF(CS46&lt;=BU$6,BT$6,IF(CS46&lt;=BU$7,BT$7,IF(CS46&lt;=BU$12,BT$12,IF(CS46&lt;=BU$13,BT$13,IF(CS46&lt;=BU$14,BT$14,0.05)))))))</f>
        <v/>
      </c>
      <c r="DD46" s="1930">
        <f>DC46*SUM(DA46,CX46,CS46)</f>
        <v/>
      </c>
      <c r="DE46" s="596" t="n"/>
      <c r="DF46" s="1931">
        <f>IF(CV46&lt;=BX$4,BW$4,IF(CV46&lt;=BX$5,BW$5,IF(CV46&lt;=BX$6,BW$6,IF(CV46&lt;=BX$7,BW$7,IF(CV46&lt;=BX$12,BW$12,IF(CV46&lt;=BX$13,BW$13,IF(CV46&lt;=BX$14,BW$14,0.05)))))))</f>
        <v/>
      </c>
      <c r="DG46" s="1930">
        <f>DF46*CV46</f>
        <v/>
      </c>
      <c r="DI46" s="1932">
        <f>0.07*SUM(CS46,CX46,DA46,DD46,DG46)</f>
        <v/>
      </c>
      <c r="DK46" s="1932">
        <f>SUM(DI46,DG46,DD46,DA46,CX46,CS46)</f>
        <v/>
      </c>
      <c r="DL46" s="1933">
        <f>SUM(DG46,DD46,DA46,CX46)</f>
        <v/>
      </c>
      <c r="DM46" s="596">
        <f>DL46/DK46</f>
        <v/>
      </c>
    </row>
    <row r="47" customFormat="1" s="585">
      <c r="A47" s="739" t="n">
        <v>3</v>
      </c>
      <c r="B47" s="600" t="n">
        <v>5</v>
      </c>
      <c r="C47" s="2001" t="n">
        <v>33</v>
      </c>
      <c r="D47" s="741">
        <f>(A47*B47*C47)*IF($E$45="8 hour days",8,10)</f>
        <v/>
      </c>
      <c r="E47" s="1365" t="inlineStr">
        <is>
          <t>System 1</t>
        </is>
      </c>
      <c r="F47" s="742">
        <f>I47/(D47/C47)</f>
        <v/>
      </c>
      <c r="G47" s="743" t="inlineStr">
        <is>
          <t>Floor Type</t>
        </is>
      </c>
      <c r="H47" s="744" t="n"/>
      <c r="I47" s="2002">
        <f>E20</f>
        <v/>
      </c>
      <c r="J47" s="2002">
        <f>E34</f>
        <v/>
      </c>
      <c r="K47" s="737">
        <f>J47/I47</f>
        <v/>
      </c>
      <c r="L47" s="624" t="n">
        <v>3</v>
      </c>
      <c r="M47" s="624" t="n">
        <v>3</v>
      </c>
      <c r="N47" s="600" t="inlineStr">
        <is>
          <t>500 - 1500 sf</t>
        </is>
      </c>
      <c r="O47" s="1457" t="inlineStr">
        <is>
          <t>Guys</t>
        </is>
      </c>
      <c r="P47" s="1061" t="n">
        <v>3</v>
      </c>
      <c r="Q47" s="585">
        <f>P47</f>
        <v/>
      </c>
      <c r="R47" s="585">
        <f>P47</f>
        <v/>
      </c>
      <c r="S47" s="585">
        <f>P47</f>
        <v/>
      </c>
      <c r="T47" s="1066">
        <f>P47</f>
        <v/>
      </c>
      <c r="U47" s="585">
        <f>P47</f>
        <v/>
      </c>
      <c r="V47" s="1066">
        <f>P47</f>
        <v/>
      </c>
      <c r="W47" s="585">
        <f>P47</f>
        <v/>
      </c>
      <c r="AB47" s="1457" t="inlineStr">
        <is>
          <t>Guys</t>
        </is>
      </c>
      <c r="AC47" s="1061" t="n">
        <v>3</v>
      </c>
      <c r="AD47" s="585">
        <f>AC47</f>
        <v/>
      </c>
      <c r="AE47" s="585">
        <f>AC47</f>
        <v/>
      </c>
      <c r="AF47" s="585">
        <f>AC47</f>
        <v/>
      </c>
      <c r="AG47" s="1407" t="n"/>
      <c r="AH47" s="585">
        <f>AC47</f>
        <v/>
      </c>
      <c r="AI47" s="1407" t="n"/>
      <c r="AJ47" s="585">
        <f>AC47</f>
        <v/>
      </c>
      <c r="AW47" s="1930" t="n">
        <v>36000</v>
      </c>
      <c r="AX47" s="1930" t="n"/>
      <c r="AY47" s="1930" t="n"/>
      <c r="AZ47" s="1930">
        <f>AW47</f>
        <v/>
      </c>
      <c r="BA47" s="1930" t="n"/>
      <c r="BB47" s="1930" t="n"/>
      <c r="BC47" s="1930">
        <f>AW47+AZ47</f>
        <v/>
      </c>
      <c r="BD47" s="1930" t="n"/>
      <c r="BE47" s="1930" t="n"/>
      <c r="BF47" s="1930">
        <f>BC47</f>
        <v/>
      </c>
      <c r="BG47" s="596">
        <f>IF(AW47&lt;=#REF!,#REF!,IF(AW47&lt;=#REF!,#REF!,IF(AW47&lt;=#REF!,#REF!,IF(AW47&lt;=#REF!,#REF!,IF(AW47&lt;=#REF!,#REF!,IF(AW47&lt;=#REF!,#REF!,IF(AW47&lt;=#REF!,#REF!,0.05)))))))</f>
        <v/>
      </c>
      <c r="BH47" s="1930">
        <f>BG47*AW47</f>
        <v/>
      </c>
      <c r="BI47" s="596" t="n"/>
      <c r="BJ47" s="596">
        <f>IF(AZ47&lt;=#REF!,#REF!,IF(AZ47&lt;=#REF!,#REF!,IF(AZ47&lt;=#REF!,#REF!,IF(AZ47&lt;=#REF!,#REF!,IF(AZ47&lt;=#REF!,#REF!,IF(AZ47&lt;=#REF!,#REF!,IF(AZ47&lt;=#REF!,#REF!,0.05)))))))</f>
        <v/>
      </c>
      <c r="BK47" s="1930">
        <f>BJ47*AZ47</f>
        <v/>
      </c>
      <c r="BL47" s="596" t="n"/>
      <c r="BM47" s="596">
        <f>IF(BC47&lt;=#REF!,#REF!,IF(BC47&lt;=#REF!,#REF!,IF(BC47&lt;=#REF!,#REF!,IF(BC47&lt;=#REF!,#REF!,IF(BC47&lt;=#REF!,#REF!,IF(BC47&lt;=#REF!,#REF!,IF(BC47&lt;=#REF!,#REF!,0.05)))))))</f>
        <v/>
      </c>
      <c r="BN47" s="1930">
        <f>BM47*SUM(BK47,BH47,BC47)</f>
        <v/>
      </c>
      <c r="BO47" s="596" t="n"/>
      <c r="BP47" s="1931">
        <f>IF(BF47&lt;=#REF!,#REF!,IF(BF47&lt;=#REF!,#REF!,IF(BF47&lt;=#REF!,#REF!,IF(BF47&lt;=#REF!,#REF!,IF(BF47&lt;=#REF!,#REF!,IF(BF47&lt;=#REF!,#REF!,IF(BF47&lt;=#REF!,#REF!,0.05)))))))</f>
        <v/>
      </c>
      <c r="BQ47" s="1930">
        <f>BP47*BF47</f>
        <v/>
      </c>
      <c r="BS47" s="1932">
        <f>0.07*SUM(BC47,BH47,BK47,BN47,BQ47)</f>
        <v/>
      </c>
      <c r="BU47" s="1932">
        <f>SUM(BS47,BQ47,BN47,BK47,BH47,BC47)</f>
        <v/>
      </c>
      <c r="BV47" s="1933">
        <f>SUM(BQ47,BN47,BK47,BH47)</f>
        <v/>
      </c>
      <c r="BW47" s="596">
        <f>BV47/BU47</f>
        <v/>
      </c>
      <c r="CM47" s="1930" t="n">
        <v>36000</v>
      </c>
      <c r="CN47" s="1930" t="n"/>
      <c r="CO47" s="1930" t="n"/>
      <c r="CP47" s="1930">
        <f>CM47</f>
        <v/>
      </c>
      <c r="CQ47" s="1930" t="n"/>
      <c r="CR47" s="1930" t="n"/>
      <c r="CS47" s="1930">
        <f>CM47+CP47</f>
        <v/>
      </c>
      <c r="CT47" s="1930" t="n"/>
      <c r="CU47" s="1930" t="n"/>
      <c r="CV47" s="1930">
        <f>CS47</f>
        <v/>
      </c>
      <c r="CW47" s="596">
        <f>IF(CM47&lt;=BO$4,BN$4,IF(CM47&lt;=BO$5,BN$5,IF(CM47&lt;=BO$6,BN$6,IF(CM47&lt;=BO$7,BN$7,IF(CM47&lt;=BO$12,BN$12,IF(CM47&lt;=BO$13,BN$13,IF(CM47&lt;=BO$14,BN$14,0.05)))))))</f>
        <v/>
      </c>
      <c r="CX47" s="1930">
        <f>CW47*CM47</f>
        <v/>
      </c>
      <c r="CY47" s="596" t="n"/>
      <c r="CZ47" s="596">
        <f>IF(CP47&lt;=BR$4,BQ$4,IF(CP47&lt;=BR$5,BQ$5,IF(CP47&lt;=BR$6,BQ$6,IF(CP47&lt;=BR$7,BQ$7,IF(CP47&lt;=BR$12,BQ$12,IF(CP47&lt;=BR$13,BQ$13,IF(CP47&lt;=BR$14,BQ$14,0.05)))))))</f>
        <v/>
      </c>
      <c r="DA47" s="1930">
        <f>CZ47*CP47</f>
        <v/>
      </c>
      <c r="DB47" s="596" t="n"/>
      <c r="DC47" s="596">
        <f>IF(CS47&lt;=BU$4,BT$4,IF(CS47&lt;=BU$5,BT$5,IF(CS47&lt;=BU$6,BT$6,IF(CS47&lt;=BU$7,BT$7,IF(CS47&lt;=BU$12,BT$12,IF(CS47&lt;=BU$13,BT$13,IF(CS47&lt;=BU$14,BT$14,0.05)))))))</f>
        <v/>
      </c>
      <c r="DD47" s="1930">
        <f>DC47*SUM(DA47,CX47,CS47)</f>
        <v/>
      </c>
      <c r="DE47" s="596" t="n"/>
      <c r="DF47" s="1931">
        <f>IF(CV47&lt;=BX$4,BW$4,IF(CV47&lt;=BX$5,BW$5,IF(CV47&lt;=BX$6,BW$6,IF(CV47&lt;=BX$7,BW$7,IF(CV47&lt;=BX$12,BW$12,IF(CV47&lt;=BX$13,BW$13,IF(CV47&lt;=BX$14,BW$14,0.05)))))))</f>
        <v/>
      </c>
      <c r="DG47" s="1930">
        <f>DF47*CV47</f>
        <v/>
      </c>
      <c r="DI47" s="1932">
        <f>0.07*SUM(CS47,CX47,DA47,DD47,DG47)</f>
        <v/>
      </c>
      <c r="DK47" s="1932">
        <f>SUM(DI47,DG47,DD47,DA47,CX47,CS47)</f>
        <v/>
      </c>
      <c r="DL47" s="1933">
        <f>SUM(DG47,DD47,DA47,CX47)</f>
        <v/>
      </c>
      <c r="DM47" s="596">
        <f>DL47/DK47</f>
        <v/>
      </c>
    </row>
    <row r="48" customFormat="1" s="585">
      <c r="A48" s="739" t="n"/>
      <c r="B48" s="600" t="n"/>
      <c r="C48" s="2003">
        <f>C47</f>
        <v/>
      </c>
      <c r="D48" s="741">
        <f>(A48*B48*C48)*IF($E$45="8 hour days",8,10)</f>
        <v/>
      </c>
      <c r="E48" s="1366" t="inlineStr">
        <is>
          <t>System 2</t>
        </is>
      </c>
      <c r="F48" s="742">
        <f>I48/(D48/C48)</f>
        <v/>
      </c>
      <c r="G48" s="743" t="inlineStr">
        <is>
          <t>Floor Type</t>
        </is>
      </c>
      <c r="H48" s="744" t="n"/>
      <c r="I48" s="2002">
        <f>E24</f>
        <v/>
      </c>
      <c r="J48" s="2002">
        <f>E37</f>
        <v/>
      </c>
      <c r="K48" s="747">
        <f>J48/I48</f>
        <v/>
      </c>
      <c r="L48" s="738" t="n">
        <v>3</v>
      </c>
      <c r="M48" s="738" t="n">
        <v>3.5</v>
      </c>
      <c r="N48" s="585" t="inlineStr">
        <is>
          <t>1,500 sf - 2,500</t>
        </is>
      </c>
      <c r="O48" s="1458" t="inlineStr">
        <is>
          <t>Days</t>
        </is>
      </c>
      <c r="P48" s="784" t="n">
        <v>1.5</v>
      </c>
      <c r="Q48" s="784" t="n">
        <v>1</v>
      </c>
      <c r="R48" s="784" t="n">
        <v>0.5</v>
      </c>
      <c r="S48" s="784" t="n">
        <v>1</v>
      </c>
      <c r="T48" s="1334" t="n">
        <v>0</v>
      </c>
      <c r="U48" s="784" t="n">
        <v>0.5</v>
      </c>
      <c r="V48" s="1334" t="n">
        <v>0</v>
      </c>
      <c r="W48" s="784">
        <f>U48</f>
        <v/>
      </c>
      <c r="AB48" s="1458" t="inlineStr">
        <is>
          <t>Days</t>
        </is>
      </c>
      <c r="AC48" s="784" t="n">
        <v>1.5</v>
      </c>
      <c r="AD48" s="784" t="n">
        <v>1</v>
      </c>
      <c r="AE48" s="784" t="n">
        <v>0.5</v>
      </c>
      <c r="AF48" s="784" t="n">
        <v>1</v>
      </c>
      <c r="AG48" s="1473" t="n"/>
      <c r="AH48" s="784" t="n">
        <v>0.5</v>
      </c>
      <c r="AI48" s="1473" t="n"/>
      <c r="AJ48" s="784" t="n">
        <v>0.5</v>
      </c>
      <c r="AW48" s="1930" t="n">
        <v>37000</v>
      </c>
      <c r="AX48" s="1930" t="n"/>
      <c r="AY48" s="1930" t="n"/>
      <c r="AZ48" s="1930">
        <f>AW48</f>
        <v/>
      </c>
      <c r="BA48" s="1930" t="n"/>
      <c r="BB48" s="1930" t="n"/>
      <c r="BC48" s="1930">
        <f>AW48+AZ48</f>
        <v/>
      </c>
      <c r="BD48" s="1930" t="n"/>
      <c r="BE48" s="1930" t="n"/>
      <c r="BF48" s="1930">
        <f>BC48</f>
        <v/>
      </c>
      <c r="BG48" s="596">
        <f>IF(AW48&lt;=#REF!,#REF!,IF(AW48&lt;=#REF!,#REF!,IF(AW48&lt;=#REF!,#REF!,IF(AW48&lt;=#REF!,#REF!,IF(AW48&lt;=#REF!,#REF!,IF(AW48&lt;=#REF!,#REF!,IF(AW48&lt;=#REF!,#REF!,0.05)))))))</f>
        <v/>
      </c>
      <c r="BH48" s="1930">
        <f>BG48*AW48</f>
        <v/>
      </c>
      <c r="BI48" s="596" t="n"/>
      <c r="BJ48" s="596">
        <f>IF(AZ48&lt;=#REF!,#REF!,IF(AZ48&lt;=#REF!,#REF!,IF(AZ48&lt;=#REF!,#REF!,IF(AZ48&lt;=#REF!,#REF!,IF(AZ48&lt;=#REF!,#REF!,IF(AZ48&lt;=#REF!,#REF!,IF(AZ48&lt;=#REF!,#REF!,0.05)))))))</f>
        <v/>
      </c>
      <c r="BK48" s="1930">
        <f>BJ48*AZ48</f>
        <v/>
      </c>
      <c r="BL48" s="596" t="n"/>
      <c r="BM48" s="596">
        <f>IF(BC48&lt;=#REF!,#REF!,IF(BC48&lt;=#REF!,#REF!,IF(BC48&lt;=#REF!,#REF!,IF(BC48&lt;=#REF!,#REF!,IF(BC48&lt;=#REF!,#REF!,IF(BC48&lt;=#REF!,#REF!,IF(BC48&lt;=#REF!,#REF!,0.05)))))))</f>
        <v/>
      </c>
      <c r="BN48" s="1930">
        <f>BM48*SUM(BK48,BH48,BC48)</f>
        <v/>
      </c>
      <c r="BO48" s="596" t="n"/>
      <c r="BP48" s="1931">
        <f>IF(BF48&lt;=#REF!,#REF!,IF(BF48&lt;=#REF!,#REF!,IF(BF48&lt;=#REF!,#REF!,IF(BF48&lt;=#REF!,#REF!,IF(BF48&lt;=#REF!,#REF!,IF(BF48&lt;=#REF!,#REF!,IF(BF48&lt;=#REF!,#REF!,0.05)))))))</f>
        <v/>
      </c>
      <c r="BQ48" s="1930">
        <f>BP48*BF48</f>
        <v/>
      </c>
      <c r="BS48" s="1932">
        <f>0.07*SUM(BC48,BH48,BK48,BN48,BQ48)</f>
        <v/>
      </c>
      <c r="BU48" s="1932">
        <f>SUM(BS48,BQ48,BN48,BK48,BH48,BC48)</f>
        <v/>
      </c>
      <c r="BV48" s="1933">
        <f>SUM(BQ48,BN48,BK48,BH48)</f>
        <v/>
      </c>
      <c r="BW48" s="596">
        <f>BV48/BU48</f>
        <v/>
      </c>
      <c r="CM48" s="1930" t="n">
        <v>37000</v>
      </c>
      <c r="CN48" s="1930" t="n"/>
      <c r="CO48" s="1930" t="n"/>
      <c r="CP48" s="1930">
        <f>CM48</f>
        <v/>
      </c>
      <c r="CQ48" s="1930" t="n"/>
      <c r="CR48" s="1930" t="n"/>
      <c r="CS48" s="1930">
        <f>CM48+CP48</f>
        <v/>
      </c>
      <c r="CT48" s="1930" t="n"/>
      <c r="CU48" s="1930" t="n"/>
      <c r="CV48" s="1930">
        <f>CS48</f>
        <v/>
      </c>
      <c r="CW48" s="596">
        <f>IF(CM48&lt;=BO$4,BN$4,IF(CM48&lt;=BO$5,BN$5,IF(CM48&lt;=BO$6,BN$6,IF(CM48&lt;=BO$7,BN$7,IF(CM48&lt;=BO$12,BN$12,IF(CM48&lt;=BO$13,BN$13,IF(CM48&lt;=BO$14,BN$14,0.05)))))))</f>
        <v/>
      </c>
      <c r="CX48" s="1930">
        <f>CW48*CM48</f>
        <v/>
      </c>
      <c r="CY48" s="596" t="n"/>
      <c r="CZ48" s="596">
        <f>IF(CP48&lt;=BR$4,BQ$4,IF(CP48&lt;=BR$5,BQ$5,IF(CP48&lt;=BR$6,BQ$6,IF(CP48&lt;=BR$7,BQ$7,IF(CP48&lt;=BR$12,BQ$12,IF(CP48&lt;=BR$13,BQ$13,IF(CP48&lt;=BR$14,BQ$14,0.05)))))))</f>
        <v/>
      </c>
      <c r="DA48" s="1930">
        <f>CZ48*CP48</f>
        <v/>
      </c>
      <c r="DB48" s="596" t="n"/>
      <c r="DC48" s="596">
        <f>IF(CS48&lt;=BU$4,BT$4,IF(CS48&lt;=BU$5,BT$5,IF(CS48&lt;=BU$6,BT$6,IF(CS48&lt;=BU$7,BT$7,IF(CS48&lt;=BU$12,BT$12,IF(CS48&lt;=BU$13,BT$13,IF(CS48&lt;=BU$14,BT$14,0.05)))))))</f>
        <v/>
      </c>
      <c r="DD48" s="1930">
        <f>DC48*SUM(DA48,CX48,CS48)</f>
        <v/>
      </c>
      <c r="DE48" s="596" t="n"/>
      <c r="DF48" s="1931">
        <f>IF(CV48&lt;=BX$4,BW$4,IF(CV48&lt;=BX$5,BW$5,IF(CV48&lt;=BX$6,BW$6,IF(CV48&lt;=BX$7,BW$7,IF(CV48&lt;=BX$12,BW$12,IF(CV48&lt;=BX$13,BW$13,IF(CV48&lt;=BX$14,BW$14,0.05)))))))</f>
        <v/>
      </c>
      <c r="DG48" s="1930">
        <f>DF48*CV48</f>
        <v/>
      </c>
      <c r="DI48" s="1932">
        <f>0.07*SUM(CS48,CX48,DA48,DD48,DG48)</f>
        <v/>
      </c>
      <c r="DK48" s="1932">
        <f>SUM(DI48,DG48,DD48,DA48,CX48,CS48)</f>
        <v/>
      </c>
      <c r="DL48" s="1933">
        <f>SUM(DG48,DD48,DA48,CX48)</f>
        <v/>
      </c>
      <c r="DM48" s="596">
        <f>DL48/DK48</f>
        <v/>
      </c>
    </row>
    <row r="49" customFormat="1" s="585">
      <c r="A49" s="739" t="n"/>
      <c r="B49" s="600" t="n"/>
      <c r="C49" s="2003">
        <f>C47</f>
        <v/>
      </c>
      <c r="D49" s="741">
        <f>(A49*B49*C49)*IF($E$45="8 hour days",8,10)</f>
        <v/>
      </c>
      <c r="E49" s="733" t="n"/>
      <c r="F49" s="742">
        <f>I49/(D49/C49)</f>
        <v/>
      </c>
      <c r="G49" s="743" t="inlineStr">
        <is>
          <t>Floor Type</t>
        </is>
      </c>
      <c r="H49" s="744" t="n"/>
      <c r="I49" s="2002">
        <f>H26</f>
        <v/>
      </c>
      <c r="J49" s="2002">
        <f>H36</f>
        <v/>
      </c>
      <c r="K49" s="747">
        <f>J49/I49</f>
        <v/>
      </c>
      <c r="L49" s="738" t="n">
        <v>4</v>
      </c>
      <c r="M49" s="738" t="n">
        <v>4.5</v>
      </c>
      <c r="N49" s="585" t="inlineStr">
        <is>
          <t>2,500 to 3,000</t>
        </is>
      </c>
      <c r="O49" s="1103" t="n"/>
      <c r="P49" s="585">
        <f>P47*P48</f>
        <v/>
      </c>
      <c r="Q49" s="585">
        <f>Q47*Q48</f>
        <v/>
      </c>
      <c r="R49" s="585">
        <f>R47*R48</f>
        <v/>
      </c>
      <c r="S49" s="585">
        <f>S47*S48</f>
        <v/>
      </c>
      <c r="T49" s="1066">
        <f>T47*T48</f>
        <v/>
      </c>
      <c r="U49" s="585">
        <f>U47*U48</f>
        <v/>
      </c>
      <c r="V49" s="1066">
        <f>V47*V48</f>
        <v/>
      </c>
      <c r="W49" s="585">
        <f>W47*W48</f>
        <v/>
      </c>
      <c r="AB49" s="1103" t="n"/>
      <c r="AC49" s="585">
        <f>AC47*AC48</f>
        <v/>
      </c>
      <c r="AD49" s="585">
        <f>AD47*AD48</f>
        <v/>
      </c>
      <c r="AE49" s="585">
        <f>AE47*AE48</f>
        <v/>
      </c>
      <c r="AF49" s="585">
        <f>AF47*AF48</f>
        <v/>
      </c>
      <c r="AG49" s="1066">
        <f>AG47*AG48</f>
        <v/>
      </c>
      <c r="AH49" s="585">
        <f>AH47*AH48</f>
        <v/>
      </c>
      <c r="AI49" s="1066">
        <f>AI47*AI48</f>
        <v/>
      </c>
      <c r="AJ49" s="585">
        <f>AJ47*AJ48</f>
        <v/>
      </c>
      <c r="AW49" s="1930" t="n"/>
      <c r="AX49" s="1930" t="n"/>
      <c r="AY49" s="1930" t="n"/>
      <c r="AZ49" s="1930" t="n"/>
      <c r="BA49" s="1930" t="n"/>
      <c r="BB49" s="1930" t="n"/>
      <c r="BC49" s="1930" t="n"/>
      <c r="BD49" s="1930" t="n"/>
      <c r="BE49" s="1930" t="n"/>
      <c r="BF49" s="1930" t="n"/>
      <c r="BG49" s="596" t="n"/>
      <c r="BH49" s="1930" t="n"/>
      <c r="BI49" s="596" t="n"/>
      <c r="BJ49" s="596" t="n"/>
      <c r="BK49" s="1930" t="n"/>
      <c r="BL49" s="596" t="n"/>
      <c r="BM49" s="596" t="n"/>
      <c r="BN49" s="1930" t="n"/>
      <c r="BO49" s="596" t="n"/>
      <c r="BP49" s="1931" t="n"/>
      <c r="BQ49" s="1930" t="n"/>
      <c r="BS49" s="1932" t="n"/>
      <c r="BU49" s="1932" t="n"/>
      <c r="BV49" s="1933" t="n"/>
      <c r="BW49" s="596" t="n"/>
      <c r="CM49" s="1930" t="n"/>
      <c r="CN49" s="1930" t="n"/>
      <c r="CO49" s="1930" t="n"/>
      <c r="CP49" s="1930" t="n"/>
      <c r="CQ49" s="1930" t="n"/>
      <c r="CR49" s="1930" t="n"/>
      <c r="CS49" s="1930" t="n"/>
      <c r="CT49" s="1930" t="n"/>
      <c r="CU49" s="1930" t="n"/>
      <c r="CV49" s="1930" t="n"/>
      <c r="CW49" s="596" t="n"/>
      <c r="CX49" s="1930" t="n"/>
      <c r="CY49" s="596" t="n"/>
      <c r="CZ49" s="596" t="n"/>
      <c r="DA49" s="1930" t="n"/>
      <c r="DB49" s="596" t="n"/>
      <c r="DC49" s="596" t="n"/>
      <c r="DD49" s="1930" t="n"/>
      <c r="DE49" s="596" t="n"/>
      <c r="DF49" s="1931" t="n"/>
      <c r="DG49" s="1930" t="n"/>
      <c r="DI49" s="1932" t="n"/>
      <c r="DK49" s="1932" t="n"/>
      <c r="DL49" s="1933" t="n"/>
      <c r="DM49" s="596" t="n"/>
    </row>
    <row r="50" customFormat="1" s="585">
      <c r="A50" s="739" t="n"/>
      <c r="B50" s="600" t="n"/>
      <c r="C50" s="2003">
        <f>C47</f>
        <v/>
      </c>
      <c r="D50" s="741">
        <f>(A50*B50*C50)*IF($E$45="8 hour days",8,10)</f>
        <v/>
      </c>
      <c r="E50" s="733" t="n"/>
      <c r="F50" s="742">
        <f>I50/(D50/C50)</f>
        <v/>
      </c>
      <c r="G50" s="743" t="inlineStr">
        <is>
          <t>Floor Type</t>
        </is>
      </c>
      <c r="H50" s="744" t="n"/>
      <c r="I50" s="2004">
        <f>H26</f>
        <v/>
      </c>
      <c r="J50" s="2005">
        <f>H36</f>
        <v/>
      </c>
      <c r="K50" s="1451">
        <f>J50/I50</f>
        <v/>
      </c>
      <c r="L50" s="738" t="n">
        <v>4.5</v>
      </c>
      <c r="M50" s="738" t="n">
        <v>5</v>
      </c>
      <c r="N50" s="585" t="inlineStr">
        <is>
          <t>3,000 +</t>
        </is>
      </c>
      <c r="P50" s="1134">
        <f>SUM(P49:W49)</f>
        <v/>
      </c>
      <c r="Q50" s="954" t="inlineStr">
        <is>
          <t>factor</t>
        </is>
      </c>
      <c r="AC50" s="1134">
        <f>SUM(AC49:AJ49)</f>
        <v/>
      </c>
      <c r="AD50" s="954" t="inlineStr">
        <is>
          <t>factor</t>
        </is>
      </c>
      <c r="AW50" s="1930" t="n">
        <v>37000</v>
      </c>
      <c r="AX50" s="1930" t="n"/>
      <c r="AY50" s="1930" t="n"/>
      <c r="AZ50" s="1930">
        <f>AW50</f>
        <v/>
      </c>
      <c r="BA50" s="1930" t="n"/>
      <c r="BB50" s="1930" t="n"/>
      <c r="BC50" s="1930">
        <f>AW50+AZ50</f>
        <v/>
      </c>
      <c r="BD50" s="1930" t="n"/>
      <c r="BE50" s="1930" t="n"/>
      <c r="BF50" s="1930">
        <f>BC50</f>
        <v/>
      </c>
      <c r="BG50" s="596">
        <f>IF(AW50&lt;=#REF!,#REF!,IF(AW50&lt;=#REF!,#REF!,IF(AW50&lt;=#REF!,#REF!,IF(AW50&lt;=#REF!,#REF!,IF(AW50&lt;=#REF!,#REF!,IF(AW50&lt;=#REF!,#REF!,IF(AW50&lt;=#REF!,#REF!,0.05)))))))</f>
        <v/>
      </c>
      <c r="BH50" s="1930">
        <f>BG50*AW50</f>
        <v/>
      </c>
      <c r="BI50" s="596" t="n"/>
      <c r="BJ50" s="596">
        <f>IF(AZ50&lt;=#REF!,#REF!,IF(AZ50&lt;=#REF!,#REF!,IF(AZ50&lt;=#REF!,#REF!,IF(AZ50&lt;=#REF!,#REF!,IF(AZ50&lt;=#REF!,#REF!,IF(AZ50&lt;=#REF!,#REF!,IF(AZ50&lt;=#REF!,#REF!,0.05)))))))</f>
        <v/>
      </c>
      <c r="BK50" s="1930">
        <f>BJ50*AZ50</f>
        <v/>
      </c>
      <c r="BL50" s="596" t="n"/>
      <c r="BM50" s="596">
        <f>IF(BC50&lt;=#REF!,#REF!,IF(BC50&lt;=#REF!,#REF!,IF(BC50&lt;=#REF!,#REF!,IF(BC50&lt;=#REF!,#REF!,IF(BC50&lt;=#REF!,#REF!,IF(BC50&lt;=#REF!,#REF!,IF(BC50&lt;=#REF!,#REF!,0.05)))))))</f>
        <v/>
      </c>
      <c r="BN50" s="1930">
        <f>BM50*SUM(BK50,BH50,BC50)</f>
        <v/>
      </c>
      <c r="BO50" s="596" t="n"/>
      <c r="BP50" s="1931">
        <f>IF(BF50&lt;=#REF!,#REF!,IF(BF50&lt;=#REF!,#REF!,IF(BF50&lt;=#REF!,#REF!,IF(BF50&lt;=#REF!,#REF!,IF(BF50&lt;=#REF!,#REF!,IF(BF50&lt;=#REF!,#REF!,IF(BF50&lt;=#REF!,#REF!,0.05)))))))</f>
        <v/>
      </c>
      <c r="BQ50" s="1930">
        <f>BP50*BF50</f>
        <v/>
      </c>
      <c r="BS50" s="1932">
        <f>0.07*SUM(BC50,BH50,BK50,BN50,BQ50)</f>
        <v/>
      </c>
      <c r="BU50" s="1932">
        <f>SUM(BS50,BQ50,BN50,BK50,BH50,BC50)</f>
        <v/>
      </c>
      <c r="BV50" s="1933">
        <f>SUM(BQ50,BN50,BK50,BH50)</f>
        <v/>
      </c>
      <c r="BW50" s="596">
        <f>BV50/BU50</f>
        <v/>
      </c>
      <c r="CM50" s="1930" t="n">
        <v>37000</v>
      </c>
      <c r="CN50" s="1930" t="n"/>
      <c r="CO50" s="1930" t="n"/>
      <c r="CP50" s="1930">
        <f>CM50</f>
        <v/>
      </c>
      <c r="CQ50" s="1930" t="n"/>
      <c r="CR50" s="1930" t="n"/>
      <c r="CS50" s="1930">
        <f>CM50+CP50</f>
        <v/>
      </c>
      <c r="CT50" s="1930" t="n"/>
      <c r="CU50" s="1930" t="n"/>
      <c r="CV50" s="1930">
        <f>CS50</f>
        <v/>
      </c>
      <c r="CW50" s="596">
        <f>IF(CM50&lt;=BO$4,BN$4,IF(CM50&lt;=BO$5,BN$5,IF(CM50&lt;=BO$6,BN$6,IF(CM50&lt;=BO$7,BN$7,IF(CM50&lt;=BO$12,BN$12,IF(CM50&lt;=BO$13,BN$13,IF(CM50&lt;=BO$14,BN$14,0.05)))))))</f>
        <v/>
      </c>
      <c r="CX50" s="1930">
        <f>CW50*CM50</f>
        <v/>
      </c>
      <c r="CY50" s="596" t="n"/>
      <c r="CZ50" s="596">
        <f>IF(CP50&lt;=BR$4,BQ$4,IF(CP50&lt;=BR$5,BQ$5,IF(CP50&lt;=BR$6,BQ$6,IF(CP50&lt;=BR$7,BQ$7,IF(CP50&lt;=BR$12,BQ$12,IF(CP50&lt;=BR$13,BQ$13,IF(CP50&lt;=BR$14,BQ$14,0.05)))))))</f>
        <v/>
      </c>
      <c r="DA50" s="1930">
        <f>CZ50*CP50</f>
        <v/>
      </c>
      <c r="DB50" s="596" t="n"/>
      <c r="DC50" s="596">
        <f>IF(CS50&lt;=BU$4,BT$4,IF(CS50&lt;=BU$5,BT$5,IF(CS50&lt;=BU$6,BT$6,IF(CS50&lt;=BU$7,BT$7,IF(CS50&lt;=BU$12,BT$12,IF(CS50&lt;=BU$13,BT$13,IF(CS50&lt;=BU$14,BT$14,0.05)))))))</f>
        <v/>
      </c>
      <c r="DD50" s="1930">
        <f>DC50*SUM(DA50,CX50,CS50)</f>
        <v/>
      </c>
      <c r="DE50" s="596" t="n"/>
      <c r="DF50" s="1931">
        <f>IF(CV50&lt;=BX$4,BW$4,IF(CV50&lt;=BX$5,BW$5,IF(CV50&lt;=BX$6,BW$6,IF(CV50&lt;=BX$7,BW$7,IF(CV50&lt;=BX$12,BW$12,IF(CV50&lt;=BX$13,BW$13,IF(CV50&lt;=BX$14,BW$14,0.05)))))))</f>
        <v/>
      </c>
      <c r="DG50" s="1930">
        <f>DF50*CV50</f>
        <v/>
      </c>
      <c r="DI50" s="1932">
        <f>0.07*SUM(CS50,CX50,DA50,DD50,DG50)</f>
        <v/>
      </c>
      <c r="DK50" s="1932">
        <f>SUM(DI50,DG50,DD50,DA50,CX50,CS50)</f>
        <v/>
      </c>
      <c r="DL50" s="1933">
        <f>SUM(DG50,DD50,DA50,CX50)</f>
        <v/>
      </c>
      <c r="DM50" s="596">
        <f>DL50/DK50</f>
        <v/>
      </c>
    </row>
    <row r="51" customFormat="1" s="585">
      <c r="A51" s="750" t="inlineStr">
        <is>
          <t>Travel:             Guys</t>
        </is>
      </c>
      <c r="B51" s="751" t="inlineStr">
        <is>
          <t>Hours</t>
        </is>
      </c>
      <c r="C51" s="751" t="inlineStr">
        <is>
          <t>Rate</t>
        </is>
      </c>
      <c r="D51" s="752" t="n"/>
      <c r="E51" s="733" t="n"/>
      <c r="F51" s="753" t="n"/>
      <c r="G51" s="600" t="n"/>
      <c r="H51" s="1171" t="inlineStr">
        <is>
          <t>Sum of Above SF:</t>
        </is>
      </c>
      <c r="I51" s="2006">
        <f>SUM(I47:I50)</f>
        <v/>
      </c>
      <c r="J51" s="2006">
        <f>SUM(J47:J50)</f>
        <v/>
      </c>
      <c r="K51" s="1451">
        <f>J51/I51</f>
        <v/>
      </c>
      <c r="O51" s="2007">
        <f>O53/M41</f>
        <v/>
      </c>
      <c r="P51" s="1730" t="inlineStr">
        <is>
          <t>1/3 of sf</t>
        </is>
      </c>
      <c r="AW51" s="1930" t="n">
        <v>38000</v>
      </c>
      <c r="AX51" s="1930" t="n"/>
      <c r="AY51" s="1930" t="n"/>
      <c r="AZ51" s="1930">
        <f>AW51</f>
        <v/>
      </c>
      <c r="BA51" s="1930" t="n"/>
      <c r="BB51" s="1930" t="n"/>
      <c r="BC51" s="1930">
        <f>AW51+AZ51</f>
        <v/>
      </c>
      <c r="BD51" s="1930" t="n"/>
      <c r="BE51" s="1930" t="n"/>
      <c r="BF51" s="1930">
        <f>BC51</f>
        <v/>
      </c>
      <c r="BG51" s="596">
        <f>IF(AW51&lt;=#REF!,#REF!,IF(AW51&lt;=#REF!,#REF!,IF(AW51&lt;=#REF!,#REF!,IF(AW51&lt;=#REF!,#REF!,IF(AW51&lt;=#REF!,#REF!,IF(AW51&lt;=#REF!,#REF!,IF(AW51&lt;=#REF!,#REF!,0.05)))))))</f>
        <v/>
      </c>
      <c r="BH51" s="1930">
        <f>BG51*AW51</f>
        <v/>
      </c>
      <c r="BI51" s="596" t="n"/>
      <c r="BJ51" s="596">
        <f>IF(AZ51&lt;=#REF!,#REF!,IF(AZ51&lt;=#REF!,#REF!,IF(AZ51&lt;=#REF!,#REF!,IF(AZ51&lt;=#REF!,#REF!,IF(AZ51&lt;=#REF!,#REF!,IF(AZ51&lt;=#REF!,#REF!,IF(AZ51&lt;=#REF!,#REF!,0.05)))))))</f>
        <v/>
      </c>
      <c r="BK51" s="1930">
        <f>BJ51*AZ51</f>
        <v/>
      </c>
      <c r="BL51" s="596" t="n"/>
      <c r="BM51" s="596">
        <f>IF(BC51&lt;=#REF!,#REF!,IF(BC51&lt;=#REF!,#REF!,IF(BC51&lt;=#REF!,#REF!,IF(BC51&lt;=#REF!,#REF!,IF(BC51&lt;=#REF!,#REF!,IF(BC51&lt;=#REF!,#REF!,IF(BC51&lt;=#REF!,#REF!,0.05)))))))</f>
        <v/>
      </c>
      <c r="BN51" s="1930">
        <f>BM51*SUM(BK51,BH51,BC51)</f>
        <v/>
      </c>
      <c r="BO51" s="596" t="n"/>
      <c r="BP51" s="1931">
        <f>IF(BF51&lt;=#REF!,#REF!,IF(BF51&lt;=#REF!,#REF!,IF(BF51&lt;=#REF!,#REF!,IF(BF51&lt;=#REF!,#REF!,IF(BF51&lt;=#REF!,#REF!,IF(BF51&lt;=#REF!,#REF!,IF(BF51&lt;=#REF!,#REF!,0.05)))))))</f>
        <v/>
      </c>
      <c r="BQ51" s="1930">
        <f>BP51*BF51</f>
        <v/>
      </c>
      <c r="BS51" s="1932">
        <f>0.07*SUM(BC51,BH51,BK51,BN51,BQ51)</f>
        <v/>
      </c>
      <c r="BU51" s="1932">
        <f>SUM(BS51,BQ51,BN51,BK51,BH51,BC51)</f>
        <v/>
      </c>
      <c r="BV51" s="1933">
        <f>SUM(BQ51,BN51,BK51,BH51)</f>
        <v/>
      </c>
      <c r="BW51" s="596">
        <f>BV51/BU51</f>
        <v/>
      </c>
      <c r="CM51" s="1930" t="n">
        <v>38000</v>
      </c>
      <c r="CN51" s="1930" t="n"/>
      <c r="CO51" s="1930" t="n"/>
      <c r="CP51" s="1930">
        <f>CM51</f>
        <v/>
      </c>
      <c r="CQ51" s="1930" t="n"/>
      <c r="CR51" s="1930" t="n"/>
      <c r="CS51" s="1930">
        <f>CM51+CP51</f>
        <v/>
      </c>
      <c r="CT51" s="1930" t="n"/>
      <c r="CU51" s="1930" t="n"/>
      <c r="CV51" s="1930">
        <f>CS51</f>
        <v/>
      </c>
      <c r="CW51" s="596">
        <f>IF(CM51&lt;=BO$4,BN$4,IF(CM51&lt;=BO$5,BN$5,IF(CM51&lt;=BO$6,BN$6,IF(CM51&lt;=BO$7,BN$7,IF(CM51&lt;=BO$12,BN$12,IF(CM51&lt;=BO$13,BN$13,IF(CM51&lt;=BO$14,BN$14,0.05)))))))</f>
        <v/>
      </c>
      <c r="CX51" s="1930">
        <f>CW51*CM51</f>
        <v/>
      </c>
      <c r="CY51" s="596" t="n"/>
      <c r="CZ51" s="596">
        <f>IF(CP51&lt;=BR$4,BQ$4,IF(CP51&lt;=BR$5,BQ$5,IF(CP51&lt;=BR$6,BQ$6,IF(CP51&lt;=BR$7,BQ$7,IF(CP51&lt;=BR$12,BQ$12,IF(CP51&lt;=BR$13,BQ$13,IF(CP51&lt;=BR$14,BQ$14,0.05)))))))</f>
        <v/>
      </c>
      <c r="DA51" s="1930">
        <f>CZ51*CP51</f>
        <v/>
      </c>
      <c r="DB51" s="596" t="n"/>
      <c r="DC51" s="596">
        <f>IF(CS51&lt;=BU$4,BT$4,IF(CS51&lt;=BU$5,BT$5,IF(CS51&lt;=BU$6,BT$6,IF(CS51&lt;=BU$7,BT$7,IF(CS51&lt;=BU$12,BT$12,IF(CS51&lt;=BU$13,BT$13,IF(CS51&lt;=BU$14,BT$14,0.05)))))))</f>
        <v/>
      </c>
      <c r="DD51" s="1930">
        <f>DC51*SUM(DA51,CX51,CS51)</f>
        <v/>
      </c>
      <c r="DE51" s="596" t="n"/>
      <c r="DF51" s="1931">
        <f>IF(CV51&lt;=BX$4,BW$4,IF(CV51&lt;=BX$5,BW$5,IF(CV51&lt;=BX$6,BW$6,IF(CV51&lt;=BX$7,BW$7,IF(CV51&lt;=BX$12,BW$12,IF(CV51&lt;=BX$13,BW$13,IF(CV51&lt;=BX$14,BW$14,0.05)))))))</f>
        <v/>
      </c>
      <c r="DG51" s="1930">
        <f>DF51*CV51</f>
        <v/>
      </c>
      <c r="DI51" s="1932">
        <f>0.07*SUM(CS51,CX51,DA51,DD51,DG51)</f>
        <v/>
      </c>
      <c r="DK51" s="1932">
        <f>SUM(DI51,DG51,DD51,DA51,CX51,CS51)</f>
        <v/>
      </c>
      <c r="DL51" s="1933">
        <f>SUM(DG51,DD51,DA51,CX51)</f>
        <v/>
      </c>
      <c r="DM51" s="596">
        <f>DL51/DK51</f>
        <v/>
      </c>
    </row>
    <row r="52" customFormat="1" s="585">
      <c r="A52" s="755">
        <f>(A47*B47)+(A48*B48)+(A49*B49)+(A50*B50)</f>
        <v/>
      </c>
      <c r="B52" s="1775" t="n">
        <v>0</v>
      </c>
      <c r="C52" s="2008" t="n">
        <v>33</v>
      </c>
      <c r="D52" s="757">
        <f>(A52*B52*C52)</f>
        <v/>
      </c>
      <c r="E52" s="758" t="inlineStr">
        <is>
          <t>Drive Time: ?</t>
        </is>
      </c>
      <c r="F52" s="753" t="n"/>
      <c r="G52" s="705" t="n"/>
      <c r="H52" s="1143" t="n"/>
      <c r="I52" s="760">
        <f>(((D53-D52)/C47)/A47)/40</f>
        <v/>
      </c>
      <c r="J52" s="761" t="inlineStr">
        <is>
          <t># of 40 hour weeks</t>
        </is>
      </c>
      <c r="K52" s="2009" t="n"/>
      <c r="L52" s="763" t="n"/>
      <c r="M52" s="770" t="inlineStr">
        <is>
          <t>Holidays - Double Time</t>
        </is>
      </c>
      <c r="N52" s="763" t="n"/>
      <c r="O52" s="2007">
        <f>O53/M42</f>
        <v/>
      </c>
      <c r="P52" s="685" t="inlineStr">
        <is>
          <t>1/2 of sf</t>
        </is>
      </c>
      <c r="AB52" s="1382" t="inlineStr">
        <is>
          <t>(micro) Double Flake -or- Qrtz/ShpFlr</t>
        </is>
      </c>
      <c r="AC52" s="1476" t="n"/>
      <c r="AW52" s="1930" t="n">
        <v>39000</v>
      </c>
      <c r="AX52" s="1930" t="n"/>
      <c r="AY52" s="1930" t="n"/>
      <c r="AZ52" s="1930">
        <f>AW52</f>
        <v/>
      </c>
      <c r="BA52" s="1930" t="n"/>
      <c r="BB52" s="1930" t="n"/>
      <c r="BC52" s="1930">
        <f>AW52+AZ52</f>
        <v/>
      </c>
      <c r="BD52" s="1930" t="n"/>
      <c r="BE52" s="1930" t="n"/>
      <c r="BF52" s="1930">
        <f>BC52</f>
        <v/>
      </c>
      <c r="BG52" s="596">
        <f>IF(AW52&lt;=#REF!,#REF!,IF(AW52&lt;=#REF!,#REF!,IF(AW52&lt;=#REF!,#REF!,IF(AW52&lt;=#REF!,#REF!,IF(AW52&lt;=#REF!,#REF!,IF(AW52&lt;=#REF!,#REF!,IF(AW52&lt;=#REF!,#REF!,0.05)))))))</f>
        <v/>
      </c>
      <c r="BH52" s="1930">
        <f>BG52*AW52</f>
        <v/>
      </c>
      <c r="BI52" s="596" t="n"/>
      <c r="BJ52" s="596">
        <f>IF(AZ52&lt;=#REF!,#REF!,IF(AZ52&lt;=#REF!,#REF!,IF(AZ52&lt;=#REF!,#REF!,IF(AZ52&lt;=#REF!,#REF!,IF(AZ52&lt;=#REF!,#REF!,IF(AZ52&lt;=#REF!,#REF!,IF(AZ52&lt;=#REF!,#REF!,0.05)))))))</f>
        <v/>
      </c>
      <c r="BK52" s="1930">
        <f>BJ52*AZ52</f>
        <v/>
      </c>
      <c r="BL52" s="596" t="n"/>
      <c r="BM52" s="596">
        <f>IF(BC52&lt;=#REF!,#REF!,IF(BC52&lt;=#REF!,#REF!,IF(BC52&lt;=#REF!,#REF!,IF(BC52&lt;=#REF!,#REF!,IF(BC52&lt;=#REF!,#REF!,IF(BC52&lt;=#REF!,#REF!,IF(BC52&lt;=#REF!,#REF!,0.05)))))))</f>
        <v/>
      </c>
      <c r="BN52" s="1930">
        <f>BM52*SUM(BK52,BH52,BC52)</f>
        <v/>
      </c>
      <c r="BO52" s="596" t="n"/>
      <c r="BP52" s="1931">
        <f>IF(BF52&lt;=#REF!,#REF!,IF(BF52&lt;=#REF!,#REF!,IF(BF52&lt;=#REF!,#REF!,IF(BF52&lt;=#REF!,#REF!,IF(BF52&lt;=#REF!,#REF!,IF(BF52&lt;=#REF!,#REF!,IF(BF52&lt;=#REF!,#REF!,0.05)))))))</f>
        <v/>
      </c>
      <c r="BQ52" s="1930">
        <f>BP52*BF52</f>
        <v/>
      </c>
      <c r="BS52" s="1932">
        <f>0.07*SUM(BC52,BH52,BK52,BN52,BQ52)</f>
        <v/>
      </c>
      <c r="BU52" s="1932">
        <f>SUM(BS52,BQ52,BN52,BK52,BH52,BC52)</f>
        <v/>
      </c>
      <c r="BV52" s="1933">
        <f>SUM(BQ52,BN52,BK52,BH52)</f>
        <v/>
      </c>
      <c r="BW52" s="596">
        <f>BV52/BU52</f>
        <v/>
      </c>
      <c r="CM52" s="1930" t="n">
        <v>39000</v>
      </c>
      <c r="CN52" s="1930" t="n"/>
      <c r="CO52" s="1930" t="n"/>
      <c r="CP52" s="1930">
        <f>CM52</f>
        <v/>
      </c>
      <c r="CQ52" s="1930" t="n"/>
      <c r="CR52" s="1930" t="n"/>
      <c r="CS52" s="1930">
        <f>CM52+CP52</f>
        <v/>
      </c>
      <c r="CT52" s="1930" t="n"/>
      <c r="CU52" s="1930" t="n"/>
      <c r="CV52" s="1930">
        <f>CS52</f>
        <v/>
      </c>
      <c r="CW52" s="596">
        <f>IF(CM52&lt;=BO$4,BN$4,IF(CM52&lt;=BO$5,BN$5,IF(CM52&lt;=BO$6,BN$6,IF(CM52&lt;=BO$7,BN$7,IF(CM52&lt;=BO$12,BN$12,IF(CM52&lt;=BO$13,BN$13,IF(CM52&lt;=BO$14,BN$14,0.05)))))))</f>
        <v/>
      </c>
      <c r="CX52" s="1930">
        <f>CW52*CM52</f>
        <v/>
      </c>
      <c r="CY52" s="596" t="n"/>
      <c r="CZ52" s="596">
        <f>IF(CP52&lt;=BR$4,BQ$4,IF(CP52&lt;=BR$5,BQ$5,IF(CP52&lt;=BR$6,BQ$6,IF(CP52&lt;=BR$7,BQ$7,IF(CP52&lt;=BR$12,BQ$12,IF(CP52&lt;=BR$13,BQ$13,IF(CP52&lt;=BR$14,BQ$14,0.05)))))))</f>
        <v/>
      </c>
      <c r="DA52" s="1930">
        <f>CZ52*CP52</f>
        <v/>
      </c>
      <c r="DB52" s="596" t="n"/>
      <c r="DC52" s="596">
        <f>IF(CS52&lt;=BU$4,BT$4,IF(CS52&lt;=BU$5,BT$5,IF(CS52&lt;=BU$6,BT$6,IF(CS52&lt;=BU$7,BT$7,IF(CS52&lt;=BU$12,BT$12,IF(CS52&lt;=BU$13,BT$13,IF(CS52&lt;=BU$14,BT$14,0.05)))))))</f>
        <v/>
      </c>
      <c r="DD52" s="1930">
        <f>DC52*SUM(DA52,CX52,CS52)</f>
        <v/>
      </c>
      <c r="DE52" s="596" t="n"/>
      <c r="DF52" s="1931">
        <f>IF(CV52&lt;=BX$4,BW$4,IF(CV52&lt;=BX$5,BW$5,IF(CV52&lt;=BX$6,BW$6,IF(CV52&lt;=BX$7,BW$7,IF(CV52&lt;=BX$12,BW$12,IF(CV52&lt;=BX$13,BW$13,IF(CV52&lt;=BX$14,BW$14,0.05)))))))</f>
        <v/>
      </c>
      <c r="DG52" s="1930">
        <f>DF52*CV52</f>
        <v/>
      </c>
      <c r="DI52" s="1932">
        <f>0.07*SUM(CS52,CX52,DA52,DD52,DG52)</f>
        <v/>
      </c>
      <c r="DK52" s="1932">
        <f>SUM(DI52,DG52,DD52,DA52,CX52,CS52)</f>
        <v/>
      </c>
      <c r="DL52" s="1933">
        <f>SUM(DG52,DD52,DA52,CX52)</f>
        <v/>
      </c>
      <c r="DM52" s="596">
        <f>DL52/DK52</f>
        <v/>
      </c>
    </row>
    <row r="53" customFormat="1" s="585">
      <c r="A53" s="764" t="inlineStr">
        <is>
          <t xml:space="preserve">Install Labor </t>
        </is>
      </c>
      <c r="B53" s="765" t="n"/>
      <c r="C53" s="766" t="n"/>
      <c r="D53" s="2010">
        <f>ROUNDUP(SUM(D47:D52),0)</f>
        <v/>
      </c>
      <c r="E53" s="766">
        <f>D53/B45</f>
        <v/>
      </c>
      <c r="F53" s="766" t="inlineStr">
        <is>
          <t>Labor $/SF</t>
        </is>
      </c>
      <c r="G53" s="2011" t="n"/>
      <c r="H53" s="2012" t="n"/>
      <c r="I53" s="768">
        <f>ROUNDUP(I52,0)</f>
        <v/>
      </c>
      <c r="J53" s="769" t="inlineStr">
        <is>
          <t># of weeks rounded up</t>
        </is>
      </c>
      <c r="K53" s="2009" t="n"/>
      <c r="M53" s="763" t="inlineStr">
        <is>
          <t>New Year's Day</t>
        </is>
      </c>
      <c r="O53" s="1994">
        <f>I48</f>
        <v/>
      </c>
      <c r="P53" s="1459" t="inlineStr">
        <is>
          <t>SF for System</t>
        </is>
      </c>
      <c r="Q53" s="1995">
        <f>J48</f>
        <v/>
      </c>
      <c r="R53" s="699" t="inlineStr">
        <is>
          <t>LF Cove</t>
        </is>
      </c>
      <c r="S53" s="1462">
        <f>Q53/O53</f>
        <v/>
      </c>
      <c r="T53" s="1094" t="inlineStr">
        <is>
          <t>cove ratio</t>
        </is>
      </c>
      <c r="AB53" s="1994">
        <f>B45</f>
        <v/>
      </c>
      <c r="AC53" s="1459" t="inlineStr">
        <is>
          <t>SF for System</t>
        </is>
      </c>
      <c r="AD53" s="1995">
        <f>D45</f>
        <v/>
      </c>
      <c r="AE53" s="699" t="inlineStr">
        <is>
          <t>LF Cove</t>
        </is>
      </c>
      <c r="AF53" s="1462">
        <f>AD53/AB53</f>
        <v/>
      </c>
      <c r="AG53" s="1094" t="inlineStr">
        <is>
          <t>cove ratio</t>
        </is>
      </c>
    </row>
    <row r="54" ht="16.2" customFormat="1" customHeight="1" s="585" thickBot="1">
      <c r="A54" s="1527" t="inlineStr">
        <is>
          <t>Labor Escalation</t>
        </is>
      </c>
      <c r="B54" s="1533" t="inlineStr">
        <is>
          <t>(rate esc. only)</t>
        </is>
      </c>
      <c r="C54" s="1557">
        <f>IF(D5="Yes",5%,0)</f>
        <v/>
      </c>
      <c r="D54" s="2013">
        <f>ROUNDUP((D53*C54),0)</f>
        <v/>
      </c>
      <c r="E54" s="1556" t="inlineStr">
        <is>
          <t>+5%IFPWorLong Lead Job (12+ months)</t>
        </is>
      </c>
      <c r="F54" s="1558" t="n"/>
      <c r="G54" s="2014" t="n"/>
      <c r="H54" s="2015" t="n"/>
      <c r="I54" s="1526" t="n"/>
      <c r="J54" s="1043" t="n"/>
      <c r="K54" s="1944" t="n"/>
      <c r="M54" s="763" t="inlineStr">
        <is>
          <t>Memorial Day</t>
        </is>
      </c>
      <c r="O54" s="1481" t="inlineStr">
        <is>
          <t>(Avg.)   Guys</t>
        </is>
      </c>
      <c r="P54" s="1130" t="inlineStr">
        <is>
          <t>(Avg.)     Days</t>
        </is>
      </c>
      <c r="Q54" s="1091" t="inlineStr">
        <is>
          <t>Labor Value</t>
        </is>
      </c>
      <c r="R54" s="1138" t="inlineStr">
        <is>
          <t>Wage Rate</t>
        </is>
      </c>
      <c r="AB54" s="1132" t="inlineStr">
        <is>
          <t>(Avg.)   Guys</t>
        </is>
      </c>
      <c r="AC54" s="1130" t="inlineStr">
        <is>
          <t>(Avg.)     Days</t>
        </is>
      </c>
      <c r="AD54" s="1091" t="inlineStr">
        <is>
          <t>Labor Value</t>
        </is>
      </c>
      <c r="AE54" s="1138" t="inlineStr">
        <is>
          <t>Wage Rate</t>
        </is>
      </c>
    </row>
    <row r="55" customFormat="1" s="585">
      <c r="A55" s="771" t="inlineStr">
        <is>
          <t>Labor Burden</t>
        </is>
      </c>
      <c r="B55" s="766" t="n"/>
      <c r="C55" s="772" t="n">
        <v>0.12</v>
      </c>
      <c r="D55" s="2016">
        <f>ROUNDUP((D53+D54)*C55,0)</f>
        <v/>
      </c>
      <c r="E55" s="600" t="n"/>
      <c r="F55" s="600" t="n"/>
      <c r="G55" s="2017" t="n"/>
      <c r="H55" s="2017" t="n"/>
      <c r="I55" s="1585" t="inlineStr">
        <is>
          <t xml:space="preserve">               ** Cement Mason **              </t>
        </is>
      </c>
      <c r="J55" s="1586" t="n"/>
      <c r="K55" s="1587" t="inlineStr">
        <is>
          <t xml:space="preserve">                      ** Painter **                      </t>
        </is>
      </c>
      <c r="L55" s="1588" t="n"/>
      <c r="M55" s="763" t="inlineStr">
        <is>
          <t>July 4th</t>
        </is>
      </c>
      <c r="O55" s="1480" t="n">
        <v>3</v>
      </c>
      <c r="P55" s="1131">
        <f>P60/O55</f>
        <v/>
      </c>
      <c r="Q55" s="1999">
        <f>O55*P55*R55*8</f>
        <v/>
      </c>
      <c r="R55" s="2000">
        <f>C48</f>
        <v/>
      </c>
      <c r="AB55" s="1480" t="n">
        <v>3</v>
      </c>
      <c r="AC55" s="1131">
        <f>AC60/AB55</f>
        <v/>
      </c>
      <c r="AD55" s="1999">
        <f>AB55*AC55*AE55*8</f>
        <v/>
      </c>
      <c r="AE55" s="2000">
        <f>C47</f>
        <v/>
      </c>
    </row>
    <row r="56" customFormat="1" s="585">
      <c r="A56" s="600" t="n"/>
      <c r="B56" s="1877" t="n"/>
      <c r="C56" s="1944" t="n"/>
      <c r="D56" s="1944" t="n"/>
      <c r="E56" s="1944" t="n"/>
      <c r="F56" s="600" t="n"/>
      <c r="G56" s="600" t="n"/>
      <c r="H56" s="834" t="n"/>
      <c r="I56" s="1576" t="inlineStr">
        <is>
          <t>Prevailing Wage Rate:</t>
        </is>
      </c>
      <c r="J56" s="2018">
        <f>SUM(J57:J58)</f>
        <v/>
      </c>
      <c r="K56" s="1576" t="inlineStr">
        <is>
          <t>Prevailing Wage Rate:</t>
        </is>
      </c>
      <c r="L56" s="2018">
        <f>SUM(L57:L58)</f>
        <v/>
      </c>
      <c r="M56" s="763" t="inlineStr">
        <is>
          <t>Labor Day</t>
        </is>
      </c>
      <c r="O56" s="1456" t="inlineStr">
        <is>
          <t>UNIT</t>
        </is>
      </c>
      <c r="P56" s="1508" t="inlineStr">
        <is>
          <t>Prep / Patch</t>
        </is>
      </c>
      <c r="Q56" s="1508" t="inlineStr">
        <is>
          <t>Cove</t>
        </is>
      </c>
      <c r="R56" s="1508" t="inlineStr">
        <is>
          <t>Prime</t>
        </is>
      </c>
      <c r="S56" s="1508" t="inlineStr">
        <is>
          <t>Broadcast</t>
        </is>
      </c>
      <c r="T56" s="1509" t="inlineStr">
        <is>
          <t>(? double BC ?)</t>
        </is>
      </c>
      <c r="U56" s="1508" t="inlineStr">
        <is>
          <t>Grout</t>
        </is>
      </c>
      <c r="V56" s="1509" t="inlineStr">
        <is>
          <t>(? double Grout ?)</t>
        </is>
      </c>
      <c r="W56" s="1508" t="inlineStr">
        <is>
          <t>Topcoat</t>
        </is>
      </c>
      <c r="AB56" s="1456" t="inlineStr">
        <is>
          <t>UNIT</t>
        </is>
      </c>
      <c r="AC56" s="1508" t="inlineStr">
        <is>
          <t>Prep / Patch</t>
        </is>
      </c>
      <c r="AD56" s="1508" t="inlineStr">
        <is>
          <t>Cove</t>
        </is>
      </c>
      <c r="AE56" s="1508" t="inlineStr">
        <is>
          <t>Prime</t>
        </is>
      </c>
      <c r="AF56" s="1508" t="inlineStr">
        <is>
          <t>Broadcast</t>
        </is>
      </c>
      <c r="AG56" s="1509" t="inlineStr">
        <is>
          <t>(? double BC ?)</t>
        </is>
      </c>
      <c r="AH56" s="1508" t="inlineStr">
        <is>
          <t>Grout</t>
        </is>
      </c>
      <c r="AI56" s="1509" t="inlineStr">
        <is>
          <t>(? double Grout ?)</t>
        </is>
      </c>
      <c r="AJ56" s="1508" t="inlineStr">
        <is>
          <t>Topcoat</t>
        </is>
      </c>
    </row>
    <row r="57" customFormat="1" s="585">
      <c r="A57" s="621" t="inlineStr">
        <is>
          <t>TOOLING &amp; CONSUMABLES</t>
        </is>
      </c>
      <c r="B57" s="622" t="inlineStr">
        <is>
          <t>Quantity</t>
        </is>
      </c>
      <c r="C57" s="778" t="inlineStr">
        <is>
          <t>Cost</t>
        </is>
      </c>
      <c r="D57" s="2019" t="inlineStr">
        <is>
          <t>Totals</t>
        </is>
      </c>
      <c r="E57" s="600" t="n"/>
      <c r="F57" s="600" t="n"/>
      <c r="G57" s="780" t="n"/>
      <c r="H57" s="834" t="n"/>
      <c r="I57" s="1578" t="inlineStr">
        <is>
          <t>rate =</t>
        </is>
      </c>
      <c r="J57" s="2020" t="n">
        <v>0</v>
      </c>
      <c r="K57" s="1578" t="inlineStr">
        <is>
          <t>rate =</t>
        </is>
      </c>
      <c r="L57" s="2020" t="n">
        <v>0</v>
      </c>
      <c r="M57" s="763" t="inlineStr">
        <is>
          <t>Thanksgiving</t>
        </is>
      </c>
      <c r="O57" s="1457" t="inlineStr">
        <is>
          <t>Guys</t>
        </is>
      </c>
      <c r="P57" s="1061" t="n">
        <v>3</v>
      </c>
      <c r="Q57" s="585">
        <f>P57</f>
        <v/>
      </c>
      <c r="R57" s="585">
        <f>P57</f>
        <v/>
      </c>
      <c r="S57" s="585">
        <f>P57</f>
        <v/>
      </c>
      <c r="T57" s="1066">
        <f>P57</f>
        <v/>
      </c>
      <c r="U57" s="585">
        <f>P57</f>
        <v/>
      </c>
      <c r="V57" s="1066">
        <f>P57</f>
        <v/>
      </c>
      <c r="W57" s="585">
        <f>P57</f>
        <v/>
      </c>
      <c r="AB57" s="1457" t="inlineStr">
        <is>
          <t>Guys</t>
        </is>
      </c>
      <c r="AC57" s="1061" t="n">
        <v>3</v>
      </c>
      <c r="AD57" s="585">
        <f>AC57</f>
        <v/>
      </c>
      <c r="AE57" s="585">
        <f>AC57</f>
        <v/>
      </c>
      <c r="AF57" s="585">
        <f>AC57</f>
        <v/>
      </c>
      <c r="AG57" s="1066">
        <f>AC57</f>
        <v/>
      </c>
      <c r="AH57" s="585">
        <f>AC57</f>
        <v/>
      </c>
      <c r="AI57" s="1407" t="n"/>
      <c r="AJ57" s="585">
        <f>AC57</f>
        <v/>
      </c>
    </row>
    <row r="58" customFormat="1" s="585">
      <c r="A58" s="628" t="inlineStr">
        <is>
          <t>Moisture Test</t>
        </is>
      </c>
      <c r="B58" s="774">
        <f>ROUNDUP(IF(B45&gt;2000,B45/1000,2),0)</f>
        <v/>
      </c>
      <c r="C58" s="1944" t="n">
        <v>35</v>
      </c>
      <c r="D58" s="1962">
        <f>ROUNDUP(B58*C58,0)</f>
        <v/>
      </c>
      <c r="E58" s="600" t="n"/>
      <c r="F58" s="600" t="n"/>
      <c r="G58" s="2021" t="n"/>
      <c r="H58" s="782" t="n"/>
      <c r="I58" s="1580" t="inlineStr">
        <is>
          <t>+ fringes =</t>
        </is>
      </c>
      <c r="J58" s="2022" t="n">
        <v>0</v>
      </c>
      <c r="K58" s="1580" t="inlineStr">
        <is>
          <t>+ fringes =</t>
        </is>
      </c>
      <c r="L58" s="2022" t="n">
        <v>0</v>
      </c>
      <c r="M58" s="763" t="inlineStr">
        <is>
          <t>Christmas</t>
        </is>
      </c>
      <c r="O58" s="1458" t="inlineStr">
        <is>
          <t>Days</t>
        </is>
      </c>
      <c r="P58" s="784" t="n">
        <v>1.5</v>
      </c>
      <c r="Q58" s="784" t="n">
        <v>1</v>
      </c>
      <c r="R58" s="784" t="n">
        <v>0.5</v>
      </c>
      <c r="S58" s="784" t="n">
        <v>1</v>
      </c>
      <c r="T58" s="1334" t="n">
        <v>0</v>
      </c>
      <c r="U58" s="784" t="n">
        <v>0.5</v>
      </c>
      <c r="V58" s="1334" t="n">
        <v>0</v>
      </c>
      <c r="W58" s="784">
        <f>U58</f>
        <v/>
      </c>
      <c r="AB58" s="1458" t="inlineStr">
        <is>
          <t>Days</t>
        </is>
      </c>
      <c r="AC58" s="784" t="n">
        <v>1.5</v>
      </c>
      <c r="AD58" s="784" t="n">
        <v>1</v>
      </c>
      <c r="AE58" s="784" t="n">
        <v>0.5</v>
      </c>
      <c r="AF58" s="784" t="n">
        <v>1</v>
      </c>
      <c r="AG58" s="1334" t="n">
        <v>1</v>
      </c>
      <c r="AH58" s="784" t="n">
        <v>0.5</v>
      </c>
      <c r="AI58" s="1473" t="n"/>
      <c r="AJ58" s="784" t="n">
        <v>0.5</v>
      </c>
    </row>
    <row r="59" customFormat="1" s="585">
      <c r="A59" s="628" t="inlineStr">
        <is>
          <t>Tooling &amp; Consumables</t>
        </is>
      </c>
      <c r="B59" s="774">
        <f>B45</f>
        <v/>
      </c>
      <c r="C59" s="1944" t="n">
        <v>0.33</v>
      </c>
      <c r="D59" s="1962">
        <f>ROUNDUP(IF((B59*C59)&gt;150,(B59*C59),150),0)</f>
        <v/>
      </c>
      <c r="E59" s="600" t="n"/>
      <c r="F59" s="600" t="n"/>
      <c r="G59" s="600" t="n"/>
      <c r="H59" s="774" t="n"/>
      <c r="I59" s="864" t="inlineStr">
        <is>
          <t xml:space="preserve">    Foreman *min. $32 Cement Mason</t>
        </is>
      </c>
      <c r="J59" s="2023" t="n"/>
      <c r="K59" s="864" t="inlineStr">
        <is>
          <t xml:space="preserve">          Foreman *min. $32 Painter</t>
        </is>
      </c>
      <c r="L59" s="2023" t="n"/>
      <c r="O59" s="1103" t="n"/>
      <c r="P59" s="585">
        <f>P57*P58</f>
        <v/>
      </c>
      <c r="Q59" s="585">
        <f>Q57*Q58</f>
        <v/>
      </c>
      <c r="R59" s="585">
        <f>R57*R58</f>
        <v/>
      </c>
      <c r="S59" s="585">
        <f>S57*S58</f>
        <v/>
      </c>
      <c r="T59" s="1066">
        <f>T57*T58</f>
        <v/>
      </c>
      <c r="U59" s="585">
        <f>U57*U58</f>
        <v/>
      </c>
      <c r="V59" s="1066">
        <f>V57*V58</f>
        <v/>
      </c>
      <c r="W59" s="585">
        <f>W57*W58</f>
        <v/>
      </c>
      <c r="AB59" s="1103" t="n"/>
      <c r="AC59" s="585">
        <f>AC57*AC58</f>
        <v/>
      </c>
      <c r="AD59" s="585">
        <f>AD57*AD58</f>
        <v/>
      </c>
      <c r="AE59" s="585">
        <f>AE57*AE58</f>
        <v/>
      </c>
      <c r="AF59" s="585">
        <f>AF57*AF58</f>
        <v/>
      </c>
      <c r="AG59" s="1066">
        <f>AG57*AG58</f>
        <v/>
      </c>
      <c r="AH59" s="585">
        <f>AH57*AH58</f>
        <v/>
      </c>
      <c r="AI59" s="1066">
        <f>AI57*AI58</f>
        <v/>
      </c>
      <c r="AJ59" s="585">
        <f>AJ57*AJ58</f>
        <v/>
      </c>
    </row>
    <row r="60" ht="16.2" customFormat="1" customHeight="1" s="585" thickBot="1">
      <c r="A60" s="628" t="inlineStr">
        <is>
          <t>Demo Tooling (/sf)</t>
        </is>
      </c>
      <c r="B60" s="774" t="n"/>
      <c r="C60" s="1944" t="n">
        <v>0.33</v>
      </c>
      <c r="D60" s="1962">
        <f>ROUNDUP(B60*C60,0)</f>
        <v/>
      </c>
      <c r="E60" s="787" t="inlineStr">
        <is>
          <t>($0.17 glue/VCT/carpet or $0.33 demo tile)</t>
        </is>
      </c>
      <c r="F60" s="600" t="n"/>
      <c r="G60" s="600" t="n"/>
      <c r="H60" s="774" t="n"/>
      <c r="I60" s="1583" t="inlineStr">
        <is>
          <t xml:space="preserve">    (Entry *min. $23 Cement Mason)</t>
        </is>
      </c>
      <c r="J60" s="2024" t="n"/>
      <c r="K60" s="1583" t="inlineStr">
        <is>
          <t xml:space="preserve">          (Entry *min. $23 Painter)</t>
        </is>
      </c>
      <c r="L60" s="2024" t="n"/>
      <c r="P60" s="1134">
        <f>SUM(P59:W59)</f>
        <v/>
      </c>
      <c r="Q60" s="954" t="inlineStr">
        <is>
          <t>factor</t>
        </is>
      </c>
      <c r="AC60" s="1134">
        <f>SUM(AC59:AJ59)</f>
        <v/>
      </c>
      <c r="AD60" s="954" t="inlineStr">
        <is>
          <t>factor</t>
        </is>
      </c>
    </row>
    <row r="61" ht="16.2" customFormat="1" customHeight="1" s="585" thickBot="1">
      <c r="A61" s="628" t="inlineStr">
        <is>
          <t>Plastic</t>
        </is>
      </c>
      <c r="B61" s="774" t="n"/>
      <c r="C61" s="1944" t="n"/>
      <c r="D61" s="1962">
        <f>ROUNDUP(B61*C61,0)</f>
        <v/>
      </c>
      <c r="E61" s="600" t="n"/>
      <c r="F61" s="600" t="n"/>
      <c r="G61" s="600" t="n"/>
      <c r="H61" s="782" t="n"/>
      <c r="I61" s="2025" t="inlineStr">
        <is>
          <t>1:1 "Entry" Half Wage</t>
        </is>
      </c>
      <c r="J61" s="2026">
        <f>IF((J56/2)&lt;23,23,(J56/2))</f>
        <v/>
      </c>
      <c r="K61" s="2027" t="inlineStr">
        <is>
          <t>1:1 "Entry" Half Wage</t>
        </is>
      </c>
      <c r="L61" s="2026">
        <f>IF((L56/2)&lt;23,23,(L56/2))</f>
        <v/>
      </c>
      <c r="AB61" s="1478" t="inlineStr">
        <is>
          <t>SLB / MDB</t>
        </is>
      </c>
    </row>
    <row r="62" ht="16.2" customFormat="1" customHeight="1" s="585" thickBot="1">
      <c r="A62" s="1565" t="inlineStr">
        <is>
          <t>Tooling and Consumables Total</t>
        </is>
      </c>
      <c r="B62" s="1566" t="n"/>
      <c r="C62" s="2028" t="n"/>
      <c r="D62" s="2029">
        <f>SUM(D58:D61)</f>
        <v/>
      </c>
      <c r="E62" s="600" t="n"/>
      <c r="F62" s="600" t="n"/>
      <c r="G62" s="662" t="n"/>
      <c r="H62" s="793" t="n"/>
      <c r="I62" s="1944" t="n"/>
      <c r="J62" s="1595" t="inlineStr">
        <is>
          <t>"Entry" Laborer for MO "State" Wage ONLY</t>
        </is>
      </c>
      <c r="K62" s="1594" t="n"/>
      <c r="L62" s="1072" t="inlineStr">
        <is>
          <t>NOT davis-bacon</t>
        </is>
      </c>
      <c r="O62" s="1994">
        <f>I49</f>
        <v/>
      </c>
      <c r="P62" s="1459" t="inlineStr">
        <is>
          <t>SF for System</t>
        </is>
      </c>
      <c r="Q62" s="1995">
        <f>J49</f>
        <v/>
      </c>
      <c r="R62" s="699" t="inlineStr">
        <is>
          <t>LF Cove</t>
        </is>
      </c>
      <c r="S62" s="1462">
        <f>Q62/O62</f>
        <v/>
      </c>
      <c r="T62" s="1094" t="inlineStr">
        <is>
          <t>cove ratio</t>
        </is>
      </c>
      <c r="AB62" s="1994">
        <f>B45</f>
        <v/>
      </c>
      <c r="AC62" s="1459" t="inlineStr">
        <is>
          <t>SF for System</t>
        </is>
      </c>
      <c r="AD62" s="1995">
        <f>D45</f>
        <v/>
      </c>
      <c r="AE62" s="699" t="inlineStr">
        <is>
          <t>LF Cove</t>
        </is>
      </c>
      <c r="AF62" s="1462">
        <f>AD62/AB62</f>
        <v/>
      </c>
      <c r="AG62" s="1094" t="inlineStr">
        <is>
          <t>cove ratio</t>
        </is>
      </c>
    </row>
    <row r="63" customFormat="1" s="585">
      <c r="A63" s="600" t="n"/>
      <c r="B63" s="1877" t="n"/>
      <c r="C63" s="1944" t="n"/>
      <c r="D63" s="1944" t="n"/>
      <c r="E63" s="600" t="n"/>
      <c r="F63" s="600" t="n"/>
      <c r="G63" s="600" t="n"/>
      <c r="H63" s="1046">
        <f>E45</f>
        <v/>
      </c>
      <c r="I63" s="1944" t="n"/>
      <c r="J63" s="1928" t="n"/>
      <c r="O63" s="1481" t="inlineStr">
        <is>
          <t>(Avg.)   Guys</t>
        </is>
      </c>
      <c r="P63" s="1130" t="inlineStr">
        <is>
          <t>(Avg.)     Days</t>
        </is>
      </c>
      <c r="Q63" s="1091" t="inlineStr">
        <is>
          <t>Labor Value</t>
        </is>
      </c>
      <c r="R63" s="1138" t="inlineStr">
        <is>
          <t>Wage Rate</t>
        </is>
      </c>
      <c r="AB63" s="1132" t="inlineStr">
        <is>
          <t>(Avg.)   Guys</t>
        </is>
      </c>
      <c r="AC63" s="1130" t="inlineStr">
        <is>
          <t>(Avg.)     Days</t>
        </is>
      </c>
      <c r="AD63" s="1091" t="inlineStr">
        <is>
          <t>Labor Value</t>
        </is>
      </c>
      <c r="AE63" s="1138" t="inlineStr">
        <is>
          <t>Wage Rate</t>
        </is>
      </c>
    </row>
    <row r="64" customFormat="1" s="585">
      <c r="A64" s="621" t="inlineStr">
        <is>
          <t>TRAVEL</t>
        </is>
      </c>
      <c r="B64" s="622" t="inlineStr">
        <is>
          <t>Quantity</t>
        </is>
      </c>
      <c r="C64" s="778" t="inlineStr">
        <is>
          <t>Cost</t>
        </is>
      </c>
      <c r="D64" s="2019" t="inlineStr">
        <is>
          <t>Totals</t>
        </is>
      </c>
      <c r="E64" s="600" t="n"/>
      <c r="F64" s="600" t="n"/>
      <c r="G64" s="1409" t="inlineStr">
        <is>
          <t xml:space="preserve">Total Man Hours </t>
        </is>
      </c>
      <c r="H64" s="1410">
        <f>(((A47*B47)+(A48*B48)+(A49*B49)+(A50*B50))*IF($E$45="8 hour days",8,10))+(A52*B52)</f>
        <v/>
      </c>
      <c r="I64" s="1944" t="n"/>
      <c r="J64" s="1928" t="n"/>
      <c r="K64" s="1936" t="n"/>
      <c r="O64" s="1480" t="n">
        <v>3</v>
      </c>
      <c r="P64" s="1131">
        <f>P69/O64</f>
        <v/>
      </c>
      <c r="Q64" s="1999">
        <f>O64*P64*R64*8</f>
        <v/>
      </c>
      <c r="R64" s="2000">
        <f>C49</f>
        <v/>
      </c>
      <c r="AB64" s="1480" t="n">
        <v>3</v>
      </c>
      <c r="AC64" s="1131">
        <f>AC69/AB64</f>
        <v/>
      </c>
      <c r="AD64" s="1999">
        <f>AB64*AC64*AE64*8</f>
        <v/>
      </c>
      <c r="AE64" s="2000">
        <f>C47</f>
        <v/>
      </c>
    </row>
    <row r="65" customFormat="1" s="585">
      <c r="A65" s="628" t="inlineStr">
        <is>
          <t>Travel - Lodging</t>
        </is>
      </c>
      <c r="B65" s="774">
        <f>IF(B4="No",((D53-D52)/C47)/8)</f>
        <v/>
      </c>
      <c r="C65" s="1944" t="n">
        <v>70</v>
      </c>
      <c r="D65" s="1962">
        <f>ROUNDUP(B65*C65,0)</f>
        <v/>
      </c>
      <c r="E65" s="600" t="n"/>
      <c r="F65" s="600" t="n"/>
      <c r="G65" s="1048" t="inlineStr">
        <is>
          <t xml:space="preserve">Total Days </t>
        </is>
      </c>
      <c r="H65" s="1389">
        <f>H64/IF($E$45="8 hour days",8,10)/H66</f>
        <v/>
      </c>
      <c r="I65" s="1944" t="n"/>
      <c r="J65" s="1928" t="n"/>
      <c r="O65" s="1456" t="inlineStr">
        <is>
          <t>UNIT</t>
        </is>
      </c>
      <c r="P65" s="1508" t="inlineStr">
        <is>
          <t>Prep / Patch</t>
        </is>
      </c>
      <c r="Q65" s="1508" t="inlineStr">
        <is>
          <t>Cove</t>
        </is>
      </c>
      <c r="R65" s="1508" t="inlineStr">
        <is>
          <t>Prime</t>
        </is>
      </c>
      <c r="S65" s="1508" t="inlineStr">
        <is>
          <t>Broadcast</t>
        </is>
      </c>
      <c r="T65" s="1509" t="inlineStr">
        <is>
          <t>(? double BC ?)</t>
        </is>
      </c>
      <c r="U65" s="1508" t="inlineStr">
        <is>
          <t>Grout</t>
        </is>
      </c>
      <c r="V65" s="1509" t="inlineStr">
        <is>
          <t>(? double Grout ?)</t>
        </is>
      </c>
      <c r="W65" s="1508" t="inlineStr">
        <is>
          <t>Topcoat</t>
        </is>
      </c>
      <c r="AB65" s="1456" t="inlineStr">
        <is>
          <t>UNIT</t>
        </is>
      </c>
      <c r="AC65" s="1508" t="inlineStr">
        <is>
          <t>Prep / Patch</t>
        </is>
      </c>
      <c r="AD65" s="1508" t="inlineStr">
        <is>
          <t>Cove</t>
        </is>
      </c>
      <c r="AE65" s="1508" t="inlineStr">
        <is>
          <t xml:space="preserve">Prime  </t>
        </is>
      </c>
      <c r="AF65" s="1712" t="inlineStr">
        <is>
          <t>SL/MD +Broadcast</t>
        </is>
      </c>
      <c r="AG65" s="1509" t="inlineStr">
        <is>
          <t>(? double BC ?)</t>
        </is>
      </c>
      <c r="AH65" s="1508" t="inlineStr">
        <is>
          <t>Grout</t>
        </is>
      </c>
      <c r="AI65" s="1509" t="inlineStr">
        <is>
          <t>(? double Grout ?)</t>
        </is>
      </c>
      <c r="AJ65" s="1508" t="inlineStr">
        <is>
          <t>Topcoat</t>
        </is>
      </c>
    </row>
    <row r="66" customFormat="1" s="585">
      <c r="A66" s="628" t="inlineStr">
        <is>
          <t>Travel - Food</t>
        </is>
      </c>
      <c r="B66" s="774">
        <f>B65</f>
        <v/>
      </c>
      <c r="C66" s="1944" t="n">
        <v>45</v>
      </c>
      <c r="D66" s="1962">
        <f>ROUNDUP(B66*C66,0)</f>
        <v/>
      </c>
      <c r="E66" s="795" t="n"/>
      <c r="F66" s="600" t="n"/>
      <c r="G66" s="1444" t="inlineStr">
        <is>
          <t>^based on X crew size:</t>
        </is>
      </c>
      <c r="H66" s="2030">
        <f>A47</f>
        <v/>
      </c>
      <c r="I66" s="1944" t="n"/>
      <c r="J66" s="1928" t="n"/>
      <c r="O66" s="1457" t="inlineStr">
        <is>
          <t>Guys</t>
        </is>
      </c>
      <c r="P66" s="1061" t="n">
        <v>3</v>
      </c>
      <c r="Q66" s="585">
        <f>P66</f>
        <v/>
      </c>
      <c r="R66" s="585">
        <f>P66</f>
        <v/>
      </c>
      <c r="S66" s="585">
        <f>P66</f>
        <v/>
      </c>
      <c r="T66" s="1066">
        <f>P66</f>
        <v/>
      </c>
      <c r="U66" s="585">
        <f>P66</f>
        <v/>
      </c>
      <c r="V66" s="1066">
        <f>P66</f>
        <v/>
      </c>
      <c r="W66" s="585">
        <f>P66</f>
        <v/>
      </c>
      <c r="AB66" s="1457" t="inlineStr">
        <is>
          <t>Guys</t>
        </is>
      </c>
      <c r="AC66" s="1061" t="n">
        <v>3</v>
      </c>
      <c r="AD66" s="585">
        <f>AC66</f>
        <v/>
      </c>
      <c r="AE66" s="1407" t="n"/>
      <c r="AF66" s="585">
        <f>AC66</f>
        <v/>
      </c>
      <c r="AG66" s="1407" t="n"/>
      <c r="AH66" s="1407" t="n"/>
      <c r="AI66" s="1407" t="n"/>
      <c r="AJ66" s="585">
        <f>AC66</f>
        <v/>
      </c>
    </row>
    <row r="67" customFormat="1" s="585">
      <c r="A67" s="628" t="n"/>
      <c r="B67" s="774" t="n"/>
      <c r="C67" s="1944" t="n"/>
      <c r="D67" s="1962" t="n"/>
      <c r="E67" s="600" t="n"/>
      <c r="F67" s="600" t="n"/>
      <c r="G67" s="600" t="n"/>
      <c r="H67" s="774" t="n"/>
      <c r="I67" s="1944" t="n"/>
      <c r="J67" s="1928" t="n"/>
      <c r="O67" s="1458" t="inlineStr">
        <is>
          <t>Days</t>
        </is>
      </c>
      <c r="P67" s="784" t="n">
        <v>1.5</v>
      </c>
      <c r="Q67" s="784" t="n">
        <v>1</v>
      </c>
      <c r="R67" s="784" t="n">
        <v>0.5</v>
      </c>
      <c r="S67" s="784" t="n">
        <v>1</v>
      </c>
      <c r="T67" s="1334" t="n">
        <v>0</v>
      </c>
      <c r="U67" s="784" t="n">
        <v>0.5</v>
      </c>
      <c r="V67" s="1334" t="n">
        <v>0</v>
      </c>
      <c r="W67" s="784">
        <f>U67</f>
        <v/>
      </c>
      <c r="AB67" s="1458" t="inlineStr">
        <is>
          <t>Days</t>
        </is>
      </c>
      <c r="AC67" s="784" t="n">
        <v>1.5</v>
      </c>
      <c r="AD67" s="784" t="n">
        <v>1</v>
      </c>
      <c r="AE67" s="1473" t="n"/>
      <c r="AF67" s="784" t="n">
        <v>1</v>
      </c>
      <c r="AG67" s="1473" t="n"/>
      <c r="AH67" s="1473" t="n"/>
      <c r="AI67" s="1473" t="n"/>
      <c r="AJ67" s="784" t="n">
        <v>0.5</v>
      </c>
    </row>
    <row r="68" customFormat="1" s="585">
      <c r="A68" s="1565" t="inlineStr">
        <is>
          <t>Travel Costs Total</t>
        </is>
      </c>
      <c r="B68" s="1566" t="n"/>
      <c r="C68" s="2028" t="n"/>
      <c r="D68" s="2029">
        <f>SUM(D65:D67)</f>
        <v/>
      </c>
      <c r="E68" s="600" t="n"/>
      <c r="F68" s="600" t="n"/>
      <c r="G68" s="662" t="n"/>
      <c r="H68" s="793" t="n"/>
      <c r="I68" s="714" t="n"/>
      <c r="J68" s="2031" t="n"/>
      <c r="O68" s="1103" t="n"/>
      <c r="P68" s="585">
        <f>P66*P67</f>
        <v/>
      </c>
      <c r="Q68" s="585">
        <f>Q66*Q67</f>
        <v/>
      </c>
      <c r="R68" s="585">
        <f>R66*R67</f>
        <v/>
      </c>
      <c r="S68" s="585">
        <f>S66*S67</f>
        <v/>
      </c>
      <c r="T68" s="1066">
        <f>T66*T67</f>
        <v/>
      </c>
      <c r="U68" s="585">
        <f>U66*U67</f>
        <v/>
      </c>
      <c r="V68" s="1066">
        <f>V66*V67</f>
        <v/>
      </c>
      <c r="W68" s="585">
        <f>W66*W67</f>
        <v/>
      </c>
      <c r="AB68" s="1103" t="n"/>
      <c r="AC68" s="585">
        <f>AC66*AC67</f>
        <v/>
      </c>
      <c r="AD68" s="585">
        <f>AD66*AD67</f>
        <v/>
      </c>
      <c r="AE68" s="585">
        <f>AE66*AE67</f>
        <v/>
      </c>
      <c r="AF68" s="585">
        <f>AF66*AF67</f>
        <v/>
      </c>
      <c r="AG68" s="1066">
        <f>AG66*AG67</f>
        <v/>
      </c>
      <c r="AH68" s="585">
        <f>AH66*AH67</f>
        <v/>
      </c>
      <c r="AI68" s="1066">
        <f>AI66*AI67</f>
        <v/>
      </c>
      <c r="AJ68" s="585">
        <f>AJ66*AJ67</f>
        <v/>
      </c>
    </row>
    <row r="69" customFormat="1" s="585">
      <c r="A69" s="600" t="n"/>
      <c r="B69" s="1877" t="n"/>
      <c r="C69" s="1944" t="n"/>
      <c r="D69" s="1944" t="n"/>
      <c r="E69" s="600" t="n"/>
      <c r="F69" s="600" t="n"/>
      <c r="G69" s="600" t="n"/>
      <c r="I69" s="714" t="n"/>
      <c r="J69" s="2031" t="n"/>
      <c r="P69" s="1134">
        <f>SUM(P68:W68)</f>
        <v/>
      </c>
      <c r="Q69" s="954" t="inlineStr">
        <is>
          <t>factor</t>
        </is>
      </c>
      <c r="AC69" s="1134">
        <f>SUM(AC68:AJ68)</f>
        <v/>
      </c>
      <c r="AD69" s="954" t="inlineStr">
        <is>
          <t>factor</t>
        </is>
      </c>
    </row>
    <row r="70" customFormat="1" s="585">
      <c r="A70" s="796" t="inlineStr">
        <is>
          <t>SUB-TOTAL COSTS</t>
        </is>
      </c>
      <c r="B70" s="797" t="n"/>
      <c r="C70" s="2032" t="n"/>
      <c r="D70" s="2033">
        <f>ROUNDUP(SUM(D43,D53:D55,D62,D68),0)</f>
        <v/>
      </c>
      <c r="E70" s="2034">
        <f>D70/B45</f>
        <v/>
      </c>
      <c r="F70" s="801" t="inlineStr">
        <is>
          <t>Sub-Total $/SF</t>
        </is>
      </c>
      <c r="G70" s="600" t="n"/>
      <c r="AB70" s="1479" t="inlineStr">
        <is>
          <t>Hybrid Double BC</t>
        </is>
      </c>
    </row>
    <row r="71" customFormat="1" s="585">
      <c r="A71" s="600" t="n"/>
      <c r="B71" s="1877" t="n"/>
      <c r="C71" s="1944" t="n"/>
      <c r="D71" s="1944" t="n"/>
      <c r="E71" s="600" t="n"/>
      <c r="F71" s="600" t="n"/>
      <c r="G71" s="600" t="n"/>
      <c r="O71" s="1994">
        <f>I50</f>
        <v/>
      </c>
      <c r="P71" s="1459" t="inlineStr">
        <is>
          <t>SF for System</t>
        </is>
      </c>
      <c r="Q71" s="1995">
        <f>J50</f>
        <v/>
      </c>
      <c r="R71" s="699" t="inlineStr">
        <is>
          <t>LF Cove</t>
        </is>
      </c>
      <c r="S71" s="1462">
        <f>Q71/O71</f>
        <v/>
      </c>
      <c r="T71" s="1094" t="inlineStr">
        <is>
          <t>cove ratio</t>
        </is>
      </c>
      <c r="AB71" s="1994">
        <f>B45</f>
        <v/>
      </c>
      <c r="AC71" s="1459" t="inlineStr">
        <is>
          <t>SF for System</t>
        </is>
      </c>
      <c r="AD71" s="1995">
        <f>D45</f>
        <v/>
      </c>
      <c r="AE71" s="699" t="inlineStr">
        <is>
          <t>LF Cove</t>
        </is>
      </c>
      <c r="AF71" s="1462">
        <f>AD71/AB71</f>
        <v/>
      </c>
      <c r="AG71" s="1094" t="inlineStr">
        <is>
          <t>cove ratio</t>
        </is>
      </c>
    </row>
    <row r="72" customFormat="1" s="585">
      <c r="A72" s="621" t="inlineStr">
        <is>
          <t>MARKUP</t>
        </is>
      </c>
      <c r="B72" s="622" t="inlineStr">
        <is>
          <t>%</t>
        </is>
      </c>
      <c r="C72" s="2035" t="n"/>
      <c r="D72" s="2019" t="inlineStr">
        <is>
          <t>Totals</t>
        </is>
      </c>
      <c r="E72" s="600" t="n"/>
      <c r="F72" s="2036">
        <f>SUM(D70,D82,D85)</f>
        <v/>
      </c>
      <c r="G72" s="811" t="inlineStr">
        <is>
          <t>Total "Estimated Costs" w/taxes + fees + bond</t>
        </is>
      </c>
      <c r="H72" s="812" t="n"/>
      <c r="I72" s="2037">
        <f>F72/C87</f>
        <v/>
      </c>
      <c r="O72" s="1481" t="inlineStr">
        <is>
          <t>(Avg.)   Guys</t>
        </is>
      </c>
      <c r="P72" s="1130" t="inlineStr">
        <is>
          <t>(Avg.)     Days</t>
        </is>
      </c>
      <c r="Q72" s="1091" t="inlineStr">
        <is>
          <t>Labor Value</t>
        </is>
      </c>
      <c r="R72" s="1138" t="inlineStr">
        <is>
          <t>Wage Rate</t>
        </is>
      </c>
      <c r="AB72" s="1132" t="inlineStr">
        <is>
          <t>(Avg.)   Guys</t>
        </is>
      </c>
      <c r="AC72" s="1130" t="inlineStr">
        <is>
          <t>(Avg.)     Days</t>
        </is>
      </c>
      <c r="AD72" s="1091" t="inlineStr">
        <is>
          <t>Labor Value</t>
        </is>
      </c>
      <c r="AE72" s="1138" t="inlineStr">
        <is>
          <t>Wage Rate</t>
        </is>
      </c>
    </row>
    <row r="73" customFormat="1" s="585">
      <c r="A73" s="817" t="inlineStr">
        <is>
          <t>GP (before lines below)</t>
        </is>
      </c>
      <c r="B73" s="122">
        <f>IF(D70&lt;6500,0.52,IF(D70&lt;15000,0.45,IF(D70&lt;22500,0.35,IF(D70&lt;32500,0.32,0.3))))</f>
        <v/>
      </c>
      <c r="C73" s="1944" t="n"/>
      <c r="D73" s="2038">
        <f>ROUNDUP(SUM(D70,D80,D83)/(1-B73),0)-ROUNDUP(SUM(D70,D80),0)</f>
        <v/>
      </c>
      <c r="E73" s="600" t="n"/>
      <c r="F73" s="2039">
        <f>(((A47*B47)+(A48*B48)+(A49*B49)+(A50*B50))*IF($E$45="8 hour days",8,10))+(A52*B52)</f>
        <v/>
      </c>
      <c r="G73" s="815" t="inlineStr">
        <is>
          <t>Man Hour Budget (Raken)</t>
        </is>
      </c>
      <c r="H73" s="815" t="n"/>
      <c r="O73" s="1480" t="n">
        <v>3</v>
      </c>
      <c r="P73" s="1131">
        <f>P78/O73</f>
        <v/>
      </c>
      <c r="Q73" s="1999">
        <f>O73*P73*R73*8</f>
        <v/>
      </c>
      <c r="R73" s="2000">
        <f>C50</f>
        <v/>
      </c>
      <c r="AB73" s="1480" t="n">
        <v>3</v>
      </c>
      <c r="AC73" s="1131">
        <f>AC78/AB73</f>
        <v/>
      </c>
      <c r="AD73" s="1999">
        <f>AB73*AC73*AE73*8</f>
        <v/>
      </c>
      <c r="AE73" s="2000">
        <f>C47</f>
        <v/>
      </c>
    </row>
    <row r="74" customFormat="1" s="585">
      <c r="A74" s="817" t="inlineStr">
        <is>
          <t>Hard Bid Discount</t>
        </is>
      </c>
      <c r="B74" s="2040">
        <f>IF(B5="yes",IF(D70&gt;=60000,-0.04,IF(B4="yes",IF(D70&gt;=13000,-0.025,0))))</f>
        <v/>
      </c>
      <c r="C74" s="1944" t="n"/>
      <c r="D74" s="1962">
        <f>ROUNDUP(SUM(D70,D73)*B74,0)</f>
        <v/>
      </c>
      <c r="E74" s="600" t="n"/>
      <c r="F74" s="2041">
        <f>F87/H65</f>
        <v/>
      </c>
      <c r="G74" s="1447" t="inlineStr">
        <is>
          <t>GP per Day</t>
        </is>
      </c>
      <c r="H74" s="809">
        <f>E45</f>
        <v/>
      </c>
      <c r="O74" s="1456" t="inlineStr">
        <is>
          <t>UNIT</t>
        </is>
      </c>
      <c r="P74" s="1508" t="inlineStr">
        <is>
          <t>Prep / Patch</t>
        </is>
      </c>
      <c r="Q74" s="1508" t="inlineStr">
        <is>
          <t>Cove</t>
        </is>
      </c>
      <c r="R74" s="1508" t="inlineStr">
        <is>
          <t>Prime</t>
        </is>
      </c>
      <c r="S74" s="1508" t="inlineStr">
        <is>
          <t>Broadcast</t>
        </is>
      </c>
      <c r="T74" s="1509" t="inlineStr">
        <is>
          <t>(? double BC ?)</t>
        </is>
      </c>
      <c r="U74" s="1508" t="inlineStr">
        <is>
          <t>Grout</t>
        </is>
      </c>
      <c r="V74" s="1509" t="inlineStr">
        <is>
          <t>(? double Grout ?)</t>
        </is>
      </c>
      <c r="W74" s="1508" t="inlineStr">
        <is>
          <t>Topcoat</t>
        </is>
      </c>
      <c r="AB74" s="1456" t="inlineStr">
        <is>
          <t>UNIT</t>
        </is>
      </c>
      <c r="AC74" s="1508" t="inlineStr">
        <is>
          <t>Prep / Patch</t>
        </is>
      </c>
      <c r="AD74" s="1508" t="inlineStr">
        <is>
          <t>Cove</t>
        </is>
      </c>
      <c r="AE74" s="1508" t="inlineStr">
        <is>
          <t>Prime</t>
        </is>
      </c>
      <c r="AF74" s="1712" t="inlineStr">
        <is>
          <t>SL + Broadcast</t>
        </is>
      </c>
      <c r="AG74" s="1509" t="inlineStr">
        <is>
          <t>(? double BC ?)</t>
        </is>
      </c>
      <c r="AH74" s="1508" t="inlineStr">
        <is>
          <t>Grout</t>
        </is>
      </c>
      <c r="AI74" s="1474" t="inlineStr">
        <is>
          <t>(? double Grout ?)</t>
        </is>
      </c>
      <c r="AJ74" s="1508" t="inlineStr">
        <is>
          <t>Topcoat</t>
        </is>
      </c>
    </row>
    <row r="75" customFormat="1" s="585">
      <c r="A75" s="628" t="inlineStr">
        <is>
          <t>Superintendent &amp; PTO</t>
        </is>
      </c>
      <c r="B75" s="819" t="n">
        <v>0.03</v>
      </c>
      <c r="C75" s="2042" t="n"/>
      <c r="D75" s="1962">
        <f>ROUNDUP(SUM(D70:D74,D77,D80,D83)*B75,0)</f>
        <v/>
      </c>
      <c r="E75" s="600" t="n"/>
      <c r="O75" s="1457" t="inlineStr">
        <is>
          <t>Guys</t>
        </is>
      </c>
      <c r="P75" s="1061" t="n">
        <v>3</v>
      </c>
      <c r="Q75" s="585">
        <f>P75</f>
        <v/>
      </c>
      <c r="R75" s="585">
        <f>P75</f>
        <v/>
      </c>
      <c r="S75" s="585">
        <f>P75</f>
        <v/>
      </c>
      <c r="T75" s="1066">
        <f>P75</f>
        <v/>
      </c>
      <c r="U75" s="585">
        <f>P75</f>
        <v/>
      </c>
      <c r="V75" s="1066">
        <f>P75</f>
        <v/>
      </c>
      <c r="W75" s="585">
        <f>P75</f>
        <v/>
      </c>
      <c r="AB75" s="1457" t="inlineStr">
        <is>
          <t>Guys</t>
        </is>
      </c>
      <c r="AC75" s="1061" t="n">
        <v>3</v>
      </c>
      <c r="AD75" s="585">
        <f>AC75</f>
        <v/>
      </c>
      <c r="AE75" s="1407" t="n"/>
      <c r="AF75" s="585">
        <f>AC75</f>
        <v/>
      </c>
      <c r="AG75" s="1066">
        <f>AC75</f>
        <v/>
      </c>
      <c r="AH75" s="585">
        <f>AC75</f>
        <v/>
      </c>
      <c r="AI75" s="1066">
        <f>AC75</f>
        <v/>
      </c>
      <c r="AJ75" s="585">
        <f>AC75</f>
        <v/>
      </c>
    </row>
    <row r="76" customFormat="1" s="585">
      <c r="A76" s="628" t="inlineStr">
        <is>
          <t>Soft Costs</t>
        </is>
      </c>
      <c r="B76" s="819" t="n">
        <v>0.13</v>
      </c>
      <c r="C76" s="2042" t="n"/>
      <c r="D76" s="1962">
        <f>(ROUNDUP(SUM(D70:D75,D77,D80,D83)*B76,0))+0</f>
        <v/>
      </c>
      <c r="E76" s="600" t="n"/>
      <c r="F76" s="600" t="n"/>
      <c r="G76" s="1877" t="n"/>
      <c r="I76" s="2043" t="n"/>
      <c r="J76" s="809" t="n"/>
      <c r="O76" s="1458" t="inlineStr">
        <is>
          <t>Days</t>
        </is>
      </c>
      <c r="P76" s="784" t="n">
        <v>1.5</v>
      </c>
      <c r="Q76" s="784" t="n">
        <v>1</v>
      </c>
      <c r="R76" s="784" t="n">
        <v>0.5</v>
      </c>
      <c r="S76" s="784" t="n">
        <v>1</v>
      </c>
      <c r="T76" s="1334" t="n">
        <v>0</v>
      </c>
      <c r="U76" s="784" t="n">
        <v>0.5</v>
      </c>
      <c r="V76" s="1334" t="n">
        <v>0</v>
      </c>
      <c r="W76" s="784">
        <f>U76</f>
        <v/>
      </c>
      <c r="AB76" s="1458" t="inlineStr">
        <is>
          <t>Days</t>
        </is>
      </c>
      <c r="AC76" s="784" t="n">
        <v>1.5</v>
      </c>
      <c r="AD76" s="784" t="n">
        <v>1</v>
      </c>
      <c r="AE76" s="1473" t="n"/>
      <c r="AF76" s="784" t="n">
        <v>1</v>
      </c>
      <c r="AG76" s="1334" t="n">
        <v>1</v>
      </c>
      <c r="AH76" s="784" t="n">
        <v>0.5</v>
      </c>
      <c r="AI76" s="1475" t="n">
        <v>0.5</v>
      </c>
      <c r="AJ76" s="784" t="n">
        <v>0.5</v>
      </c>
    </row>
    <row r="77" customFormat="1" s="585">
      <c r="A77" s="820" t="inlineStr">
        <is>
          <t>Contingency</t>
        </is>
      </c>
      <c r="B77" s="1575" t="inlineStr">
        <is>
          <t>-- ?? --&gt;</t>
        </is>
      </c>
      <c r="C77" s="2044" t="n"/>
      <c r="D77" s="2045" t="n">
        <v>0</v>
      </c>
      <c r="E77" s="600" t="n"/>
      <c r="O77" s="1103" t="n"/>
      <c r="P77" s="585">
        <f>P75*P76</f>
        <v/>
      </c>
      <c r="Q77" s="585">
        <f>Q75*Q76</f>
        <v/>
      </c>
      <c r="R77" s="585">
        <f>R75*R76</f>
        <v/>
      </c>
      <c r="S77" s="585">
        <f>S75*S76</f>
        <v/>
      </c>
      <c r="T77" s="1066">
        <f>T75*T76</f>
        <v/>
      </c>
      <c r="U77" s="585">
        <f>U75*U76</f>
        <v/>
      </c>
      <c r="V77" s="1066">
        <f>V75*V76</f>
        <v/>
      </c>
      <c r="W77" s="585">
        <f>W75*W76</f>
        <v/>
      </c>
      <c r="AB77" s="1103" t="n"/>
      <c r="AC77" s="585">
        <f>AC75*AC76</f>
        <v/>
      </c>
      <c r="AD77" s="585">
        <f>AD75*AD76</f>
        <v/>
      </c>
      <c r="AE77" s="585">
        <f>AE75*AE76</f>
        <v/>
      </c>
      <c r="AF77" s="585">
        <f>AF75*AF76</f>
        <v/>
      </c>
      <c r="AG77" s="1066">
        <f>AG75*AG76</f>
        <v/>
      </c>
      <c r="AH77" s="585">
        <f>AH75*AH76</f>
        <v/>
      </c>
      <c r="AI77" s="1066">
        <f>AI75*AI76</f>
        <v/>
      </c>
      <c r="AJ77" s="585">
        <f>AJ75*AJ76</f>
        <v/>
      </c>
    </row>
    <row r="78" customFormat="1" s="585">
      <c r="A78" s="600" t="n"/>
      <c r="B78" s="1877" t="n"/>
      <c r="C78" s="1944" t="n"/>
      <c r="D78" s="1944" t="n"/>
      <c r="E78" s="600" t="n"/>
      <c r="P78" s="1134">
        <f>SUM(P77:W77)</f>
        <v/>
      </c>
      <c r="Q78" s="954" t="inlineStr">
        <is>
          <t>factor</t>
        </is>
      </c>
      <c r="AC78" s="1134">
        <f>SUM(AC77:AJ77)</f>
        <v/>
      </c>
      <c r="AD78" s="954" t="inlineStr">
        <is>
          <t>factor</t>
        </is>
      </c>
    </row>
    <row r="79" customFormat="1" s="585">
      <c r="A79" s="621" t="inlineStr">
        <is>
          <t>TAXES &amp; FEES</t>
        </is>
      </c>
      <c r="B79" s="622" t="inlineStr">
        <is>
          <t>%</t>
        </is>
      </c>
      <c r="C79" s="778" t="n"/>
      <c r="D79" s="2019" t="inlineStr">
        <is>
          <t>Totals</t>
        </is>
      </c>
      <c r="E79" s="600" t="n"/>
      <c r="J79" s="2046">
        <f>(J82-J80-J81)</f>
        <v/>
      </c>
      <c r="K79" s="590" t="n"/>
      <c r="AB79" s="1543" t="inlineStr">
        <is>
          <t>Gard</t>
        </is>
      </c>
    </row>
    <row r="80" customFormat="1" s="585">
      <c r="A80" s="628" t="inlineStr">
        <is>
          <t>Sales Tax</t>
        </is>
      </c>
      <c r="B80" s="2047">
        <f>IF($B$6="no",0,0.09475)</f>
        <v/>
      </c>
      <c r="C80" s="2042" t="n"/>
      <c r="D80" s="1962">
        <f>ROUNDUP(SUM(D43)*B80,0)</f>
        <v/>
      </c>
      <c r="E80" s="600" t="n"/>
      <c r="J80" s="2046" t="n"/>
      <c r="K80" s="585" t="inlineStr">
        <is>
          <t>sales tax (enter rounded)</t>
        </is>
      </c>
      <c r="AB80" s="1994">
        <f>B45</f>
        <v/>
      </c>
      <c r="AC80" s="1459" t="inlineStr">
        <is>
          <t>SF for System</t>
        </is>
      </c>
      <c r="AD80" s="1995">
        <f>D45</f>
        <v/>
      </c>
      <c r="AE80" s="699" t="inlineStr">
        <is>
          <t>LF Cove</t>
        </is>
      </c>
      <c r="AF80" s="1462">
        <f>AD80/AB80</f>
        <v/>
      </c>
      <c r="AG80" s="1094" t="inlineStr">
        <is>
          <t>cove ratio</t>
        </is>
      </c>
    </row>
    <row r="81" customFormat="1" s="585">
      <c r="A81" s="804">
        <f>Polish!A75</f>
        <v/>
      </c>
      <c r="B81" s="2048">
        <f>IF(D6="yes",0.1,0)</f>
        <v/>
      </c>
      <c r="C81" s="1944" t="n"/>
      <c r="D81" s="1962">
        <f>ROUNDUP(SUM(D53:D55,D62,D68,D73:D77,D83)*B81,0)</f>
        <v/>
      </c>
      <c r="E81" s="758">
        <f>IF(D6="yes","*10% is placeholder. Adjust to actual if project awarded"," ")</f>
        <v/>
      </c>
      <c r="J81" s="2049" t="n"/>
      <c r="K81" s="784" t="inlineStr">
        <is>
          <t>ks remodel (enter rounded)</t>
        </is>
      </c>
      <c r="AB81" s="1132" t="inlineStr">
        <is>
          <t>(Avg.)   Guys</t>
        </is>
      </c>
      <c r="AC81" s="1130" t="inlineStr">
        <is>
          <t>(Avg.)     Days</t>
        </is>
      </c>
      <c r="AD81" s="1091" t="inlineStr">
        <is>
          <t>Labor Value</t>
        </is>
      </c>
      <c r="AE81" s="1138" t="inlineStr">
        <is>
          <t>Wage Rate</t>
        </is>
      </c>
    </row>
    <row r="82" customFormat="1" s="585">
      <c r="A82" s="1565" t="inlineStr">
        <is>
          <t>Total Taxes</t>
        </is>
      </c>
      <c r="B82" s="1566" t="n"/>
      <c r="C82" s="2028" t="n"/>
      <c r="D82" s="2029">
        <f>SUM(D80:D81)</f>
        <v/>
      </c>
      <c r="E82" s="758" t="n"/>
      <c r="J82" s="2046">
        <f>D88</f>
        <v/>
      </c>
      <c r="K82" s="590" t="inlineStr">
        <is>
          <t>total</t>
        </is>
      </c>
      <c r="AB82" s="1480" t="n">
        <v>3</v>
      </c>
      <c r="AC82" s="1131">
        <f>AC87/AB82</f>
        <v/>
      </c>
      <c r="AD82" s="1999">
        <f>AB82*AC82*AE82*8</f>
        <v/>
      </c>
      <c r="AE82" s="2000">
        <f>C47</f>
        <v/>
      </c>
    </row>
    <row r="83" customFormat="1" s="585">
      <c r="A83" s="628" t="inlineStr">
        <is>
          <t>Fees + Textura + ?</t>
        </is>
      </c>
      <c r="B83" s="2047" t="n"/>
      <c r="C83" s="1944" t="n"/>
      <c r="D83" s="1962">
        <f>ROUNDUP(B83*C83,0)</f>
        <v/>
      </c>
      <c r="E83" s="600" t="n"/>
      <c r="F83" s="600" t="n"/>
      <c r="G83" s="600" t="n"/>
      <c r="AB83" s="1456" t="inlineStr">
        <is>
          <t>UNIT</t>
        </is>
      </c>
      <c r="AC83" s="1508" t="inlineStr">
        <is>
          <t>Prep / Patch</t>
        </is>
      </c>
      <c r="AD83" s="1542" t="inlineStr">
        <is>
          <t>Cove</t>
        </is>
      </c>
      <c r="AE83" s="1508" t="inlineStr">
        <is>
          <t xml:space="preserve">Prime  </t>
        </is>
      </c>
      <c r="AF83" s="1508" t="inlineStr">
        <is>
          <t>Body/Gard</t>
        </is>
      </c>
      <c r="AG83" s="1509" t="inlineStr">
        <is>
          <t>(? double BC ?)</t>
        </is>
      </c>
      <c r="AH83" s="1508" t="inlineStr">
        <is>
          <t>Grout</t>
        </is>
      </c>
      <c r="AI83" s="1509" t="inlineStr">
        <is>
          <t>(? double Grout ?)</t>
        </is>
      </c>
      <c r="AJ83" s="1508" t="inlineStr">
        <is>
          <t>Topcoat</t>
        </is>
      </c>
    </row>
    <row r="84" customFormat="1" s="585">
      <c r="A84" s="635" t="inlineStr">
        <is>
          <t>Bond</t>
        </is>
      </c>
      <c r="B84" s="806" t="n">
        <v>0</v>
      </c>
      <c r="C84" s="1948" t="n"/>
      <c r="D84" s="2050">
        <f>ROUNDUP(SUM(D70,D73,D74,D75:D77,D80,D81:D83)*B84,0)</f>
        <v/>
      </c>
      <c r="E84" s="600" t="n"/>
      <c r="F84" s="600" t="n"/>
      <c r="G84" s="600" t="n"/>
      <c r="AB84" s="1457" t="inlineStr">
        <is>
          <t>Guys</t>
        </is>
      </c>
      <c r="AC84" s="1061" t="n">
        <v>3</v>
      </c>
      <c r="AD84" s="1066">
        <f>AC84</f>
        <v/>
      </c>
      <c r="AE84" s="585">
        <f>AC84</f>
        <v/>
      </c>
      <c r="AF84" s="585">
        <f>AC84</f>
        <v/>
      </c>
      <c r="AG84" s="1407" t="n"/>
      <c r="AH84" s="1407" t="n"/>
      <c r="AI84" s="1407" t="n"/>
      <c r="AJ84" s="585">
        <f>AC84</f>
        <v/>
      </c>
    </row>
    <row r="85" customFormat="1" s="585">
      <c r="A85" s="789" t="inlineStr">
        <is>
          <t>Total Fees + Bond</t>
        </is>
      </c>
      <c r="B85" s="790" t="n"/>
      <c r="C85" s="2051" t="n"/>
      <c r="D85" s="2052">
        <f>ROUNDUP(SUM(D83:D84),0)</f>
        <v/>
      </c>
      <c r="E85" s="600" t="n"/>
      <c r="F85" s="600" t="n"/>
      <c r="J85" s="784" t="n"/>
      <c r="K85" s="1424" t="inlineStr">
        <is>
          <t>For PM's Reference</t>
        </is>
      </c>
      <c r="L85" s="1191" t="n"/>
      <c r="AB85" s="1458" t="inlineStr">
        <is>
          <t>Days</t>
        </is>
      </c>
      <c r="AC85" s="784" t="n">
        <v>1.5</v>
      </c>
      <c r="AD85" s="1334" t="n">
        <v>1</v>
      </c>
      <c r="AE85" s="784" t="n">
        <v>0.5</v>
      </c>
      <c r="AF85" s="784" t="n">
        <v>1</v>
      </c>
      <c r="AG85" s="1473" t="n"/>
      <c r="AH85" s="1473" t="n"/>
      <c r="AI85" s="1473" t="n"/>
      <c r="AJ85" s="784" t="n">
        <v>0.5</v>
      </c>
    </row>
    <row r="86" customFormat="1" s="585">
      <c r="A86" s="600" t="n"/>
      <c r="B86" s="825" t="inlineStr">
        <is>
          <t>Linear Footage:</t>
        </is>
      </c>
      <c r="C86" s="2053">
        <f>D45</f>
        <v/>
      </c>
      <c r="D86" s="1944" t="n"/>
      <c r="E86" s="600" t="n"/>
      <c r="F86" s="759" t="inlineStr">
        <is>
          <t>Mark Up + Conting.</t>
        </is>
      </c>
      <c r="G86" s="822" t="inlineStr">
        <is>
          <t>GP / MH</t>
        </is>
      </c>
      <c r="H86" s="1618" t="inlineStr">
        <is>
          <t>MarkUp + Soft Costs</t>
        </is>
      </c>
      <c r="I86" s="823" t="n"/>
      <c r="J86" s="824" t="inlineStr">
        <is>
          <t>Material + Tooling %</t>
        </is>
      </c>
      <c r="K86" s="822" t="inlineStr">
        <is>
          <t>Labor %</t>
        </is>
      </c>
      <c r="L86" s="822" t="inlineStr">
        <is>
          <t>Travel %</t>
        </is>
      </c>
      <c r="AB86" s="1103" t="n"/>
      <c r="AC86" s="585">
        <f>AC84*AC85</f>
        <v/>
      </c>
      <c r="AD86" s="1066">
        <f>AD84*AD85</f>
        <v/>
      </c>
      <c r="AE86" s="585">
        <f>AE84*AE85</f>
        <v/>
      </c>
      <c r="AF86" s="585">
        <f>AF84*AF85</f>
        <v/>
      </c>
      <c r="AG86" s="1066">
        <f>AG84*AG85</f>
        <v/>
      </c>
      <c r="AH86" s="585">
        <f>AH84*AH85</f>
        <v/>
      </c>
      <c r="AI86" s="1066">
        <f>AI84*AI85</f>
        <v/>
      </c>
      <c r="AJ86" s="585">
        <f>AJ84*AJ85</f>
        <v/>
      </c>
    </row>
    <row r="87" ht="16.2" customFormat="1" customHeight="1" s="585" thickBot="1">
      <c r="A87" s="600" t="n"/>
      <c r="B87" s="825" t="inlineStr">
        <is>
          <t>Square Footage:</t>
        </is>
      </c>
      <c r="C87" s="2053">
        <f>B45</f>
        <v/>
      </c>
      <c r="D87" s="1944" t="n"/>
      <c r="E87" s="705" t="inlineStr">
        <is>
          <t>Less Sales Tax</t>
        </is>
      </c>
      <c r="F87" s="2054">
        <f>SUM(D73,D74,D77)</f>
        <v/>
      </c>
      <c r="G87" s="2055">
        <f>F87/F73</f>
        <v/>
      </c>
      <c r="H87" s="2056">
        <f>SUM(D73:D77)</f>
        <v/>
      </c>
      <c r="J87" s="828">
        <f>(H43+D62)/D88</f>
        <v/>
      </c>
      <c r="K87" s="828">
        <f>(SUM(D53:D55)/D88)</f>
        <v/>
      </c>
      <c r="L87" s="828">
        <f>D68/D88</f>
        <v/>
      </c>
      <c r="AC87" s="1134">
        <f>SUM(AC86:AJ86)</f>
        <v/>
      </c>
      <c r="AD87" s="954" t="inlineStr">
        <is>
          <t>factor</t>
        </is>
      </c>
    </row>
    <row r="88" ht="16.2" customFormat="1" customHeight="1" s="585" thickBot="1">
      <c r="A88" s="829" t="inlineStr">
        <is>
          <t>TOTAL</t>
        </is>
      </c>
      <c r="B88" s="830" t="n"/>
      <c r="C88" s="2057">
        <f>D88/C87</f>
        <v/>
      </c>
      <c r="D88" s="2058">
        <f>SUM(D70,D73:D77,D82,D85)</f>
        <v/>
      </c>
      <c r="E88" s="1944">
        <f>D88-(D80+D81)</f>
        <v/>
      </c>
      <c r="F88" s="2059">
        <f>F87/(D88)</f>
        <v/>
      </c>
      <c r="G88" s="2055">
        <f>C47</f>
        <v/>
      </c>
      <c r="H88" s="2060">
        <f>H87/D88</f>
        <v/>
      </c>
      <c r="I88" s="1625" t="inlineStr">
        <is>
          <t>42% = Epoxy Goal</t>
        </is>
      </c>
    </row>
    <row r="89" customFormat="1" s="585">
      <c r="A89" s="834" t="n"/>
      <c r="B89" s="600" t="inlineStr">
        <is>
          <t xml:space="preserve"> </t>
        </is>
      </c>
      <c r="C89" s="1944">
        <f>D89/C87</f>
        <v/>
      </c>
      <c r="D89" s="1944">
        <f>D88-D81</f>
        <v/>
      </c>
      <c r="E89" s="753" t="inlineStr">
        <is>
          <t>(less ks remodel tax)</t>
        </is>
      </c>
      <c r="F89" s="1876" t="n"/>
      <c r="G89" s="1621" t="inlineStr">
        <is>
          <t>LaborRate from Above</t>
        </is>
      </c>
      <c r="H89" s="590" t="n"/>
      <c r="I89" s="1633" t="inlineStr">
        <is>
          <t>(epx: 42% &amp; pol: 45%)</t>
        </is>
      </c>
      <c r="J89" s="2061">
        <f>SUM(D43,D62)</f>
        <v/>
      </c>
      <c r="K89" s="1099">
        <f>J89/J92</f>
        <v/>
      </c>
      <c r="L89" s="1100" t="inlineStr">
        <is>
          <t>Material+Tooling</t>
        </is>
      </c>
      <c r="M89" s="759" t="inlineStr">
        <is>
          <t>% Breakdown</t>
        </is>
      </c>
    </row>
    <row r="90" customFormat="1" s="585">
      <c r="A90" s="834" t="n"/>
      <c r="B90" s="2021" t="n"/>
      <c r="C90" s="2062" t="n"/>
      <c r="D90" s="2062" t="n"/>
      <c r="E90" s="753" t="n"/>
      <c r="J90" s="2063">
        <f>SUM(D53:D55,D68)</f>
        <v/>
      </c>
      <c r="K90" s="1102">
        <f>J90/J92</f>
        <v/>
      </c>
      <c r="L90" s="1103" t="inlineStr">
        <is>
          <t>Labor + Travel</t>
        </is>
      </c>
      <c r="M90" s="600" t="n"/>
    </row>
    <row r="91" customFormat="1" s="585">
      <c r="A91" s="834" t="n"/>
      <c r="B91" s="2021" t="inlineStr">
        <is>
          <t>Add for additional phase</t>
        </is>
      </c>
      <c r="C91" s="2062" t="n">
        <v>4500</v>
      </c>
      <c r="D91" s="2062" t="n"/>
      <c r="E91" s="753" t="n"/>
      <c r="J91" s="2064">
        <f>SUM(D73:D77,D82,D85)</f>
        <v/>
      </c>
      <c r="K91" s="1105">
        <f>J91/J92</f>
        <v/>
      </c>
      <c r="L91" s="1106" t="inlineStr">
        <is>
          <t>Mark-Up + Taxes</t>
        </is>
      </c>
      <c r="M91" s="600" t="n"/>
    </row>
    <row r="92" customFormat="1" s="585">
      <c r="A92" s="633" t="n"/>
      <c r="B92" s="1945" t="n"/>
      <c r="C92" s="1952" t="n"/>
      <c r="D92" s="1952" t="n"/>
      <c r="E92" s="1877" t="n"/>
      <c r="J92" s="2064">
        <f>SUM(J89:J91)</f>
        <v/>
      </c>
      <c r="K92" s="1107">
        <f>SUM(K89:K91)</f>
        <v/>
      </c>
      <c r="L92" s="1106" t="inlineStr">
        <is>
          <t>Total</t>
        </is>
      </c>
    </row>
    <row r="93" customFormat="1" s="585">
      <c r="A93" s="633" t="n"/>
      <c r="B93" s="1945" t="n"/>
      <c r="C93" s="1952" t="n"/>
      <c r="D93" s="1952" t="n"/>
      <c r="E93" s="1877" t="n"/>
    </row>
    <row r="94" ht="21" customFormat="1" customHeight="1" s="585">
      <c r="A94" s="2065" t="inlineStr">
        <is>
          <t>System Step &amp; Day Count</t>
        </is>
      </c>
      <c r="B94" s="2066" t="n"/>
      <c r="C94" s="2066" t="n"/>
      <c r="D94" s="2066" t="n"/>
      <c r="E94" s="2066" t="n"/>
      <c r="F94" s="2066" t="n"/>
      <c r="G94" s="2066" t="n"/>
      <c r="H94" s="2066" t="n"/>
      <c r="I94" s="2066" t="n"/>
      <c r="J94" s="2066" t="n"/>
      <c r="K94" s="2066" t="n"/>
      <c r="L94" s="2066" t="n"/>
      <c r="M94" s="2066" t="n"/>
      <c r="N94" s="2067" t="n"/>
    </row>
    <row r="95" customFormat="1" s="585">
      <c r="A95" s="687" t="n"/>
      <c r="B95" s="837" t="inlineStr">
        <is>
          <t>SLB &amp; MDB</t>
        </is>
      </c>
      <c r="C95" s="698" t="n"/>
      <c r="D95" s="837" t="inlineStr">
        <is>
          <t>Trowel Hybrid</t>
        </is>
      </c>
      <c r="E95" s="698" t="n"/>
      <c r="F95" s="837" t="inlineStr">
        <is>
          <t>Standard Hybrid</t>
        </is>
      </c>
      <c r="G95" s="698" t="n"/>
      <c r="H95" s="837" t="inlineStr">
        <is>
          <t>Quartz BC</t>
        </is>
      </c>
      <c r="I95" s="698" t="n"/>
      <c r="J95" s="837" t="inlineStr">
        <is>
          <t>Flake Double</t>
        </is>
      </c>
      <c r="K95" s="698" t="n"/>
      <c r="L95" s="837" t="inlineStr">
        <is>
          <t>Flake Single</t>
        </is>
      </c>
      <c r="M95" s="698" t="n"/>
      <c r="N95" s="837" t="inlineStr">
        <is>
          <t>Gard</t>
        </is>
      </c>
    </row>
    <row r="96" customFormat="1" s="585">
      <c r="A96" s="687" t="n">
        <v>1</v>
      </c>
      <c r="B96" s="687" t="inlineStr">
        <is>
          <t>Prep</t>
        </is>
      </c>
      <c r="C96" s="687" t="n">
        <v>1</v>
      </c>
      <c r="D96" s="687" t="inlineStr">
        <is>
          <t>Prep</t>
        </is>
      </c>
      <c r="E96" s="687" t="n">
        <v>1</v>
      </c>
      <c r="F96" s="687" t="inlineStr">
        <is>
          <t>Prep</t>
        </is>
      </c>
      <c r="G96" s="687" t="n">
        <v>1</v>
      </c>
      <c r="H96" s="687" t="inlineStr">
        <is>
          <t>Prep</t>
        </is>
      </c>
      <c r="I96" s="687" t="n">
        <v>1</v>
      </c>
      <c r="J96" s="687" t="inlineStr">
        <is>
          <t>Prep</t>
        </is>
      </c>
      <c r="K96" s="687" t="n">
        <v>1</v>
      </c>
      <c r="L96" s="687" t="inlineStr">
        <is>
          <t>Prep</t>
        </is>
      </c>
      <c r="M96" s="687" t="n">
        <v>1</v>
      </c>
      <c r="N96" s="687" t="inlineStr">
        <is>
          <t>Prep</t>
        </is>
      </c>
    </row>
    <row r="97" customFormat="1" s="585">
      <c r="A97" s="687" t="n">
        <v>2</v>
      </c>
      <c r="B97" s="687" t="inlineStr">
        <is>
          <t>SL/MD + Broadcast</t>
        </is>
      </c>
      <c r="C97" s="687" t="n">
        <v>2</v>
      </c>
      <c r="D97" s="687" t="inlineStr">
        <is>
          <t>SL + Broadcast</t>
        </is>
      </c>
      <c r="E97" s="687" t="n">
        <v>2</v>
      </c>
      <c r="F97" s="687" t="inlineStr">
        <is>
          <t>SL + Broadcast</t>
        </is>
      </c>
      <c r="G97" s="687" t="n">
        <v>2</v>
      </c>
      <c r="H97" s="687" t="inlineStr">
        <is>
          <t>Prime</t>
        </is>
      </c>
      <c r="I97" s="687" t="n">
        <v>2</v>
      </c>
      <c r="J97" s="687" t="inlineStr">
        <is>
          <t>Prime</t>
        </is>
      </c>
      <c r="K97" s="687" t="n">
        <v>2</v>
      </c>
      <c r="L97" s="687" t="inlineStr">
        <is>
          <t>Prime</t>
        </is>
      </c>
      <c r="M97" s="687" t="n">
        <v>2</v>
      </c>
      <c r="N97" s="687" t="inlineStr">
        <is>
          <t>Prime</t>
        </is>
      </c>
    </row>
    <row r="98" customFormat="1" s="585">
      <c r="A98" s="687" t="n">
        <v>3</v>
      </c>
      <c r="B98" s="687" t="inlineStr">
        <is>
          <t>Topcoat</t>
        </is>
      </c>
      <c r="C98" s="687" t="n">
        <v>3</v>
      </c>
      <c r="D98" s="687" t="inlineStr">
        <is>
          <t>Broadcast</t>
        </is>
      </c>
      <c r="E98" s="687" t="n">
        <v>3</v>
      </c>
      <c r="F98" s="687" t="inlineStr">
        <is>
          <t>Broadcast</t>
        </is>
      </c>
      <c r="G98" s="687" t="n">
        <v>3</v>
      </c>
      <c r="H98" s="687" t="inlineStr">
        <is>
          <t>Broadcast</t>
        </is>
      </c>
      <c r="I98" s="687" t="n">
        <v>3</v>
      </c>
      <c r="J98" s="687" t="inlineStr">
        <is>
          <t>Broadcast</t>
        </is>
      </c>
      <c r="K98" s="687" t="n">
        <v>3</v>
      </c>
      <c r="L98" s="687" t="inlineStr">
        <is>
          <t>Broadcast</t>
        </is>
      </c>
      <c r="M98" s="687" t="n">
        <v>3</v>
      </c>
      <c r="N98" s="687" t="inlineStr">
        <is>
          <t>Base Coat</t>
        </is>
      </c>
    </row>
    <row r="99" customFormat="1" s="585">
      <c r="A99" s="687" t="n">
        <v>4</v>
      </c>
      <c r="B99" s="687" t="inlineStr">
        <is>
          <t>Cove?</t>
        </is>
      </c>
      <c r="C99" s="687" t="n">
        <v>4</v>
      </c>
      <c r="D99" s="687" t="inlineStr">
        <is>
          <t>Grout</t>
        </is>
      </c>
      <c r="E99" s="687" t="n">
        <v>4</v>
      </c>
      <c r="F99" s="687" t="inlineStr">
        <is>
          <t>Grout</t>
        </is>
      </c>
      <c r="G99" s="687" t="n">
        <v>4</v>
      </c>
      <c r="H99" s="687" t="inlineStr">
        <is>
          <t>Broadcast</t>
        </is>
      </c>
      <c r="I99" s="687" t="n">
        <v>4</v>
      </c>
      <c r="J99" s="687" t="inlineStr">
        <is>
          <t>Broadcast</t>
        </is>
      </c>
      <c r="K99" s="687" t="n">
        <v>4</v>
      </c>
      <c r="L99" s="687" t="inlineStr">
        <is>
          <t>Grout</t>
        </is>
      </c>
      <c r="M99" s="687" t="n">
        <v>4</v>
      </c>
      <c r="N99" s="687" t="inlineStr">
        <is>
          <t>Topcoat</t>
        </is>
      </c>
    </row>
    <row r="100" customFormat="1" s="585">
      <c r="A100" s="687" t="n">
        <v>5</v>
      </c>
      <c r="B100" s="687" t="inlineStr">
        <is>
          <t>Extra Patch?</t>
        </is>
      </c>
      <c r="C100" s="687" t="n">
        <v>5</v>
      </c>
      <c r="D100" s="685" t="inlineStr">
        <is>
          <t>Extra Grout</t>
        </is>
      </c>
      <c r="E100" s="687" t="n">
        <v>5</v>
      </c>
      <c r="F100" s="687" t="inlineStr">
        <is>
          <t>Topcoat</t>
        </is>
      </c>
      <c r="G100" s="687" t="n">
        <v>5</v>
      </c>
      <c r="H100" s="687" t="inlineStr">
        <is>
          <t>Grout</t>
        </is>
      </c>
      <c r="I100" s="687" t="n">
        <v>5</v>
      </c>
      <c r="J100" s="687" t="inlineStr">
        <is>
          <t>Grout</t>
        </is>
      </c>
      <c r="K100" s="687" t="n">
        <v>5</v>
      </c>
      <c r="L100" s="687" t="inlineStr">
        <is>
          <t>Topcoat</t>
        </is>
      </c>
      <c r="M100" s="687" t="n">
        <v>5</v>
      </c>
      <c r="N100" s="687" t="inlineStr">
        <is>
          <t>Cove?</t>
        </is>
      </c>
    </row>
    <row r="101" customFormat="1" s="585">
      <c r="A101" s="687" t="n"/>
      <c r="B101" s="687" t="n"/>
      <c r="C101" s="687" t="n">
        <v>6</v>
      </c>
      <c r="D101" s="687" t="inlineStr">
        <is>
          <t>Topcoat</t>
        </is>
      </c>
      <c r="E101" s="687" t="n">
        <v>6</v>
      </c>
      <c r="F101" s="687" t="inlineStr">
        <is>
          <t>Cove?</t>
        </is>
      </c>
      <c r="G101" s="687" t="n">
        <v>6</v>
      </c>
      <c r="H101" s="687" t="inlineStr">
        <is>
          <t>Topcoat</t>
        </is>
      </c>
      <c r="I101" s="687" t="n">
        <v>6</v>
      </c>
      <c r="J101" s="687" t="inlineStr">
        <is>
          <t>Topcoat</t>
        </is>
      </c>
      <c r="K101" s="687" t="n">
        <v>6</v>
      </c>
      <c r="L101" s="687" t="inlineStr">
        <is>
          <t>Cove?</t>
        </is>
      </c>
      <c r="M101" s="687" t="n">
        <v>6</v>
      </c>
      <c r="N101" s="687" t="inlineStr">
        <is>
          <t>Extra Patch?</t>
        </is>
      </c>
    </row>
    <row r="102" customFormat="1" s="585">
      <c r="A102" s="687" t="n"/>
      <c r="B102" s="687" t="n"/>
      <c r="C102" s="687" t="n">
        <v>7</v>
      </c>
      <c r="D102" s="687" t="inlineStr">
        <is>
          <t>Cove?</t>
        </is>
      </c>
      <c r="E102" s="687" t="n">
        <v>7</v>
      </c>
      <c r="F102" s="687" t="inlineStr">
        <is>
          <t>Extra Patch?</t>
        </is>
      </c>
      <c r="G102" s="687" t="n">
        <v>7</v>
      </c>
      <c r="H102" s="687" t="inlineStr">
        <is>
          <t>Cove?</t>
        </is>
      </c>
      <c r="I102" s="687" t="n">
        <v>7</v>
      </c>
      <c r="J102" s="687" t="inlineStr">
        <is>
          <t>Cove?</t>
        </is>
      </c>
      <c r="K102" s="687" t="n">
        <v>7</v>
      </c>
      <c r="L102" s="687" t="inlineStr">
        <is>
          <t>Extra Patch?</t>
        </is>
      </c>
      <c r="M102" s="687" t="n"/>
      <c r="N102" s="687" t="n"/>
    </row>
    <row r="103" customFormat="1" s="585">
      <c r="A103" s="687" t="n"/>
      <c r="B103" s="687" t="n"/>
      <c r="C103" s="687" t="n">
        <v>8</v>
      </c>
      <c r="D103" s="687" t="inlineStr">
        <is>
          <t>Extra Patch?</t>
        </is>
      </c>
      <c r="E103" s="687" t="n"/>
      <c r="F103" s="687" t="n"/>
      <c r="G103" s="687" t="n">
        <v>8</v>
      </c>
      <c r="H103" s="687" t="inlineStr">
        <is>
          <t>Extra Patch?</t>
        </is>
      </c>
      <c r="I103" s="687" t="n">
        <v>8</v>
      </c>
      <c r="J103" s="687" t="inlineStr">
        <is>
          <t>Extra Patch?</t>
        </is>
      </c>
      <c r="K103" s="687" t="n"/>
      <c r="L103" s="687" t="n"/>
      <c r="M103" s="687" t="n"/>
      <c r="N103" s="687" t="n"/>
    </row>
    <row r="104" customFormat="1" s="585">
      <c r="I104" s="1930" t="n"/>
    </row>
    <row r="105" customFormat="1" s="585"/>
    <row r="106" customFormat="1" s="585">
      <c r="A106" s="839" t="n"/>
    </row>
    <row r="107" customFormat="1" s="585">
      <c r="A107" s="840" t="n"/>
      <c r="G107" s="1931" t="n"/>
    </row>
    <row r="108" customFormat="1" s="585">
      <c r="A108" s="842" t="n"/>
      <c r="G108" s="843" t="n"/>
    </row>
    <row r="109" customFormat="1" s="585">
      <c r="A109" s="844" t="n"/>
      <c r="G109" s="1931" t="n"/>
    </row>
    <row r="110" customFormat="1" s="585">
      <c r="A110" s="845" t="n"/>
    </row>
    <row r="111" customFormat="1" s="585">
      <c r="A111" s="846" t="n"/>
    </row>
    <row r="112" customFormat="1" s="585">
      <c r="A112" s="847" t="n"/>
      <c r="I112" s="1930" t="n"/>
      <c r="L112" s="848" t="n"/>
      <c r="M112" s="2014" t="n"/>
    </row>
    <row r="113" customFormat="1" s="585">
      <c r="A113" s="849" t="n"/>
      <c r="I113" s="1930" t="n"/>
      <c r="L113" s="848" t="n"/>
      <c r="M113" s="2014" t="n"/>
    </row>
    <row r="114" customFormat="1" s="585">
      <c r="I114" s="1930" t="n"/>
      <c r="L114" s="848" t="n"/>
      <c r="M114" s="2014" t="n"/>
    </row>
    <row r="115" customFormat="1" s="585">
      <c r="I115" s="1930" t="n"/>
      <c r="L115" s="848" t="n"/>
      <c r="M115" s="2014" t="n"/>
    </row>
    <row r="116" ht="16.2" customFormat="1" customHeight="1" s="585" thickBot="1">
      <c r="B116" s="1314" t="inlineStr">
        <is>
          <t xml:space="preserve">SF      </t>
        </is>
      </c>
      <c r="C116" s="1314" t="inlineStr">
        <is>
          <t xml:space="preserve">LF      </t>
        </is>
      </c>
      <c r="I116" s="1930" t="n"/>
      <c r="L116" s="848" t="n"/>
      <c r="M116" s="2014" t="n"/>
    </row>
    <row r="117" customFormat="1" s="585">
      <c r="A117" s="1308" t="inlineStr">
        <is>
          <t>System 1</t>
        </is>
      </c>
      <c r="B117" s="2068">
        <f>E20</f>
        <v/>
      </c>
      <c r="C117" s="2069">
        <f>E34</f>
        <v/>
      </c>
      <c r="I117" s="1930" t="n"/>
      <c r="L117" s="848" t="n"/>
      <c r="M117" s="2014" t="n"/>
    </row>
    <row r="118" ht="16.2" customFormat="1" customHeight="1" s="585" thickBot="1">
      <c r="A118" s="1311" t="inlineStr">
        <is>
          <t>(Wall Opts) System 2</t>
        </is>
      </c>
      <c r="B118" s="2070">
        <f>E24</f>
        <v/>
      </c>
      <c r="C118" s="2071">
        <f>E37</f>
        <v/>
      </c>
      <c r="I118" s="1930" t="n"/>
      <c r="L118" s="848" t="n"/>
      <c r="M118" s="2014" t="n"/>
    </row>
    <row r="119" customFormat="1" s="585">
      <c r="A119" s="633" t="n"/>
      <c r="B119" s="2002" t="n"/>
      <c r="I119" s="1930" t="n"/>
      <c r="L119" s="848" t="n"/>
      <c r="M119" s="2014" t="n"/>
    </row>
    <row r="120" ht="18" customFormat="1" customHeight="1" s="585">
      <c r="A120" s="1329" t="inlineStr">
        <is>
          <t>Hidden Cells Below</t>
        </is>
      </c>
      <c r="B120" s="2002" t="n"/>
      <c r="I120" s="1930" t="n"/>
      <c r="L120" s="848" t="n"/>
      <c r="M120" s="2014" t="n"/>
    </row>
    <row r="121" ht="21" customFormat="1" customHeight="1" s="585">
      <c r="A121" s="633" t="n"/>
      <c r="B121" s="2002" t="n"/>
      <c r="I121" s="1305" t="inlineStr">
        <is>
          <t>System 1 Cove</t>
        </is>
      </c>
      <c r="L121" s="848" t="n"/>
      <c r="M121" s="2014" t="n"/>
      <c r="AA121" s="633" t="n"/>
      <c r="AB121" s="2002" t="n"/>
      <c r="AI121" s="1306" t="inlineStr">
        <is>
          <t>System 2 Cove</t>
        </is>
      </c>
      <c r="AL121" s="848" t="n"/>
      <c r="AM121" s="2014" t="n"/>
    </row>
    <row r="122" ht="21.6" customFormat="1" customHeight="1" s="585" thickBot="1">
      <c r="A122" s="1848" t="inlineStr">
        <is>
          <t>Cove Base (CoveRez)</t>
        </is>
      </c>
      <c r="I122" s="1231" t="inlineStr">
        <is>
          <t>LF</t>
        </is>
      </c>
      <c r="K122" s="1849" t="inlineStr">
        <is>
          <t>Cove Base (WR)</t>
        </is>
      </c>
      <c r="AA122" s="1848" t="inlineStr">
        <is>
          <t>Cove Base (CoveRez)</t>
        </is>
      </c>
      <c r="AI122" s="1304" t="inlineStr">
        <is>
          <t>LF</t>
        </is>
      </c>
      <c r="AK122" s="1849" t="inlineStr">
        <is>
          <t>Cove Base (WR)</t>
        </is>
      </c>
    </row>
    <row r="123" ht="16.2" customFormat="1" customHeight="1" s="585" thickBot="1">
      <c r="A123" s="2072" t="inlineStr">
        <is>
          <t>4" Cove (Standard: Flake, ShopFloor, Gard)</t>
        </is>
      </c>
      <c r="B123" s="2073" t="n"/>
      <c r="C123" s="2073" t="n"/>
      <c r="D123" s="2073" t="n"/>
      <c r="E123" s="2073" t="n"/>
      <c r="F123" s="2073" t="n"/>
      <c r="G123" s="2074" t="n"/>
      <c r="I123" s="2075">
        <f>E34</f>
        <v/>
      </c>
      <c r="K123" s="2072" t="inlineStr">
        <is>
          <t>4" Cove (Urethane Cement = WR)</t>
        </is>
      </c>
      <c r="L123" s="2073" t="n"/>
      <c r="M123" s="2073" t="n"/>
      <c r="N123" s="2073" t="n"/>
      <c r="O123" s="2073" t="n"/>
      <c r="P123" s="2073" t="n"/>
      <c r="Q123" s="2074" t="n"/>
      <c r="AA123" s="2072" t="inlineStr">
        <is>
          <t>4" Cove (Standard: Flake, ShopFloor, Gard)</t>
        </is>
      </c>
      <c r="AB123" s="2073" t="n"/>
      <c r="AC123" s="2073" t="n"/>
      <c r="AD123" s="2073" t="n"/>
      <c r="AE123" s="2073" t="n"/>
      <c r="AF123" s="2073" t="n"/>
      <c r="AG123" s="2074" t="n"/>
      <c r="AI123" s="2076">
        <f>E37</f>
        <v/>
      </c>
      <c r="AK123" s="2072" t="inlineStr">
        <is>
          <t>4" Cove (Urethane Cement = WR)</t>
        </is>
      </c>
      <c r="AL123" s="2073" t="n"/>
      <c r="AM123" s="2073" t="n"/>
      <c r="AN123" s="2073" t="n"/>
      <c r="AO123" s="2073" t="n"/>
      <c r="AP123" s="2073" t="n"/>
      <c r="AQ123" s="2074" t="n"/>
    </row>
    <row r="124" ht="16.2" customFormat="1" customHeight="1" s="585" thickBot="1">
      <c r="A124" s="142" t="n"/>
      <c r="B124" s="1194" t="inlineStr">
        <is>
          <t>Product</t>
        </is>
      </c>
      <c r="C124" s="1195" t="inlineStr">
        <is>
          <t>Coverage</t>
        </is>
      </c>
      <c r="D124" s="1196" t="inlineStr">
        <is>
          <t>Unit of Measure</t>
        </is>
      </c>
      <c r="E124" s="1196" t="inlineStr">
        <is>
          <t>Quantity Calcs</t>
        </is>
      </c>
      <c r="F124" s="1196" t="inlineStr">
        <is>
          <t>$ Material Cost $</t>
        </is>
      </c>
      <c r="G124" s="1197" t="inlineStr">
        <is>
          <t>Note</t>
        </is>
      </c>
      <c r="I124" s="1930" t="n"/>
      <c r="K124" s="142" t="n"/>
      <c r="L124" s="1194" t="inlineStr">
        <is>
          <t>Product</t>
        </is>
      </c>
      <c r="M124" s="1195" t="inlineStr">
        <is>
          <t>Coverage</t>
        </is>
      </c>
      <c r="N124" s="1196" t="inlineStr">
        <is>
          <t>Unit of Measure</t>
        </is>
      </c>
      <c r="O124" s="1196" t="inlineStr">
        <is>
          <t>Quantity Calcs</t>
        </is>
      </c>
      <c r="P124" s="1196" t="inlineStr">
        <is>
          <t>$ Material Cost $</t>
        </is>
      </c>
      <c r="Q124" s="1197" t="inlineStr">
        <is>
          <t>Note</t>
        </is>
      </c>
      <c r="S124" s="1307" t="inlineStr">
        <is>
          <t>Cove 1 Options</t>
        </is>
      </c>
      <c r="AA124" s="142" t="n"/>
      <c r="AB124" s="1194" t="inlineStr">
        <is>
          <t>Product</t>
        </is>
      </c>
      <c r="AC124" s="1195" t="inlineStr">
        <is>
          <t>Coverage</t>
        </is>
      </c>
      <c r="AD124" s="1196" t="inlineStr">
        <is>
          <t>Unit of Measure</t>
        </is>
      </c>
      <c r="AE124" s="1196" t="inlineStr">
        <is>
          <t>Quantity Calcs</t>
        </is>
      </c>
      <c r="AF124" s="1196" t="inlineStr">
        <is>
          <t>$ Material Cost $</t>
        </is>
      </c>
      <c r="AG124" s="1197" t="inlineStr">
        <is>
          <t>Note</t>
        </is>
      </c>
      <c r="AI124" s="1930" t="n"/>
      <c r="AK124" s="142" t="n"/>
      <c r="AL124" s="1194" t="inlineStr">
        <is>
          <t>Product</t>
        </is>
      </c>
      <c r="AM124" s="1195" t="inlineStr">
        <is>
          <t>Coverage</t>
        </is>
      </c>
      <c r="AN124" s="1196" t="inlineStr">
        <is>
          <t>Unit of Measure</t>
        </is>
      </c>
      <c r="AO124" s="1196" t="inlineStr">
        <is>
          <t>Quantity Calcs</t>
        </is>
      </c>
      <c r="AP124" s="1196" t="inlineStr">
        <is>
          <t>$ Material Cost $</t>
        </is>
      </c>
      <c r="AQ124" s="1197" t="inlineStr">
        <is>
          <t>Note</t>
        </is>
      </c>
      <c r="AS124" s="1323" t="inlineStr">
        <is>
          <t>Cove 2 Options</t>
        </is>
      </c>
    </row>
    <row r="125" ht="16.2" customFormat="1" customHeight="1" s="585" thickBot="1">
      <c r="A125" s="1232" t="inlineStr">
        <is>
          <t>Cove (Liquids)</t>
        </is>
      </c>
      <c r="B125" s="1204" t="inlineStr">
        <is>
          <t>Cove Rez</t>
        </is>
      </c>
      <c r="C125" s="1319">
        <f>ROUNDUP(I123/30,0)</f>
        <v/>
      </c>
      <c r="D125" s="1206" t="inlineStr">
        <is>
          <t>LF/Gal</t>
        </is>
      </c>
      <c r="E125" s="1207">
        <f>ROUNDUP(C125/8,0)+ROUNDUP(C125/4,0)</f>
        <v/>
      </c>
      <c r="F125" s="2077">
        <f>E125*CoveRez</f>
        <v/>
      </c>
      <c r="G125" s="1209" t="n"/>
      <c r="I125" s="1930" t="n"/>
      <c r="K125" s="1271" t="inlineStr">
        <is>
          <t>Cove (Liquids)</t>
        </is>
      </c>
      <c r="L125" s="1315" t="inlineStr">
        <is>
          <t>WR</t>
        </is>
      </c>
      <c r="M125" s="1214" t="n">
        <v>35</v>
      </c>
      <c r="N125" s="1215" t="inlineStr">
        <is>
          <t>LF/Kit</t>
        </is>
      </c>
      <c r="O125" s="1216">
        <f>ROUNDUP(I123/M125,0)</f>
        <v/>
      </c>
      <c r="P125" s="2078">
        <f>O125*WR</f>
        <v/>
      </c>
      <c r="Q125" s="1317" t="inlineStr">
        <is>
          <t>35 - 40 LF/kit</t>
        </is>
      </c>
      <c r="S125" s="585" t="inlineStr">
        <is>
          <t>Epoxy 4"</t>
        </is>
      </c>
      <c r="AA125" s="1232" t="inlineStr">
        <is>
          <t>Cove (Liquids)</t>
        </is>
      </c>
      <c r="AB125" s="1204" t="inlineStr">
        <is>
          <t>Cove Rez</t>
        </is>
      </c>
      <c r="AC125" s="1319">
        <f>ROUNDUP(AI123/30,0)</f>
        <v/>
      </c>
      <c r="AD125" s="1206" t="inlineStr">
        <is>
          <t>LF/Gal</t>
        </is>
      </c>
      <c r="AE125" s="1207">
        <f>ROUNDUP(AC125/8,0)+ROUNDUP(AC125/4,0)</f>
        <v/>
      </c>
      <c r="AF125" s="2077">
        <f>AE125*CoveRez</f>
        <v/>
      </c>
      <c r="AG125" s="1209" t="n"/>
      <c r="AI125" s="1930" t="n"/>
      <c r="AK125" s="1271" t="inlineStr">
        <is>
          <t>Cove (Liquids)</t>
        </is>
      </c>
      <c r="AL125" s="1315" t="inlineStr">
        <is>
          <t>WR</t>
        </is>
      </c>
      <c r="AM125" s="1214" t="n">
        <v>35</v>
      </c>
      <c r="AN125" s="1215" t="inlineStr">
        <is>
          <t>LF/Kit</t>
        </is>
      </c>
      <c r="AO125" s="1216">
        <f>ROUNDUP(AI123/AM125,0)</f>
        <v/>
      </c>
      <c r="AP125" s="2078">
        <f>AO125*WR</f>
        <v/>
      </c>
      <c r="AQ125" s="1317" t="inlineStr">
        <is>
          <t>35 - 40 LF/kit</t>
        </is>
      </c>
      <c r="AS125" s="585" t="inlineStr">
        <is>
          <t>Epoxy 4"</t>
        </is>
      </c>
    </row>
    <row r="126" ht="16.2" customFormat="1" customHeight="1" s="585" thickBot="1">
      <c r="A126" s="1263" t="inlineStr">
        <is>
          <t>Aggregate</t>
        </is>
      </c>
      <c r="B126" s="1264" t="inlineStr">
        <is>
          <t>Silica     (@ 50#s)</t>
        </is>
      </c>
      <c r="C126" s="1265" t="n">
        <v>25</v>
      </c>
      <c r="D126" s="1266" t="inlineStr">
        <is>
          <t>Lbs/LF</t>
        </is>
      </c>
      <c r="E126" s="1267">
        <f>CEILING(C125*C126,50)</f>
        <v/>
      </c>
      <c r="F126" s="2079">
        <f>E126*(IF($A$22=$R$189,Q28_40s,IF($A$22=$R$190,Q28_40s,IF($A$22=$R$191,Q28_40s,Silica))))</f>
        <v/>
      </c>
      <c r="G126" s="1320" t="inlineStr">
        <is>
          <t>formula: Q28 or Silica</t>
        </is>
      </c>
      <c r="I126" s="1930" t="n"/>
      <c r="L126" s="848" t="n"/>
      <c r="M126" s="2014" t="n"/>
      <c r="S126" s="585" t="inlineStr">
        <is>
          <t>Epoxy 6"</t>
        </is>
      </c>
      <c r="AA126" s="1263" t="inlineStr">
        <is>
          <t>Aggregate</t>
        </is>
      </c>
      <c r="AB126" s="1264" t="inlineStr">
        <is>
          <t>Silica     (@ 50#s)</t>
        </is>
      </c>
      <c r="AC126" s="1265" t="n">
        <v>25</v>
      </c>
      <c r="AD126" s="1266" t="inlineStr">
        <is>
          <t>Lbs/LF</t>
        </is>
      </c>
      <c r="AE126" s="1267">
        <f>CEILING(AC125*AC126,50)</f>
        <v/>
      </c>
      <c r="AF126" s="2079">
        <f>AE126*(IF($A$22=$R$189,Q28_40s,IF($A$22=$R$190,Q28_40s,IF($A$22=$R$191,Q28_40s,Silica))))</f>
        <v/>
      </c>
      <c r="AG126" s="1320" t="inlineStr">
        <is>
          <t>formula: Q28 or Silica</t>
        </is>
      </c>
      <c r="AI126" s="1930" t="n"/>
      <c r="AL126" s="848" t="n"/>
      <c r="AM126" s="2014" t="n"/>
      <c r="AS126" s="585" t="inlineStr">
        <is>
          <t>Epoxy 6"</t>
        </is>
      </c>
    </row>
    <row r="127" ht="16.2" customFormat="1" customHeight="1" s="585" thickBot="1">
      <c r="A127" s="633" t="n"/>
      <c r="B127" s="2002" t="n"/>
      <c r="I127" s="1930" t="n"/>
      <c r="L127" s="848" t="n"/>
      <c r="M127" s="2014" t="n"/>
      <c r="S127" s="585" t="inlineStr">
        <is>
          <t>Epoxy 4" + Cap</t>
        </is>
      </c>
      <c r="Y127" s="1621" t="inlineStr">
        <is>
          <t># bag size #</t>
        </is>
      </c>
      <c r="AA127" s="633" t="n"/>
      <c r="AB127" s="2002" t="n"/>
      <c r="AI127" s="1930" t="n"/>
      <c r="AL127" s="848" t="n"/>
      <c r="AM127" s="2014" t="n"/>
      <c r="AS127" s="585" t="inlineStr">
        <is>
          <t>Epoxy 4" + Cap</t>
        </is>
      </c>
    </row>
    <row r="128" ht="16.2" customFormat="1" customHeight="1" s="585" thickBot="1">
      <c r="A128" s="2072" t="inlineStr">
        <is>
          <t>6" Cove (Standard: Flake, ShopFloor, Gard)</t>
        </is>
      </c>
      <c r="B128" s="2073" t="n"/>
      <c r="C128" s="2073" t="n"/>
      <c r="D128" s="2073" t="n"/>
      <c r="E128" s="2073" t="n"/>
      <c r="F128" s="2073" t="n"/>
      <c r="G128" s="2074" t="n"/>
      <c r="I128" s="2075">
        <f>$I$123</f>
        <v/>
      </c>
      <c r="K128" s="2072" t="inlineStr">
        <is>
          <t>6" Cove (Urethane Cement = WR)</t>
        </is>
      </c>
      <c r="L128" s="2073" t="n"/>
      <c r="M128" s="2073" t="n"/>
      <c r="N128" s="2073" t="n"/>
      <c r="O128" s="2073" t="n"/>
      <c r="P128" s="2073" t="n"/>
      <c r="Q128" s="2074" t="n"/>
      <c r="S128" s="585" t="inlineStr">
        <is>
          <t>Epoxy 6" + Cap</t>
        </is>
      </c>
      <c r="V128" s="1801" t="n">
        <v>45676</v>
      </c>
      <c r="W128" s="1046" t="inlineStr">
        <is>
          <t>$ per bag</t>
        </is>
      </c>
      <c r="X128" s="851" t="inlineStr">
        <is>
          <t>type</t>
        </is>
      </c>
      <c r="Y128" s="1340" t="n">
        <v>50</v>
      </c>
      <c r="AA128" s="2072" t="inlineStr">
        <is>
          <t>6" Cove (Standard: Flake, ShopFloor, Gard)</t>
        </is>
      </c>
      <c r="AB128" s="2073" t="n"/>
      <c r="AC128" s="2073" t="n"/>
      <c r="AD128" s="2073" t="n"/>
      <c r="AE128" s="2073" t="n"/>
      <c r="AF128" s="2073" t="n"/>
      <c r="AG128" s="2074" t="n"/>
      <c r="AI128" s="2075">
        <f>$AI$123</f>
        <v/>
      </c>
      <c r="AK128" s="2072" t="inlineStr">
        <is>
          <t>6" Cove (Urethane Cement = WR)</t>
        </is>
      </c>
      <c r="AL128" s="2073" t="n"/>
      <c r="AM128" s="2073" t="n"/>
      <c r="AN128" s="2073" t="n"/>
      <c r="AO128" s="2073" t="n"/>
      <c r="AP128" s="2073" t="n"/>
      <c r="AQ128" s="2074" t="n"/>
      <c r="AS128" s="585" t="inlineStr">
        <is>
          <t>Epoxy 6" + Cap</t>
        </is>
      </c>
    </row>
    <row r="129" ht="16.2" customFormat="1" customHeight="1" s="585" thickBot="1">
      <c r="A129" s="142" t="n"/>
      <c r="B129" s="1194" t="inlineStr">
        <is>
          <t>Product</t>
        </is>
      </c>
      <c r="C129" s="1195" t="inlineStr">
        <is>
          <t>Coverage</t>
        </is>
      </c>
      <c r="D129" s="1196" t="inlineStr">
        <is>
          <t>Unit of Measure</t>
        </is>
      </c>
      <c r="E129" s="1196" t="inlineStr">
        <is>
          <t>Quantity Calcs</t>
        </is>
      </c>
      <c r="F129" s="1196" t="inlineStr">
        <is>
          <t>$ Material Cost $</t>
        </is>
      </c>
      <c r="G129" s="1197" t="inlineStr">
        <is>
          <t>Note</t>
        </is>
      </c>
      <c r="I129" s="1930" t="n"/>
      <c r="K129" s="142" t="n"/>
      <c r="L129" s="1194" t="inlineStr">
        <is>
          <t>Product</t>
        </is>
      </c>
      <c r="M129" s="1195" t="inlineStr">
        <is>
          <t>Coverage</t>
        </is>
      </c>
      <c r="N129" s="1196" t="inlineStr">
        <is>
          <t>Unit of Measure</t>
        </is>
      </c>
      <c r="O129" s="1196" t="inlineStr">
        <is>
          <t>Quantity Calcs</t>
        </is>
      </c>
      <c r="P129" s="1196" t="inlineStr">
        <is>
          <t>$ Material Cost $</t>
        </is>
      </c>
      <c r="Q129" s="1197" t="inlineStr">
        <is>
          <t>Note</t>
        </is>
      </c>
      <c r="S129" s="585" t="inlineStr">
        <is>
          <t>Epoxy 8"</t>
        </is>
      </c>
      <c r="V129" s="1799" t="inlineStr">
        <is>
          <t>Sturgis Silica</t>
        </is>
      </c>
      <c r="W129" s="2080">
        <f>19.8</f>
        <v/>
      </c>
      <c r="X129" s="584" t="inlineStr">
        <is>
          <t>F-13 (25-45 mesh)</t>
        </is>
      </c>
      <c r="Y129" s="2081">
        <f>W129/Y128</f>
        <v/>
      </c>
      <c r="AA129" s="142" t="n"/>
      <c r="AB129" s="1194" t="inlineStr">
        <is>
          <t>Product</t>
        </is>
      </c>
      <c r="AC129" s="1195" t="inlineStr">
        <is>
          <t>Coverage</t>
        </is>
      </c>
      <c r="AD129" s="1196" t="inlineStr">
        <is>
          <t>Unit of Measure</t>
        </is>
      </c>
      <c r="AE129" s="1196" t="inlineStr">
        <is>
          <t>Quantity Calcs</t>
        </is>
      </c>
      <c r="AF129" s="1196" t="inlineStr">
        <is>
          <t>$ Material Cost $</t>
        </is>
      </c>
      <c r="AG129" s="1197" t="inlineStr">
        <is>
          <t>Note</t>
        </is>
      </c>
      <c r="AI129" s="1930" t="n"/>
      <c r="AK129" s="142" t="n"/>
      <c r="AL129" s="1194" t="inlineStr">
        <is>
          <t>Product</t>
        </is>
      </c>
      <c r="AM129" s="1195" t="inlineStr">
        <is>
          <t>Coverage</t>
        </is>
      </c>
      <c r="AN129" s="1196" t="inlineStr">
        <is>
          <t>Unit of Measure</t>
        </is>
      </c>
      <c r="AO129" s="1196" t="inlineStr">
        <is>
          <t>Quantity Calcs</t>
        </is>
      </c>
      <c r="AP129" s="1196" t="inlineStr">
        <is>
          <t>$ Material Cost $</t>
        </is>
      </c>
      <c r="AQ129" s="1197" t="inlineStr">
        <is>
          <t>Note</t>
        </is>
      </c>
      <c r="AS129" s="585" t="inlineStr">
        <is>
          <t>Epoxy 8"</t>
        </is>
      </c>
    </row>
    <row r="130" ht="16.2" customFormat="1" customHeight="1" s="585" thickBot="1">
      <c r="A130" s="1232" t="inlineStr">
        <is>
          <t>Cove (Liquids)</t>
        </is>
      </c>
      <c r="B130" s="1204" t="inlineStr">
        <is>
          <t>Cove Rez</t>
        </is>
      </c>
      <c r="C130" s="1319">
        <f>ROUNDUP(I128/20,0)</f>
        <v/>
      </c>
      <c r="D130" s="1206" t="inlineStr">
        <is>
          <t>LF/Gal</t>
        </is>
      </c>
      <c r="E130" s="1207">
        <f>ROUNDUP(C130/8,0)+ROUNDUP(C130/4,0)</f>
        <v/>
      </c>
      <c r="F130" s="2077">
        <f>E130*CoveRez</f>
        <v/>
      </c>
      <c r="G130" s="1209" t="n"/>
      <c r="I130" s="1930" t="n"/>
      <c r="K130" s="1271" t="inlineStr">
        <is>
          <t>Cove (Liquids)</t>
        </is>
      </c>
      <c r="L130" s="1315" t="inlineStr">
        <is>
          <t>WR</t>
        </is>
      </c>
      <c r="M130" s="1214" t="n">
        <v>25</v>
      </c>
      <c r="N130" s="1215" t="inlineStr">
        <is>
          <t>LF/Kit</t>
        </is>
      </c>
      <c r="O130" s="1216">
        <f>ROUNDUP(I128/M130,0)</f>
        <v/>
      </c>
      <c r="P130" s="2078">
        <f>O130*WR</f>
        <v/>
      </c>
      <c r="Q130" s="1317" t="inlineStr">
        <is>
          <t>25 - 30 LF/kit</t>
        </is>
      </c>
      <c r="S130" s="585" t="inlineStr">
        <is>
          <t>Epoxy 8" + Cap</t>
        </is>
      </c>
      <c r="V130" s="674" t="inlineStr">
        <is>
          <t>email from Jeff Bolton</t>
        </is>
      </c>
      <c r="W130" s="2080" t="n">
        <v>15.3</v>
      </c>
      <c r="X130" s="584" t="inlineStr">
        <is>
          <t>F-15 (30-50 mesh)</t>
        </is>
      </c>
      <c r="Y130" s="2081">
        <f>W130/Y128</f>
        <v/>
      </c>
      <c r="AA130" s="1232" t="inlineStr">
        <is>
          <t>Cove (Liquids)</t>
        </is>
      </c>
      <c r="AB130" s="1204" t="inlineStr">
        <is>
          <t>Cove Rez</t>
        </is>
      </c>
      <c r="AC130" s="1319">
        <f>ROUNDUP(AI128/20,0)</f>
        <v/>
      </c>
      <c r="AD130" s="1206" t="inlineStr">
        <is>
          <t>LF/Gal</t>
        </is>
      </c>
      <c r="AE130" s="1207">
        <f>ROUNDUP(AC130/8,0)+ROUNDUP(AC130/4,0)</f>
        <v/>
      </c>
      <c r="AF130" s="2077">
        <f>AE130*CoveRez</f>
        <v/>
      </c>
      <c r="AG130" s="1209" t="n"/>
      <c r="AI130" s="1930" t="n"/>
      <c r="AK130" s="1271" t="inlineStr">
        <is>
          <t>Cove (Liquids)</t>
        </is>
      </c>
      <c r="AL130" s="1315" t="inlineStr">
        <is>
          <t>WR</t>
        </is>
      </c>
      <c r="AM130" s="1214" t="n">
        <v>25</v>
      </c>
      <c r="AN130" s="1215" t="inlineStr">
        <is>
          <t>LF/Kit</t>
        </is>
      </c>
      <c r="AO130" s="1216">
        <f>ROUNDUP(AI128/AM130,0)</f>
        <v/>
      </c>
      <c r="AP130" s="2078">
        <f>AO130*WR</f>
        <v/>
      </c>
      <c r="AQ130" s="1317" t="inlineStr">
        <is>
          <t>25 - 30 LF/kit</t>
        </is>
      </c>
      <c r="AS130" s="585" t="inlineStr">
        <is>
          <t>Epoxy 8" + Cap</t>
        </is>
      </c>
    </row>
    <row r="131" ht="16.2" customFormat="1" customHeight="1" s="585" thickBot="1">
      <c r="A131" s="1263" t="inlineStr">
        <is>
          <t>Aggregate</t>
        </is>
      </c>
      <c r="B131" s="1264" t="inlineStr">
        <is>
          <t>Silica     (@ 50#s)</t>
        </is>
      </c>
      <c r="C131" s="1265" t="n">
        <v>25</v>
      </c>
      <c r="D131" s="1266" t="inlineStr">
        <is>
          <t>Lbs/LF</t>
        </is>
      </c>
      <c r="E131" s="1267">
        <f>CEILING(C130*C131,50)</f>
        <v/>
      </c>
      <c r="F131" s="2079">
        <f>E131*(IF($A$22=$R$189,Q28_40s,IF($A$22=$R$190,Q28_40s,IF($A$22=$R$191,Q28_40s,Silica))))</f>
        <v/>
      </c>
      <c r="G131" s="1320" t="inlineStr">
        <is>
          <t>formula: Q28 or Silica</t>
        </is>
      </c>
      <c r="I131" s="1930" t="n"/>
      <c r="L131" s="848" t="n"/>
      <c r="M131" s="2014" t="n"/>
      <c r="S131" s="585" t="inlineStr">
        <is>
          <t>WR 4"</t>
        </is>
      </c>
      <c r="V131" s="590" t="inlineStr">
        <is>
          <t>&lt;jeff@sturgismaterials.com&gt;</t>
        </is>
      </c>
      <c r="AA131" s="1263" t="inlineStr">
        <is>
          <t>Aggregate</t>
        </is>
      </c>
      <c r="AB131" s="1264" t="inlineStr">
        <is>
          <t>Silica     (@ 50#s)</t>
        </is>
      </c>
      <c r="AC131" s="1265" t="n">
        <v>25</v>
      </c>
      <c r="AD131" s="1266" t="inlineStr">
        <is>
          <t>Lbs/LF</t>
        </is>
      </c>
      <c r="AE131" s="1267">
        <f>CEILING(AC130*AC131,50)</f>
        <v/>
      </c>
      <c r="AF131" s="2079">
        <f>AE131*(IF($A$22=$R$189,Q28_40s,IF($A$22=$R$190,Q28_40s,IF($A$22=$R$191,Q28_40s,Silica))))</f>
        <v/>
      </c>
      <c r="AG131" s="1320" t="inlineStr">
        <is>
          <t>formula: Q28 or Silica</t>
        </is>
      </c>
      <c r="AI131" s="1930" t="n"/>
      <c r="AL131" s="848" t="n"/>
      <c r="AM131" s="2014" t="n"/>
      <c r="AS131" s="585" t="inlineStr">
        <is>
          <t>WR 4"</t>
        </is>
      </c>
    </row>
    <row r="132" ht="16.2" customFormat="1" customHeight="1" s="585" thickBot="1">
      <c r="I132" s="1930" t="n"/>
      <c r="L132" s="848" t="n"/>
      <c r="M132" s="2014" t="n"/>
      <c r="S132" s="585" t="inlineStr">
        <is>
          <t>WR 6"</t>
        </is>
      </c>
      <c r="AI132" s="1930" t="n"/>
      <c r="AL132" s="848" t="n"/>
      <c r="AM132" s="2014" t="n"/>
      <c r="AS132" s="585" t="inlineStr">
        <is>
          <t>WR 6"</t>
        </is>
      </c>
    </row>
    <row r="133" ht="16.2" customFormat="1" customHeight="1" s="585" thickBot="1">
      <c r="A133" s="2072" t="inlineStr">
        <is>
          <t>4" + CAP Cove (Standard: Flake, ShopFloor, Gard)</t>
        </is>
      </c>
      <c r="B133" s="2073" t="n"/>
      <c r="C133" s="2073" t="n"/>
      <c r="D133" s="2073" t="n"/>
      <c r="E133" s="2073" t="n"/>
      <c r="F133" s="2073" t="n"/>
      <c r="G133" s="2074" t="n"/>
      <c r="I133" s="2075">
        <f>$I$123</f>
        <v/>
      </c>
      <c r="K133" s="2072" t="inlineStr">
        <is>
          <t>4" + CAP Cove (Urethane Cement = WR)</t>
        </is>
      </c>
      <c r="L133" s="2073" t="n"/>
      <c r="M133" s="2073" t="n"/>
      <c r="N133" s="2073" t="n"/>
      <c r="O133" s="2073" t="n"/>
      <c r="P133" s="2073" t="n"/>
      <c r="Q133" s="2074" t="n"/>
      <c r="S133" s="585" t="inlineStr">
        <is>
          <t>WR 4" + Cap</t>
        </is>
      </c>
      <c r="U133" s="1767" t="inlineStr">
        <is>
          <t>**BULK Discount applies to:</t>
        </is>
      </c>
      <c r="V133" s="1768" t="n"/>
      <c r="AA133" s="2072" t="inlineStr">
        <is>
          <t>4" + CAP Cove (Standard: Flake, ShopFloor, Gard)</t>
        </is>
      </c>
      <c r="AB133" s="2073" t="n"/>
      <c r="AC133" s="2073" t="n"/>
      <c r="AD133" s="2073" t="n"/>
      <c r="AE133" s="2073" t="n"/>
      <c r="AF133" s="2073" t="n"/>
      <c r="AG133" s="2074" t="n"/>
      <c r="AI133" s="2075">
        <f>$AI$123</f>
        <v/>
      </c>
      <c r="AK133" s="2072" t="inlineStr">
        <is>
          <t>4" + CAP Cove (Urethane Cement = WR)</t>
        </is>
      </c>
      <c r="AL133" s="2073" t="n"/>
      <c r="AM133" s="2073" t="n"/>
      <c r="AN133" s="2073" t="n"/>
      <c r="AO133" s="2073" t="n"/>
      <c r="AP133" s="2073" t="n"/>
      <c r="AQ133" s="2074" t="n"/>
      <c r="AS133" s="585" t="inlineStr">
        <is>
          <t>WR 4" + Cap</t>
        </is>
      </c>
    </row>
    <row r="134" ht="16.2" customFormat="1" customHeight="1" s="585" thickBot="1">
      <c r="A134" s="142" t="n"/>
      <c r="B134" s="1194" t="inlineStr">
        <is>
          <t>Product</t>
        </is>
      </c>
      <c r="C134" s="1195" t="inlineStr">
        <is>
          <t>Coverage</t>
        </is>
      </c>
      <c r="D134" s="1196" t="inlineStr">
        <is>
          <t>Unit of Measure</t>
        </is>
      </c>
      <c r="E134" s="1196" t="inlineStr">
        <is>
          <t>Quantity Calcs</t>
        </is>
      </c>
      <c r="F134" s="1196" t="inlineStr">
        <is>
          <t>$ Material Cost $</t>
        </is>
      </c>
      <c r="G134" s="1197" t="inlineStr">
        <is>
          <t>Note</t>
        </is>
      </c>
      <c r="I134" s="1930" t="n"/>
      <c r="K134" s="142" t="n"/>
      <c r="L134" s="1194" t="inlineStr">
        <is>
          <t>Product</t>
        </is>
      </c>
      <c r="M134" s="1195" t="inlineStr">
        <is>
          <t>Coverage</t>
        </is>
      </c>
      <c r="N134" s="1196" t="inlineStr">
        <is>
          <t>Unit of Measure</t>
        </is>
      </c>
      <c r="O134" s="1196" t="inlineStr">
        <is>
          <t>Quantity Calcs</t>
        </is>
      </c>
      <c r="P134" s="1196" t="inlineStr">
        <is>
          <t>$ Material Cost $</t>
        </is>
      </c>
      <c r="Q134" s="1197" t="inlineStr">
        <is>
          <t>Note</t>
        </is>
      </c>
      <c r="S134" s="585" t="inlineStr">
        <is>
          <t>WR 6" + Cap</t>
        </is>
      </c>
      <c r="V134" s="1765" t="inlineStr">
        <is>
          <t>Glaze4, Armor Top, + SL</t>
        </is>
      </c>
      <c r="W134" s="1766" t="n"/>
      <c r="AA134" s="142" t="n"/>
      <c r="AB134" s="1194" t="inlineStr">
        <is>
          <t>Product</t>
        </is>
      </c>
      <c r="AC134" s="1195" t="inlineStr">
        <is>
          <t>Coverage</t>
        </is>
      </c>
      <c r="AD134" s="1196" t="inlineStr">
        <is>
          <t>Unit of Measure</t>
        </is>
      </c>
      <c r="AE134" s="1196" t="inlineStr">
        <is>
          <t>Quantity Calcs</t>
        </is>
      </c>
      <c r="AF134" s="1196" t="inlineStr">
        <is>
          <t>$ Material Cost $</t>
        </is>
      </c>
      <c r="AG134" s="1197" t="inlineStr">
        <is>
          <t>Note</t>
        </is>
      </c>
      <c r="AI134" s="1930" t="n"/>
      <c r="AK134" s="142" t="n"/>
      <c r="AL134" s="1194" t="inlineStr">
        <is>
          <t>Product</t>
        </is>
      </c>
      <c r="AM134" s="1195" t="inlineStr">
        <is>
          <t>Coverage</t>
        </is>
      </c>
      <c r="AN134" s="1196" t="inlineStr">
        <is>
          <t>Unit of Measure</t>
        </is>
      </c>
      <c r="AO134" s="1196" t="inlineStr">
        <is>
          <t>Quantity Calcs</t>
        </is>
      </c>
      <c r="AP134" s="1196" t="inlineStr">
        <is>
          <t>$ Material Cost $</t>
        </is>
      </c>
      <c r="AQ134" s="1197" t="inlineStr">
        <is>
          <t>Note</t>
        </is>
      </c>
      <c r="AS134" s="585" t="inlineStr">
        <is>
          <t>WR 6" + Cap</t>
        </is>
      </c>
    </row>
    <row r="135" ht="16.2" customFormat="1" customHeight="1" s="585" thickBot="1">
      <c r="A135" s="1232" t="inlineStr">
        <is>
          <t>Cove (Liquids)</t>
        </is>
      </c>
      <c r="B135" s="1204" t="inlineStr">
        <is>
          <t>Cove Rez</t>
        </is>
      </c>
      <c r="C135" s="1319">
        <f>ROUNDUP(I133/15,0)</f>
        <v/>
      </c>
      <c r="D135" s="1206" t="inlineStr">
        <is>
          <t>LF/Gal</t>
        </is>
      </c>
      <c r="E135" s="1207">
        <f>ROUNDUP(C135/8,0)+ROUNDUP(C135/4,0)</f>
        <v/>
      </c>
      <c r="F135" s="2077">
        <f>E135*CoveRez</f>
        <v/>
      </c>
      <c r="G135" s="1209" t="n"/>
      <c r="I135" s="1930" t="n"/>
      <c r="K135" s="1271" t="inlineStr">
        <is>
          <t>Cove (Liquids)</t>
        </is>
      </c>
      <c r="L135" s="1315" t="inlineStr">
        <is>
          <t>WR</t>
        </is>
      </c>
      <c r="M135" s="1214" t="n">
        <v>26</v>
      </c>
      <c r="N135" s="1215" t="inlineStr">
        <is>
          <t>LF/Kit</t>
        </is>
      </c>
      <c r="O135" s="1216">
        <f>ROUNDUP(I133/M135,0)</f>
        <v/>
      </c>
      <c r="P135" s="2078">
        <f>O135*WR</f>
        <v/>
      </c>
      <c r="Q135" s="1317" t="n"/>
      <c r="S135" s="585" t="inlineStr">
        <is>
          <t>WR 8"</t>
        </is>
      </c>
      <c r="V135" s="1769" t="inlineStr">
        <is>
          <t>Validation Dropdown Menu:</t>
        </is>
      </c>
      <c r="W135" s="855" t="n"/>
      <c r="AA135" s="1232" t="inlineStr">
        <is>
          <t>Cove (Liquids)</t>
        </is>
      </c>
      <c r="AB135" s="1204" t="inlineStr">
        <is>
          <t>Cove Rez</t>
        </is>
      </c>
      <c r="AC135" s="1319">
        <f>ROUNDUP(AI133/15,0)</f>
        <v/>
      </c>
      <c r="AD135" s="1206" t="inlineStr">
        <is>
          <t>LF/Gal</t>
        </is>
      </c>
      <c r="AE135" s="1207">
        <f>ROUNDUP(AC135/8,0)+ROUNDUP(AC135/4,0)</f>
        <v/>
      </c>
      <c r="AF135" s="2077">
        <f>AE135*CoveRez</f>
        <v/>
      </c>
      <c r="AG135" s="1209" t="n"/>
      <c r="AI135" s="1930" t="n"/>
      <c r="AK135" s="1271" t="inlineStr">
        <is>
          <t>Cove (Liquids)</t>
        </is>
      </c>
      <c r="AL135" s="1315" t="inlineStr">
        <is>
          <t>WR</t>
        </is>
      </c>
      <c r="AM135" s="1214" t="n">
        <v>26</v>
      </c>
      <c r="AN135" s="1215" t="inlineStr">
        <is>
          <t>LF/Kit</t>
        </is>
      </c>
      <c r="AO135" s="1216">
        <f>ROUNDUP(AI133/AM135,0)</f>
        <v/>
      </c>
      <c r="AP135" s="2078">
        <f>AO135*WR</f>
        <v/>
      </c>
      <c r="AQ135" s="1317" t="n"/>
      <c r="AS135" s="585" t="inlineStr">
        <is>
          <t>WR 8"</t>
        </is>
      </c>
    </row>
    <row r="136" ht="16.2" customFormat="1" customHeight="1" s="585" thickBot="1">
      <c r="A136" s="1263" t="inlineStr">
        <is>
          <t>Aggregate</t>
        </is>
      </c>
      <c r="B136" s="1264" t="inlineStr">
        <is>
          <t>Silica     (@ 50#s)</t>
        </is>
      </c>
      <c r="C136" s="1265" t="n">
        <v>25</v>
      </c>
      <c r="D136" s="1266" t="inlineStr">
        <is>
          <t>Lbs/LF</t>
        </is>
      </c>
      <c r="E136" s="1267">
        <f>CEILING(C135*C136,50)</f>
        <v/>
      </c>
      <c r="F136" s="2079">
        <f>E136*(IF($A$22=$R$189,Q28_40s,IF($A$22=$R$190,Q28_40s,IF($A$22=$R$191,Q28_40s,Silica))))</f>
        <v/>
      </c>
      <c r="G136" s="1320" t="inlineStr">
        <is>
          <t>formula: Q28 or Silica</t>
        </is>
      </c>
      <c r="H136" s="1324" t="inlineStr">
        <is>
          <t>Sand + Cap</t>
        </is>
      </c>
      <c r="I136" s="1930" t="n"/>
      <c r="K136" s="1263" t="inlineStr">
        <is>
          <t>Cap</t>
        </is>
      </c>
      <c r="L136" s="1264" t="inlineStr">
        <is>
          <t>Zinc       (@ 8'-0")</t>
        </is>
      </c>
      <c r="M136" s="1265" t="n">
        <v>1</v>
      </c>
      <c r="N136" s="1266" t="inlineStr">
        <is>
          <t>/LF</t>
        </is>
      </c>
      <c r="O136" s="1267">
        <f>CEILING(I133*M136,8)</f>
        <v/>
      </c>
      <c r="P136" s="2082">
        <f>O136*ZincCoveCap</f>
        <v/>
      </c>
      <c r="Q136" s="1318" t="inlineStr">
        <is>
          <t>$0.75 /LF zinc cap</t>
        </is>
      </c>
      <c r="S136" s="585" t="inlineStr">
        <is>
          <t>WR 8" + Cap</t>
        </is>
      </c>
      <c r="T136" s="2080">
        <f>SUM(T137:T138)</f>
        <v/>
      </c>
      <c r="V136" s="1747" t="inlineStr">
        <is>
          <t>BULK Discount ON</t>
        </is>
      </c>
      <c r="AA136" s="1263" t="inlineStr">
        <is>
          <t>Aggregate</t>
        </is>
      </c>
      <c r="AB136" s="1264" t="inlineStr">
        <is>
          <t>Silica     (@ 50#s)</t>
        </is>
      </c>
      <c r="AC136" s="1265" t="n">
        <v>25</v>
      </c>
      <c r="AD136" s="1266" t="inlineStr">
        <is>
          <t>Lbs/LF</t>
        </is>
      </c>
      <c r="AE136" s="1267">
        <f>CEILING(AC135*AC136,50)</f>
        <v/>
      </c>
      <c r="AF136" s="2079">
        <f>AE136*(IF($A$22=$R$189,Q28_40s,IF($A$22=$R$190,Q28_40s,IF($A$22=$R$191,Q28_40s,Silica))))</f>
        <v/>
      </c>
      <c r="AG136" s="1320" t="inlineStr">
        <is>
          <t>formula: Q28 or Silica</t>
        </is>
      </c>
      <c r="AH136" s="1324" t="inlineStr">
        <is>
          <t>Sand + Cap</t>
        </is>
      </c>
      <c r="AI136" s="1930" t="n"/>
      <c r="AK136" s="1263" t="inlineStr">
        <is>
          <t>Cap</t>
        </is>
      </c>
      <c r="AL136" s="1264" t="inlineStr">
        <is>
          <t>Zinc       (@ 8'-0")</t>
        </is>
      </c>
      <c r="AM136" s="1265" t="n">
        <v>1</v>
      </c>
      <c r="AN136" s="1266" t="inlineStr">
        <is>
          <t>/LF</t>
        </is>
      </c>
      <c r="AO136" s="1267">
        <f>CEILING(AI133*AM136,8)</f>
        <v/>
      </c>
      <c r="AP136" s="2082">
        <f>AO136*ZincCoveCap</f>
        <v/>
      </c>
      <c r="AQ136" s="1318" t="inlineStr">
        <is>
          <t>$0.75 /LF zinc cap</t>
        </is>
      </c>
      <c r="AS136" s="585" t="inlineStr">
        <is>
          <t>WR 8" + Cap</t>
        </is>
      </c>
    </row>
    <row r="137" ht="16.2" customFormat="1" customHeight="1" s="585" thickBot="1">
      <c r="A137" s="1263" t="inlineStr">
        <is>
          <t>Cap</t>
        </is>
      </c>
      <c r="B137" s="1264" t="inlineStr">
        <is>
          <t>Zinc       (@ 8'-0")</t>
        </is>
      </c>
      <c r="C137" s="1265" t="n">
        <v>1</v>
      </c>
      <c r="D137" s="1266" t="inlineStr">
        <is>
          <t>/LF</t>
        </is>
      </c>
      <c r="E137" s="1267">
        <f>CEILING(I133*C137,8)</f>
        <v/>
      </c>
      <c r="F137" s="2082">
        <f>E137*ZincCoveCap</f>
        <v/>
      </c>
      <c r="G137" s="1269" t="inlineStr">
        <is>
          <t>$0.75 /LF zinc cap</t>
        </is>
      </c>
      <c r="H137" s="2083">
        <f>SUM(F136:F137)</f>
        <v/>
      </c>
      <c r="I137" s="1930" t="n"/>
      <c r="L137" s="848" t="n"/>
      <c r="M137" s="2014" t="n"/>
      <c r="T137" s="2080">
        <f>U160</f>
        <v/>
      </c>
      <c r="V137" s="1748" t="inlineStr">
        <is>
          <t>Bulk Discount OFF</t>
        </is>
      </c>
      <c r="AA137" s="1263" t="inlineStr">
        <is>
          <t>Cap</t>
        </is>
      </c>
      <c r="AB137" s="1264" t="inlineStr">
        <is>
          <t>Zinc       (@ 8'-0")</t>
        </is>
      </c>
      <c r="AC137" s="1265" t="n">
        <v>1</v>
      </c>
      <c r="AD137" s="1266" t="inlineStr">
        <is>
          <t>/LF</t>
        </is>
      </c>
      <c r="AE137" s="1267">
        <f>CEILING(AI133*AC137,8)</f>
        <v/>
      </c>
      <c r="AF137" s="2082">
        <f>AE137*ZincCoveCap</f>
        <v/>
      </c>
      <c r="AG137" s="1269" t="inlineStr">
        <is>
          <t>$0.75 /LF zinc cap</t>
        </is>
      </c>
      <c r="AH137" s="2083">
        <f>SUM(AF136:AF137)</f>
        <v/>
      </c>
      <c r="AI137" s="1930" t="n"/>
      <c r="AL137" s="848" t="n"/>
      <c r="AM137" s="2014" t="n"/>
    </row>
    <row r="138" ht="16.2" customFormat="1" customHeight="1" s="585" thickBot="1">
      <c r="A138" s="633" t="n"/>
      <c r="B138" s="2002" t="n"/>
      <c r="I138" s="1930" t="n"/>
      <c r="L138" s="848" t="n"/>
      <c r="M138" s="2014" t="n"/>
      <c r="S138" s="1836" t="inlineStr">
        <is>
          <t>$ per 5/2026</t>
        </is>
      </c>
      <c r="T138" s="2080">
        <f>U160*U140</f>
        <v/>
      </c>
      <c r="AA138" s="633" t="n"/>
      <c r="AB138" s="2002" t="n"/>
      <c r="AI138" s="1930" t="n"/>
      <c r="AL138" s="848" t="n"/>
      <c r="AM138" s="2014" t="n"/>
    </row>
    <row r="139" ht="16.2" customFormat="1" customHeight="1" s="585" thickBot="1">
      <c r="A139" s="2072" t="inlineStr">
        <is>
          <t>6" + CAP Cove (Standard: Flake, ShopFloor, Gard)</t>
        </is>
      </c>
      <c r="B139" s="2073" t="n"/>
      <c r="C139" s="2073" t="n"/>
      <c r="D139" s="2073" t="n"/>
      <c r="E139" s="2073" t="n"/>
      <c r="F139" s="2073" t="n"/>
      <c r="G139" s="2074" t="n"/>
      <c r="I139" s="2075">
        <f>$I$123</f>
        <v/>
      </c>
      <c r="K139" s="2072" t="inlineStr">
        <is>
          <t>6" + CAP Cove (Urethane Cement = WR)</t>
        </is>
      </c>
      <c r="L139" s="2073" t="n"/>
      <c r="M139" s="2073" t="n"/>
      <c r="N139" s="2073" t="n"/>
      <c r="O139" s="2073" t="n"/>
      <c r="P139" s="2073" t="n"/>
      <c r="Q139" s="2074" t="n"/>
      <c r="S139" s="1827" t="inlineStr">
        <is>
          <t>Torginol Escltn</t>
        </is>
      </c>
      <c r="T139" s="1828" t="n">
        <v>0</v>
      </c>
      <c r="U139" s="1818" t="n">
        <v>0</v>
      </c>
      <c r="V139" s="1817" t="inlineStr">
        <is>
          <t>Inventory Discount</t>
        </is>
      </c>
      <c r="W139" s="1816" t="inlineStr">
        <is>
          <t>(STANDARD)</t>
        </is>
      </c>
      <c r="AA139" s="2072" t="inlineStr">
        <is>
          <t>6" + CAP Cove (Standard: Flake, ShopFloor, Gard)</t>
        </is>
      </c>
      <c r="AB139" s="2073" t="n"/>
      <c r="AC139" s="2073" t="n"/>
      <c r="AD139" s="2073" t="n"/>
      <c r="AE139" s="2073" t="n"/>
      <c r="AF139" s="2073" t="n"/>
      <c r="AG139" s="2074" t="n"/>
      <c r="AI139" s="2075">
        <f>$AI$123</f>
        <v/>
      </c>
      <c r="AK139" s="2072" t="inlineStr">
        <is>
          <t>6" + CAP Cove (Urethane Cement = WR)</t>
        </is>
      </c>
      <c r="AL139" s="2073" t="n"/>
      <c r="AM139" s="2073" t="n"/>
      <c r="AN139" s="2073" t="n"/>
      <c r="AO139" s="2073" t="n"/>
      <c r="AP139" s="2073" t="n"/>
      <c r="AQ139" s="2074" t="n"/>
    </row>
    <row r="140" ht="16.2" customFormat="1" customHeight="1" s="585" thickBot="1">
      <c r="A140" s="142" t="n"/>
      <c r="B140" s="1194" t="inlineStr">
        <is>
          <t>Product</t>
        </is>
      </c>
      <c r="C140" s="1195" t="inlineStr">
        <is>
          <t>Coverage</t>
        </is>
      </c>
      <c r="D140" s="1196" t="inlineStr">
        <is>
          <t>Unit of Measure</t>
        </is>
      </c>
      <c r="E140" s="1196" t="inlineStr">
        <is>
          <t>Quantity Calcs</t>
        </is>
      </c>
      <c r="F140" s="1196" t="inlineStr">
        <is>
          <t>$ Material Cost $</t>
        </is>
      </c>
      <c r="G140" s="1197" t="inlineStr">
        <is>
          <t>Note</t>
        </is>
      </c>
      <c r="I140" s="1930" t="n"/>
      <c r="K140" s="142" t="n"/>
      <c r="L140" s="1194" t="inlineStr">
        <is>
          <t>Product</t>
        </is>
      </c>
      <c r="M140" s="1195" t="inlineStr">
        <is>
          <t>Coverage</t>
        </is>
      </c>
      <c r="N140" s="1196" t="inlineStr">
        <is>
          <t>Unit of Measure</t>
        </is>
      </c>
      <c r="O140" s="1196" t="inlineStr">
        <is>
          <t>Quantity Calcs</t>
        </is>
      </c>
      <c r="P140" s="1196" t="inlineStr">
        <is>
          <t>$ Material Cost $</t>
        </is>
      </c>
      <c r="Q140" s="1197" t="inlineStr">
        <is>
          <t>Note</t>
        </is>
      </c>
      <c r="S140" s="1381" t="inlineStr">
        <is>
          <t>Discounts / Overages:</t>
        </is>
      </c>
      <c r="T140" s="855" t="n"/>
      <c r="U140" s="1538" t="n">
        <v>0.06</v>
      </c>
      <c r="V140" s="1377" t="inlineStr">
        <is>
          <t>INCREASE for 5/1/26 (per SW Nick ~ 4/14/26) *</t>
        </is>
      </c>
      <c r="W140" s="839" t="n"/>
      <c r="X140" s="839" t="n"/>
      <c r="AA140" s="142" t="n"/>
      <c r="AB140" s="1194" t="inlineStr">
        <is>
          <t>Product</t>
        </is>
      </c>
      <c r="AC140" s="1195" t="inlineStr">
        <is>
          <t>Coverage</t>
        </is>
      </c>
      <c r="AD140" s="1196" t="inlineStr">
        <is>
          <t>Unit of Measure</t>
        </is>
      </c>
      <c r="AE140" s="1196" t="inlineStr">
        <is>
          <t>Quantity Calcs</t>
        </is>
      </c>
      <c r="AF140" s="1196" t="inlineStr">
        <is>
          <t>$ Material Cost $</t>
        </is>
      </c>
      <c r="AG140" s="1197" t="inlineStr">
        <is>
          <t>Note</t>
        </is>
      </c>
      <c r="AI140" s="1930" t="n"/>
      <c r="AK140" s="142" t="n"/>
      <c r="AL140" s="1194" t="inlineStr">
        <is>
          <t>Product</t>
        </is>
      </c>
      <c r="AM140" s="1195" t="inlineStr">
        <is>
          <t>Coverage</t>
        </is>
      </c>
      <c r="AN140" s="1196" t="inlineStr">
        <is>
          <t>Unit of Measure</t>
        </is>
      </c>
      <c r="AO140" s="1196" t="inlineStr">
        <is>
          <t>Quantity Calcs</t>
        </is>
      </c>
      <c r="AP140" s="1196" t="inlineStr">
        <is>
          <t>$ Material Cost $</t>
        </is>
      </c>
      <c r="AQ140" s="1197" t="inlineStr">
        <is>
          <t>Note</t>
        </is>
      </c>
    </row>
    <row r="141" ht="16.2" customFormat="1" customHeight="1" s="585" thickBot="1">
      <c r="A141" s="1232" t="inlineStr">
        <is>
          <t>Cove (Liquids)</t>
        </is>
      </c>
      <c r="B141" s="1204" t="inlineStr">
        <is>
          <t>Cove Rez</t>
        </is>
      </c>
      <c r="C141" s="1319">
        <f>ROUNDUP(I139/10,0)</f>
        <v/>
      </c>
      <c r="D141" s="1206" t="inlineStr">
        <is>
          <t>LF/Gal</t>
        </is>
      </c>
      <c r="E141" s="1207">
        <f>ROUNDUP(C141/8,0)+ROUNDUP(C141/4,0)</f>
        <v/>
      </c>
      <c r="F141" s="2077">
        <f>E141*CoveRez</f>
        <v/>
      </c>
      <c r="G141" s="1209" t="n"/>
      <c r="I141" s="1930" t="n"/>
      <c r="K141" s="1271" t="inlineStr">
        <is>
          <t>Cove (Liquids)</t>
        </is>
      </c>
      <c r="L141" s="1315" t="inlineStr">
        <is>
          <t>WR</t>
        </is>
      </c>
      <c r="M141" s="1214" t="n">
        <v>18</v>
      </c>
      <c r="N141" s="1215" t="inlineStr">
        <is>
          <t>LF/Kit</t>
        </is>
      </c>
      <c r="O141" s="1216">
        <f>ROUNDUP(I139/M141,0)</f>
        <v/>
      </c>
      <c r="P141" s="2078">
        <f>O141*WR</f>
        <v/>
      </c>
      <c r="Q141" s="1317" t="n"/>
      <c r="S141" s="970" t="inlineStr">
        <is>
          <t>Epoxy</t>
        </is>
      </c>
      <c r="T141" s="1380">
        <f>B41+U139+U140</f>
        <v/>
      </c>
      <c r="U141" s="1383" t="inlineStr">
        <is>
          <t>w/above ^</t>
        </is>
      </c>
      <c r="W141" s="1765" t="inlineStr">
        <is>
          <t>BULK $ per Nick email 11/6/25</t>
        </is>
      </c>
      <c r="X141" s="1819" t="n"/>
      <c r="Y141" s="1766" t="n"/>
      <c r="AA141" s="1232" t="inlineStr">
        <is>
          <t>Cove (Liquids)</t>
        </is>
      </c>
      <c r="AB141" s="1204" t="inlineStr">
        <is>
          <t>Cove Rez</t>
        </is>
      </c>
      <c r="AC141" s="1319">
        <f>ROUNDUP(AI139/10,0)</f>
        <v/>
      </c>
      <c r="AD141" s="1206" t="inlineStr">
        <is>
          <t>LF/Gal</t>
        </is>
      </c>
      <c r="AE141" s="1207">
        <f>ROUNDUP(AC141/8,0)+ROUNDUP(AC141/4,0)</f>
        <v/>
      </c>
      <c r="AF141" s="2077">
        <f>AE141*CoveRez</f>
        <v/>
      </c>
      <c r="AG141" s="1209" t="n"/>
      <c r="AI141" s="1930" t="n"/>
      <c r="AK141" s="1271" t="inlineStr">
        <is>
          <t>Cove (Liquids)</t>
        </is>
      </c>
      <c r="AL141" s="1315" t="inlineStr">
        <is>
          <t>WR</t>
        </is>
      </c>
      <c r="AM141" s="1214" t="n">
        <v>18</v>
      </c>
      <c r="AN141" s="1215" t="inlineStr">
        <is>
          <t>LF/Kit</t>
        </is>
      </c>
      <c r="AO141" s="1216">
        <f>ROUNDUP(AI139/AM141,0)</f>
        <v/>
      </c>
      <c r="AP141" s="2078">
        <f>AO141*WR</f>
        <v/>
      </c>
      <c r="AQ141" s="1317" t="n"/>
    </row>
    <row r="142" ht="16.2" customFormat="1" customHeight="1" s="585" thickBot="1">
      <c r="A142" s="1263" t="inlineStr">
        <is>
          <t>Aggregate</t>
        </is>
      </c>
      <c r="B142" s="1264" t="inlineStr">
        <is>
          <t>Silica     (@ 50#s)</t>
        </is>
      </c>
      <c r="C142" s="1265" t="n">
        <v>25</v>
      </c>
      <c r="D142" s="1266" t="inlineStr">
        <is>
          <t>Lbs/LF</t>
        </is>
      </c>
      <c r="E142" s="1267">
        <f>CEILING(C141*C142,50)</f>
        <v/>
      </c>
      <c r="F142" s="2079">
        <f>E142*(IF($A$22=$R$189,Q28_40s,IF($A$22=$R$190,Q28_40s,IF($A$22=$R$191,Q28_40s,Silica))))</f>
        <v/>
      </c>
      <c r="G142" s="1320" t="inlineStr">
        <is>
          <t>formula: Q28 or Silica</t>
        </is>
      </c>
      <c r="H142" s="1324" t="inlineStr">
        <is>
          <t>Sand + Cap</t>
        </is>
      </c>
      <c r="I142" s="1930" t="n"/>
      <c r="K142" s="1263" t="inlineStr">
        <is>
          <t>Cap</t>
        </is>
      </c>
      <c r="L142" s="1264" t="inlineStr">
        <is>
          <t>Zinc       (@ 8'-0")</t>
        </is>
      </c>
      <c r="M142" s="1265" t="n">
        <v>1</v>
      </c>
      <c r="N142" s="1266" t="inlineStr">
        <is>
          <t>/LF</t>
        </is>
      </c>
      <c r="O142" s="1267">
        <f>CEILING(I139*M142,8)</f>
        <v/>
      </c>
      <c r="P142" s="2082">
        <f>O142*ZincCoveCap</f>
        <v/>
      </c>
      <c r="Q142" s="1318" t="inlineStr">
        <is>
          <t>$0.75 /LF zinc cap</t>
        </is>
      </c>
      <c r="S142" s="1373" t="inlineStr">
        <is>
          <t>Poly-Crete</t>
        </is>
      </c>
      <c r="T142" s="1374">
        <f>C41+U139+U140</f>
        <v/>
      </c>
      <c r="U142" s="1383" t="inlineStr">
        <is>
          <t>w/above ^</t>
        </is>
      </c>
      <c r="X142" s="1820" t="inlineStr">
        <is>
          <t>(below)</t>
        </is>
      </c>
      <c r="AA142" s="1263" t="inlineStr">
        <is>
          <t>Aggregate</t>
        </is>
      </c>
      <c r="AB142" s="1264" t="inlineStr">
        <is>
          <t>Silica     (@ 50#s)</t>
        </is>
      </c>
      <c r="AC142" s="1265" t="n">
        <v>25</v>
      </c>
      <c r="AD142" s="1266" t="inlineStr">
        <is>
          <t>Lbs/LF</t>
        </is>
      </c>
      <c r="AE142" s="1267">
        <f>CEILING(AC141*AC142,50)</f>
        <v/>
      </c>
      <c r="AF142" s="2079">
        <f>AE142*(IF($A$22=$R$189,Q28_40s,IF($A$22=$R$190,Q28_40s,IF($A$22=$R$191,Q28_40s,Silica))))</f>
        <v/>
      </c>
      <c r="AG142" s="1320" t="inlineStr">
        <is>
          <t>formula: Q28 or Silica</t>
        </is>
      </c>
      <c r="AH142" s="1324" t="inlineStr">
        <is>
          <t>Sand + Cap</t>
        </is>
      </c>
      <c r="AI142" s="1930" t="n"/>
      <c r="AK142" s="1263" t="inlineStr">
        <is>
          <t>Cap</t>
        </is>
      </c>
      <c r="AL142" s="1264" t="inlineStr">
        <is>
          <t>Zinc       (@ 8'-0")</t>
        </is>
      </c>
      <c r="AM142" s="1265" t="n">
        <v>1</v>
      </c>
      <c r="AN142" s="1266" t="inlineStr">
        <is>
          <t>/LF</t>
        </is>
      </c>
      <c r="AO142" s="1267">
        <f>CEILING(AI139*AM142,8)</f>
        <v/>
      </c>
      <c r="AP142" s="2082">
        <f>AO142*ZincCoveCap</f>
        <v/>
      </c>
      <c r="AQ142" s="1318" t="inlineStr">
        <is>
          <t>$0.75 /LF zinc cap</t>
        </is>
      </c>
    </row>
    <row r="143" ht="16.2" customFormat="1" customHeight="1" s="585" thickBot="1">
      <c r="A143" s="1263" t="inlineStr">
        <is>
          <t>Cap</t>
        </is>
      </c>
      <c r="B143" s="1264" t="inlineStr">
        <is>
          <t>Zinc       (@ 8'-0")</t>
        </is>
      </c>
      <c r="C143" s="1265" t="n">
        <v>1</v>
      </c>
      <c r="D143" s="1266" t="inlineStr">
        <is>
          <t>/LF</t>
        </is>
      </c>
      <c r="E143" s="1267">
        <f>CEILING(I139*C143,8)</f>
        <v/>
      </c>
      <c r="F143" s="2082">
        <f>E143*ZincCoveCap</f>
        <v/>
      </c>
      <c r="G143" s="1269" t="inlineStr">
        <is>
          <t>$0.75 /LF zinc cap</t>
        </is>
      </c>
      <c r="H143" s="2083">
        <f>SUM(F142:F143)</f>
        <v/>
      </c>
      <c r="I143" s="1930" t="n"/>
      <c r="L143" s="848" t="n"/>
      <c r="M143" s="2014" t="n"/>
      <c r="U143" s="1808" t="inlineStr">
        <is>
          <t>Treadwell + SW Price Book 01/01/26</t>
        </is>
      </c>
      <c r="V143" s="1808" t="n"/>
      <c r="AA143" s="1263" t="inlineStr">
        <is>
          <t>Cap</t>
        </is>
      </c>
      <c r="AB143" s="1264" t="inlineStr">
        <is>
          <t>Zinc       (@ 8'-0")</t>
        </is>
      </c>
      <c r="AC143" s="1265" t="n">
        <v>1</v>
      </c>
      <c r="AD143" s="1266" t="inlineStr">
        <is>
          <t>/LF</t>
        </is>
      </c>
      <c r="AE143" s="1267">
        <f>CEILING(AI139*AC143,8)</f>
        <v/>
      </c>
      <c r="AF143" s="2082">
        <f>AE143*ZincCoveCap</f>
        <v/>
      </c>
      <c r="AG143" s="1269" t="inlineStr">
        <is>
          <t>$0.75 /LF zinc cap</t>
        </is>
      </c>
      <c r="AH143" s="2083">
        <f>SUM(AF142:AF143)</f>
        <v/>
      </c>
      <c r="AI143" s="1930" t="n"/>
      <c r="AL143" s="848" t="n"/>
      <c r="AM143" s="2014" t="n"/>
    </row>
    <row r="144" ht="16.2" customFormat="1" customHeight="1" s="585" thickBot="1">
      <c r="S144" s="1378" t="inlineStr">
        <is>
          <t>DAF Material Prices $</t>
        </is>
      </c>
      <c r="T144" s="1379" t="inlineStr">
        <is>
          <t>WITH discounts</t>
        </is>
      </c>
      <c r="U144" s="1807" t="inlineStr">
        <is>
          <t>NO discnt</t>
        </is>
      </c>
      <c r="V144" s="1191" t="inlineStr">
        <is>
          <t xml:space="preserve">   Sand/Flake Material Prices $</t>
        </is>
      </c>
      <c r="W144" s="784" t="n"/>
      <c r="X144" s="1800" t="inlineStr">
        <is>
          <t>* Silica $ covers a little more for Q28</t>
        </is>
      </c>
    </row>
    <row r="145" ht="16.2" customFormat="1" customHeight="1" s="585" thickBot="1">
      <c r="A145" s="2072" t="inlineStr">
        <is>
          <t>8" Cove (Standard: Flake, ShopFloor, Gard)</t>
        </is>
      </c>
      <c r="B145" s="2073" t="n"/>
      <c r="C145" s="2073" t="n"/>
      <c r="D145" s="2073" t="n"/>
      <c r="E145" s="2073" t="n"/>
      <c r="F145" s="2073" t="n"/>
      <c r="G145" s="2074" t="n"/>
      <c r="I145" s="2075">
        <f>$I$123</f>
        <v/>
      </c>
      <c r="K145" s="2072" t="inlineStr">
        <is>
          <t>8" Cove (Urethane Cement = WR)</t>
        </is>
      </c>
      <c r="L145" s="2073" t="n"/>
      <c r="M145" s="2073" t="n"/>
      <c r="N145" s="2073" t="n"/>
      <c r="O145" s="2073" t="n"/>
      <c r="P145" s="2073" t="n"/>
      <c r="Q145" s="2074" t="n"/>
      <c r="S145" s="1192" t="inlineStr">
        <is>
          <t>WB</t>
        </is>
      </c>
      <c r="T145" s="2084">
        <f>(U145*$T$141)+U145</f>
        <v/>
      </c>
      <c r="U145" s="2085">
        <f>1276.94/25</f>
        <v/>
      </c>
      <c r="V145" s="1192" t="inlineStr">
        <is>
          <t>(Sturgis)  Silica</t>
        </is>
      </c>
      <c r="W145" s="2086">
        <f>0.44</f>
        <v/>
      </c>
      <c r="X145" s="1800" t="inlineStr">
        <is>
          <t>Sturgis 1/19/26 ^(see above)</t>
        </is>
      </c>
      <c r="AA145" s="2072" t="inlineStr">
        <is>
          <t>8" Cove (Standard: Flake, ShopFloor, Gard)</t>
        </is>
      </c>
      <c r="AB145" s="2073" t="n"/>
      <c r="AC145" s="2073" t="n"/>
      <c r="AD145" s="2073" t="n"/>
      <c r="AE145" s="2073" t="n"/>
      <c r="AF145" s="2073" t="n"/>
      <c r="AG145" s="2074" t="n"/>
      <c r="AI145" s="2075">
        <f>$AI$123</f>
        <v/>
      </c>
      <c r="AK145" s="2072" t="inlineStr">
        <is>
          <t>8" Cove (Urethane Cement = WR)</t>
        </is>
      </c>
      <c r="AL145" s="2073" t="n"/>
      <c r="AM145" s="2073" t="n"/>
      <c r="AN145" s="2073" t="n"/>
      <c r="AO145" s="2073" t="n"/>
      <c r="AP145" s="2073" t="n"/>
      <c r="AQ145" s="2074" t="n"/>
    </row>
    <row r="146" ht="16.05" customFormat="1" customHeight="1" s="585" thickBot="1">
      <c r="A146" s="142" t="n"/>
      <c r="B146" s="1194" t="inlineStr">
        <is>
          <t>Product</t>
        </is>
      </c>
      <c r="C146" s="1195" t="inlineStr">
        <is>
          <t>Coverage</t>
        </is>
      </c>
      <c r="D146" s="1196" t="inlineStr">
        <is>
          <t>Unit of Measure</t>
        </is>
      </c>
      <c r="E146" s="1196" t="inlineStr">
        <is>
          <t>Quantity Calcs</t>
        </is>
      </c>
      <c r="F146" s="1196" t="inlineStr">
        <is>
          <t>$ Material Cost $</t>
        </is>
      </c>
      <c r="G146" s="1197" t="inlineStr">
        <is>
          <t>Note</t>
        </is>
      </c>
      <c r="I146" s="1930" t="n"/>
      <c r="K146" s="142" t="n"/>
      <c r="L146" s="1194" t="inlineStr">
        <is>
          <t>Product</t>
        </is>
      </c>
      <c r="M146" s="1195" t="inlineStr">
        <is>
          <t>Coverage</t>
        </is>
      </c>
      <c r="N146" s="1196" t="inlineStr">
        <is>
          <t>Unit of Measure</t>
        </is>
      </c>
      <c r="O146" s="1196" t="inlineStr">
        <is>
          <t>Quantity Calcs</t>
        </is>
      </c>
      <c r="P146" s="1196" t="inlineStr">
        <is>
          <t>$ Material Cost $</t>
        </is>
      </c>
      <c r="Q146" s="1197" t="inlineStr">
        <is>
          <t>Note</t>
        </is>
      </c>
      <c r="S146" s="1192" t="inlineStr">
        <is>
          <t>MVP</t>
        </is>
      </c>
      <c r="T146" s="2084">
        <f>(U146*$T$141)+U146</f>
        <v/>
      </c>
      <c r="U146" s="2085">
        <f>1912.52/15</f>
        <v/>
      </c>
      <c r="V146" s="1749" t="inlineStr">
        <is>
          <t>MACRO Flake</t>
        </is>
      </c>
      <c r="W146" s="2087">
        <f>(2.18+0.07)*(100%+T139)</f>
        <v/>
      </c>
      <c r="X146" s="2088">
        <f>(2.23+0.07)*(100%+T139)</f>
        <v/>
      </c>
      <c r="Y146" s="1837" t="inlineStr">
        <is>
          <t>Torginol 5/2026*</t>
        </is>
      </c>
      <c r="AA146" s="142" t="n"/>
      <c r="AB146" s="1194" t="inlineStr">
        <is>
          <t>Product</t>
        </is>
      </c>
      <c r="AC146" s="1195" t="inlineStr">
        <is>
          <t>Coverage</t>
        </is>
      </c>
      <c r="AD146" s="1196" t="inlineStr">
        <is>
          <t>Unit of Measure</t>
        </is>
      </c>
      <c r="AE146" s="1196" t="inlineStr">
        <is>
          <t>Quantity Calcs</t>
        </is>
      </c>
      <c r="AF146" s="1196" t="inlineStr">
        <is>
          <t>$ Material Cost $</t>
        </is>
      </c>
      <c r="AG146" s="1197" t="inlineStr">
        <is>
          <t>Note</t>
        </is>
      </c>
      <c r="AI146" s="1930" t="n"/>
      <c r="AK146" s="142" t="n"/>
      <c r="AL146" s="1194" t="inlineStr">
        <is>
          <t>Product</t>
        </is>
      </c>
      <c r="AM146" s="1195" t="inlineStr">
        <is>
          <t>Coverage</t>
        </is>
      </c>
      <c r="AN146" s="1196" t="inlineStr">
        <is>
          <t>Unit of Measure</t>
        </is>
      </c>
      <c r="AO146" s="1196" t="inlineStr">
        <is>
          <t>Quantity Calcs</t>
        </is>
      </c>
      <c r="AP146" s="1196" t="inlineStr">
        <is>
          <t>$ Material Cost $</t>
        </is>
      </c>
      <c r="AQ146" s="1197" t="inlineStr">
        <is>
          <t>Note</t>
        </is>
      </c>
    </row>
    <row r="147" ht="16.2" customFormat="1" customHeight="1" s="585" thickBot="1">
      <c r="A147" s="1232" t="inlineStr">
        <is>
          <t>Cove (Liquids)</t>
        </is>
      </c>
      <c r="B147" s="1204" t="inlineStr">
        <is>
          <t>Cove Rez</t>
        </is>
      </c>
      <c r="C147" s="1319">
        <f>ROUNDUP(I145/(21/2),0)</f>
        <v/>
      </c>
      <c r="D147" s="1206" t="inlineStr">
        <is>
          <t>LF/Gal</t>
        </is>
      </c>
      <c r="E147" s="1207">
        <f>ROUNDUP(C147/8,0)+ROUNDUP(C147/4,0)</f>
        <v/>
      </c>
      <c r="F147" s="2077">
        <f>E147*CoveRez</f>
        <v/>
      </c>
      <c r="G147" s="1209" t="n"/>
      <c r="I147" s="1930" t="n"/>
      <c r="K147" s="1271" t="inlineStr">
        <is>
          <t>Cove (Liquids)</t>
        </is>
      </c>
      <c r="L147" s="1315" t="inlineStr">
        <is>
          <t>WR</t>
        </is>
      </c>
      <c r="M147" s="1214">
        <f>35/2</f>
        <v/>
      </c>
      <c r="N147" s="1215" t="inlineStr">
        <is>
          <t>LF/Kit</t>
        </is>
      </c>
      <c r="O147" s="1216">
        <f>ROUNDUP(I145/M147,0)</f>
        <v/>
      </c>
      <c r="P147" s="2078">
        <f>O147*WR</f>
        <v/>
      </c>
      <c r="Q147" s="1317" t="n"/>
      <c r="S147" s="1192" t="inlineStr">
        <is>
          <t>Elast-O-Coat Clear</t>
        </is>
      </c>
      <c r="T147" s="2089">
        <f>(U147*$T$141)+U147</f>
        <v/>
      </c>
      <c r="U147" s="2085">
        <f>1084.34/15</f>
        <v/>
      </c>
      <c r="V147" s="1751" t="inlineStr">
        <is>
          <t>micro Flake</t>
        </is>
      </c>
      <c r="W147" s="2090">
        <f>(2.28+0.07)*(100%+T139)</f>
        <v/>
      </c>
      <c r="X147" s="2091">
        <f>(2.33+0.07)*(100%+T139)</f>
        <v/>
      </c>
      <c r="Y147" s="1838">
        <f>Y146</f>
        <v/>
      </c>
      <c r="AA147" s="1232" t="inlineStr">
        <is>
          <t>Cove (Liquids)</t>
        </is>
      </c>
      <c r="AB147" s="1204" t="inlineStr">
        <is>
          <t>Cove Rez</t>
        </is>
      </c>
      <c r="AC147" s="1319">
        <f>ROUNDUP(AI145/(21/2),0)</f>
        <v/>
      </c>
      <c r="AD147" s="1206" t="inlineStr">
        <is>
          <t>LF/Gal</t>
        </is>
      </c>
      <c r="AE147" s="1207">
        <f>ROUNDUP(AC147/8,0)+ROUNDUP(AC147/4,0)</f>
        <v/>
      </c>
      <c r="AF147" s="2077">
        <f>AE147*CoveRez</f>
        <v/>
      </c>
      <c r="AG147" s="1209" t="n"/>
      <c r="AI147" s="1930" t="n"/>
      <c r="AK147" s="1271" t="inlineStr">
        <is>
          <t>Cove (Liquids)</t>
        </is>
      </c>
      <c r="AL147" s="1315" t="inlineStr">
        <is>
          <t>WR</t>
        </is>
      </c>
      <c r="AM147" s="1214">
        <f>35/2</f>
        <v/>
      </c>
      <c r="AN147" s="1215" t="inlineStr">
        <is>
          <t>LF/Kit</t>
        </is>
      </c>
      <c r="AO147" s="1216">
        <f>ROUNDUP(AI145/AM147,0)</f>
        <v/>
      </c>
      <c r="AP147" s="2078">
        <f>AO147*WR</f>
        <v/>
      </c>
      <c r="AQ147" s="1317" t="n"/>
    </row>
    <row r="148" ht="16.2" customFormat="1" customHeight="1" s="585" thickBot="1">
      <c r="A148" s="1263" t="inlineStr">
        <is>
          <t>Aggregate</t>
        </is>
      </c>
      <c r="B148" s="1264" t="inlineStr">
        <is>
          <t>Silica     (@ 50#s)</t>
        </is>
      </c>
      <c r="C148" s="1265" t="n">
        <v>20</v>
      </c>
      <c r="D148" s="1266" t="inlineStr">
        <is>
          <t>Lbs/LF</t>
        </is>
      </c>
      <c r="E148" s="1267">
        <f>CEILING(C147*C148,50)</f>
        <v/>
      </c>
      <c r="F148" s="2079">
        <f>E148*(IF($A$22=$R$189,Q28_40s,IF($A$22=$R$190,Q28_40s,IF($A$22=$R$191,Q28_40s,Silica))))</f>
        <v/>
      </c>
      <c r="G148" s="1320" t="inlineStr">
        <is>
          <t>formula: Q28 or Silica</t>
        </is>
      </c>
      <c r="I148" s="1930" t="n"/>
      <c r="L148" s="848" t="n"/>
      <c r="M148" s="2014" t="n"/>
      <c r="S148" s="1192" t="inlineStr">
        <is>
          <t>Elast-O-Coat Pigment</t>
        </is>
      </c>
      <c r="T148" s="2092">
        <f>(U148*$T$141)+U148</f>
        <v/>
      </c>
      <c r="U148" s="2085">
        <f>1127.99/15</f>
        <v/>
      </c>
      <c r="V148" s="1751" t="inlineStr">
        <is>
          <t>Q28 / 40-S</t>
        </is>
      </c>
      <c r="W148" s="2090">
        <f>(0.42+0.05)*(100%+T139)</f>
        <v/>
      </c>
      <c r="X148" s="2091">
        <f>(0.47+0.05)*(100%+T139)</f>
        <v/>
      </c>
      <c r="Y148" s="1838">
        <f>Y146</f>
        <v/>
      </c>
      <c r="AA148" s="1263" t="inlineStr">
        <is>
          <t>Aggregate</t>
        </is>
      </c>
      <c r="AB148" s="1264" t="inlineStr">
        <is>
          <t>Silica     (@ 50#s)</t>
        </is>
      </c>
      <c r="AC148" s="1265" t="n">
        <v>20</v>
      </c>
      <c r="AD148" s="1266" t="inlineStr">
        <is>
          <t>Lbs/LF</t>
        </is>
      </c>
      <c r="AE148" s="1267">
        <f>CEILING(AC147*AC148,50)</f>
        <v/>
      </c>
      <c r="AF148" s="2079">
        <f>AE148*(IF($A$22=$R$189,Q28_40s,IF($A$22=$R$190,Q28_40s,IF($A$22=$R$191,Q28_40s,Silica))))</f>
        <v/>
      </c>
      <c r="AG148" s="1320" t="inlineStr">
        <is>
          <t>formula: Q28 or Silica</t>
        </is>
      </c>
      <c r="AI148" s="1930" t="n"/>
      <c r="AL148" s="848" t="n"/>
      <c r="AM148" s="2014" t="n"/>
    </row>
    <row r="149" ht="16.2" customFormat="1" customHeight="1" s="585" thickBot="1">
      <c r="I149" s="1930" t="n"/>
      <c r="L149" s="848" t="n"/>
      <c r="M149" s="2014" t="n"/>
      <c r="S149" s="1192" t="inlineStr">
        <is>
          <t>Gard (reg)</t>
        </is>
      </c>
      <c r="T149" s="2084">
        <f>(U149*$T$141)+U149</f>
        <v/>
      </c>
      <c r="U149" s="2085">
        <f>1152.39/15</f>
        <v/>
      </c>
      <c r="V149" s="1753" t="inlineStr">
        <is>
          <t>Q11 / 25-A</t>
        </is>
      </c>
      <c r="W149" s="2093">
        <f>(0.49+0.05)*(100%+T139)</f>
        <v/>
      </c>
      <c r="X149" s="2094">
        <f>(0.54+0.05)*(100%+T139)</f>
        <v/>
      </c>
      <c r="Y149" s="1839">
        <f>Y146</f>
        <v/>
      </c>
      <c r="AI149" s="1930" t="n"/>
      <c r="AL149" s="848" t="n"/>
      <c r="AM149" s="2014" t="n"/>
    </row>
    <row r="150" ht="16.2" customFormat="1" customHeight="1" s="585" thickBot="1">
      <c r="A150" s="2072" t="inlineStr">
        <is>
          <t>8" + CAP Cove (Standard: Flake, ShopFloor, Gard)</t>
        </is>
      </c>
      <c r="B150" s="2073" t="n"/>
      <c r="C150" s="2073" t="n"/>
      <c r="D150" s="2073" t="n"/>
      <c r="E150" s="2073" t="n"/>
      <c r="F150" s="2073" t="n"/>
      <c r="G150" s="2074" t="n"/>
      <c r="I150" s="2075">
        <f>$I$123</f>
        <v/>
      </c>
      <c r="K150" s="2072" t="inlineStr">
        <is>
          <t>8" + CAP Cove (Urethane Cement = WR)</t>
        </is>
      </c>
      <c r="L150" s="2073" t="n"/>
      <c r="M150" s="2073" t="n"/>
      <c r="N150" s="2073" t="n"/>
      <c r="O150" s="2073" t="n"/>
      <c r="P150" s="2073" t="n"/>
      <c r="Q150" s="2074" t="n"/>
      <c r="R150" s="1535" t="inlineStr">
        <is>
          <t>Walls --&gt;</t>
        </is>
      </c>
      <c r="S150" s="1535" t="inlineStr">
        <is>
          <t>Gard (No-Sag)</t>
        </is>
      </c>
      <c r="T150" s="2084">
        <f>(U150*$T$141)+U150</f>
        <v/>
      </c>
      <c r="U150" s="2085">
        <f>1169.72/15</f>
        <v/>
      </c>
      <c r="V150" s="1192" t="inlineStr">
        <is>
          <t>Zinc Cove Cap</t>
        </is>
      </c>
      <c r="W150" s="2095">
        <f>0.75</f>
        <v/>
      </c>
      <c r="Y150" s="1835" t="inlineStr">
        <is>
          <t>+ surchg '26</t>
        </is>
      </c>
      <c r="AA150" s="2072" t="inlineStr">
        <is>
          <t>8" + CAP Cove (Standard: Flake, ShopFloor, Gard)</t>
        </is>
      </c>
      <c r="AB150" s="2073" t="n"/>
      <c r="AC150" s="2073" t="n"/>
      <c r="AD150" s="2073" t="n"/>
      <c r="AE150" s="2073" t="n"/>
      <c r="AF150" s="2073" t="n"/>
      <c r="AG150" s="2074" t="n"/>
      <c r="AI150" s="2075">
        <f>$AI$123</f>
        <v/>
      </c>
      <c r="AK150" s="2072" t="inlineStr">
        <is>
          <t>8" + CAP Cove (Urethane Cement = WR)</t>
        </is>
      </c>
      <c r="AL150" s="2073" t="n"/>
      <c r="AM150" s="2073" t="n"/>
      <c r="AN150" s="2073" t="n"/>
      <c r="AO150" s="2073" t="n"/>
      <c r="AP150" s="2073" t="n"/>
      <c r="AQ150" s="2074" t="n"/>
    </row>
    <row r="151" ht="16.2" customFormat="1" customHeight="1" s="585" thickBot="1">
      <c r="A151" s="142" t="n"/>
      <c r="B151" s="1194" t="inlineStr">
        <is>
          <t>Product</t>
        </is>
      </c>
      <c r="C151" s="1195" t="inlineStr">
        <is>
          <t>Coverage</t>
        </is>
      </c>
      <c r="D151" s="1196" t="inlineStr">
        <is>
          <t>Unit of Measure</t>
        </is>
      </c>
      <c r="E151" s="1196" t="inlineStr">
        <is>
          <t>Quantity Calcs</t>
        </is>
      </c>
      <c r="F151" s="1196" t="inlineStr">
        <is>
          <t>$ Material Cost $</t>
        </is>
      </c>
      <c r="G151" s="1197" t="inlineStr">
        <is>
          <t>Note</t>
        </is>
      </c>
      <c r="I151" s="1930" t="n"/>
      <c r="K151" s="142" t="n"/>
      <c r="L151" s="1194" t="inlineStr">
        <is>
          <t>Product</t>
        </is>
      </c>
      <c r="M151" s="1195" t="inlineStr">
        <is>
          <t>Coverage</t>
        </is>
      </c>
      <c r="N151" s="1196" t="inlineStr">
        <is>
          <t>Unit of Measure</t>
        </is>
      </c>
      <c r="O151" s="1196" t="inlineStr">
        <is>
          <t>Quantity Calcs</t>
        </is>
      </c>
      <c r="P151" s="1196" t="inlineStr">
        <is>
          <t>$ Material Cost $</t>
        </is>
      </c>
      <c r="Q151" s="1197" t="inlineStr">
        <is>
          <t>Note</t>
        </is>
      </c>
      <c r="S151" s="1192" t="inlineStr">
        <is>
          <t>Gard (OPF)</t>
        </is>
      </c>
      <c r="T151" s="2084">
        <f>(U151*$T$141)+U151</f>
        <v/>
      </c>
      <c r="U151" s="2085">
        <f>1208.24/15</f>
        <v/>
      </c>
      <c r="V151" s="1192" t="inlineStr">
        <is>
          <t>Fiberglass Mat</t>
        </is>
      </c>
      <c r="W151" s="2090">
        <f>0.3</f>
        <v/>
      </c>
      <c r="AA151" s="142" t="n"/>
      <c r="AB151" s="1194" t="inlineStr">
        <is>
          <t>Product</t>
        </is>
      </c>
      <c r="AC151" s="1195" t="inlineStr">
        <is>
          <t>Coverage</t>
        </is>
      </c>
      <c r="AD151" s="1196" t="inlineStr">
        <is>
          <t>Unit of Measure</t>
        </is>
      </c>
      <c r="AE151" s="1196" t="inlineStr">
        <is>
          <t>Quantity Calcs</t>
        </is>
      </c>
      <c r="AF151" s="1196" t="inlineStr">
        <is>
          <t>$ Material Cost $</t>
        </is>
      </c>
      <c r="AG151" s="1197" t="inlineStr">
        <is>
          <t>Note</t>
        </is>
      </c>
      <c r="AI151" s="1930" t="n"/>
      <c r="AK151" s="142" t="n"/>
      <c r="AL151" s="1194" t="inlineStr">
        <is>
          <t>Product</t>
        </is>
      </c>
      <c r="AM151" s="1195" t="inlineStr">
        <is>
          <t>Coverage</t>
        </is>
      </c>
      <c r="AN151" s="1196" t="inlineStr">
        <is>
          <t>Unit of Measure</t>
        </is>
      </c>
      <c r="AO151" s="1196" t="inlineStr">
        <is>
          <t>Quantity Calcs</t>
        </is>
      </c>
      <c r="AP151" s="1196" t="inlineStr">
        <is>
          <t>$ Material Cost $</t>
        </is>
      </c>
      <c r="AQ151" s="1197" t="inlineStr">
        <is>
          <t>Note</t>
        </is>
      </c>
    </row>
    <row r="152" ht="16.2" customFormat="1" customHeight="1" s="585" thickBot="1">
      <c r="A152" s="1232" t="inlineStr">
        <is>
          <t>Cove (Liquids)</t>
        </is>
      </c>
      <c r="B152" s="1204" t="inlineStr">
        <is>
          <t>Cove Rez</t>
        </is>
      </c>
      <c r="C152" s="1319">
        <f>ROUNDUP(I150/(13/2),0)</f>
        <v/>
      </c>
      <c r="D152" s="1206" t="inlineStr">
        <is>
          <t>LF/Gal</t>
        </is>
      </c>
      <c r="E152" s="1207">
        <f>ROUNDUP(C152/8,0)+ROUNDUP(C152/4,0)</f>
        <v/>
      </c>
      <c r="F152" s="2077">
        <f>E152*CoveRez</f>
        <v/>
      </c>
      <c r="G152" s="1209" t="n"/>
      <c r="I152" s="1930" t="n"/>
      <c r="J152" s="2096" t="n"/>
      <c r="K152" s="1271" t="inlineStr">
        <is>
          <t>Cove (Liquids)</t>
        </is>
      </c>
      <c r="L152" s="1315" t="inlineStr">
        <is>
          <t>WR</t>
        </is>
      </c>
      <c r="M152" s="1214">
        <f>26/2</f>
        <v/>
      </c>
      <c r="N152" s="1215" t="inlineStr">
        <is>
          <t>LF/Kit</t>
        </is>
      </c>
      <c r="O152" s="1216">
        <f>ROUNDUP(I150/M152,0)</f>
        <v/>
      </c>
      <c r="P152" s="2078">
        <f>O152*WR</f>
        <v/>
      </c>
      <c r="Q152" s="1317" t="n"/>
      <c r="S152" s="1192" t="inlineStr">
        <is>
          <t>Cove Rez</t>
        </is>
      </c>
      <c r="T152" s="2084">
        <f>(U152*$T$141)+U152</f>
        <v/>
      </c>
      <c r="U152" s="2085">
        <f>1257.04/15</f>
        <v/>
      </c>
      <c r="W152" s="1834" t="inlineStr">
        <is>
          <t>Bulk $ WITH escalation</t>
        </is>
      </c>
      <c r="X152" s="1763" t="inlineStr">
        <is>
          <t>bulk $ savings:</t>
        </is>
      </c>
      <c r="Y152" s="1763" t="inlineStr">
        <is>
          <t>Bulk NO escl.</t>
        </is>
      </c>
      <c r="AA152" s="1232" t="inlineStr">
        <is>
          <t>Cove (Liquids)</t>
        </is>
      </c>
      <c r="AB152" s="1204" t="inlineStr">
        <is>
          <t>Cove Rez</t>
        </is>
      </c>
      <c r="AC152" s="1319">
        <f>ROUNDUP(AI150/(13/2),0)</f>
        <v/>
      </c>
      <c r="AD152" s="1206" t="inlineStr">
        <is>
          <t>LF/Gal</t>
        </is>
      </c>
      <c r="AE152" s="1207">
        <f>ROUNDUP(AC152/8,0)+ROUNDUP(AC152/4,0)</f>
        <v/>
      </c>
      <c r="AF152" s="2077">
        <f>AE152*CoveRez</f>
        <v/>
      </c>
      <c r="AG152" s="1209" t="n"/>
      <c r="AI152" s="1930" t="n"/>
      <c r="AJ152" s="2096" t="n"/>
      <c r="AK152" s="1271" t="inlineStr">
        <is>
          <t>Cove (Liquids)</t>
        </is>
      </c>
      <c r="AL152" s="1315" t="inlineStr">
        <is>
          <t>WR</t>
        </is>
      </c>
      <c r="AM152" s="1214">
        <f>26/2</f>
        <v/>
      </c>
      <c r="AN152" s="1215" t="inlineStr">
        <is>
          <t>LF/Kit</t>
        </is>
      </c>
      <c r="AO152" s="1216">
        <f>ROUNDUP(AI150/AM152,0)</f>
        <v/>
      </c>
      <c r="AP152" s="2078">
        <f>AO152*WR</f>
        <v/>
      </c>
      <c r="AQ152" s="1317" t="n"/>
    </row>
    <row r="153" ht="16.2" customFormat="1" customHeight="1" s="585" thickBot="1">
      <c r="A153" s="1263" t="inlineStr">
        <is>
          <t>Aggregate</t>
        </is>
      </c>
      <c r="B153" s="1264" t="inlineStr">
        <is>
          <t>Silica     (@ 50#s)</t>
        </is>
      </c>
      <c r="C153" s="1265" t="n">
        <v>21</v>
      </c>
      <c r="D153" s="1266" t="inlineStr">
        <is>
          <t>Lbs/LF</t>
        </is>
      </c>
      <c r="E153" s="1267">
        <f>CEILING(C152*C153,50)</f>
        <v/>
      </c>
      <c r="F153" s="2079">
        <f>E153*(IF($A$22=$R$189,Q28_40s,IF($A$22=$R$190,Q28_40s,IF($A$22=$R$191,Q28_40s,Silica))))</f>
        <v/>
      </c>
      <c r="G153" s="1320" t="inlineStr">
        <is>
          <t>formula: Q28 or Silica</t>
        </is>
      </c>
      <c r="H153" s="1324" t="inlineStr">
        <is>
          <t>Sand + Cap</t>
        </is>
      </c>
      <c r="I153" s="1930" t="n"/>
      <c r="K153" s="1263" t="inlineStr">
        <is>
          <t>Cap</t>
        </is>
      </c>
      <c r="L153" s="1264" t="inlineStr">
        <is>
          <t>Zinc       (@ 8'-0")</t>
        </is>
      </c>
      <c r="M153" s="1265" t="n">
        <v>1</v>
      </c>
      <c r="N153" s="1266" t="inlineStr">
        <is>
          <t>/LF</t>
        </is>
      </c>
      <c r="O153" s="1267">
        <f>CEILING(I150*M153,8)</f>
        <v/>
      </c>
      <c r="P153" s="2082">
        <f>O153*ZincCoveCap</f>
        <v/>
      </c>
      <c r="Q153" s="1318" t="inlineStr">
        <is>
          <t>$0.75 /LF zinc cap</t>
        </is>
      </c>
      <c r="S153" s="1743" t="inlineStr">
        <is>
          <t>Glaze 4</t>
        </is>
      </c>
      <c r="T153" s="2097">
        <f>IF($D$41=$V$136,W153,((U153*$T$141)+U153))</f>
        <v/>
      </c>
      <c r="U153" s="2085">
        <f>1128.64/15</f>
        <v/>
      </c>
      <c r="V153" s="1745" t="inlineStr">
        <is>
          <t>Glz4 50 gal Drums&gt;</t>
        </is>
      </c>
      <c r="W153" s="2098">
        <f>Y153*(100%+T141)</f>
        <v/>
      </c>
      <c r="X153" s="2099">
        <f>W153-((U153*$U$140)+U153)</f>
        <v/>
      </c>
      <c r="Y153" s="2100">
        <f>((2909.23)/50)</f>
        <v/>
      </c>
      <c r="AA153" s="1263" t="inlineStr">
        <is>
          <t>Aggregate</t>
        </is>
      </c>
      <c r="AB153" s="1264" t="inlineStr">
        <is>
          <t>Silica     (@ 50#s)</t>
        </is>
      </c>
      <c r="AC153" s="1265" t="n">
        <v>21</v>
      </c>
      <c r="AD153" s="1266" t="inlineStr">
        <is>
          <t>Lbs/LF</t>
        </is>
      </c>
      <c r="AE153" s="1267">
        <f>CEILING(AC152*AC153,50)</f>
        <v/>
      </c>
      <c r="AF153" s="2079">
        <f>AE153*(IF($A$22=$R$189,Q28_40s,IF($A$22=$R$190,Q28_40s,IF($A$22=$R$191,Q28_40s,Silica))))</f>
        <v/>
      </c>
      <c r="AG153" s="1320" t="inlineStr">
        <is>
          <t>formula: Q28 or Silica</t>
        </is>
      </c>
      <c r="AH153" s="1324" t="inlineStr">
        <is>
          <t>Sand + Cap</t>
        </is>
      </c>
      <c r="AI153" s="1930" t="n"/>
      <c r="AK153" s="1263" t="inlineStr">
        <is>
          <t>Cap</t>
        </is>
      </c>
      <c r="AL153" s="1264" t="inlineStr">
        <is>
          <t>Zinc       (@ 8'-0")</t>
        </is>
      </c>
      <c r="AM153" s="1265" t="n">
        <v>1</v>
      </c>
      <c r="AN153" s="1266" t="inlineStr">
        <is>
          <t>/LF</t>
        </is>
      </c>
      <c r="AO153" s="1267">
        <f>CEILING(AI150*AM153,8)</f>
        <v/>
      </c>
      <c r="AP153" s="2082">
        <f>AO153*ZincCoveCap</f>
        <v/>
      </c>
      <c r="AQ153" s="1318" t="inlineStr">
        <is>
          <t>$0.75 /LF zinc cap</t>
        </is>
      </c>
    </row>
    <row r="154" ht="16.2" customFormat="1" customHeight="1" s="585" thickBot="1">
      <c r="A154" s="1263" t="inlineStr">
        <is>
          <t>Cap</t>
        </is>
      </c>
      <c r="B154" s="1264" t="inlineStr">
        <is>
          <t>Zinc       (@ 8'-0")</t>
        </is>
      </c>
      <c r="C154" s="1265" t="n">
        <v>1</v>
      </c>
      <c r="D154" s="1266" t="inlineStr">
        <is>
          <t>/LF</t>
        </is>
      </c>
      <c r="E154" s="1267">
        <f>CEILING(I150*C154,8)</f>
        <v/>
      </c>
      <c r="F154" s="2082">
        <f>E154*ZincCoveCap</f>
        <v/>
      </c>
      <c r="G154" s="1269" t="inlineStr">
        <is>
          <t>$0.75 /LF zinc cap</t>
        </is>
      </c>
      <c r="H154" s="2083">
        <f>SUM(F153:F154)</f>
        <v/>
      </c>
      <c r="I154" s="1930" t="n"/>
      <c r="L154" s="848" t="n"/>
      <c r="M154" s="2014" t="n"/>
      <c r="S154" s="1192" t="inlineStr">
        <is>
          <t>(Glz4+Pgmnt) Shop Floor</t>
        </is>
      </c>
      <c r="T154" s="2084">
        <f>(U154*$T$141)+U154</f>
        <v/>
      </c>
      <c r="U154" s="2085">
        <f>1153.03/15</f>
        <v/>
      </c>
      <c r="W154" s="585">
        <f>2909.23*2</f>
        <v/>
      </c>
      <c r="X154" s="2080" t="n"/>
      <c r="AA154" s="1263" t="inlineStr">
        <is>
          <t>Cap</t>
        </is>
      </c>
      <c r="AB154" s="1264" t="inlineStr">
        <is>
          <t>Zinc       (@ 8'-0")</t>
        </is>
      </c>
      <c r="AC154" s="1265" t="n">
        <v>1</v>
      </c>
      <c r="AD154" s="1266" t="inlineStr">
        <is>
          <t>/LF</t>
        </is>
      </c>
      <c r="AE154" s="1267">
        <f>CEILING(AI150*AC154,8)</f>
        <v/>
      </c>
      <c r="AF154" s="2082">
        <f>AE154*ZincCoveCap</f>
        <v/>
      </c>
      <c r="AG154" s="1269" t="inlineStr">
        <is>
          <t>$0.75 /LF zinc cap</t>
        </is>
      </c>
      <c r="AH154" s="2083">
        <f>SUM(AF153:AF154)</f>
        <v/>
      </c>
      <c r="AI154" s="1930" t="n"/>
      <c r="AL154" s="848" t="n"/>
      <c r="AM154" s="2014" t="n"/>
    </row>
    <row r="155" customFormat="1" s="585">
      <c r="I155" s="1930" t="n"/>
      <c r="L155" s="848" t="n"/>
      <c r="M155" s="2014" t="n"/>
      <c r="R155" s="847" t="n"/>
      <c r="S155" s="1192" t="inlineStr">
        <is>
          <t>Novolac (Gard) - 3741</t>
        </is>
      </c>
      <c r="T155" s="2084">
        <f>(U155*$T$141)+U155</f>
        <v/>
      </c>
      <c r="U155" s="2085">
        <f>2125.02/15</f>
        <v/>
      </c>
      <c r="V155" s="1722" t="inlineStr">
        <is>
          <t>Novo Gard &amp; Glaze are NOW the SAME (as Resuflor 3741)</t>
        </is>
      </c>
    </row>
    <row r="156" customFormat="1" s="585">
      <c r="I156" s="1930" t="n"/>
      <c r="L156" s="848" t="n"/>
      <c r="M156" s="2014" t="n"/>
      <c r="R156" s="847" t="n"/>
      <c r="S156" s="633" t="inlineStr">
        <is>
          <t>Novolac (Glaze) - 3741</t>
        </is>
      </c>
      <c r="T156" s="2089">
        <f>(U156*$T$141)+U156</f>
        <v/>
      </c>
      <c r="U156" s="2085">
        <f>2125.02/15</f>
        <v/>
      </c>
      <c r="V156" s="1722" t="inlineStr">
        <is>
          <t>Novo Gard &amp; Glaze are NOW the SAME (as Resuflor 3741)</t>
        </is>
      </c>
      <c r="AI156" s="1930" t="n"/>
      <c r="AL156" s="848" t="n"/>
      <c r="AM156" s="2014" t="n"/>
    </row>
    <row r="157" ht="16.2" customFormat="1" customHeight="1" s="585" thickBot="1">
      <c r="I157" s="1930" t="n"/>
      <c r="L157" s="848" t="n"/>
      <c r="M157" s="2014" t="n"/>
      <c r="S157" s="633" t="inlineStr">
        <is>
          <t>Ultra Clear</t>
        </is>
      </c>
      <c r="T157" s="2089">
        <f>(U157*$T$141)+U157</f>
        <v/>
      </c>
      <c r="U157" s="2085">
        <f>1194.12/15</f>
        <v/>
      </c>
      <c r="W157" s="1834" t="inlineStr">
        <is>
          <t>Bulk $ WITH escalation</t>
        </is>
      </c>
      <c r="X157" s="1763" t="inlineStr">
        <is>
          <t>bulk $ savings:</t>
        </is>
      </c>
      <c r="Y157" s="1763" t="inlineStr">
        <is>
          <t>Bulk NO escl.</t>
        </is>
      </c>
      <c r="AI157" s="1930" t="n"/>
      <c r="AL157" s="848" t="n"/>
      <c r="AM157" s="2014" t="n"/>
    </row>
    <row r="158" ht="21" customFormat="1" customHeight="1" s="585">
      <c r="I158" s="1305" t="inlineStr">
        <is>
          <t>System 1 Floor</t>
        </is>
      </c>
      <c r="L158" s="848" t="n"/>
      <c r="M158" s="2014" t="n"/>
      <c r="R158" s="1740" t="n"/>
      <c r="S158" s="1792" t="inlineStr">
        <is>
          <t>AT Clear Satin w/Grit</t>
        </is>
      </c>
      <c r="T158" s="2101">
        <f>IF($D$41=$V$136,W158,((U158*$T$141)+U158))</f>
        <v/>
      </c>
      <c r="U158" s="2085">
        <f>360.8</f>
        <v/>
      </c>
      <c r="V158" s="1733" t="inlineStr">
        <is>
          <t>50+ kits --&gt;</t>
        </is>
      </c>
      <c r="W158" s="2102">
        <f>Y158*(100%+T141)</f>
        <v/>
      </c>
      <c r="X158" s="2099">
        <f>W158-((U158*$U$140)+U158)</f>
        <v/>
      </c>
      <c r="Y158" s="2103" t="n">
        <v>306.45</v>
      </c>
      <c r="AI158" s="1306" t="inlineStr">
        <is>
          <t>System 2 Floor</t>
        </is>
      </c>
      <c r="AL158" s="848" t="n"/>
      <c r="AM158" s="2014" t="n"/>
    </row>
    <row r="159" ht="21.6" customFormat="1" customHeight="1" s="585" thickBot="1">
      <c r="A159" s="1848" t="inlineStr">
        <is>
          <t>Primer Options</t>
        </is>
      </c>
      <c r="I159" s="1231" t="inlineStr">
        <is>
          <t>sf</t>
        </is>
      </c>
      <c r="K159" s="1855" t="inlineStr">
        <is>
          <t>Wall Systems -----&gt; See System 2 -------&gt;</t>
        </is>
      </c>
      <c r="L159" s="585" t="n"/>
      <c r="M159" s="585" t="n"/>
      <c r="N159" s="585" t="n"/>
      <c r="O159" s="585" t="n"/>
      <c r="P159" s="585" t="n"/>
      <c r="R159" s="1741" t="n"/>
      <c r="S159" s="1119" t="inlineStr">
        <is>
          <t>AT Clear Gloss w/Grit</t>
        </is>
      </c>
      <c r="T159" s="2104">
        <f>IF($D$41=$V$136,W159,((U159*$T$141)+U159))</f>
        <v/>
      </c>
      <c r="U159" s="2085">
        <f>280.55</f>
        <v/>
      </c>
      <c r="V159" s="1734" t="inlineStr">
        <is>
          <t>50+ kits --&gt;</t>
        </is>
      </c>
      <c r="W159" s="2105">
        <f>Y159*(100%+T141)</f>
        <v/>
      </c>
      <c r="X159" s="2099">
        <f>W159-((U159*$U$140)+U159)</f>
        <v/>
      </c>
      <c r="Y159" s="2106" t="n">
        <v>238.71</v>
      </c>
      <c r="AA159" s="1849" t="inlineStr">
        <is>
          <t>Primer Options</t>
        </is>
      </c>
      <c r="AI159" s="1304" t="inlineStr">
        <is>
          <t>sf</t>
        </is>
      </c>
      <c r="AL159" s="848" t="n"/>
      <c r="AM159" s="2014" t="n"/>
    </row>
    <row r="160" ht="16.2" customFormat="1" customHeight="1" s="585" thickBot="1">
      <c r="A160" s="2072" t="inlineStr">
        <is>
          <t>For Standard Flake, Quartz, Accelera Flake Systems</t>
        </is>
      </c>
      <c r="B160" s="2073" t="n"/>
      <c r="C160" s="2073" t="n"/>
      <c r="D160" s="2073" t="n"/>
      <c r="E160" s="2073" t="n"/>
      <c r="F160" s="2073" t="n"/>
      <c r="G160" s="2074" t="n"/>
      <c r="I160" s="2075">
        <f>E20</f>
        <v/>
      </c>
      <c r="L160" s="848" t="n"/>
      <c r="M160" s="2014" t="n"/>
      <c r="R160" s="1741" t="n"/>
      <c r="S160" s="1119" t="inlineStr">
        <is>
          <t>AT Pigmented Satin w/Grit</t>
        </is>
      </c>
      <c r="T160" s="2104">
        <f>IF($D$41=$V$136,W160,((U160*$T$141)+U160))</f>
        <v/>
      </c>
      <c r="U160" s="2085">
        <f>402.53</f>
        <v/>
      </c>
      <c r="V160" s="1734" t="inlineStr">
        <is>
          <t>50+ kits --&gt;</t>
        </is>
      </c>
      <c r="W160" s="2105">
        <f>Y160*(100%+T141)</f>
        <v/>
      </c>
      <c r="X160" s="2099">
        <f>W160-((U160*$U$140)+U160)</f>
        <v/>
      </c>
      <c r="Y160" s="2106" t="n">
        <v>344.09</v>
      </c>
      <c r="AA160" s="2072" t="inlineStr">
        <is>
          <t>For Standard Flake, Quartz, Accelera Flake Systems</t>
        </is>
      </c>
      <c r="AB160" s="2073" t="n"/>
      <c r="AC160" s="2073" t="n"/>
      <c r="AD160" s="2073" t="n"/>
      <c r="AE160" s="2073" t="n"/>
      <c r="AF160" s="2073" t="n"/>
      <c r="AG160" s="2074" t="n"/>
      <c r="AI160" s="2076">
        <f>E24</f>
        <v/>
      </c>
      <c r="AL160" s="848" t="n"/>
      <c r="AM160" s="2014" t="n"/>
    </row>
    <row r="161" ht="16.2" customFormat="1" customHeight="1" s="585" thickBot="1">
      <c r="A161" s="142" t="n"/>
      <c r="B161" s="1194" t="inlineStr">
        <is>
          <t>Primer Options</t>
        </is>
      </c>
      <c r="C161" s="1195" t="inlineStr">
        <is>
          <t>Coverage</t>
        </is>
      </c>
      <c r="D161" s="1196" t="inlineStr">
        <is>
          <t>Unit of Measure</t>
        </is>
      </c>
      <c r="E161" s="1196" t="inlineStr">
        <is>
          <t>Quantity Calcs</t>
        </is>
      </c>
      <c r="F161" s="1196" t="inlineStr">
        <is>
          <t>$ Material Cost $</t>
        </is>
      </c>
      <c r="G161" s="1197" t="inlineStr">
        <is>
          <t>Note</t>
        </is>
      </c>
      <c r="I161" s="1951" t="n"/>
      <c r="L161" s="848" t="n"/>
      <c r="M161" s="2014" t="n"/>
      <c r="R161" s="1742" t="n"/>
      <c r="S161" s="1791" t="inlineStr">
        <is>
          <t>AT Pigmented Gloss w/Grit</t>
        </is>
      </c>
      <c r="T161" s="2107">
        <f>IF($D$41=$V$136,W161,((U161*$T$141)+U161))</f>
        <v/>
      </c>
      <c r="U161" s="2085">
        <f>322.3</f>
        <v/>
      </c>
      <c r="V161" s="1736" t="inlineStr">
        <is>
          <t>50+ kits --&gt;</t>
        </is>
      </c>
      <c r="W161" s="2108">
        <f>Y161*(100%+T141)</f>
        <v/>
      </c>
      <c r="X161" s="2099">
        <f>W161-((U161*$U$140)+U161)</f>
        <v/>
      </c>
      <c r="Y161" s="2109" t="n">
        <v>276.34</v>
      </c>
      <c r="AA161" s="142" t="n"/>
      <c r="AB161" s="1194" t="inlineStr">
        <is>
          <t>Primer Options</t>
        </is>
      </c>
      <c r="AC161" s="1195" t="inlineStr">
        <is>
          <t>Coverage</t>
        </is>
      </c>
      <c r="AD161" s="1196" t="inlineStr">
        <is>
          <t>Unit of Measure</t>
        </is>
      </c>
      <c r="AE161" s="1196" t="inlineStr">
        <is>
          <t>Quantity Calcs</t>
        </is>
      </c>
      <c r="AF161" s="1196" t="inlineStr">
        <is>
          <t>$ Material Cost $</t>
        </is>
      </c>
      <c r="AG161" s="1197" t="inlineStr">
        <is>
          <t>Note</t>
        </is>
      </c>
      <c r="AI161" s="1951" t="n"/>
      <c r="AL161" s="848" t="n"/>
      <c r="AM161" s="2014" t="n"/>
    </row>
    <row r="162" ht="16.2" customFormat="1" customHeight="1" s="585" thickBot="1">
      <c r="A162" s="2110" t="inlineStr">
        <is>
          <t>Primers</t>
        </is>
      </c>
      <c r="B162" s="1204" t="inlineStr">
        <is>
          <t>MVP (@ 12 mils)</t>
        </is>
      </c>
      <c r="C162" s="1205" t="n">
        <v>134</v>
      </c>
      <c r="D162" s="1206" t="inlineStr">
        <is>
          <t>SF/Gal</t>
        </is>
      </c>
      <c r="E162" s="1207">
        <f>ROUNDUP(I160/C162,0)</f>
        <v/>
      </c>
      <c r="F162" s="2111">
        <f>E162*MVP</f>
        <v/>
      </c>
      <c r="G162" s="1237" t="inlineStr">
        <is>
          <t>@ 12 mils (= ~134 sf)</t>
        </is>
      </c>
      <c r="H162" s="1243">
        <f>(12/1600)*I160</f>
        <v/>
      </c>
      <c r="I162" s="1951" t="n"/>
      <c r="L162" s="848" t="n"/>
      <c r="M162" s="2014" t="n"/>
      <c r="S162" s="1756" t="inlineStr">
        <is>
          <t>SL</t>
        </is>
      </c>
      <c r="T162" s="2097">
        <f>IF($D$41=$V$136,W162,((U162*$T$142)+U162))</f>
        <v/>
      </c>
      <c r="U162" s="2085">
        <f>111.71</f>
        <v/>
      </c>
      <c r="V162" s="1375" t="inlineStr">
        <is>
          <t>Poly-Crete</t>
        </is>
      </c>
      <c r="W162" s="2100">
        <f>Y162*(100%+T142)</f>
        <v/>
      </c>
      <c r="X162" s="2112">
        <f>90.86*(100%+T142)</f>
        <v/>
      </c>
      <c r="Y162" s="2100" t="n">
        <v>101.5</v>
      </c>
      <c r="AA162" s="1860" t="inlineStr">
        <is>
          <t>Primers</t>
        </is>
      </c>
      <c r="AB162" s="1204" t="inlineStr">
        <is>
          <t>MVP (@ 12 mils)</t>
        </is>
      </c>
      <c r="AC162" s="1205" t="n">
        <v>134</v>
      </c>
      <c r="AD162" s="1206" t="inlineStr">
        <is>
          <t>SF/Gal</t>
        </is>
      </c>
      <c r="AE162" s="1207">
        <f>ROUNDUP(AI160/AC162,0)</f>
        <v/>
      </c>
      <c r="AF162" s="2111">
        <f>AE162*MVP</f>
        <v/>
      </c>
      <c r="AG162" s="1237" t="inlineStr">
        <is>
          <t>@ 12 mils (= ~134 sf)</t>
        </is>
      </c>
      <c r="AH162" s="1243">
        <f>(12/1600)*AI160</f>
        <v/>
      </c>
      <c r="AI162" s="1951" t="n"/>
      <c r="AL162" s="848" t="n"/>
      <c r="AM162" s="2014" t="n"/>
    </row>
    <row r="163" ht="16.2" customFormat="1" customHeight="1" s="585" thickBot="1">
      <c r="A163" s="2113" t="n"/>
      <c r="B163" s="1210" t="inlineStr">
        <is>
          <t>WB</t>
        </is>
      </c>
      <c r="C163" s="1211" t="n">
        <v>200</v>
      </c>
      <c r="D163" s="1212" t="inlineStr">
        <is>
          <t>SF/Gal</t>
        </is>
      </c>
      <c r="E163" s="1213">
        <f>ROUNDUP(I160/C163,0)</f>
        <v/>
      </c>
      <c r="F163" s="2114">
        <f>E163*WB</f>
        <v/>
      </c>
      <c r="G163" s="1238" t="n"/>
      <c r="I163" s="1951" t="n"/>
      <c r="L163" s="848" t="n"/>
      <c r="M163" s="2014" t="n"/>
      <c r="S163" s="1755" t="inlineStr">
        <is>
          <t>MD</t>
        </is>
      </c>
      <c r="T163" s="2115">
        <f>(U163*$T$142)+U163</f>
        <v/>
      </c>
      <c r="U163" s="2085">
        <f>127.12</f>
        <v/>
      </c>
      <c r="V163" s="1375" t="inlineStr">
        <is>
          <t>Poly-Crete</t>
        </is>
      </c>
      <c r="W163" s="2116">
        <f>Y163*(100%+T142)</f>
        <v/>
      </c>
      <c r="X163" s="2117">
        <f>102.19*(100%+T142)</f>
        <v/>
      </c>
      <c r="Y163" s="2116" t="n">
        <v>115.59</v>
      </c>
      <c r="AA163" s="2113" t="n"/>
      <c r="AB163" s="1210" t="inlineStr">
        <is>
          <t>WB</t>
        </is>
      </c>
      <c r="AC163" s="1211" t="n">
        <v>200</v>
      </c>
      <c r="AD163" s="1212" t="inlineStr">
        <is>
          <t>SF/Gal</t>
        </is>
      </c>
      <c r="AE163" s="1213">
        <f>ROUNDUP(AI160/AC163,0)</f>
        <v/>
      </c>
      <c r="AF163" s="2114">
        <f>AE163*WB</f>
        <v/>
      </c>
      <c r="AG163" s="1238" t="n"/>
      <c r="AI163" s="1951" t="n"/>
      <c r="AL163" s="848" t="n"/>
      <c r="AM163" s="2014" t="n"/>
    </row>
    <row r="164" ht="16.2" customFormat="1" customHeight="1" s="585" thickBot="1">
      <c r="A164" s="2113" t="n"/>
      <c r="B164" s="1217" t="inlineStr">
        <is>
          <t>Accelera EXT (Clear)</t>
        </is>
      </c>
      <c r="C164" s="1214" t="n">
        <v>115</v>
      </c>
      <c r="D164" s="1215" t="inlineStr">
        <is>
          <t>SF/Large Kit</t>
        </is>
      </c>
      <c r="E164" s="1216">
        <f>ROUNDUP(I160/C164,0)</f>
        <v/>
      </c>
      <c r="F164" s="2111">
        <f>E164*Accelera_ClearEXT</f>
        <v/>
      </c>
      <c r="G164" s="1239" t="inlineStr">
        <is>
          <t>fast cure system ONLY</t>
        </is>
      </c>
      <c r="I164" s="1951" t="n"/>
      <c r="L164" s="848" t="n"/>
      <c r="M164" s="2014" t="n"/>
      <c r="S164" s="1192" t="inlineStr">
        <is>
          <t>Color Fast (Lrg)</t>
        </is>
      </c>
      <c r="T164" s="2084">
        <f>(U164*$T$141)+U164</f>
        <v/>
      </c>
      <c r="U164" s="2085">
        <f>288.26</f>
        <v/>
      </c>
      <c r="W164" s="1732" t="inlineStr">
        <is>
          <t>^ 200 kits ^</t>
        </is>
      </c>
      <c r="X164" s="1760" t="inlineStr">
        <is>
          <t>^ 300 kits ^</t>
        </is>
      </c>
      <c r="Y164" s="1732" t="inlineStr">
        <is>
          <t>^ 200 kits ^</t>
        </is>
      </c>
      <c r="AA164" s="2113" t="n"/>
      <c r="AB164" s="1303" t="inlineStr">
        <is>
          <t>Accelera EXT (Clear)</t>
        </is>
      </c>
      <c r="AC164" s="1214" t="n">
        <v>115</v>
      </c>
      <c r="AD164" s="1215" t="inlineStr">
        <is>
          <t>SF/Large Kit</t>
        </is>
      </c>
      <c r="AE164" s="1216">
        <f>ROUNDUP(AI160/AC164,0)</f>
        <v/>
      </c>
      <c r="AF164" s="2111">
        <f>AE164*Accelera_ClearEXT</f>
        <v/>
      </c>
      <c r="AG164" s="1239" t="inlineStr">
        <is>
          <t>fast cure system ONLY</t>
        </is>
      </c>
      <c r="AI164" s="1951" t="n"/>
      <c r="AL164" s="848" t="n"/>
      <c r="AM164" s="2014" t="n"/>
    </row>
    <row r="165" ht="16.2" customFormat="1" customHeight="1" s="585" thickBot="1">
      <c r="A165" s="2118" t="n"/>
      <c r="B165" s="1210" t="inlineStr">
        <is>
          <t>TF+ (Reg. Size)</t>
        </is>
      </c>
      <c r="C165" s="1211" t="n">
        <v>100</v>
      </c>
      <c r="D165" s="1212" t="inlineStr">
        <is>
          <t>SF/Kit</t>
        </is>
      </c>
      <c r="E165" s="1213">
        <f>ROUNDUP(I160/C165,0)</f>
        <v/>
      </c>
      <c r="F165" s="2119">
        <f>E165*TF_Reg</f>
        <v/>
      </c>
      <c r="G165" s="1282" t="inlineStr">
        <is>
          <t>ONLY over Tile wSL/MD</t>
        </is>
      </c>
      <c r="I165" s="1951" t="n"/>
      <c r="L165" s="848" t="n"/>
      <c r="M165" s="2014" t="n"/>
      <c r="S165" s="1192" t="inlineStr">
        <is>
          <t>TF+ (reg size)</t>
        </is>
      </c>
      <c r="T165" s="2084">
        <f>(U165*$T$141)+U165</f>
        <v/>
      </c>
      <c r="U165" s="2085">
        <f>58.42</f>
        <v/>
      </c>
      <c r="X165" s="1761" t="inlineStr">
        <is>
          <t>"not used"</t>
        </is>
      </c>
      <c r="AA165" s="2113" t="n"/>
      <c r="AB165" s="1484" t="inlineStr">
        <is>
          <t>TF+ (Reg. Size)</t>
        </is>
      </c>
      <c r="AC165" s="1485" t="n">
        <v>100</v>
      </c>
      <c r="AD165" s="1486" t="inlineStr">
        <is>
          <t>SF/Kit</t>
        </is>
      </c>
      <c r="AE165" s="1487">
        <f>ROUNDUP(AI160/AC165,0)</f>
        <v/>
      </c>
      <c r="AF165" s="2120">
        <f>AE165*TF_Reg</f>
        <v/>
      </c>
      <c r="AG165" s="1489" t="inlineStr">
        <is>
          <t>ONLY over Tile wSL/MD</t>
        </is>
      </c>
      <c r="AI165" s="1951" t="n"/>
      <c r="AL165" s="848" t="n"/>
      <c r="AM165" s="2014" t="n"/>
    </row>
    <row r="166" ht="16.2" customFormat="1" customHeight="1" s="585" thickBot="1">
      <c r="A166" s="1515" t="n"/>
      <c r="C166" s="1891" t="n"/>
      <c r="E166" s="1516" t="n"/>
      <c r="F166" s="2121" t="n"/>
      <c r="G166" s="397" t="n"/>
      <c r="I166" s="1951" t="n"/>
      <c r="L166" s="848" t="n"/>
      <c r="M166" s="2014" t="n"/>
      <c r="S166" s="633" t="inlineStr">
        <is>
          <t>TF+ (jumbo)</t>
        </is>
      </c>
      <c r="T166" s="2089">
        <f>(U166*$T$141)+U166</f>
        <v/>
      </c>
      <c r="U166" s="2085">
        <f>208.01</f>
        <v/>
      </c>
      <c r="AA166" s="1505" t="inlineStr">
        <is>
          <t>Wall</t>
        </is>
      </c>
      <c r="AB166" s="1490" t="inlineStr">
        <is>
          <t>HP Gripper Primer</t>
        </is>
      </c>
      <c r="AC166" s="1491" t="n">
        <v>275</v>
      </c>
      <c r="AD166" s="1492" t="inlineStr">
        <is>
          <t>SF/Gal</t>
        </is>
      </c>
      <c r="AE166" s="1493">
        <f>ROUNDUP(AI160/AC166,0)</f>
        <v/>
      </c>
      <c r="AF166" s="2122">
        <f>AE166*HP_Gripper_Primer</f>
        <v/>
      </c>
      <c r="AG166" s="1495" t="inlineStr">
        <is>
          <t>range 400 - 200 sf/g</t>
        </is>
      </c>
      <c r="AI166" s="1951" t="n"/>
      <c r="AL166" s="848" t="n"/>
      <c r="AM166" s="2014" t="n"/>
    </row>
    <row r="167" ht="16.2" customFormat="1" customHeight="1" s="585" thickBot="1">
      <c r="A167" s="1515" t="n"/>
      <c r="C167" s="1891" t="n"/>
      <c r="E167" s="1516" t="n"/>
      <c r="F167" s="2121" t="n"/>
      <c r="G167" s="397" t="n"/>
      <c r="I167" s="1951" t="n"/>
      <c r="L167" s="848" t="n"/>
      <c r="M167" s="2014" t="n"/>
      <c r="S167" s="1755" t="inlineStr">
        <is>
          <t>WR</t>
        </is>
      </c>
      <c r="T167" s="2115">
        <f>(U167*$T$142)+U167</f>
        <v/>
      </c>
      <c r="U167" s="2085">
        <f>62.92</f>
        <v/>
      </c>
      <c r="V167" s="1375" t="inlineStr">
        <is>
          <t>Poly-Crete</t>
        </is>
      </c>
      <c r="AA167" s="1506" t="inlineStr">
        <is>
          <t>Primers</t>
        </is>
      </c>
      <c r="AB167" s="1496" t="inlineStr">
        <is>
          <t>HP Block Filler Primer (5gal kit)</t>
        </is>
      </c>
      <c r="AC167" s="1497" t="n">
        <v>175</v>
      </c>
      <c r="AD167" s="1498" t="inlineStr">
        <is>
          <t>SF/Gal</t>
        </is>
      </c>
      <c r="AE167" s="1499">
        <f>(CEILING(AI160/AC167,5))/5</f>
        <v/>
      </c>
      <c r="AF167" s="2123">
        <f>AE167*HP_Block_Filler_Primer</f>
        <v/>
      </c>
      <c r="AG167" s="1501" t="inlineStr">
        <is>
          <t>5 gal kit ONLY [range 150 - 200 sf/g]</t>
        </is>
      </c>
      <c r="AI167" s="1951" t="n"/>
      <c r="AL167" s="848" t="n"/>
      <c r="AM167" s="2014" t="n"/>
    </row>
    <row r="168" customFormat="1" s="585">
      <c r="I168" s="1951" t="n"/>
      <c r="L168" s="848" t="n"/>
      <c r="M168" s="2014" t="n"/>
      <c r="S168" s="1192" t="inlineStr">
        <is>
          <t>Accelera Clear EXT</t>
        </is>
      </c>
      <c r="T168" s="2084">
        <f>(U168*$T$141)+U168</f>
        <v/>
      </c>
      <c r="U168" s="2085">
        <f>117.49</f>
        <v/>
      </c>
      <c r="V168" s="590" t="inlineStr">
        <is>
          <t>large kit</t>
        </is>
      </c>
      <c r="AI168" s="1951" t="n"/>
      <c r="AL168" s="848" t="n"/>
      <c r="AM168" s="2014" t="n"/>
    </row>
    <row r="169" customFormat="1" s="585">
      <c r="I169" s="1951" t="n"/>
      <c r="L169" s="848" t="n"/>
      <c r="M169" s="2014" t="n"/>
      <c r="S169" s="1192" t="inlineStr">
        <is>
          <t>Accelera Pgmnt EXT</t>
        </is>
      </c>
      <c r="T169" s="2084">
        <f>(U169*$T$141)+U169</f>
        <v/>
      </c>
      <c r="U169" s="2085">
        <f>138.67</f>
        <v/>
      </c>
      <c r="V169" s="590" t="inlineStr">
        <is>
          <t>large kit</t>
        </is>
      </c>
      <c r="AI169" s="1951" t="n"/>
      <c r="AL169" s="848" t="n"/>
      <c r="AM169" s="2014" t="n"/>
    </row>
    <row r="170" ht="21.6" customFormat="1" customHeight="1" s="585" thickBot="1">
      <c r="A170" s="1868" t="inlineStr">
        <is>
          <t>Urethane Cement Systems</t>
        </is>
      </c>
      <c r="I170" s="1951" t="n"/>
      <c r="K170" s="1857" t="inlineStr">
        <is>
          <t>Urethane Cement Systems</t>
        </is>
      </c>
      <c r="L170" s="585" t="n"/>
      <c r="M170" s="585" t="n"/>
      <c r="N170" s="585" t="n"/>
      <c r="O170" s="585" t="n"/>
      <c r="P170" s="585" t="n"/>
      <c r="S170" s="633" t="inlineStr">
        <is>
          <t>Accelera Clear EXT [SATIN]</t>
        </is>
      </c>
      <c r="T170" s="2089">
        <f>(U170*$T$141)+U170</f>
        <v/>
      </c>
      <c r="U170" s="2085">
        <f>121.98</f>
        <v/>
      </c>
      <c r="V170" s="590" t="inlineStr">
        <is>
          <t>large kit</t>
        </is>
      </c>
      <c r="AA170" s="1856" t="inlineStr">
        <is>
          <t>Urethane Cement Systems</t>
        </is>
      </c>
      <c r="AI170" s="1951" t="n"/>
      <c r="AK170" s="1857" t="inlineStr">
        <is>
          <t>Urethane Cement Systems</t>
        </is>
      </c>
      <c r="AL170" s="585" t="n"/>
      <c r="AM170" s="585" t="n"/>
      <c r="AN170" s="585" t="n"/>
      <c r="AO170" s="585" t="n"/>
      <c r="AP170" s="585" t="n"/>
    </row>
    <row r="171" ht="16.2" customFormat="1" customHeight="1" s="585" thickBot="1">
      <c r="A171" s="2072" t="inlineStr">
        <is>
          <t>3/16" Urethne Cement With Color Fast (SLB)</t>
        </is>
      </c>
      <c r="B171" s="2073" t="n"/>
      <c r="C171" s="2073" t="n"/>
      <c r="D171" s="2073" t="n"/>
      <c r="E171" s="2073" t="n"/>
      <c r="F171" s="2073" t="n"/>
      <c r="G171" s="2074" t="n"/>
      <c r="I171" s="2075">
        <f>$I$160</f>
        <v/>
      </c>
      <c r="K171" s="2124" t="inlineStr">
        <is>
          <t>3/16" Urethne Cement With Color Fast (SLB)</t>
        </is>
      </c>
      <c r="L171" s="2125" t="n"/>
      <c r="M171" s="2125" t="n"/>
      <c r="N171" s="2125" t="n"/>
      <c r="O171" s="2125" t="n"/>
      <c r="P171" s="2126" t="n"/>
      <c r="AA171" s="2072" t="inlineStr">
        <is>
          <t>3/16" Urethne Cement With Color Fast (SLB)</t>
        </is>
      </c>
      <c r="AB171" s="2073" t="n"/>
      <c r="AC171" s="2073" t="n"/>
      <c r="AD171" s="2073" t="n"/>
      <c r="AE171" s="2073" t="n"/>
      <c r="AF171" s="2073" t="n"/>
      <c r="AG171" s="2074" t="n"/>
      <c r="AI171" s="2075">
        <f>$AI$160</f>
        <v/>
      </c>
      <c r="AK171" s="2124" t="inlineStr">
        <is>
          <t>3/16" Urethne Cement With Color Fast (SLB)</t>
        </is>
      </c>
      <c r="AL171" s="2125" t="n"/>
      <c r="AM171" s="2125" t="n"/>
      <c r="AN171" s="2125" t="n"/>
      <c r="AO171" s="2125" t="n"/>
      <c r="AP171" s="2126" t="n"/>
    </row>
    <row r="172" ht="16.2" customFormat="1" customHeight="1" s="585" thickBot="1">
      <c r="A172" s="142" t="n"/>
      <c r="B172" s="1194" t="inlineStr">
        <is>
          <t>Product</t>
        </is>
      </c>
      <c r="C172" s="1195" t="inlineStr">
        <is>
          <t>Coverage</t>
        </is>
      </c>
      <c r="D172" s="1196" t="inlineStr">
        <is>
          <t>Unit of Measure</t>
        </is>
      </c>
      <c r="E172" s="1196" t="inlineStr">
        <is>
          <t>Quantity Calcs</t>
        </is>
      </c>
      <c r="F172" s="1196" t="inlineStr">
        <is>
          <t>$ Material Cost $</t>
        </is>
      </c>
      <c r="G172" s="1197" t="inlineStr">
        <is>
          <t>Note</t>
        </is>
      </c>
      <c r="I172" s="1951" t="n"/>
      <c r="K172" s="1274" t="inlineStr">
        <is>
          <t>Broadcast Media</t>
        </is>
      </c>
      <c r="L172" s="1276" t="inlineStr">
        <is>
          <t>Product</t>
        </is>
      </c>
      <c r="M172" s="1277" t="inlineStr">
        <is>
          <t>Coverage</t>
        </is>
      </c>
      <c r="N172" s="1275" t="inlineStr">
        <is>
          <t>Unit of Measure</t>
        </is>
      </c>
      <c r="O172" s="1275" t="inlineStr">
        <is>
          <t>Quantity Calcs</t>
        </is>
      </c>
      <c r="P172" s="1197" t="inlineStr">
        <is>
          <t>$ Material Cost $</t>
        </is>
      </c>
      <c r="S172" s="1483" t="inlineStr">
        <is>
          <t>Walls:</t>
        </is>
      </c>
      <c r="T172" s="2127" t="n"/>
      <c r="U172" s="784" t="n"/>
      <c r="V172" s="784" t="n"/>
      <c r="AA172" s="142" t="n"/>
      <c r="AB172" s="1194" t="inlineStr">
        <is>
          <t>Product</t>
        </is>
      </c>
      <c r="AC172" s="1195" t="inlineStr">
        <is>
          <t>Coverage</t>
        </is>
      </c>
      <c r="AD172" s="1196" t="inlineStr">
        <is>
          <t>Unit of Measure</t>
        </is>
      </c>
      <c r="AE172" s="1196" t="inlineStr">
        <is>
          <t>Quantity Calcs</t>
        </is>
      </c>
      <c r="AF172" s="1196" t="inlineStr">
        <is>
          <t>$ Material Cost $</t>
        </is>
      </c>
      <c r="AG172" s="1197" t="inlineStr">
        <is>
          <t>Note</t>
        </is>
      </c>
      <c r="AI172" s="1951" t="n"/>
      <c r="AK172" s="1274" t="inlineStr">
        <is>
          <t>Broadcast Media</t>
        </is>
      </c>
      <c r="AL172" s="1276" t="inlineStr">
        <is>
          <t>Product</t>
        </is>
      </c>
      <c r="AM172" s="1277" t="inlineStr">
        <is>
          <t>Coverage</t>
        </is>
      </c>
      <c r="AN172" s="1275" t="inlineStr">
        <is>
          <t>Unit of Measure</t>
        </is>
      </c>
      <c r="AO172" s="1275" t="inlineStr">
        <is>
          <t>Quantity Calcs</t>
        </is>
      </c>
      <c r="AP172" s="1197" t="inlineStr">
        <is>
          <t>$ Material Cost $</t>
        </is>
      </c>
    </row>
    <row r="173" ht="16.2" customFormat="1" customHeight="1" s="585" thickBot="1">
      <c r="A173" s="1232" t="inlineStr">
        <is>
          <t>Base Coat 1st BC (Liquids)</t>
        </is>
      </c>
      <c r="B173" s="1204" t="inlineStr">
        <is>
          <t>Poly-Crete SL</t>
        </is>
      </c>
      <c r="C173" s="1205" t="n">
        <v>55</v>
      </c>
      <c r="D173" s="1206" t="inlineStr">
        <is>
          <t>SF/Kit</t>
        </is>
      </c>
      <c r="E173" s="1207">
        <f>ROUNDUP(I171/C173,0)</f>
        <v/>
      </c>
      <c r="F173" s="2077">
        <f>E173*SL</f>
        <v/>
      </c>
      <c r="G173" s="1209" t="n"/>
      <c r="I173" s="1951" t="n"/>
      <c r="K173" s="1271" t="inlineStr">
        <is>
          <t>3/16" Cement Urethane</t>
        </is>
      </c>
      <c r="L173" s="1214" t="inlineStr">
        <is>
          <t>Silica     (@ 50#s)</t>
        </is>
      </c>
      <c r="M173" s="1214" t="n">
        <v>0.75</v>
      </c>
      <c r="N173" s="1215" t="inlineStr">
        <is>
          <t>Lb/SF</t>
        </is>
      </c>
      <c r="O173" s="2128">
        <f>CEILING(I171*M173,50)</f>
        <v/>
      </c>
      <c r="P173" s="2129">
        <f>O173*Silica</f>
        <v/>
      </c>
      <c r="S173" s="1192" t="inlineStr">
        <is>
          <t>Extreme Bonding Primer</t>
        </is>
      </c>
      <c r="T173" s="2130">
        <f>(U173*$T$141)+U173</f>
        <v/>
      </c>
      <c r="U173" s="2131">
        <f>61.95+(61.95*W173)</f>
        <v/>
      </c>
      <c r="V173" s="1815" t="inlineStr">
        <is>
          <t>increased by -----&gt;</t>
        </is>
      </c>
      <c r="W173" s="1810" t="n">
        <v>0.07000000000000001</v>
      </c>
      <c r="X173" s="1812" t="inlineStr">
        <is>
          <t>wall primers are</t>
        </is>
      </c>
      <c r="AA173" s="1232" t="inlineStr">
        <is>
          <t>Base Coat 1st BC (Liquids)</t>
        </is>
      </c>
      <c r="AB173" s="1204" t="inlineStr">
        <is>
          <t>Poly-Crete SL</t>
        </is>
      </c>
      <c r="AC173" s="1205" t="n">
        <v>55</v>
      </c>
      <c r="AD173" s="1206" t="inlineStr">
        <is>
          <t>SF/Kit</t>
        </is>
      </c>
      <c r="AE173" s="1207">
        <f>ROUNDUP(AI171/AC173,0)</f>
        <v/>
      </c>
      <c r="AF173" s="2077">
        <f>AE173*SL</f>
        <v/>
      </c>
      <c r="AG173" s="1209" t="n"/>
      <c r="AI173" s="1951" t="n"/>
      <c r="AK173" s="1271" t="inlineStr">
        <is>
          <t>3/16" Cement Urethane</t>
        </is>
      </c>
      <c r="AL173" s="1214" t="inlineStr">
        <is>
          <t>Silica     (@ 50#s)</t>
        </is>
      </c>
      <c r="AM173" s="1214" t="n">
        <v>0.75</v>
      </c>
      <c r="AN173" s="1215" t="inlineStr">
        <is>
          <t>Lb/SF</t>
        </is>
      </c>
      <c r="AO173" s="2128">
        <f>CEILING(AI171*AM173,50)</f>
        <v/>
      </c>
      <c r="AP173" s="2129">
        <f>AO173*Silica</f>
        <v/>
      </c>
    </row>
    <row r="174" ht="16.2" customFormat="1" customHeight="1" s="585" thickBot="1">
      <c r="A174" s="1263" t="inlineStr">
        <is>
          <t>Top Coat</t>
        </is>
      </c>
      <c r="B174" s="1264" t="inlineStr">
        <is>
          <t>Poly-Crete Color Fast</t>
        </is>
      </c>
      <c r="C174" s="1265" t="n">
        <v>200</v>
      </c>
      <c r="D174" s="1266" t="inlineStr">
        <is>
          <t>SF/Large Kit</t>
        </is>
      </c>
      <c r="E174" s="1267">
        <f>ROUNDUP(I171/C174,0)</f>
        <v/>
      </c>
      <c r="F174" s="2082">
        <f>E174*ColorFast</f>
        <v/>
      </c>
      <c r="G174" s="1269" t="n"/>
      <c r="I174" s="1951" t="n"/>
      <c r="L174" s="848" t="n"/>
      <c r="M174" s="2014" t="n"/>
      <c r="O174" s="1279" t="inlineStr">
        <is>
          <t>Total Media</t>
        </is>
      </c>
      <c r="P174" s="2132">
        <f>SUM(P173)</f>
        <v/>
      </c>
      <c r="S174" s="1192" t="inlineStr">
        <is>
          <t>Heavy Duty Block Filler Primer</t>
        </is>
      </c>
      <c r="T174" s="2130">
        <f>(U174*$T$141)+U174</f>
        <v/>
      </c>
      <c r="U174" s="2131">
        <f>85+(85*W174)</f>
        <v/>
      </c>
      <c r="V174" s="590" t="inlineStr">
        <is>
          <t>5 gal kit ONLY</t>
        </is>
      </c>
      <c r="W174" s="1810" t="n">
        <v>0.07000000000000001</v>
      </c>
      <c r="X174" s="1813" t="inlineStr">
        <is>
          <t>apprx. $</t>
        </is>
      </c>
      <c r="AA174" s="1263" t="inlineStr">
        <is>
          <t>Top Coat</t>
        </is>
      </c>
      <c r="AB174" s="1264" t="inlineStr">
        <is>
          <t>Poly-Crete Color Fast</t>
        </is>
      </c>
      <c r="AC174" s="1265" t="n">
        <v>200</v>
      </c>
      <c r="AD174" s="1266" t="inlineStr">
        <is>
          <t>SF/Large Kit</t>
        </is>
      </c>
      <c r="AE174" s="1267">
        <f>ROUNDUP(AI171/AC174,0)</f>
        <v/>
      </c>
      <c r="AF174" s="2082">
        <f>AE174*ColorFast</f>
        <v/>
      </c>
      <c r="AG174" s="1269" t="n"/>
      <c r="AI174" s="1951" t="n"/>
      <c r="AL174" s="848" t="n"/>
      <c r="AM174" s="2014" t="n"/>
      <c r="AO174" s="1279" t="inlineStr">
        <is>
          <t>Total Media</t>
        </is>
      </c>
      <c r="AP174" s="2132">
        <f>SUM(AP173)</f>
        <v/>
      </c>
    </row>
    <row r="175" ht="16.2" customFormat="1" customHeight="1" s="585" thickBot="1">
      <c r="F175" s="2133">
        <f>SUM(F173:F174)</f>
        <v/>
      </c>
      <c r="G175" s="1236" t="inlineStr">
        <is>
          <t>Total Liquids Above</t>
        </is>
      </c>
      <c r="I175" s="1951" t="n"/>
      <c r="L175" s="848" t="n"/>
      <c r="M175" s="2014" t="n"/>
      <c r="S175" s="1192" t="inlineStr">
        <is>
          <t>HP Eggshell Topcoat</t>
        </is>
      </c>
      <c r="T175" s="2134">
        <f>(U175*$T$141)+U175</f>
        <v/>
      </c>
      <c r="U175" s="2085">
        <f>220.21</f>
        <v/>
      </c>
      <c r="V175" s="590" t="inlineStr">
        <is>
          <t>*Egg-Shell -OR- Matte</t>
        </is>
      </c>
      <c r="X175" s="1812" t="inlineStr">
        <is>
          <t>No SW equal to</t>
        </is>
      </c>
      <c r="AF175" s="2133">
        <f>SUM(AF173:AF174)</f>
        <v/>
      </c>
      <c r="AG175" s="1236" t="inlineStr">
        <is>
          <t>Total Liquids Above</t>
        </is>
      </c>
      <c r="AI175" s="1951" t="n"/>
      <c r="AL175" s="848" t="n"/>
      <c r="AM175" s="2014" t="n"/>
    </row>
    <row r="176" ht="16.2" customFormat="1" customHeight="1" s="585" thickBot="1">
      <c r="I176" s="1951" t="n"/>
      <c r="L176" s="848" t="n"/>
      <c r="M176" s="2014" t="n"/>
      <c r="S176" s="1192" t="inlineStr">
        <is>
          <t>HP Satin Topcoat</t>
        </is>
      </c>
      <c r="T176" s="2134">
        <f>(U176*$T$141)+U176</f>
        <v/>
      </c>
      <c r="U176" s="2085">
        <f>187.46</f>
        <v/>
      </c>
      <c r="V176" s="590" t="inlineStr">
        <is>
          <t>Satin</t>
        </is>
      </c>
      <c r="X176" s="1813" t="inlineStr">
        <is>
          <t>DAF</t>
        </is>
      </c>
      <c r="AI176" s="1951" t="n"/>
      <c r="AL176" s="848" t="n"/>
      <c r="AM176" s="2014" t="n"/>
    </row>
    <row r="177" ht="16.2" customFormat="1" customHeight="1" s="585" thickBot="1">
      <c r="A177" s="2072" t="inlineStr">
        <is>
          <t>3/16" Urethne Cement With Shop Floor and Armor Top</t>
        </is>
      </c>
      <c r="B177" s="2073" t="n"/>
      <c r="C177" s="2073" t="n"/>
      <c r="D177" s="2073" t="n"/>
      <c r="E177" s="2073" t="n"/>
      <c r="F177" s="2073" t="n"/>
      <c r="G177" s="2074" t="n"/>
      <c r="I177" s="2075">
        <f>$I$160</f>
        <v/>
      </c>
      <c r="K177" s="2124" t="inlineStr">
        <is>
          <t>3/16" Urethne Cement With Shop Floor and Armor Top</t>
        </is>
      </c>
      <c r="L177" s="2125" t="n"/>
      <c r="M177" s="2125" t="n"/>
      <c r="N177" s="2125" t="n"/>
      <c r="O177" s="2125" t="n"/>
      <c r="P177" s="2126" t="n"/>
      <c r="S177" s="633" t="n"/>
      <c r="T177" s="2135" t="n"/>
      <c r="AA177" s="2072" t="inlineStr">
        <is>
          <t>3/16" Urethne Cement With Shop Floor and Armor Top</t>
        </is>
      </c>
      <c r="AB177" s="2073" t="n"/>
      <c r="AC177" s="2073" t="n"/>
      <c r="AD177" s="2073" t="n"/>
      <c r="AE177" s="2073" t="n"/>
      <c r="AF177" s="2073" t="n"/>
      <c r="AG177" s="2074" t="n"/>
      <c r="AI177" s="2075">
        <f>$AI$160</f>
        <v/>
      </c>
      <c r="AK177" s="2124" t="inlineStr">
        <is>
          <t>3/16" Urethne Cement With Shop Floor and Armor Top</t>
        </is>
      </c>
      <c r="AL177" s="2125" t="n"/>
      <c r="AM177" s="2125" t="n"/>
      <c r="AN177" s="2125" t="n"/>
      <c r="AO177" s="2125" t="n"/>
      <c r="AP177" s="2126" t="n"/>
    </row>
    <row r="178" ht="16.2" customFormat="1" customHeight="1" s="585" thickBot="1">
      <c r="A178" s="142" t="n"/>
      <c r="B178" s="1194" t="inlineStr">
        <is>
          <t>Product</t>
        </is>
      </c>
      <c r="C178" s="1195" t="inlineStr">
        <is>
          <t>Coverage</t>
        </is>
      </c>
      <c r="D178" s="1196" t="inlineStr">
        <is>
          <t>Unit of Measure</t>
        </is>
      </c>
      <c r="E178" s="1196" t="inlineStr">
        <is>
          <t>Quantity Calcs</t>
        </is>
      </c>
      <c r="F178" s="1196" t="inlineStr">
        <is>
          <t>$ Material Cost $</t>
        </is>
      </c>
      <c r="G178" s="1197" t="inlineStr">
        <is>
          <t>Note</t>
        </is>
      </c>
      <c r="I178" s="1951" t="n"/>
      <c r="K178" s="1274" t="inlineStr">
        <is>
          <t>Broadcast Media</t>
        </is>
      </c>
      <c r="L178" s="1276" t="inlineStr">
        <is>
          <t>Product</t>
        </is>
      </c>
      <c r="M178" s="1277" t="inlineStr">
        <is>
          <t>Coverage</t>
        </is>
      </c>
      <c r="N178" s="1275" t="inlineStr">
        <is>
          <t>Unit of Measure</t>
        </is>
      </c>
      <c r="O178" s="1275" t="inlineStr">
        <is>
          <t>Quantity Calcs</t>
        </is>
      </c>
      <c r="P178" s="1197" t="inlineStr">
        <is>
          <t>$ Material Cost $</t>
        </is>
      </c>
      <c r="S178" s="1723" t="inlineStr">
        <is>
          <t>Accelera 4850 - for clear and pigmented</t>
        </is>
      </c>
      <c r="T178" s="2089">
        <f>(U178*$T$141)+U178</f>
        <v/>
      </c>
      <c r="U178" s="2136">
        <f>2166.75/15</f>
        <v/>
      </c>
      <c r="V178" s="590" t="inlineStr">
        <is>
          <t>*as 15 gal mix</t>
        </is>
      </c>
      <c r="W178" s="590" t="inlineStr">
        <is>
          <t>clear or pgmnt = same $</t>
        </is>
      </c>
      <c r="AA178" s="142" t="n"/>
      <c r="AB178" s="1194" t="inlineStr">
        <is>
          <t>Product</t>
        </is>
      </c>
      <c r="AC178" s="1195" t="inlineStr">
        <is>
          <t>Coverage</t>
        </is>
      </c>
      <c r="AD178" s="1196" t="inlineStr">
        <is>
          <t>Unit of Measure</t>
        </is>
      </c>
      <c r="AE178" s="1196" t="inlineStr">
        <is>
          <t>Quantity Calcs</t>
        </is>
      </c>
      <c r="AF178" s="1196" t="inlineStr">
        <is>
          <t>$ Material Cost $</t>
        </is>
      </c>
      <c r="AG178" s="1197" t="inlineStr">
        <is>
          <t>Note</t>
        </is>
      </c>
      <c r="AI178" s="1951" t="n"/>
      <c r="AK178" s="1274" t="inlineStr">
        <is>
          <t>Broadcast Media</t>
        </is>
      </c>
      <c r="AL178" s="1276" t="inlineStr">
        <is>
          <t>Product</t>
        </is>
      </c>
      <c r="AM178" s="1277" t="inlineStr">
        <is>
          <t>Coverage</t>
        </is>
      </c>
      <c r="AN178" s="1275" t="inlineStr">
        <is>
          <t>Unit of Measure</t>
        </is>
      </c>
      <c r="AO178" s="1275" t="inlineStr">
        <is>
          <t>Quantity Calcs</t>
        </is>
      </c>
      <c r="AP178" s="1197" t="inlineStr">
        <is>
          <t>$ Material Cost $</t>
        </is>
      </c>
    </row>
    <row r="179" ht="16.2" customFormat="1" customHeight="1" s="585" thickBot="1">
      <c r="A179" s="1232" t="inlineStr">
        <is>
          <t>Base Coat 1st BC (Liquids)</t>
        </is>
      </c>
      <c r="B179" s="1204" t="inlineStr">
        <is>
          <t>Poly-Crete SL</t>
        </is>
      </c>
      <c r="C179" s="1205" t="n">
        <v>55</v>
      </c>
      <c r="D179" s="1206" t="inlineStr">
        <is>
          <t>SF/Kit</t>
        </is>
      </c>
      <c r="E179" s="1207">
        <f>ROUNDUP(I177/C179,0)</f>
        <v/>
      </c>
      <c r="F179" s="2077">
        <f>E179*SL</f>
        <v/>
      </c>
      <c r="G179" s="1209" t="n"/>
      <c r="I179" s="1951" t="n"/>
      <c r="K179" s="1271" t="inlineStr">
        <is>
          <t>3/16" Cement Urethane</t>
        </is>
      </c>
      <c r="L179" s="1214" t="inlineStr">
        <is>
          <t>Silica     (@ 50#s)</t>
        </is>
      </c>
      <c r="M179" s="1214" t="n">
        <v>0.75</v>
      </c>
      <c r="N179" s="1215" t="inlineStr">
        <is>
          <t>Lb/SF</t>
        </is>
      </c>
      <c r="O179" s="2128">
        <f>CEILING(I177*M179,50)</f>
        <v/>
      </c>
      <c r="P179" s="2129">
        <f>O179*Silica</f>
        <v/>
      </c>
      <c r="S179" s="633" t="n"/>
      <c r="T179" s="2089">
        <f>(U179*$T$141)+U179</f>
        <v/>
      </c>
      <c r="U179" s="2136" t="n">
        <v>0</v>
      </c>
      <c r="V179" s="590" t="n"/>
      <c r="AA179" s="1232" t="inlineStr">
        <is>
          <t>Base Coat 1st BC (Liquids)</t>
        </is>
      </c>
      <c r="AB179" s="1204" t="inlineStr">
        <is>
          <t>Poly-Crete SL</t>
        </is>
      </c>
      <c r="AC179" s="1205" t="n">
        <v>55</v>
      </c>
      <c r="AD179" s="1206" t="inlineStr">
        <is>
          <t>SF/Kit</t>
        </is>
      </c>
      <c r="AE179" s="1207">
        <f>ROUNDUP(AI177/AC179,0)</f>
        <v/>
      </c>
      <c r="AF179" s="2077">
        <f>AE179*SL</f>
        <v/>
      </c>
      <c r="AG179" s="1209" t="n"/>
      <c r="AI179" s="1951" t="n"/>
      <c r="AK179" s="1271" t="inlineStr">
        <is>
          <t>3/16" Cement Urethane</t>
        </is>
      </c>
      <c r="AL179" s="1214" t="inlineStr">
        <is>
          <t>Silica     (@ 50#s)</t>
        </is>
      </c>
      <c r="AM179" s="1214" t="n">
        <v>0.75</v>
      </c>
      <c r="AN179" s="1215" t="inlineStr">
        <is>
          <t>Lb/SF</t>
        </is>
      </c>
      <c r="AO179" s="2128">
        <f>CEILING(AI177*AM179,50)</f>
        <v/>
      </c>
      <c r="AP179" s="2129">
        <f>AO179*Silica</f>
        <v/>
      </c>
    </row>
    <row r="180" ht="16.2" customFormat="1" customHeight="1" s="585" thickBot="1">
      <c r="A180" s="1252" t="inlineStr">
        <is>
          <t>Grout Coat</t>
        </is>
      </c>
      <c r="B180" s="1253" t="inlineStr">
        <is>
          <t>Shop Floor</t>
        </is>
      </c>
      <c r="C180" s="1254" t="n">
        <v>100</v>
      </c>
      <c r="D180" s="1255" t="inlineStr">
        <is>
          <t>SF/Gal</t>
        </is>
      </c>
      <c r="E180" s="1256">
        <f>ROUNDUP(I177/C180,0)</f>
        <v/>
      </c>
      <c r="F180" s="2137">
        <f>E180*ShopFloor</f>
        <v/>
      </c>
      <c r="G180" s="1258" t="n"/>
      <c r="I180" s="1951" t="n"/>
      <c r="L180" s="848" t="n"/>
      <c r="M180" s="2014" t="n"/>
      <c r="O180" s="1279" t="inlineStr">
        <is>
          <t>Total Media</t>
        </is>
      </c>
      <c r="P180" s="2132">
        <f>SUM(P179)</f>
        <v/>
      </c>
      <c r="R180" s="1307" t="inlineStr">
        <is>
          <t>System 1 Options</t>
        </is>
      </c>
      <c r="S180" s="633" t="n"/>
      <c r="T180" s="2135" t="n"/>
      <c r="AA180" s="1252" t="inlineStr">
        <is>
          <t>Grout Coat</t>
        </is>
      </c>
      <c r="AB180" s="1253" t="inlineStr">
        <is>
          <t>Shop Floor</t>
        </is>
      </c>
      <c r="AC180" s="1254" t="n">
        <v>100</v>
      </c>
      <c r="AD180" s="1255" t="inlineStr">
        <is>
          <t>SF/Gal</t>
        </is>
      </c>
      <c r="AE180" s="1256">
        <f>ROUNDUP(AI177/AC180,0)</f>
        <v/>
      </c>
      <c r="AF180" s="2137">
        <f>AE180*ShopFloor</f>
        <v/>
      </c>
      <c r="AG180" s="1258" t="n"/>
      <c r="AI180" s="1951" t="n"/>
      <c r="AL180" s="848" t="n"/>
      <c r="AM180" s="2014" t="n"/>
      <c r="AO180" s="1279" t="inlineStr">
        <is>
          <t>Total Media</t>
        </is>
      </c>
      <c r="AP180" s="2132">
        <f>SUM(AP179)</f>
        <v/>
      </c>
      <c r="AR180" s="857" t="inlineStr">
        <is>
          <t>System 2 Options / Walls (scroll down)</t>
        </is>
      </c>
      <c r="AS180" s="840" t="n"/>
    </row>
    <row r="181" ht="16.2" customFormat="1" customHeight="1" s="585" thickBot="1">
      <c r="A181" s="1219" t="inlineStr">
        <is>
          <t>Top Coat</t>
        </is>
      </c>
      <c r="B181" s="1220" t="inlineStr">
        <is>
          <t>Pigmented AT Satin W/ Grit</t>
        </is>
      </c>
      <c r="C181" s="1221" t="n">
        <v>850</v>
      </c>
      <c r="D181" s="1222" t="inlineStr">
        <is>
          <t>SF/Kit</t>
        </is>
      </c>
      <c r="E181" s="1223">
        <f>ROUNDUP(I177/C181,0)</f>
        <v/>
      </c>
      <c r="F181" s="2138">
        <f>E181*AT_Pgmt_Satin_w_Grit</f>
        <v/>
      </c>
      <c r="G181" s="1225" t="n"/>
      <c r="I181" s="1951" t="n"/>
      <c r="L181" s="848" t="n"/>
      <c r="M181" s="2014" t="n"/>
      <c r="R181" s="585">
        <f>A171</f>
        <v/>
      </c>
      <c r="S181" s="633" t="n"/>
      <c r="T181" s="2135" t="n"/>
      <c r="V181" s="1806" t="inlineStr">
        <is>
          <t>Other SW $:</t>
        </is>
      </c>
      <c r="AA181" s="1219" t="inlineStr">
        <is>
          <t>Top Coat</t>
        </is>
      </c>
      <c r="AB181" s="1220" t="inlineStr">
        <is>
          <t>Pigmented AT Satin W/ Grit</t>
        </is>
      </c>
      <c r="AC181" s="1221" t="n">
        <v>850</v>
      </c>
      <c r="AD181" s="1222" t="inlineStr">
        <is>
          <t>SF/Kit</t>
        </is>
      </c>
      <c r="AE181" s="1223">
        <f>ROUNDUP(AI177/AC181,0)</f>
        <v/>
      </c>
      <c r="AF181" s="2138">
        <f>AE181*AT_Pgmt_Satin_w_Grit</f>
        <v/>
      </c>
      <c r="AG181" s="1225" t="n"/>
      <c r="AI181" s="1951" t="n"/>
      <c r="AL181" s="848" t="n"/>
      <c r="AM181" s="2014" t="n"/>
      <c r="AR181" s="585">
        <f>AA171</f>
        <v/>
      </c>
    </row>
    <row r="182" ht="16.2" customFormat="1" customHeight="1" s="585" thickBot="1">
      <c r="F182" s="2133">
        <f>SUM(F179:F181)</f>
        <v/>
      </c>
      <c r="G182" s="1236" t="inlineStr">
        <is>
          <t>Total Liquids Above</t>
        </is>
      </c>
      <c r="I182" s="1951" t="n"/>
      <c r="L182" s="848" t="n"/>
      <c r="M182" s="2014" t="n"/>
      <c r="R182" s="585">
        <f>A177</f>
        <v/>
      </c>
      <c r="S182" s="633" t="n"/>
      <c r="T182" s="2135" t="n"/>
      <c r="V182" s="633" t="inlineStr">
        <is>
          <t>Super Stick (SS)</t>
        </is>
      </c>
      <c r="W182" s="2080" t="n">
        <v>67.41</v>
      </c>
      <c r="X182" s="585" t="inlineStr">
        <is>
          <t>1 pt. (16 oz.)</t>
        </is>
      </c>
      <c r="AF182" s="2133">
        <f>SUM(AF179:AF181)</f>
        <v/>
      </c>
      <c r="AG182" s="1236" t="inlineStr">
        <is>
          <t>Total Liquids Above</t>
        </is>
      </c>
      <c r="AI182" s="1951" t="n"/>
      <c r="AL182" s="848" t="n"/>
      <c r="AM182" s="2014" t="n"/>
      <c r="AR182" s="585">
        <f>AA177</f>
        <v/>
      </c>
    </row>
    <row r="183" ht="16.2" customFormat="1" customHeight="1" s="585" thickBot="1">
      <c r="I183" s="1951" t="n"/>
      <c r="L183" s="848" t="n"/>
      <c r="M183" s="2014" t="n"/>
      <c r="R183" s="585">
        <f>A184</f>
        <v/>
      </c>
      <c r="S183" s="633" t="n"/>
      <c r="T183" s="2135" t="n"/>
      <c r="V183" s="1823" t="inlineStr">
        <is>
          <t>Super Stick (SS)</t>
        </is>
      </c>
      <c r="W183" s="2080" t="n">
        <v>132.25</v>
      </c>
      <c r="X183" s="585" t="inlineStr">
        <is>
          <t>1 qt. (32 oz.)</t>
        </is>
      </c>
      <c r="AI183" s="1951" t="n"/>
      <c r="AL183" s="848" t="n"/>
      <c r="AM183" s="2014" t="n"/>
      <c r="AR183" s="585">
        <f>AA184</f>
        <v/>
      </c>
    </row>
    <row r="184" ht="16.2" customFormat="1" customHeight="1" s="585" thickBot="1">
      <c r="A184" s="2072" t="inlineStr">
        <is>
          <t>1/4" Urethne Cement With Color Fast (MDB)</t>
        </is>
      </c>
      <c r="B184" s="2073" t="n"/>
      <c r="C184" s="2073" t="n"/>
      <c r="D184" s="2073" t="n"/>
      <c r="E184" s="2073" t="n"/>
      <c r="F184" s="2073" t="n"/>
      <c r="G184" s="2074" t="n"/>
      <c r="I184" s="2075">
        <f>$I$160</f>
        <v/>
      </c>
      <c r="K184" s="2124" t="inlineStr">
        <is>
          <t>1/4" Urethne Cement With Color Fast (MDB)</t>
        </is>
      </c>
      <c r="L184" s="2125" t="n"/>
      <c r="M184" s="2125" t="n"/>
      <c r="N184" s="2125" t="n"/>
      <c r="O184" s="2125" t="n"/>
      <c r="P184" s="2126" t="n"/>
      <c r="R184" s="585">
        <f>A192</f>
        <v/>
      </c>
      <c r="S184" s="633" t="n"/>
      <c r="T184" s="2135" t="n"/>
      <c r="V184" s="1823" t="inlineStr">
        <is>
          <t>Super Stick (SS)</t>
        </is>
      </c>
      <c r="W184" s="2080" t="n">
        <v>470.59</v>
      </c>
      <c r="X184" s="1805" t="inlineStr">
        <is>
          <t>1 gal. (128 oz.)</t>
        </is>
      </c>
      <c r="AA184" s="2072" t="inlineStr">
        <is>
          <t>1/4" Urethne Cement With Color Fast (MDB)</t>
        </is>
      </c>
      <c r="AB184" s="2073" t="n"/>
      <c r="AC184" s="2073" t="n"/>
      <c r="AD184" s="2073" t="n"/>
      <c r="AE184" s="2073" t="n"/>
      <c r="AF184" s="2073" t="n"/>
      <c r="AG184" s="2074" t="n"/>
      <c r="AI184" s="2075">
        <f>$AI$160</f>
        <v/>
      </c>
      <c r="AK184" s="2124" t="inlineStr">
        <is>
          <t>1/4" Urethne Cement With Color Fast (MDB)</t>
        </is>
      </c>
      <c r="AL184" s="2125" t="n"/>
      <c r="AM184" s="2125" t="n"/>
      <c r="AN184" s="2125" t="n"/>
      <c r="AO184" s="2125" t="n"/>
      <c r="AP184" s="2126" t="n"/>
      <c r="AR184" s="585">
        <f>AA192</f>
        <v/>
      </c>
    </row>
    <row r="185" ht="16.2" customFormat="1" customHeight="1" s="585" thickBot="1">
      <c r="A185" s="142" t="n"/>
      <c r="B185" s="1194" t="inlineStr">
        <is>
          <t>Product</t>
        </is>
      </c>
      <c r="C185" s="1195" t="inlineStr">
        <is>
          <t>Coverage</t>
        </is>
      </c>
      <c r="D185" s="1196" t="inlineStr">
        <is>
          <t>Unit of Measure</t>
        </is>
      </c>
      <c r="E185" s="1196" t="inlineStr">
        <is>
          <t>Quantity Calcs</t>
        </is>
      </c>
      <c r="F185" s="1196" t="inlineStr">
        <is>
          <t>$ Material Cost $</t>
        </is>
      </c>
      <c r="G185" s="1197" t="inlineStr">
        <is>
          <t>Note</t>
        </is>
      </c>
      <c r="I185" s="1951" t="n"/>
      <c r="K185" s="1274" t="inlineStr">
        <is>
          <t>Broadcast Media</t>
        </is>
      </c>
      <c r="L185" s="1276" t="inlineStr">
        <is>
          <t>Product</t>
        </is>
      </c>
      <c r="M185" s="1277" t="inlineStr">
        <is>
          <t>Coverage</t>
        </is>
      </c>
      <c r="N185" s="1275" t="inlineStr">
        <is>
          <t>Unit of Measure</t>
        </is>
      </c>
      <c r="O185" s="1275" t="inlineStr">
        <is>
          <t>Quantity Calcs</t>
        </is>
      </c>
      <c r="P185" s="1197" t="inlineStr">
        <is>
          <t>$ Material Cost $</t>
        </is>
      </c>
      <c r="R185" s="585">
        <f>A199</f>
        <v/>
      </c>
      <c r="S185" s="633" t="n"/>
      <c r="T185" s="2135" t="n"/>
      <c r="V185" s="1823" t="inlineStr">
        <is>
          <t>Super Stick (SS)</t>
        </is>
      </c>
      <c r="W185" s="2080" t="n">
        <v>2325.97</v>
      </c>
      <c r="X185" s="1805" t="inlineStr">
        <is>
          <t>5 gal. (640 oz.)</t>
        </is>
      </c>
      <c r="AA185" s="142" t="n"/>
      <c r="AB185" s="1194" t="inlineStr">
        <is>
          <t>Product</t>
        </is>
      </c>
      <c r="AC185" s="1195" t="inlineStr">
        <is>
          <t>Coverage</t>
        </is>
      </c>
      <c r="AD185" s="1196" t="inlineStr">
        <is>
          <t>Unit of Measure</t>
        </is>
      </c>
      <c r="AE185" s="1196" t="inlineStr">
        <is>
          <t>Quantity Calcs</t>
        </is>
      </c>
      <c r="AF185" s="1196" t="inlineStr">
        <is>
          <t>$ Material Cost $</t>
        </is>
      </c>
      <c r="AG185" s="1197" t="inlineStr">
        <is>
          <t>Note</t>
        </is>
      </c>
      <c r="AI185" s="1951" t="n"/>
      <c r="AK185" s="1274" t="inlineStr">
        <is>
          <t>Broadcast Media</t>
        </is>
      </c>
      <c r="AL185" s="1276" t="inlineStr">
        <is>
          <t>Product</t>
        </is>
      </c>
      <c r="AM185" s="1277" t="inlineStr">
        <is>
          <t>Coverage</t>
        </is>
      </c>
      <c r="AN185" s="1275" t="inlineStr">
        <is>
          <t>Unit of Measure</t>
        </is>
      </c>
      <c r="AO185" s="1275" t="inlineStr">
        <is>
          <t>Quantity Calcs</t>
        </is>
      </c>
      <c r="AP185" s="1197" t="inlineStr">
        <is>
          <t>$ Material Cost $</t>
        </is>
      </c>
      <c r="AR185" s="585">
        <f>AA199</f>
        <v/>
      </c>
    </row>
    <row r="186" ht="16.2" customFormat="1" customHeight="1" s="585" thickBot="1">
      <c r="A186" s="1232" t="inlineStr">
        <is>
          <t>Base Coat 1st BC (Liquids)</t>
        </is>
      </c>
      <c r="B186" s="1204" t="inlineStr">
        <is>
          <t>Poly-Crete MD</t>
        </is>
      </c>
      <c r="C186" s="1205" t="n">
        <v>32</v>
      </c>
      <c r="D186" s="1206" t="inlineStr">
        <is>
          <t>SF/Kit</t>
        </is>
      </c>
      <c r="E186" s="1207">
        <f>ROUNDUP(I184/C186,0)</f>
        <v/>
      </c>
      <c r="F186" s="2077">
        <f>E186*MD</f>
        <v/>
      </c>
      <c r="G186" s="1270" t="inlineStr">
        <is>
          <t>MD for 1/4"</t>
        </is>
      </c>
      <c r="I186" s="1951" t="n"/>
      <c r="K186" s="1271" t="inlineStr">
        <is>
          <t>1/4" Cement Urethane</t>
        </is>
      </c>
      <c r="L186" s="1214" t="inlineStr">
        <is>
          <t>Silica     (@ 50#s)</t>
        </is>
      </c>
      <c r="M186" s="1278" t="n">
        <v>1</v>
      </c>
      <c r="N186" s="1215" t="inlineStr">
        <is>
          <t>Lb/SF</t>
        </is>
      </c>
      <c r="O186" s="2128">
        <f>CEILING(I184*M186,50)</f>
        <v/>
      </c>
      <c r="P186" s="2129">
        <f>O186*Silica</f>
        <v/>
      </c>
      <c r="R186" s="585">
        <f>A207</f>
        <v/>
      </c>
      <c r="S186" s="633" t="n"/>
      <c r="T186" s="2135" t="n"/>
      <c r="V186" s="633" t="inlineStr">
        <is>
          <t>Vent-E</t>
        </is>
      </c>
      <c r="W186" s="2080" t="n">
        <v>160.5</v>
      </c>
      <c r="X186" s="1804" t="inlineStr">
        <is>
          <t>= 1.2 gal kit</t>
        </is>
      </c>
      <c r="AA186" s="1232" t="inlineStr">
        <is>
          <t>Base Coat 1st BC (Liquids)</t>
        </is>
      </c>
      <c r="AB186" s="1204" t="inlineStr">
        <is>
          <t>Poly-Crete MD</t>
        </is>
      </c>
      <c r="AC186" s="1205" t="n">
        <v>32</v>
      </c>
      <c r="AD186" s="1206" t="inlineStr">
        <is>
          <t>SF/Kit</t>
        </is>
      </c>
      <c r="AE186" s="1207">
        <f>ROUNDUP(AI184/AC186,0)</f>
        <v/>
      </c>
      <c r="AF186" s="2077">
        <f>AE186*MD</f>
        <v/>
      </c>
      <c r="AG186" s="1270" t="inlineStr">
        <is>
          <t>MD for 1/4"</t>
        </is>
      </c>
      <c r="AI186" s="1951" t="n"/>
      <c r="AK186" s="1271" t="inlineStr">
        <is>
          <t>1/4" Cement Urethane</t>
        </is>
      </c>
      <c r="AL186" s="1214" t="inlineStr">
        <is>
          <t>Silica     (@ 50#s)</t>
        </is>
      </c>
      <c r="AM186" s="1278" t="n">
        <v>1</v>
      </c>
      <c r="AN186" s="1215" t="inlineStr">
        <is>
          <t>Lb/SF</t>
        </is>
      </c>
      <c r="AO186" s="2128">
        <f>CEILING(AI184*AM186,50)</f>
        <v/>
      </c>
      <c r="AP186" s="2129">
        <f>AO186*Silica</f>
        <v/>
      </c>
      <c r="AR186" s="585">
        <f>AA207</f>
        <v/>
      </c>
    </row>
    <row r="187" ht="16.2" customFormat="1" customHeight="1" s="585" thickBot="1">
      <c r="A187" s="1263" t="inlineStr">
        <is>
          <t>Top Coat</t>
        </is>
      </c>
      <c r="B187" s="1264" t="inlineStr">
        <is>
          <t>Poly-Crete Color Fast</t>
        </is>
      </c>
      <c r="C187" s="1265" t="n">
        <v>200</v>
      </c>
      <c r="D187" s="1266" t="inlineStr">
        <is>
          <t>SF/Large Kit</t>
        </is>
      </c>
      <c r="E187" s="1267">
        <f>ROUNDUP(I184/C187,0)</f>
        <v/>
      </c>
      <c r="F187" s="2082">
        <f>E187*ColorFast</f>
        <v/>
      </c>
      <c r="G187" s="1269" t="n"/>
      <c r="I187" s="1951" t="n"/>
      <c r="L187" s="848" t="n"/>
      <c r="M187" s="2014" t="n"/>
      <c r="O187" s="1279" t="inlineStr">
        <is>
          <t>Total Media</t>
        </is>
      </c>
      <c r="P187" s="2132">
        <f>SUM(P186)</f>
        <v/>
      </c>
      <c r="R187" s="585">
        <f>A215</f>
        <v/>
      </c>
      <c r="S187" s="633" t="n"/>
      <c r="T187" s="2135" t="n"/>
      <c r="V187" s="633" t="inlineStr">
        <is>
          <t>UVE</t>
        </is>
      </c>
      <c r="W187" s="2080">
        <f>1444.5/15</f>
        <v/>
      </c>
      <c r="X187" s="590" t="inlineStr">
        <is>
          <t>*as 15 gal mix</t>
        </is>
      </c>
      <c r="AA187" s="1263" t="inlineStr">
        <is>
          <t>Top Coat</t>
        </is>
      </c>
      <c r="AB187" s="1264" t="inlineStr">
        <is>
          <t>Poly-Crete Color Fast</t>
        </is>
      </c>
      <c r="AC187" s="1265" t="n">
        <v>200</v>
      </c>
      <c r="AD187" s="1266" t="inlineStr">
        <is>
          <t>SF/Large Kit</t>
        </is>
      </c>
      <c r="AE187" s="1267">
        <f>ROUNDUP(AI184/AC187,0)</f>
        <v/>
      </c>
      <c r="AF187" s="2082">
        <f>AE187*ColorFast</f>
        <v/>
      </c>
      <c r="AG187" s="1269" t="n"/>
      <c r="AI187" s="1951" t="n"/>
      <c r="AL187" s="848" t="n"/>
      <c r="AM187" s="2014" t="n"/>
      <c r="AO187" s="1279" t="inlineStr">
        <is>
          <t>Total Media</t>
        </is>
      </c>
      <c r="AP187" s="2132">
        <f>SUM(AP186)</f>
        <v/>
      </c>
      <c r="AR187" s="585">
        <f>AA215</f>
        <v/>
      </c>
    </row>
    <row r="188" ht="16.2" customFormat="1" customHeight="1" s="585" thickBot="1">
      <c r="F188" s="2133">
        <f>SUM(F186:F187)</f>
        <v/>
      </c>
      <c r="G188" s="1236" t="inlineStr">
        <is>
          <t>Total Liquids Above</t>
        </is>
      </c>
      <c r="I188" s="1951" t="n"/>
      <c r="L188" s="848" t="n"/>
      <c r="M188" s="2014" t="n"/>
      <c r="R188" s="585">
        <f>A223</f>
        <v/>
      </c>
      <c r="S188" s="633" t="n"/>
      <c r="T188" s="2135" t="n"/>
      <c r="V188" s="633" t="inlineStr">
        <is>
          <t>Gloss HPS 100</t>
        </is>
      </c>
      <c r="W188" s="2080">
        <f>272.85</f>
        <v/>
      </c>
      <c r="X188" s="585" t="inlineStr">
        <is>
          <t>1.09 gal (500 sf /gal</t>
        </is>
      </c>
      <c r="AF188" s="2133">
        <f>SUM(AF186:AF187)</f>
        <v/>
      </c>
      <c r="AG188" s="1236" t="inlineStr">
        <is>
          <t>Total Liquids Above</t>
        </is>
      </c>
      <c r="AI188" s="1951" t="n"/>
      <c r="AL188" s="848" t="n"/>
      <c r="AM188" s="2014" t="n"/>
      <c r="AR188" s="585">
        <f>AA223</f>
        <v/>
      </c>
    </row>
    <row r="189" customFormat="1" s="585">
      <c r="I189" s="1951" t="n"/>
      <c r="L189" s="848" t="n"/>
      <c r="M189" s="2014" t="n"/>
      <c r="R189" s="585">
        <f>A231</f>
        <v/>
      </c>
      <c r="S189" s="633" t="n"/>
      <c r="T189" s="2135" t="n"/>
      <c r="V189" s="633" t="inlineStr">
        <is>
          <t>Satin HTS 100</t>
        </is>
      </c>
      <c r="W189" s="2080">
        <f>292.11</f>
        <v/>
      </c>
      <c r="X189" s="585" t="inlineStr">
        <is>
          <t>500 sf /gal</t>
        </is>
      </c>
      <c r="AI189" s="1951" t="n"/>
      <c r="AL189" s="848" t="n"/>
      <c r="AM189" s="2014" t="n"/>
      <c r="AR189" s="585">
        <f>AA231</f>
        <v/>
      </c>
    </row>
    <row r="190" customFormat="1" s="585">
      <c r="I190" s="1951" t="n"/>
      <c r="L190" s="848" t="n"/>
      <c r="M190" s="2014" t="n"/>
      <c r="R190" s="585">
        <f>A239</f>
        <v/>
      </c>
      <c r="S190" s="633" t="n"/>
      <c r="T190" s="2135" t="n"/>
      <c r="V190" s="633" t="inlineStr">
        <is>
          <t>Accelera EXT Safety Yellow</t>
        </is>
      </c>
      <c r="W190" s="2046">
        <f>164.35</f>
        <v/>
      </c>
      <c r="X190" s="590" t="inlineStr">
        <is>
          <t>small kit</t>
        </is>
      </c>
      <c r="AI190" s="1951" t="n"/>
      <c r="AL190" s="848" t="n"/>
      <c r="AM190" s="2014" t="n"/>
      <c r="AR190" s="585">
        <f>AA239</f>
        <v/>
      </c>
    </row>
    <row r="191" ht="21.6" customFormat="1" customHeight="1" s="585" thickBot="1">
      <c r="A191" s="1870" t="inlineStr">
        <is>
          <t>Decorative Flake Systems</t>
        </is>
      </c>
      <c r="I191" s="1951" t="n"/>
      <c r="K191" s="1865" t="inlineStr">
        <is>
          <t>Decorative Flake Systems</t>
        </is>
      </c>
      <c r="L191" s="585" t="n"/>
      <c r="M191" s="585" t="n"/>
      <c r="N191" s="585" t="n"/>
      <c r="O191" s="585" t="n"/>
      <c r="P191" s="585" t="n"/>
      <c r="R191" s="585">
        <f>A247</f>
        <v/>
      </c>
      <c r="S191" s="633" t="n"/>
      <c r="T191" s="2135" t="n"/>
      <c r="U191" s="1621" t="inlineStr">
        <is>
          <t>…</t>
        </is>
      </c>
      <c r="V191" s="633" t="inlineStr">
        <is>
          <t>Accelera EXT Safety Yellow</t>
        </is>
      </c>
      <c r="W191" s="2080">
        <f>414.73</f>
        <v/>
      </c>
      <c r="X191" s="585" t="inlineStr">
        <is>
          <t>LARGE kit</t>
        </is>
      </c>
      <c r="AA191" s="1864" t="inlineStr">
        <is>
          <t>Decorative Flake Systems</t>
        </is>
      </c>
      <c r="AI191" s="1951" t="n"/>
      <c r="AK191" s="1865" t="inlineStr">
        <is>
          <t>Decorative Flake Systems</t>
        </is>
      </c>
      <c r="AL191" s="585" t="n"/>
      <c r="AM191" s="585" t="n"/>
      <c r="AN191" s="585" t="n"/>
      <c r="AO191" s="585" t="n"/>
      <c r="AP191" s="585" t="n"/>
      <c r="AR191" s="585">
        <f>AA247</f>
        <v/>
      </c>
    </row>
    <row r="192" ht="16.2" customFormat="1" customHeight="1" s="585" thickBot="1">
      <c r="A192" s="2072" t="inlineStr">
        <is>
          <t>MACRO Flake Single Broadcast</t>
        </is>
      </c>
      <c r="B192" s="2073" t="n"/>
      <c r="C192" s="2073" t="n"/>
      <c r="D192" s="2073" t="n"/>
      <c r="E192" s="2073" t="n"/>
      <c r="F192" s="2073" t="n"/>
      <c r="G192" s="2074" t="n"/>
      <c r="I192" s="2075">
        <f>I160</f>
        <v/>
      </c>
      <c r="K192" s="2124" t="inlineStr">
        <is>
          <t>MACRO Flake Single Broadcast</t>
        </is>
      </c>
      <c r="L192" s="2125" t="n"/>
      <c r="M192" s="2125" t="n"/>
      <c r="N192" s="2125" t="n"/>
      <c r="O192" s="2125" t="n"/>
      <c r="P192" s="2126" t="n"/>
      <c r="R192" s="585">
        <f>A258</f>
        <v/>
      </c>
      <c r="S192" s="633" t="n"/>
      <c r="T192" s="2135" t="n"/>
      <c r="V192" s="633" t="inlineStr">
        <is>
          <t>(bond promotor) Accelera BP Addtv</t>
        </is>
      </c>
      <c r="W192" s="2080" t="n">
        <v>425</v>
      </c>
      <c r="X192" s="590" t="inlineStr">
        <is>
          <t>16 oz. bottle</t>
        </is>
      </c>
      <c r="AA192" s="2072" t="inlineStr">
        <is>
          <t>MACRO Flake Single Broadcast</t>
        </is>
      </c>
      <c r="AB192" s="2073" t="n"/>
      <c r="AC192" s="2073" t="n"/>
      <c r="AD192" s="2073" t="n"/>
      <c r="AE192" s="2073" t="n"/>
      <c r="AF192" s="2073" t="n"/>
      <c r="AG192" s="2074" t="n"/>
      <c r="AI192" s="2075">
        <f>$AI$160</f>
        <v/>
      </c>
      <c r="AK192" s="2124" t="inlineStr">
        <is>
          <t>MACRO Flake Single Broadcast</t>
        </is>
      </c>
      <c r="AL192" s="2125" t="n"/>
      <c r="AM192" s="2125" t="n"/>
      <c r="AN192" s="2125" t="n"/>
      <c r="AO192" s="2125" t="n"/>
      <c r="AP192" s="2126" t="n"/>
      <c r="AR192" s="585">
        <f>AA258</f>
        <v/>
      </c>
    </row>
    <row r="193" ht="16.2" customFormat="1" customHeight="1" s="585" thickBot="1">
      <c r="A193" s="142" t="n"/>
      <c r="B193" s="1194" t="inlineStr">
        <is>
          <t>Product</t>
        </is>
      </c>
      <c r="C193" s="1195" t="inlineStr">
        <is>
          <t>Coverage</t>
        </is>
      </c>
      <c r="D193" s="1196" t="inlineStr">
        <is>
          <t>Unit of Measure</t>
        </is>
      </c>
      <c r="E193" s="1196" t="inlineStr">
        <is>
          <t>Quantity Calcs</t>
        </is>
      </c>
      <c r="F193" s="1196" t="inlineStr">
        <is>
          <t>$ Material Cost $</t>
        </is>
      </c>
      <c r="G193" s="1197" t="inlineStr">
        <is>
          <t>Note</t>
        </is>
      </c>
      <c r="I193" s="1951" t="n"/>
      <c r="K193" s="1274" t="inlineStr">
        <is>
          <t>Broadcast Media</t>
        </is>
      </c>
      <c r="L193" s="1276" t="inlineStr">
        <is>
          <t>Product</t>
        </is>
      </c>
      <c r="M193" s="1277" t="inlineStr">
        <is>
          <t>Coverage</t>
        </is>
      </c>
      <c r="N193" s="1275" t="inlineStr">
        <is>
          <t>Unit of Measure</t>
        </is>
      </c>
      <c r="O193" s="1275" t="inlineStr">
        <is>
          <t>Quantity Calcs</t>
        </is>
      </c>
      <c r="P193" s="1197" t="inlineStr">
        <is>
          <t>$ Material Cost $</t>
        </is>
      </c>
      <c r="R193" s="585">
        <f>A266</f>
        <v/>
      </c>
      <c r="S193" s="633" t="n"/>
      <c r="T193" s="2135" t="n"/>
      <c r="V193" s="633" t="inlineStr">
        <is>
          <t>Accelera One</t>
        </is>
      </c>
      <c r="W193" s="2139" t="inlineStr">
        <is>
          <t>see mix chart</t>
        </is>
      </c>
      <c r="X193" s="1821" t="inlineStr">
        <is>
          <t>Resin 5g: $718.51</t>
        </is>
      </c>
      <c r="Y193" s="1821" t="inlineStr">
        <is>
          <t>Hard 1g: $380.51</t>
        </is>
      </c>
      <c r="AA193" s="142" t="n"/>
      <c r="AB193" s="1194" t="inlineStr">
        <is>
          <t>Product</t>
        </is>
      </c>
      <c r="AC193" s="1195" t="inlineStr">
        <is>
          <t>Coverage</t>
        </is>
      </c>
      <c r="AD193" s="1196" t="inlineStr">
        <is>
          <t>Unit of Measure</t>
        </is>
      </c>
      <c r="AE193" s="1196" t="inlineStr">
        <is>
          <t>Quantity Calcs</t>
        </is>
      </c>
      <c r="AF193" s="1196" t="inlineStr">
        <is>
          <t>$ Material Cost $</t>
        </is>
      </c>
      <c r="AG193" s="1197" t="inlineStr">
        <is>
          <t>Note</t>
        </is>
      </c>
      <c r="AI193" s="1951" t="n"/>
      <c r="AK193" s="1274" t="inlineStr">
        <is>
          <t>Broadcast Media</t>
        </is>
      </c>
      <c r="AL193" s="1276" t="inlineStr">
        <is>
          <t>Product</t>
        </is>
      </c>
      <c r="AM193" s="1277" t="inlineStr">
        <is>
          <t>Coverage</t>
        </is>
      </c>
      <c r="AN193" s="1275" t="inlineStr">
        <is>
          <t>Unit of Measure</t>
        </is>
      </c>
      <c r="AO193" s="1275" t="inlineStr">
        <is>
          <t>Quantity Calcs</t>
        </is>
      </c>
      <c r="AP193" s="1197" t="inlineStr">
        <is>
          <t>$ Material Cost $</t>
        </is>
      </c>
      <c r="AR193" s="585">
        <f>AA266</f>
        <v/>
      </c>
    </row>
    <row r="194" ht="16.2" customFormat="1" customHeight="1" s="585" thickBot="1">
      <c r="A194" s="1226" t="inlineStr">
        <is>
          <t>1st BC (Liquids)</t>
        </is>
      </c>
      <c r="B194" s="1198" t="inlineStr">
        <is>
          <t>OPF</t>
        </is>
      </c>
      <c r="C194" s="1199" t="n">
        <v>275</v>
      </c>
      <c r="D194" s="1200" t="inlineStr">
        <is>
          <t>SF/Gal</t>
        </is>
      </c>
      <c r="E194" s="1201">
        <f>ROUNDUP(I192/C194,0)</f>
        <v/>
      </c>
      <c r="F194" s="2140">
        <f>E194*OPF</f>
        <v/>
      </c>
      <c r="G194" s="1203" t="n"/>
      <c r="I194" s="1951" t="n"/>
      <c r="K194" s="1271" t="inlineStr">
        <is>
          <t>MACRO Flake</t>
        </is>
      </c>
      <c r="L194" s="1214" t="inlineStr">
        <is>
          <t>Flake     (@ 40#s)</t>
        </is>
      </c>
      <c r="M194" s="1214" t="n">
        <v>0.15</v>
      </c>
      <c r="N194" s="1215" t="inlineStr">
        <is>
          <t>Lb/SF</t>
        </is>
      </c>
      <c r="O194" s="2128">
        <f>CEILING(I192*M194,40)</f>
        <v/>
      </c>
      <c r="P194" s="2129">
        <f>IF(O194&lt;240,(O194*$X$146),(O194*MACROFlake))</f>
        <v/>
      </c>
      <c r="Q194" s="585" t="inlineStr">
        <is>
          <t>check</t>
        </is>
      </c>
      <c r="R194" s="585">
        <f>A275</f>
        <v/>
      </c>
      <c r="S194" s="633" t="n"/>
      <c r="T194" s="2135" t="n"/>
      <c r="V194" s="633" t="inlineStr">
        <is>
          <t>Poly-Crete HF</t>
        </is>
      </c>
      <c r="W194" s="2080">
        <f>86.67</f>
        <v/>
      </c>
      <c r="X194" s="585" t="inlineStr">
        <is>
          <t>per kit</t>
        </is>
      </c>
      <c r="AA194" s="1226" t="inlineStr">
        <is>
          <t>1st BC (Liquids)</t>
        </is>
      </c>
      <c r="AB194" s="1198" t="inlineStr">
        <is>
          <t>OPF</t>
        </is>
      </c>
      <c r="AC194" s="1199" t="n">
        <v>275</v>
      </c>
      <c r="AD194" s="1200" t="inlineStr">
        <is>
          <t>SF/Gal</t>
        </is>
      </c>
      <c r="AE194" s="1201">
        <f>ROUNDUP(AI192/AC194,0)</f>
        <v/>
      </c>
      <c r="AF194" s="2140">
        <f>AE194*OPF</f>
        <v/>
      </c>
      <c r="AG194" s="1203" t="n"/>
      <c r="AI194" s="1951" t="n"/>
      <c r="AK194" s="1271" t="inlineStr">
        <is>
          <t>MACRO Flake</t>
        </is>
      </c>
      <c r="AL194" s="1214" t="inlineStr">
        <is>
          <t>Flake     (@ 40#s)</t>
        </is>
      </c>
      <c r="AM194" s="1214" t="n">
        <v>0.15</v>
      </c>
      <c r="AN194" s="1215" t="inlineStr">
        <is>
          <t>Lb/SF</t>
        </is>
      </c>
      <c r="AO194" s="2128">
        <f>CEILING(AI192*AM194,40)</f>
        <v/>
      </c>
      <c r="AP194" s="2129">
        <f>IF(AO194&lt;240,(AO194*$X$146),(AO194*MACROFlake))</f>
        <v/>
      </c>
      <c r="AQ194" s="585" t="inlineStr">
        <is>
          <t>check</t>
        </is>
      </c>
      <c r="AR194" s="585">
        <f>AA275</f>
        <v/>
      </c>
    </row>
    <row r="195" ht="16.2" customFormat="1" customHeight="1" s="585" thickBot="1">
      <c r="A195" s="1252" t="inlineStr">
        <is>
          <t>Grout Coat</t>
        </is>
      </c>
      <c r="B195" s="1253" t="inlineStr">
        <is>
          <t>Glaze #4</t>
        </is>
      </c>
      <c r="C195" s="1254" t="n">
        <v>125</v>
      </c>
      <c r="D195" s="1255" t="inlineStr">
        <is>
          <t>SF/Gal</t>
        </is>
      </c>
      <c r="E195" s="1256">
        <f>ROUNDUP(I192/C195,0)</f>
        <v/>
      </c>
      <c r="F195" s="2137">
        <f>E195*Glaze4</f>
        <v/>
      </c>
      <c r="G195" s="1258" t="n"/>
      <c r="I195" s="1951" t="n"/>
      <c r="L195" s="848" t="n"/>
      <c r="M195" s="2014" t="n"/>
      <c r="O195" s="1279" t="inlineStr">
        <is>
          <t>Total Media</t>
        </is>
      </c>
      <c r="P195" s="2132">
        <f>SUM(P194)</f>
        <v/>
      </c>
      <c r="R195" s="585">
        <f>A283</f>
        <v/>
      </c>
      <c r="S195" s="633" t="n"/>
      <c r="T195" s="2135" t="n"/>
      <c r="V195" s="633" t="inlineStr">
        <is>
          <t>TF+ Cove</t>
        </is>
      </c>
      <c r="W195" s="2080">
        <f>73.83</f>
        <v/>
      </c>
      <c r="X195" s="585" t="inlineStr">
        <is>
          <t>per kit</t>
        </is>
      </c>
      <c r="AA195" s="1252" t="inlineStr">
        <is>
          <t>Grout Coat</t>
        </is>
      </c>
      <c r="AB195" s="1253" t="inlineStr">
        <is>
          <t>Glaze #4</t>
        </is>
      </c>
      <c r="AC195" s="1254" t="n">
        <v>125</v>
      </c>
      <c r="AD195" s="1255" t="inlineStr">
        <is>
          <t>SF/Gal</t>
        </is>
      </c>
      <c r="AE195" s="1256">
        <f>ROUNDUP(AI192/AC195,0)</f>
        <v/>
      </c>
      <c r="AF195" s="2137">
        <f>AE195*Glaze4</f>
        <v/>
      </c>
      <c r="AG195" s="1258" t="n"/>
      <c r="AI195" s="1951" t="n"/>
      <c r="AL195" s="848" t="n"/>
      <c r="AM195" s="2014" t="n"/>
      <c r="AO195" s="1279" t="inlineStr">
        <is>
          <t>Total Media</t>
        </is>
      </c>
      <c r="AP195" s="2132">
        <f>SUM(AP194)</f>
        <v/>
      </c>
      <c r="AR195" s="585">
        <f>AA283</f>
        <v/>
      </c>
    </row>
    <row r="196" ht="16.2" customFormat="1" customHeight="1" s="585" thickBot="1">
      <c r="A196" s="1219" t="inlineStr">
        <is>
          <t>Top Coat</t>
        </is>
      </c>
      <c r="B196" s="1220" t="inlineStr">
        <is>
          <t>Armor Top Satin W/ Grit</t>
        </is>
      </c>
      <c r="C196" s="1221" t="n">
        <v>775</v>
      </c>
      <c r="D196" s="1222" t="inlineStr">
        <is>
          <t>SF/Kit</t>
        </is>
      </c>
      <c r="E196" s="1223">
        <f>ROUNDUP(I192/C196,0)</f>
        <v/>
      </c>
      <c r="F196" s="2141">
        <f>E196*$T$158</f>
        <v/>
      </c>
      <c r="G196" s="1234" t="n"/>
      <c r="I196" s="1951" t="n"/>
      <c r="L196" s="848" t="n"/>
      <c r="M196" s="2014" t="n"/>
      <c r="S196" s="633" t="n"/>
      <c r="T196" s="2135" t="n"/>
      <c r="V196" s="633" t="inlineStr">
        <is>
          <t>(prev. LM Primer) Cemlack 4772</t>
        </is>
      </c>
      <c r="W196" s="2080" t="n">
        <v>218.3</v>
      </c>
      <c r="X196" s="585" t="inlineStr">
        <is>
          <t>per 5 gal (=$43.66 /gal)</t>
        </is>
      </c>
      <c r="AA196" s="1219" t="inlineStr">
        <is>
          <t>Top Coat</t>
        </is>
      </c>
      <c r="AB196" s="1220" t="inlineStr">
        <is>
          <t>Armor Top Satin W/ Grit</t>
        </is>
      </c>
      <c r="AC196" s="1221" t="n">
        <v>775</v>
      </c>
      <c r="AD196" s="1222" t="inlineStr">
        <is>
          <t>SF/Kit</t>
        </is>
      </c>
      <c r="AE196" s="1223">
        <f>ROUNDUP(AI192/AC196,0)</f>
        <v/>
      </c>
      <c r="AF196" s="2141">
        <f>AE196*$T$158</f>
        <v/>
      </c>
      <c r="AG196" s="1234" t="n"/>
      <c r="AI196" s="1951" t="n"/>
      <c r="AL196" s="848" t="n"/>
      <c r="AM196" s="2014" t="n"/>
    </row>
    <row r="197" ht="16.2" customFormat="1" customHeight="1" s="585" thickBot="1">
      <c r="F197" s="2133">
        <f>SUM(F194:F196)</f>
        <v/>
      </c>
      <c r="G197" s="1236" t="inlineStr">
        <is>
          <t>Total Liquids Above</t>
        </is>
      </c>
      <c r="I197" s="1951" t="n"/>
      <c r="L197" s="848" t="n"/>
      <c r="M197" s="2014" t="n"/>
      <c r="S197" s="633" t="n"/>
      <c r="T197" s="2135" t="n"/>
      <c r="V197" s="633" t="inlineStr">
        <is>
          <t>(prev. LM) Cemlack MTR</t>
        </is>
      </c>
      <c r="W197" s="2080" t="n">
        <v>35.31</v>
      </c>
      <c r="X197" s="585" t="inlineStr">
        <is>
          <t>per 65 # bag</t>
        </is>
      </c>
      <c r="AF197" s="2133">
        <f>SUM(AF194:AF196)</f>
        <v/>
      </c>
      <c r="AG197" s="1236" t="inlineStr">
        <is>
          <t>Total Liquids Above</t>
        </is>
      </c>
      <c r="AI197" s="1951" t="n"/>
      <c r="AL197" s="848" t="n"/>
      <c r="AM197" s="2014" t="n"/>
      <c r="AR197" s="857" t="inlineStr">
        <is>
          <t>Walls</t>
        </is>
      </c>
    </row>
    <row r="198" ht="16.2" customFormat="1" customHeight="1" s="585" thickBot="1">
      <c r="I198" s="1951" t="n"/>
      <c r="L198" s="848" t="n"/>
      <c r="M198" s="2014" t="n"/>
      <c r="S198" s="633" t="n"/>
      <c r="T198" s="2135" t="n"/>
      <c r="AI198" s="1951" t="n"/>
      <c r="AL198" s="848" t="n"/>
      <c r="AM198" s="2014" t="n"/>
      <c r="AR198" s="585">
        <f>AA292</f>
        <v/>
      </c>
    </row>
    <row r="199" ht="16.2" customFormat="1" customHeight="1" s="585" thickBot="1">
      <c r="A199" s="2072" t="inlineStr">
        <is>
          <t>micro Flake Double Broadcast</t>
        </is>
      </c>
      <c r="B199" s="2073" t="n"/>
      <c r="C199" s="2073" t="n"/>
      <c r="D199" s="2073" t="n"/>
      <c r="E199" s="2073" t="n"/>
      <c r="F199" s="2073" t="n"/>
      <c r="G199" s="2074" t="n"/>
      <c r="I199" s="2075">
        <f>$I$160</f>
        <v/>
      </c>
      <c r="K199" s="2124" t="inlineStr">
        <is>
          <t>micro Flake Double Broadcast</t>
        </is>
      </c>
      <c r="L199" s="2125" t="n"/>
      <c r="M199" s="2125" t="n"/>
      <c r="N199" s="2125" t="n"/>
      <c r="O199" s="2125" t="n"/>
      <c r="P199" s="2126" t="n"/>
      <c r="S199" s="633" t="n"/>
      <c r="T199" s="2135" t="n"/>
      <c r="AA199" s="2072" t="inlineStr">
        <is>
          <t>micro Flake Double Broadcast</t>
        </is>
      </c>
      <c r="AB199" s="2073" t="n"/>
      <c r="AC199" s="2073" t="n"/>
      <c r="AD199" s="2073" t="n"/>
      <c r="AE199" s="2073" t="n"/>
      <c r="AF199" s="2073" t="n"/>
      <c r="AG199" s="2074" t="n"/>
      <c r="AI199" s="2075">
        <f>$AI$160</f>
        <v/>
      </c>
      <c r="AK199" s="2124" t="inlineStr">
        <is>
          <t>micro Flake Double Broadcast</t>
        </is>
      </c>
      <c r="AL199" s="2125" t="n"/>
      <c r="AM199" s="2125" t="n"/>
      <c r="AN199" s="2125" t="n"/>
      <c r="AO199" s="2125" t="n"/>
      <c r="AP199" s="2126" t="n"/>
      <c r="AR199" s="585">
        <f>AA302</f>
        <v/>
      </c>
    </row>
    <row r="200" ht="16.2" customFormat="1" customHeight="1" s="585" thickBot="1">
      <c r="A200" s="142" t="n"/>
      <c r="B200" s="1194" t="inlineStr">
        <is>
          <t>Product</t>
        </is>
      </c>
      <c r="C200" s="1195" t="inlineStr">
        <is>
          <t>Coverage</t>
        </is>
      </c>
      <c r="D200" s="1196" t="inlineStr">
        <is>
          <t>Unit of Measure</t>
        </is>
      </c>
      <c r="E200" s="1196" t="inlineStr">
        <is>
          <t>Quantity Calcs</t>
        </is>
      </c>
      <c r="F200" s="1196" t="inlineStr">
        <is>
          <t>$ Material Cost $</t>
        </is>
      </c>
      <c r="G200" s="1197" t="inlineStr">
        <is>
          <t>Note</t>
        </is>
      </c>
      <c r="I200" s="1951" t="n"/>
      <c r="K200" s="1274" t="inlineStr">
        <is>
          <t>Broadcast Media</t>
        </is>
      </c>
      <c r="L200" s="1276" t="inlineStr">
        <is>
          <t>Product</t>
        </is>
      </c>
      <c r="M200" s="1277" t="inlineStr">
        <is>
          <t>Coverage</t>
        </is>
      </c>
      <c r="N200" s="1275" t="inlineStr">
        <is>
          <t>Unit of Measure</t>
        </is>
      </c>
      <c r="O200" s="1275" t="inlineStr">
        <is>
          <t>Quantity Calcs</t>
        </is>
      </c>
      <c r="P200" s="1197" t="inlineStr">
        <is>
          <t>$ Material Cost $</t>
        </is>
      </c>
      <c r="S200" s="633" t="n"/>
      <c r="T200" s="2135" t="n"/>
      <c r="AA200" s="142" t="n"/>
      <c r="AB200" s="1194" t="inlineStr">
        <is>
          <t>Product</t>
        </is>
      </c>
      <c r="AC200" s="1195" t="inlineStr">
        <is>
          <t>Coverage</t>
        </is>
      </c>
      <c r="AD200" s="1196" t="inlineStr">
        <is>
          <t>Unit of Measure</t>
        </is>
      </c>
      <c r="AE200" s="1196" t="inlineStr">
        <is>
          <t>Quantity Calcs</t>
        </is>
      </c>
      <c r="AF200" s="1196" t="inlineStr">
        <is>
          <t>$ Material Cost $</t>
        </is>
      </c>
      <c r="AG200" s="1197" t="inlineStr">
        <is>
          <t>Note</t>
        </is>
      </c>
      <c r="AI200" s="1951" t="n"/>
      <c r="AK200" s="1274" t="inlineStr">
        <is>
          <t>Broadcast Media</t>
        </is>
      </c>
      <c r="AL200" s="1276" t="inlineStr">
        <is>
          <t>Product</t>
        </is>
      </c>
      <c r="AM200" s="1277" t="inlineStr">
        <is>
          <t>Coverage</t>
        </is>
      </c>
      <c r="AN200" s="1275" t="inlineStr">
        <is>
          <t>Unit of Measure</t>
        </is>
      </c>
      <c r="AO200" s="1275" t="inlineStr">
        <is>
          <t>Quantity Calcs</t>
        </is>
      </c>
      <c r="AP200" s="1197" t="inlineStr">
        <is>
          <t>$ Material Cost $</t>
        </is>
      </c>
      <c r="AR200" s="585">
        <f>AA310</f>
        <v/>
      </c>
    </row>
    <row r="201" ht="16.2" customFormat="1" customHeight="1" s="585" thickBot="1">
      <c r="A201" s="1226" t="inlineStr">
        <is>
          <t>1st Broadcast (Liquids)</t>
        </is>
      </c>
      <c r="B201" s="1198" t="inlineStr">
        <is>
          <t>OPF</t>
        </is>
      </c>
      <c r="C201" s="1199" t="n">
        <v>275</v>
      </c>
      <c r="D201" s="1200" t="inlineStr">
        <is>
          <t>SF/Gal</t>
        </is>
      </c>
      <c r="E201" s="1201">
        <f>ROUNDUP(I199/C201,0)</f>
        <v/>
      </c>
      <c r="F201" s="2140">
        <f>E201*OPF</f>
        <v/>
      </c>
      <c r="G201" s="1203" t="n"/>
      <c r="I201" s="1951" t="n"/>
      <c r="K201" s="1271" t="inlineStr">
        <is>
          <t>micro Flake</t>
        </is>
      </c>
      <c r="L201" s="1214" t="inlineStr">
        <is>
          <t>Flake     (@ 40#s)</t>
        </is>
      </c>
      <c r="M201" s="1214" t="n">
        <v>0.15</v>
      </c>
      <c r="N201" s="1215" t="inlineStr">
        <is>
          <t>Lb/SF</t>
        </is>
      </c>
      <c r="O201" s="2128">
        <f>CEILING(I199*M201,40)</f>
        <v/>
      </c>
      <c r="P201" s="2129">
        <f>IF((O201+O202)&lt;240,(O201*$X$147),(O201*microFlake))</f>
        <v/>
      </c>
      <c r="Q201" s="585" t="inlineStr">
        <is>
          <t>check</t>
        </is>
      </c>
      <c r="S201" s="633" t="n"/>
      <c r="T201" s="2135" t="n"/>
      <c r="AA201" s="1226" t="inlineStr">
        <is>
          <t>1st Broadcast (Liquids)</t>
        </is>
      </c>
      <c r="AB201" s="1198" t="inlineStr">
        <is>
          <t>OPF</t>
        </is>
      </c>
      <c r="AC201" s="1199" t="n">
        <v>275</v>
      </c>
      <c r="AD201" s="1200" t="inlineStr">
        <is>
          <t>SF/Gal</t>
        </is>
      </c>
      <c r="AE201" s="1201">
        <f>ROUNDUP(AI199/AC201,0)</f>
        <v/>
      </c>
      <c r="AF201" s="2140">
        <f>AE201*OPF</f>
        <v/>
      </c>
      <c r="AG201" s="1203" t="n"/>
      <c r="AI201" s="1951" t="n"/>
      <c r="AK201" s="1271" t="inlineStr">
        <is>
          <t>micro Flake</t>
        </is>
      </c>
      <c r="AL201" s="1214" t="inlineStr">
        <is>
          <t>Flake     (@ 40#s)</t>
        </is>
      </c>
      <c r="AM201" s="1214" t="n">
        <v>0.15</v>
      </c>
      <c r="AN201" s="1215" t="inlineStr">
        <is>
          <t>Lb/SF</t>
        </is>
      </c>
      <c r="AO201" s="2128">
        <f>CEILING(AI199*AM201,40)</f>
        <v/>
      </c>
      <c r="AP201" s="2129">
        <f>IF((AO201+AO202)&lt;240,(AO201*$X$147),(AO201*microFlake))</f>
        <v/>
      </c>
      <c r="AQ201" s="585" t="inlineStr">
        <is>
          <t>check</t>
        </is>
      </c>
      <c r="AR201" s="585">
        <f>AA320</f>
        <v/>
      </c>
    </row>
    <row r="202" ht="16.2" customFormat="1" customHeight="1" s="585" thickBot="1">
      <c r="A202" s="1252" t="inlineStr">
        <is>
          <t>2nd Broadcast (Liquids)</t>
        </is>
      </c>
      <c r="B202" s="1253" t="inlineStr">
        <is>
          <t>Glaze #4</t>
        </is>
      </c>
      <c r="C202" s="1254" t="n">
        <v>150</v>
      </c>
      <c r="D202" s="1255" t="inlineStr">
        <is>
          <t>SF/Gal</t>
        </is>
      </c>
      <c r="E202" s="1256">
        <f>ROUNDUP(I199/C202,0)</f>
        <v/>
      </c>
      <c r="F202" s="2137">
        <f>E202*Glaze4</f>
        <v/>
      </c>
      <c r="G202" s="1258" t="n"/>
      <c r="I202" s="1951" t="n"/>
      <c r="K202" s="1271" t="inlineStr">
        <is>
          <t>micro Flake</t>
        </is>
      </c>
      <c r="L202" s="1214" t="inlineStr">
        <is>
          <t>Flake     (@ 40#s)</t>
        </is>
      </c>
      <c r="M202" s="1214" t="n">
        <v>0.15</v>
      </c>
      <c r="N202" s="1215" t="inlineStr">
        <is>
          <t>Lb/SF</t>
        </is>
      </c>
      <c r="O202" s="2128">
        <f>CEILING(I199*M202,40)</f>
        <v/>
      </c>
      <c r="P202" s="2129">
        <f>IF((O201+O202)&lt;240,(O202*$X$147),(O202*microFlake))</f>
        <v/>
      </c>
      <c r="Q202" s="585" t="inlineStr">
        <is>
          <t>check</t>
        </is>
      </c>
      <c r="S202" s="633" t="n"/>
      <c r="T202" s="2135" t="n"/>
      <c r="AA202" s="1252" t="inlineStr">
        <is>
          <t>2nd Broadcast (Liquids)</t>
        </is>
      </c>
      <c r="AB202" s="1253" t="inlineStr">
        <is>
          <t>Glaze #4</t>
        </is>
      </c>
      <c r="AC202" s="1254" t="n">
        <v>150</v>
      </c>
      <c r="AD202" s="1255" t="inlineStr">
        <is>
          <t>SF/Gal</t>
        </is>
      </c>
      <c r="AE202" s="1256">
        <f>ROUNDUP(AI199/AC202,0)</f>
        <v/>
      </c>
      <c r="AF202" s="2137">
        <f>AE202*Glaze4</f>
        <v/>
      </c>
      <c r="AG202" s="1258" t="n"/>
      <c r="AI202" s="1951" t="n"/>
      <c r="AK202" s="1271" t="inlineStr">
        <is>
          <t>micro Flake</t>
        </is>
      </c>
      <c r="AL202" s="1214" t="inlineStr">
        <is>
          <t>Flake     (@ 40#s)</t>
        </is>
      </c>
      <c r="AM202" s="1214" t="n">
        <v>0.15</v>
      </c>
      <c r="AN202" s="1215" t="inlineStr">
        <is>
          <t>Lb/SF</t>
        </is>
      </c>
      <c r="AO202" s="2128">
        <f>CEILING(AI199*AM202,40)</f>
        <v/>
      </c>
      <c r="AP202" s="2129">
        <f>IF((AO201+AO202)&lt;240,(AO202*$X$147),(AO202*microFlake))</f>
        <v/>
      </c>
      <c r="AQ202" s="585" t="inlineStr">
        <is>
          <t>check</t>
        </is>
      </c>
      <c r="AR202" s="585">
        <f>AA326</f>
        <v/>
      </c>
    </row>
    <row r="203" ht="16.2" customFormat="1" customHeight="1" s="585" thickBot="1">
      <c r="A203" s="1226" t="inlineStr">
        <is>
          <t>Grout Coat</t>
        </is>
      </c>
      <c r="B203" s="1198" t="inlineStr">
        <is>
          <t>Glaze #4</t>
        </is>
      </c>
      <c r="C203" s="1199" t="n">
        <v>125</v>
      </c>
      <c r="D203" s="1200" t="inlineStr">
        <is>
          <t>SF/Gal</t>
        </is>
      </c>
      <c r="E203" s="1201">
        <f>ROUNDUP(I199/C203,0)</f>
        <v/>
      </c>
      <c r="F203" s="2140">
        <f>E203*Glaze4</f>
        <v/>
      </c>
      <c r="G203" s="1203" t="n"/>
      <c r="I203" s="1951" t="n"/>
      <c r="L203" s="848" t="n"/>
      <c r="M203" s="2014" t="n"/>
      <c r="O203" s="1279" t="inlineStr">
        <is>
          <t>Total Media</t>
        </is>
      </c>
      <c r="P203" s="2132">
        <f>SUM(P201:P202)</f>
        <v/>
      </c>
      <c r="S203" s="633" t="n"/>
      <c r="T203" s="2135" t="n"/>
      <c r="AA203" s="1226" t="inlineStr">
        <is>
          <t>Grout Coat</t>
        </is>
      </c>
      <c r="AB203" s="1198" t="inlineStr">
        <is>
          <t>Glaze #4</t>
        </is>
      </c>
      <c r="AC203" s="1199" t="n">
        <v>125</v>
      </c>
      <c r="AD203" s="1200" t="inlineStr">
        <is>
          <t>SF/Gal</t>
        </is>
      </c>
      <c r="AE203" s="1201">
        <f>ROUNDUP(AI199/AC203,0)</f>
        <v/>
      </c>
      <c r="AF203" s="2140">
        <f>AE203*Glaze4</f>
        <v/>
      </c>
      <c r="AG203" s="1203" t="n"/>
      <c r="AI203" s="1951" t="n"/>
      <c r="AL203" s="848" t="n"/>
      <c r="AM203" s="2014" t="n"/>
      <c r="AO203" s="1279" t="inlineStr">
        <is>
          <t>Total Media</t>
        </is>
      </c>
      <c r="AP203" s="2132">
        <f>SUM(AP201:AP202)</f>
        <v/>
      </c>
      <c r="AR203" s="585">
        <f>AA333</f>
        <v/>
      </c>
    </row>
    <row r="204" ht="16.2" customFormat="1" customHeight="1" s="585" thickBot="1">
      <c r="A204" s="1219" t="inlineStr">
        <is>
          <t>Top Coat</t>
        </is>
      </c>
      <c r="B204" s="1220" t="inlineStr">
        <is>
          <t>Armor Top Satin W/ Grit</t>
        </is>
      </c>
      <c r="C204" s="1221" t="n">
        <v>775</v>
      </c>
      <c r="D204" s="1222" t="inlineStr">
        <is>
          <t>SF/Kit</t>
        </is>
      </c>
      <c r="E204" s="1223">
        <f>ROUNDUP(I199/C204,0)</f>
        <v/>
      </c>
      <c r="F204" s="2138">
        <f>E204*$T$158</f>
        <v/>
      </c>
      <c r="G204" s="1225" t="n"/>
      <c r="I204" s="1951" t="n"/>
      <c r="L204" s="848" t="n"/>
      <c r="M204" s="2014" t="n"/>
      <c r="S204" s="633" t="n"/>
      <c r="T204" s="2135" t="n"/>
      <c r="AA204" s="1219" t="inlineStr">
        <is>
          <t>Top Coat</t>
        </is>
      </c>
      <c r="AB204" s="1220" t="inlineStr">
        <is>
          <t>Armor Top Satin W/ Grit</t>
        </is>
      </c>
      <c r="AC204" s="1221" t="n">
        <v>775</v>
      </c>
      <c r="AD204" s="1222" t="inlineStr">
        <is>
          <t>SF/Kit</t>
        </is>
      </c>
      <c r="AE204" s="1223">
        <f>ROUNDUP(AI199/AC204,0)</f>
        <v/>
      </c>
      <c r="AF204" s="2138">
        <f>AE204*$T$158</f>
        <v/>
      </c>
      <c r="AG204" s="1225" t="n"/>
      <c r="AI204" s="1951" t="n"/>
      <c r="AL204" s="848" t="n"/>
      <c r="AM204" s="2014" t="n"/>
      <c r="AR204" s="847" t="inlineStr">
        <is>
          <t>more tbd…</t>
        </is>
      </c>
    </row>
    <row r="205" ht="16.2" customFormat="1" customHeight="1" s="585" thickBot="1">
      <c r="F205" s="2133">
        <f>SUM(F201:F204)</f>
        <v/>
      </c>
      <c r="G205" s="1236" t="inlineStr">
        <is>
          <t>Total Liquids Above</t>
        </is>
      </c>
      <c r="I205" s="1951" t="n"/>
      <c r="L205" s="848" t="n"/>
      <c r="M205" s="2014" t="n"/>
      <c r="S205" s="633" t="n"/>
      <c r="AF205" s="2133">
        <f>SUM(AF201:AF204)</f>
        <v/>
      </c>
      <c r="AG205" s="1236" t="inlineStr">
        <is>
          <t>Total Liquids Above</t>
        </is>
      </c>
      <c r="AI205" s="1951" t="n"/>
      <c r="AL205" s="848" t="n"/>
      <c r="AM205" s="2014" t="n"/>
    </row>
    <row r="206" ht="16.2" customFormat="1" customHeight="1" s="585" thickBot="1">
      <c r="I206" s="1951" t="n"/>
      <c r="L206" s="848" t="n"/>
      <c r="M206" s="2014" t="n"/>
      <c r="S206" s="633" t="n"/>
      <c r="AI206" s="1951" t="n"/>
      <c r="AL206" s="848" t="n"/>
      <c r="AM206" s="2014" t="n"/>
    </row>
    <row r="207" ht="16.2" customFormat="1" customHeight="1" s="585" thickBot="1">
      <c r="A207" s="2072" t="inlineStr">
        <is>
          <t>Hybrid  MACRO Flake</t>
        </is>
      </c>
      <c r="B207" s="2073" t="n"/>
      <c r="C207" s="2073" t="n"/>
      <c r="D207" s="2073" t="n"/>
      <c r="E207" s="2073" t="n"/>
      <c r="F207" s="2073" t="n"/>
      <c r="G207" s="2074" t="n"/>
      <c r="I207" s="2075">
        <f>$I$160</f>
        <v/>
      </c>
      <c r="K207" s="2124" t="inlineStr">
        <is>
          <t>Hybrid  MACRO Flake</t>
        </is>
      </c>
      <c r="L207" s="2125" t="n"/>
      <c r="M207" s="2125" t="n"/>
      <c r="N207" s="2125" t="n"/>
      <c r="O207" s="2125" t="n"/>
      <c r="P207" s="2126" t="n"/>
      <c r="S207" s="633" t="n"/>
      <c r="AA207" s="2072" t="inlineStr">
        <is>
          <t>Hybrid  MACRO Flake</t>
        </is>
      </c>
      <c r="AB207" s="2073" t="n"/>
      <c r="AC207" s="2073" t="n"/>
      <c r="AD207" s="2073" t="n"/>
      <c r="AE207" s="2073" t="n"/>
      <c r="AF207" s="2073" t="n"/>
      <c r="AG207" s="2074" t="n"/>
      <c r="AI207" s="2075">
        <f>$AI$160</f>
        <v/>
      </c>
      <c r="AK207" s="2124" t="inlineStr">
        <is>
          <t>Hybrid  MACRO Flake</t>
        </is>
      </c>
      <c r="AL207" s="2125" t="n"/>
      <c r="AM207" s="2125" t="n"/>
      <c r="AN207" s="2125" t="n"/>
      <c r="AO207" s="2125" t="n"/>
      <c r="AP207" s="2126" t="n"/>
    </row>
    <row r="208" ht="16.2" customFormat="1" customHeight="1" s="585" thickBot="1">
      <c r="A208" s="142" t="n"/>
      <c r="B208" s="1194" t="inlineStr">
        <is>
          <t>Product</t>
        </is>
      </c>
      <c r="C208" s="1195" t="inlineStr">
        <is>
          <t>Coverage</t>
        </is>
      </c>
      <c r="D208" s="1196" t="inlineStr">
        <is>
          <t>Unit of Measure</t>
        </is>
      </c>
      <c r="E208" s="1196" t="inlineStr">
        <is>
          <t>Quantity Calcs</t>
        </is>
      </c>
      <c r="F208" s="1196" t="inlineStr">
        <is>
          <t>$ Material Cost $</t>
        </is>
      </c>
      <c r="G208" s="1197" t="inlineStr">
        <is>
          <t>Note</t>
        </is>
      </c>
      <c r="I208" s="1951" t="n"/>
      <c r="K208" s="1274" t="inlineStr">
        <is>
          <t>Broadcast Media</t>
        </is>
      </c>
      <c r="L208" s="1276" t="inlineStr">
        <is>
          <t>Product</t>
        </is>
      </c>
      <c r="M208" s="1277" t="inlineStr">
        <is>
          <t>Coverage</t>
        </is>
      </c>
      <c r="N208" s="1275" t="inlineStr">
        <is>
          <t>Unit of Measure</t>
        </is>
      </c>
      <c r="O208" s="1275" t="inlineStr">
        <is>
          <t>Quantity Calcs</t>
        </is>
      </c>
      <c r="P208" s="1197" t="inlineStr">
        <is>
          <t>$ Material Cost $</t>
        </is>
      </c>
      <c r="S208" s="633" t="n"/>
      <c r="AA208" s="142" t="n"/>
      <c r="AB208" s="1194" t="inlineStr">
        <is>
          <t>Product</t>
        </is>
      </c>
      <c r="AC208" s="1195" t="inlineStr">
        <is>
          <t>Coverage</t>
        </is>
      </c>
      <c r="AD208" s="1196" t="inlineStr">
        <is>
          <t>Unit of Measure</t>
        </is>
      </c>
      <c r="AE208" s="1196" t="inlineStr">
        <is>
          <t>Quantity Calcs</t>
        </is>
      </c>
      <c r="AF208" s="1196" t="inlineStr">
        <is>
          <t>$ Material Cost $</t>
        </is>
      </c>
      <c r="AG208" s="1197" t="inlineStr">
        <is>
          <t>Note</t>
        </is>
      </c>
      <c r="AI208" s="1951" t="n"/>
      <c r="AK208" s="1274" t="inlineStr">
        <is>
          <t>Broadcast Media</t>
        </is>
      </c>
      <c r="AL208" s="1276" t="inlineStr">
        <is>
          <t>Product</t>
        </is>
      </c>
      <c r="AM208" s="1277" t="inlineStr">
        <is>
          <t>Coverage</t>
        </is>
      </c>
      <c r="AN208" s="1275" t="inlineStr">
        <is>
          <t>Unit of Measure</t>
        </is>
      </c>
      <c r="AO208" s="1275" t="inlineStr">
        <is>
          <t>Quantity Calcs</t>
        </is>
      </c>
      <c r="AP208" s="1197" t="inlineStr">
        <is>
          <t>$ Material Cost $</t>
        </is>
      </c>
    </row>
    <row r="209" ht="16.2" customFormat="1" customHeight="1" s="585" thickBot="1">
      <c r="A209" s="1232" t="inlineStr">
        <is>
          <t>Base Coat 1st BC (Liquids)</t>
        </is>
      </c>
      <c r="B209" s="1204" t="inlineStr">
        <is>
          <t>Poly-Crete SL</t>
        </is>
      </c>
      <c r="C209" s="1205" t="n">
        <v>55</v>
      </c>
      <c r="D209" s="1206" t="inlineStr">
        <is>
          <t>SF/Kit</t>
        </is>
      </c>
      <c r="E209" s="1207">
        <f>ROUNDUP(I207/C209,0)</f>
        <v/>
      </c>
      <c r="F209" s="2077">
        <f>E209*SL</f>
        <v/>
      </c>
      <c r="G209" s="1209" t="n"/>
      <c r="I209" s="1951" t="n"/>
      <c r="K209" s="1271" t="inlineStr">
        <is>
          <t>MACRO Flake</t>
        </is>
      </c>
      <c r="L209" s="1214" t="inlineStr">
        <is>
          <t>Flake     (@ 40#s)</t>
        </is>
      </c>
      <c r="M209" s="1214" t="n">
        <v>0.15</v>
      </c>
      <c r="N209" s="1215" t="inlineStr">
        <is>
          <t>Lb/SF</t>
        </is>
      </c>
      <c r="O209" s="2128">
        <f>CEILING(I207*M209,40)</f>
        <v/>
      </c>
      <c r="P209" s="2129">
        <f>IF((O209+O210)&lt;240,(O209*$X$146),(O209*MACROFlake))</f>
        <v/>
      </c>
      <c r="Q209" s="585" t="inlineStr">
        <is>
          <t>check</t>
        </is>
      </c>
      <c r="S209" s="633" t="n"/>
      <c r="AA209" s="1232" t="inlineStr">
        <is>
          <t>Base Coat 1st BC (Liquids)</t>
        </is>
      </c>
      <c r="AB209" s="1204" t="inlineStr">
        <is>
          <t>Poly-Crete SL</t>
        </is>
      </c>
      <c r="AC209" s="1205" t="n">
        <v>55</v>
      </c>
      <c r="AD209" s="1206" t="inlineStr">
        <is>
          <t>SF/Kit</t>
        </is>
      </c>
      <c r="AE209" s="1207">
        <f>ROUNDUP(AI207/AC209,0)</f>
        <v/>
      </c>
      <c r="AF209" s="2077">
        <f>AE209*SL</f>
        <v/>
      </c>
      <c r="AG209" s="1209" t="n"/>
      <c r="AI209" s="1951" t="n"/>
      <c r="AK209" s="1271" t="inlineStr">
        <is>
          <t>MACRO Flake</t>
        </is>
      </c>
      <c r="AL209" s="1214" t="inlineStr">
        <is>
          <t>Flake     (@ 40#s)</t>
        </is>
      </c>
      <c r="AM209" s="1214" t="n">
        <v>0.15</v>
      </c>
      <c r="AN209" s="1215" t="inlineStr">
        <is>
          <t>Lb/SF</t>
        </is>
      </c>
      <c r="AO209" s="2128">
        <f>CEILING(AI207*AM209,40)</f>
        <v/>
      </c>
      <c r="AP209" s="2129">
        <f>IF((AO209+AO210)&lt;240,(AO209*$X$146),(AO209*MACROFlake))</f>
        <v/>
      </c>
      <c r="AQ209" s="585" t="inlineStr">
        <is>
          <t>check</t>
        </is>
      </c>
    </row>
    <row r="210" ht="16.2" customFormat="1" customHeight="1" s="585" thickBot="1">
      <c r="A210" s="1226" t="inlineStr">
        <is>
          <t>2nd Broadcast (Liquids)</t>
        </is>
      </c>
      <c r="B210" s="1198" t="inlineStr">
        <is>
          <t>Glaze #4</t>
        </is>
      </c>
      <c r="C210" s="1199" t="n">
        <v>150</v>
      </c>
      <c r="D210" s="1200" t="inlineStr">
        <is>
          <t>SF/Gal</t>
        </is>
      </c>
      <c r="E210" s="1201">
        <f>ROUNDUP(I207/C210,0)</f>
        <v/>
      </c>
      <c r="F210" s="2140">
        <f>E210*Glaze4</f>
        <v/>
      </c>
      <c r="G210" s="1203" t="n"/>
      <c r="I210" s="1951" t="n"/>
      <c r="K210" s="1271" t="inlineStr">
        <is>
          <t>MACRO Flake</t>
        </is>
      </c>
      <c r="L210" s="1214" t="inlineStr">
        <is>
          <t>Flake     (@ 40#s)</t>
        </is>
      </c>
      <c r="M210" s="1214" t="n">
        <v>0.12</v>
      </c>
      <c r="N210" s="1215" t="inlineStr">
        <is>
          <t>Lb/SF</t>
        </is>
      </c>
      <c r="O210" s="2128">
        <f>CEILING(I207*M210,40)</f>
        <v/>
      </c>
      <c r="P210" s="2129">
        <f>IF((O209+O210)&lt;240,(O210*$X$146),(O210*MACROFlake))</f>
        <v/>
      </c>
      <c r="Q210" s="585" t="inlineStr">
        <is>
          <t>check</t>
        </is>
      </c>
      <c r="AA210" s="1226" t="inlineStr">
        <is>
          <t>2nd Broadcast (Liquids)</t>
        </is>
      </c>
      <c r="AB210" s="1198" t="inlineStr">
        <is>
          <t>Glaze #4</t>
        </is>
      </c>
      <c r="AC210" s="1199" t="n">
        <v>150</v>
      </c>
      <c r="AD210" s="1200" t="inlineStr">
        <is>
          <t>SF/Gal</t>
        </is>
      </c>
      <c r="AE210" s="1201">
        <f>ROUNDUP(AI207/AC210,0)</f>
        <v/>
      </c>
      <c r="AF210" s="2140">
        <f>AE210*Glaze4</f>
        <v/>
      </c>
      <c r="AG210" s="1203" t="n"/>
      <c r="AI210" s="1951" t="n"/>
      <c r="AK210" s="1271" t="inlineStr">
        <is>
          <t>MACRO Flake</t>
        </is>
      </c>
      <c r="AL210" s="1214" t="inlineStr">
        <is>
          <t>Flake     (@ 40#s)</t>
        </is>
      </c>
      <c r="AM210" s="1214" t="n">
        <v>0.12</v>
      </c>
      <c r="AN210" s="1215" t="inlineStr">
        <is>
          <t>Lb/SF</t>
        </is>
      </c>
      <c r="AO210" s="2128">
        <f>CEILING(AI207*AM210,40)</f>
        <v/>
      </c>
      <c r="AP210" s="2129">
        <f>IF((AO209+AO210)&lt;240,(AO210*$X$146),(AO210*MACROFlake))</f>
        <v/>
      </c>
      <c r="AQ210" s="585" t="inlineStr">
        <is>
          <t>check</t>
        </is>
      </c>
    </row>
    <row r="211" ht="16.2" customFormat="1" customHeight="1" s="585" thickBot="1">
      <c r="A211" s="1252" t="inlineStr">
        <is>
          <t>Grout Coat</t>
        </is>
      </c>
      <c r="B211" s="1253" t="inlineStr">
        <is>
          <t>Glaze #4</t>
        </is>
      </c>
      <c r="C211" s="1254" t="n">
        <v>125</v>
      </c>
      <c r="D211" s="1255" t="inlineStr">
        <is>
          <t>SF/Gal</t>
        </is>
      </c>
      <c r="E211" s="1256">
        <f>ROUNDUP(I207/C211,0)</f>
        <v/>
      </c>
      <c r="F211" s="2137">
        <f>E211*Glaze4</f>
        <v/>
      </c>
      <c r="G211" s="1258" t="n"/>
      <c r="I211" s="1951" t="n"/>
      <c r="L211" s="848" t="n"/>
      <c r="M211" s="2014" t="n"/>
      <c r="O211" s="1279" t="inlineStr">
        <is>
          <t>Total Media</t>
        </is>
      </c>
      <c r="P211" s="2132">
        <f>SUM(P209:P210)</f>
        <v/>
      </c>
      <c r="AA211" s="1252" t="inlineStr">
        <is>
          <t>Grout Coat</t>
        </is>
      </c>
      <c r="AB211" s="1253" t="inlineStr">
        <is>
          <t>Glaze #4</t>
        </is>
      </c>
      <c r="AC211" s="1254" t="n">
        <v>125</v>
      </c>
      <c r="AD211" s="1255" t="inlineStr">
        <is>
          <t>SF/Gal</t>
        </is>
      </c>
      <c r="AE211" s="1256">
        <f>ROUNDUP(AI207/AC211,0)</f>
        <v/>
      </c>
      <c r="AF211" s="2137">
        <f>AE211*Glaze4</f>
        <v/>
      </c>
      <c r="AG211" s="1258" t="n"/>
      <c r="AI211" s="1951" t="n"/>
      <c r="AL211" s="848" t="n"/>
      <c r="AM211" s="2014" t="n"/>
      <c r="AO211" s="1279" t="inlineStr">
        <is>
          <t>Total Media</t>
        </is>
      </c>
      <c r="AP211" s="2132">
        <f>SUM(AP209:AP210)</f>
        <v/>
      </c>
    </row>
    <row r="212" ht="16.2" customFormat="1" customHeight="1" s="585" thickBot="1">
      <c r="A212" s="1219" t="inlineStr">
        <is>
          <t>Top Coat</t>
        </is>
      </c>
      <c r="B212" s="1220" t="inlineStr">
        <is>
          <t>Armor Top Satin W/ Grit</t>
        </is>
      </c>
      <c r="C212" s="1221" t="n">
        <v>775</v>
      </c>
      <c r="D212" s="1222" t="inlineStr">
        <is>
          <t>SF/Kit</t>
        </is>
      </c>
      <c r="E212" s="1223">
        <f>ROUNDUP(I207/C212,0)</f>
        <v/>
      </c>
      <c r="F212" s="2138">
        <f>E212*$T$158</f>
        <v/>
      </c>
      <c r="G212" s="1225" t="n"/>
      <c r="I212" s="1951" t="n"/>
      <c r="L212" s="848" t="n"/>
      <c r="M212" s="2014" t="n"/>
      <c r="AA212" s="1219" t="inlineStr">
        <is>
          <t>Top Coat</t>
        </is>
      </c>
      <c r="AB212" s="1220" t="inlineStr">
        <is>
          <t>Armor Top Satin W/ Grit</t>
        </is>
      </c>
      <c r="AC212" s="1221" t="n">
        <v>775</v>
      </c>
      <c r="AD212" s="1222" t="inlineStr">
        <is>
          <t>SF/Kit</t>
        </is>
      </c>
      <c r="AE212" s="1223">
        <f>ROUNDUP(AI207/AC212,0)</f>
        <v/>
      </c>
      <c r="AF212" s="2138">
        <f>AE212*$T$158</f>
        <v/>
      </c>
      <c r="AG212" s="1225" t="n"/>
      <c r="AI212" s="1951" t="n"/>
      <c r="AL212" s="848" t="n"/>
      <c r="AM212" s="2014" t="n"/>
    </row>
    <row r="213" ht="16.2" customFormat="1" customHeight="1" s="585" thickBot="1">
      <c r="F213" s="2133">
        <f>SUM(F209:F212)</f>
        <v/>
      </c>
      <c r="G213" s="1236" t="inlineStr">
        <is>
          <t>Total Liquids Above</t>
        </is>
      </c>
      <c r="I213" s="1951" t="n"/>
      <c r="L213" s="848" t="n"/>
      <c r="M213" s="2014" t="n"/>
      <c r="AF213" s="2133">
        <f>SUM(AF209:AF212)</f>
        <v/>
      </c>
      <c r="AG213" s="1236" t="inlineStr">
        <is>
          <t>Total Liquids Above</t>
        </is>
      </c>
      <c r="AI213" s="1951" t="n"/>
      <c r="AL213" s="848" t="n"/>
      <c r="AM213" s="2014" t="n"/>
    </row>
    <row r="214" ht="16.2" customFormat="1" customHeight="1" s="585" thickBot="1">
      <c r="I214" s="1951" t="n"/>
      <c r="L214" s="848" t="n"/>
      <c r="M214" s="2014" t="n"/>
      <c r="AI214" s="1951" t="n"/>
      <c r="AL214" s="848" t="n"/>
      <c r="AM214" s="2014" t="n"/>
    </row>
    <row r="215" ht="16.2" customFormat="1" customHeight="1" s="585" thickBot="1">
      <c r="A215" s="2072" t="inlineStr">
        <is>
          <t>Hybrid  micro Flake</t>
        </is>
      </c>
      <c r="B215" s="2073" t="n"/>
      <c r="C215" s="2073" t="n"/>
      <c r="D215" s="2073" t="n"/>
      <c r="E215" s="2073" t="n"/>
      <c r="F215" s="2073" t="n"/>
      <c r="G215" s="2074" t="n"/>
      <c r="I215" s="2075">
        <f>$I$160</f>
        <v/>
      </c>
      <c r="K215" s="2124" t="inlineStr">
        <is>
          <t>Hybrid  micro Flake</t>
        </is>
      </c>
      <c r="L215" s="2125" t="n"/>
      <c r="M215" s="2125" t="n"/>
      <c r="N215" s="2125" t="n"/>
      <c r="O215" s="2125" t="n"/>
      <c r="P215" s="2126" t="n"/>
      <c r="AA215" s="2072" t="inlineStr">
        <is>
          <t>Hybrid  micro Flake</t>
        </is>
      </c>
      <c r="AB215" s="2073" t="n"/>
      <c r="AC215" s="2073" t="n"/>
      <c r="AD215" s="2073" t="n"/>
      <c r="AE215" s="2073" t="n"/>
      <c r="AF215" s="2073" t="n"/>
      <c r="AG215" s="2074" t="n"/>
      <c r="AI215" s="2075">
        <f>$AI$160</f>
        <v/>
      </c>
      <c r="AK215" s="2124" t="inlineStr">
        <is>
          <t>Hybrid  micro Flake</t>
        </is>
      </c>
      <c r="AL215" s="2125" t="n"/>
      <c r="AM215" s="2125" t="n"/>
      <c r="AN215" s="2125" t="n"/>
      <c r="AO215" s="2125" t="n"/>
      <c r="AP215" s="2126" t="n"/>
    </row>
    <row r="216" ht="16.2" customFormat="1" customHeight="1" s="585" thickBot="1">
      <c r="A216" s="142" t="n"/>
      <c r="B216" s="1194" t="inlineStr">
        <is>
          <t>Product</t>
        </is>
      </c>
      <c r="C216" s="1195" t="inlineStr">
        <is>
          <t>Coverage</t>
        </is>
      </c>
      <c r="D216" s="1196" t="inlineStr">
        <is>
          <t>Unit of Measure</t>
        </is>
      </c>
      <c r="E216" s="1196" t="inlineStr">
        <is>
          <t>Quantity Calcs</t>
        </is>
      </c>
      <c r="F216" s="1196" t="inlineStr">
        <is>
          <t>$ Material Cost $</t>
        </is>
      </c>
      <c r="G216" s="1197" t="inlineStr">
        <is>
          <t>Note</t>
        </is>
      </c>
      <c r="I216" s="1951" t="n"/>
      <c r="K216" s="1274" t="inlineStr">
        <is>
          <t>Broadcast Media</t>
        </is>
      </c>
      <c r="L216" s="1276" t="inlineStr">
        <is>
          <t>Product</t>
        </is>
      </c>
      <c r="M216" s="1277" t="inlineStr">
        <is>
          <t>Coverage</t>
        </is>
      </c>
      <c r="N216" s="1275" t="inlineStr">
        <is>
          <t>Unit of Measure</t>
        </is>
      </c>
      <c r="O216" s="1275" t="inlineStr">
        <is>
          <t>Quantity Calcs</t>
        </is>
      </c>
      <c r="P216" s="1197" t="inlineStr">
        <is>
          <t>$ Material Cost $</t>
        </is>
      </c>
      <c r="AA216" s="142" t="n"/>
      <c r="AB216" s="1194" t="inlineStr">
        <is>
          <t>Product</t>
        </is>
      </c>
      <c r="AC216" s="1195" t="inlineStr">
        <is>
          <t>Coverage</t>
        </is>
      </c>
      <c r="AD216" s="1196" t="inlineStr">
        <is>
          <t>Unit of Measure</t>
        </is>
      </c>
      <c r="AE216" s="1196" t="inlineStr">
        <is>
          <t>Quantity Calcs</t>
        </is>
      </c>
      <c r="AF216" s="1196" t="inlineStr">
        <is>
          <t>$ Material Cost $</t>
        </is>
      </c>
      <c r="AG216" s="1197" t="inlineStr">
        <is>
          <t>Note</t>
        </is>
      </c>
      <c r="AI216" s="1951" t="n"/>
      <c r="AK216" s="1274" t="inlineStr">
        <is>
          <t>Broadcast Media</t>
        </is>
      </c>
      <c r="AL216" s="1276" t="inlineStr">
        <is>
          <t>Product</t>
        </is>
      </c>
      <c r="AM216" s="1277" t="inlineStr">
        <is>
          <t>Coverage</t>
        </is>
      </c>
      <c r="AN216" s="1275" t="inlineStr">
        <is>
          <t>Unit of Measure</t>
        </is>
      </c>
      <c r="AO216" s="1275" t="inlineStr">
        <is>
          <t>Quantity Calcs</t>
        </is>
      </c>
      <c r="AP216" s="1197" t="inlineStr">
        <is>
          <t>$ Material Cost $</t>
        </is>
      </c>
    </row>
    <row r="217" ht="16.2" customFormat="1" customHeight="1" s="585" thickBot="1">
      <c r="A217" s="1232" t="inlineStr">
        <is>
          <t>Base Coat 1st BC (Liquids)</t>
        </is>
      </c>
      <c r="B217" s="1204" t="inlineStr">
        <is>
          <t>Poly-Crete SL</t>
        </is>
      </c>
      <c r="C217" s="1205" t="n">
        <v>55</v>
      </c>
      <c r="D217" s="1206" t="inlineStr">
        <is>
          <t>SF/Kit</t>
        </is>
      </c>
      <c r="E217" s="1207">
        <f>ROUNDUP(I215/C217,0)</f>
        <v/>
      </c>
      <c r="F217" s="2077">
        <f>E217*SL</f>
        <v/>
      </c>
      <c r="G217" s="1209" t="n"/>
      <c r="I217" s="1951" t="n"/>
      <c r="K217" s="1271" t="inlineStr">
        <is>
          <t>micro Flake</t>
        </is>
      </c>
      <c r="L217" s="1214" t="inlineStr">
        <is>
          <t>Flake     (@ 40#s)</t>
        </is>
      </c>
      <c r="M217" s="1214" t="n">
        <v>0.15</v>
      </c>
      <c r="N217" s="1215" t="inlineStr">
        <is>
          <t>Lb/SF</t>
        </is>
      </c>
      <c r="O217" s="2128">
        <f>CEILING(I215*M217,40)</f>
        <v/>
      </c>
      <c r="P217" s="2129">
        <f>IF((O217+O218)&lt;240,(O217*$X$147),(O217*microFlake))</f>
        <v/>
      </c>
      <c r="Q217" s="585" t="inlineStr">
        <is>
          <t>check</t>
        </is>
      </c>
      <c r="AA217" s="1232" t="inlineStr">
        <is>
          <t>Base Coat 1st BC (Liquids)</t>
        </is>
      </c>
      <c r="AB217" s="1204" t="inlineStr">
        <is>
          <t>Poly-Crete SL</t>
        </is>
      </c>
      <c r="AC217" s="1205" t="n">
        <v>55</v>
      </c>
      <c r="AD217" s="1206" t="inlineStr">
        <is>
          <t>SF/Kit</t>
        </is>
      </c>
      <c r="AE217" s="1207">
        <f>ROUNDUP(AI215/AC217,0)</f>
        <v/>
      </c>
      <c r="AF217" s="2077">
        <f>AE217*SL</f>
        <v/>
      </c>
      <c r="AG217" s="1209" t="n"/>
      <c r="AI217" s="1951" t="n"/>
      <c r="AK217" s="1271" t="inlineStr">
        <is>
          <t>micro Flake</t>
        </is>
      </c>
      <c r="AL217" s="1214" t="inlineStr">
        <is>
          <t>Flake     (@ 40#s)</t>
        </is>
      </c>
      <c r="AM217" s="1214" t="n">
        <v>0.15</v>
      </c>
      <c r="AN217" s="1215" t="inlineStr">
        <is>
          <t>Lb/SF</t>
        </is>
      </c>
      <c r="AO217" s="2128">
        <f>CEILING(AI215*AM217,40)</f>
        <v/>
      </c>
      <c r="AP217" s="2129">
        <f>IF((AO217+AO218)&lt;240,(AO217*$X$147),(AO217*microFlake))</f>
        <v/>
      </c>
      <c r="AQ217" s="585" t="inlineStr">
        <is>
          <t>check</t>
        </is>
      </c>
    </row>
    <row r="218" ht="16.2" customFormat="1" customHeight="1" s="585" thickBot="1">
      <c r="A218" s="1226" t="inlineStr">
        <is>
          <t>2nd Broadcast (Liquids)</t>
        </is>
      </c>
      <c r="B218" s="1198" t="inlineStr">
        <is>
          <t>Glaze #4</t>
        </is>
      </c>
      <c r="C218" s="1199" t="n">
        <v>150</v>
      </c>
      <c r="D218" s="1200" t="inlineStr">
        <is>
          <t>SF/Gal</t>
        </is>
      </c>
      <c r="E218" s="1201">
        <f>ROUNDUP(I215/C218,0)</f>
        <v/>
      </c>
      <c r="F218" s="2140">
        <f>E218*Glaze4</f>
        <v/>
      </c>
      <c r="G218" s="1203" t="n"/>
      <c r="I218" s="1951" t="n"/>
      <c r="K218" s="1271" t="inlineStr">
        <is>
          <t>micro Flake</t>
        </is>
      </c>
      <c r="L218" s="1214" t="inlineStr">
        <is>
          <t>Flake     (@ 40#s)</t>
        </is>
      </c>
      <c r="M218" s="1214" t="n">
        <v>0.15</v>
      </c>
      <c r="N218" s="1215" t="inlineStr">
        <is>
          <t>Lb/SF</t>
        </is>
      </c>
      <c r="O218" s="2128">
        <f>CEILING(I215*M218,40)</f>
        <v/>
      </c>
      <c r="P218" s="2129">
        <f>IF((O217+O218)&lt;240,(O218*$X$147),(O218*microFlake))</f>
        <v/>
      </c>
      <c r="Q218" s="585" t="inlineStr">
        <is>
          <t>check</t>
        </is>
      </c>
      <c r="AA218" s="1226" t="inlineStr">
        <is>
          <t>2nd Broadcast (Liquids)</t>
        </is>
      </c>
      <c r="AB218" s="1198" t="inlineStr">
        <is>
          <t>Glaze #4</t>
        </is>
      </c>
      <c r="AC218" s="1199" t="n">
        <v>150</v>
      </c>
      <c r="AD218" s="1200" t="inlineStr">
        <is>
          <t>SF/Gal</t>
        </is>
      </c>
      <c r="AE218" s="1201">
        <f>ROUNDUP(AI215/AC218,0)</f>
        <v/>
      </c>
      <c r="AF218" s="2140">
        <f>AE218*Glaze4</f>
        <v/>
      </c>
      <c r="AG218" s="1203" t="n"/>
      <c r="AI218" s="1951" t="n"/>
      <c r="AK218" s="1271" t="inlineStr">
        <is>
          <t>micro Flake</t>
        </is>
      </c>
      <c r="AL218" s="1214" t="inlineStr">
        <is>
          <t>Flake     (@ 40#s)</t>
        </is>
      </c>
      <c r="AM218" s="1214" t="n">
        <v>0.15</v>
      </c>
      <c r="AN218" s="1215" t="inlineStr">
        <is>
          <t>Lb/SF</t>
        </is>
      </c>
      <c r="AO218" s="2128">
        <f>CEILING(AI215*AM218,40)</f>
        <v/>
      </c>
      <c r="AP218" s="2129">
        <f>IF((AO217+AO218)&lt;240,(AO218*$X$147),(AO218*microFlake))</f>
        <v/>
      </c>
      <c r="AQ218" s="585" t="inlineStr">
        <is>
          <t>check</t>
        </is>
      </c>
    </row>
    <row r="219" ht="16.2" customFormat="1" customHeight="1" s="585" thickBot="1">
      <c r="A219" s="1252" t="inlineStr">
        <is>
          <t>Grout Coat</t>
        </is>
      </c>
      <c r="B219" s="1253" t="inlineStr">
        <is>
          <t>Glaze #4</t>
        </is>
      </c>
      <c r="C219" s="1254" t="n">
        <v>125</v>
      </c>
      <c r="D219" s="1255" t="inlineStr">
        <is>
          <t>SF/Gal</t>
        </is>
      </c>
      <c r="E219" s="1256">
        <f>ROUNDUP(I215/C219,0)</f>
        <v/>
      </c>
      <c r="F219" s="2137">
        <f>E219*Glaze4</f>
        <v/>
      </c>
      <c r="G219" s="1258" t="n"/>
      <c r="I219" s="1951" t="n"/>
      <c r="L219" s="848" t="n"/>
      <c r="M219" s="2014" t="n"/>
      <c r="O219" s="1279" t="inlineStr">
        <is>
          <t>Total Media</t>
        </is>
      </c>
      <c r="P219" s="2132">
        <f>SUM(P217:P218)</f>
        <v/>
      </c>
      <c r="AA219" s="1252" t="inlineStr">
        <is>
          <t>Grout Coat</t>
        </is>
      </c>
      <c r="AB219" s="1253" t="inlineStr">
        <is>
          <t>Glaze #4</t>
        </is>
      </c>
      <c r="AC219" s="1254" t="n">
        <v>125</v>
      </c>
      <c r="AD219" s="1255" t="inlineStr">
        <is>
          <t>SF/Gal</t>
        </is>
      </c>
      <c r="AE219" s="1256">
        <f>ROUNDUP(AI215/AC219,0)</f>
        <v/>
      </c>
      <c r="AF219" s="2137">
        <f>AE219*Glaze4</f>
        <v/>
      </c>
      <c r="AG219" s="1258" t="n"/>
      <c r="AI219" s="1951" t="n"/>
      <c r="AL219" s="848" t="n"/>
      <c r="AM219" s="2014" t="n"/>
      <c r="AO219" s="1279" t="inlineStr">
        <is>
          <t>Total Media</t>
        </is>
      </c>
      <c r="AP219" s="2132">
        <f>SUM(AP217:AP218)</f>
        <v/>
      </c>
    </row>
    <row r="220" ht="16.2" customFormat="1" customHeight="1" s="585" thickBot="1">
      <c r="A220" s="1219" t="inlineStr">
        <is>
          <t>Top Coat</t>
        </is>
      </c>
      <c r="B220" s="1220" t="inlineStr">
        <is>
          <t>Armor Top Satin W/ Grit</t>
        </is>
      </c>
      <c r="C220" s="1221" t="n">
        <v>775</v>
      </c>
      <c r="D220" s="1222" t="inlineStr">
        <is>
          <t>SF/Kit</t>
        </is>
      </c>
      <c r="E220" s="1223">
        <f>ROUNDUP(I215/C220,0)</f>
        <v/>
      </c>
      <c r="F220" s="2138">
        <f>E220*$T$158</f>
        <v/>
      </c>
      <c r="G220" s="1225" t="n"/>
      <c r="I220" s="1951" t="n"/>
      <c r="L220" s="848" t="n"/>
      <c r="M220" s="2014" t="n"/>
      <c r="AA220" s="1219" t="inlineStr">
        <is>
          <t>Top Coat</t>
        </is>
      </c>
      <c r="AB220" s="1220" t="inlineStr">
        <is>
          <t>Armor Top Satin W/ Grit</t>
        </is>
      </c>
      <c r="AC220" s="1221" t="n">
        <v>775</v>
      </c>
      <c r="AD220" s="1222" t="inlineStr">
        <is>
          <t>SF/Kit</t>
        </is>
      </c>
      <c r="AE220" s="1223">
        <f>ROUNDUP(AI215/AC220,0)</f>
        <v/>
      </c>
      <c r="AF220" s="2138">
        <f>AE220*$T$158</f>
        <v/>
      </c>
      <c r="AG220" s="1225" t="n"/>
      <c r="AI220" s="1951" t="n"/>
      <c r="AL220" s="848" t="n"/>
      <c r="AM220" s="2014" t="n"/>
    </row>
    <row r="221" ht="16.2" customFormat="1" customHeight="1" s="585" thickBot="1">
      <c r="F221" s="2133">
        <f>SUM(F217:F220)</f>
        <v/>
      </c>
      <c r="G221" s="1236" t="inlineStr">
        <is>
          <t>Total Liquids Above</t>
        </is>
      </c>
      <c r="I221" s="1951" t="n"/>
      <c r="L221" s="848" t="n"/>
      <c r="M221" s="2014" t="n"/>
      <c r="AF221" s="2133">
        <f>SUM(AF217:AF220)</f>
        <v/>
      </c>
      <c r="AG221" s="1236" t="inlineStr">
        <is>
          <t>Total Liquids Above</t>
        </is>
      </c>
      <c r="AI221" s="1951" t="n"/>
      <c r="AL221" s="848" t="n"/>
      <c r="AM221" s="2014" t="n"/>
    </row>
    <row r="222" ht="16.2" customFormat="1" customHeight="1" s="585" thickBot="1">
      <c r="I222" s="1951" t="n"/>
      <c r="L222" s="848" t="n"/>
      <c r="M222" s="2014" t="n"/>
      <c r="AI222" s="1951" t="n"/>
      <c r="AL222" s="848" t="n"/>
      <c r="AM222" s="2014" t="n"/>
    </row>
    <row r="223" ht="16.2" customFormat="1" customHeight="1" s="585" thickBot="1">
      <c r="A223" s="2072" t="inlineStr">
        <is>
          <t>Fast Cure *MACRO Flake Single Broadcast* Fast Cure</t>
        </is>
      </c>
      <c r="B223" s="2073" t="n"/>
      <c r="C223" s="2073" t="n"/>
      <c r="D223" s="2073" t="n"/>
      <c r="E223" s="2073" t="n"/>
      <c r="F223" s="2073" t="n"/>
      <c r="G223" s="2074" t="n"/>
      <c r="I223" s="2075">
        <f>$I$160</f>
        <v/>
      </c>
      <c r="K223" s="2124" t="inlineStr">
        <is>
          <t>Fast Cure *MACRO Flake Single Broadcast* Fast Cure</t>
        </is>
      </c>
      <c r="L223" s="2125" t="n"/>
      <c r="M223" s="2125" t="n"/>
      <c r="N223" s="2125" t="n"/>
      <c r="O223" s="2125" t="n"/>
      <c r="P223" s="2126" t="n"/>
      <c r="AA223" s="2072" t="inlineStr">
        <is>
          <t>Fast Cure *MACRO Flake Single Broadcast* Fast Cure</t>
        </is>
      </c>
      <c r="AB223" s="2073" t="n"/>
      <c r="AC223" s="2073" t="n"/>
      <c r="AD223" s="2073" t="n"/>
      <c r="AE223" s="2073" t="n"/>
      <c r="AF223" s="2073" t="n"/>
      <c r="AG223" s="2074" t="n"/>
      <c r="AI223" s="2075">
        <f>$AI$160</f>
        <v/>
      </c>
      <c r="AK223" s="2124" t="inlineStr">
        <is>
          <t>Fast Cure *MACRO Flake Single Broadcast* Fast Cure</t>
        </is>
      </c>
      <c r="AL223" s="2125" t="n"/>
      <c r="AM223" s="2125" t="n"/>
      <c r="AN223" s="2125" t="n"/>
      <c r="AO223" s="2125" t="n"/>
      <c r="AP223" s="2126" t="n"/>
    </row>
    <row r="224" ht="16.2" customFormat="1" customHeight="1" s="585" thickBot="1">
      <c r="A224" s="142" t="n"/>
      <c r="B224" s="1194" t="inlineStr">
        <is>
          <t>Product</t>
        </is>
      </c>
      <c r="C224" s="1195" t="inlineStr">
        <is>
          <t>Coverage</t>
        </is>
      </c>
      <c r="D224" s="1196" t="inlineStr">
        <is>
          <t>Unit of Measure</t>
        </is>
      </c>
      <c r="E224" s="1196" t="inlineStr">
        <is>
          <t>Quantity Calcs</t>
        </is>
      </c>
      <c r="F224" s="1196" t="inlineStr">
        <is>
          <t>$ Material Cost $</t>
        </is>
      </c>
      <c r="G224" s="1197" t="inlineStr">
        <is>
          <t>Note</t>
        </is>
      </c>
      <c r="I224" s="1951" t="n"/>
      <c r="K224" s="1274" t="inlineStr">
        <is>
          <t>Broadcast Media</t>
        </is>
      </c>
      <c r="L224" s="1276" t="inlineStr">
        <is>
          <t>Product</t>
        </is>
      </c>
      <c r="M224" s="1277" t="inlineStr">
        <is>
          <t>Coverage</t>
        </is>
      </c>
      <c r="N224" s="1275" t="inlineStr">
        <is>
          <t>Unit of Measure</t>
        </is>
      </c>
      <c r="O224" s="1275" t="inlineStr">
        <is>
          <t>Quantity Calcs</t>
        </is>
      </c>
      <c r="P224" s="1197" t="inlineStr">
        <is>
          <t>$ Material Cost $</t>
        </is>
      </c>
      <c r="AA224" s="142" t="n"/>
      <c r="AB224" s="1194" t="inlineStr">
        <is>
          <t>Product</t>
        </is>
      </c>
      <c r="AC224" s="1195" t="inlineStr">
        <is>
          <t>Coverage</t>
        </is>
      </c>
      <c r="AD224" s="1196" t="inlineStr">
        <is>
          <t>Unit of Measure</t>
        </is>
      </c>
      <c r="AE224" s="1196" t="inlineStr">
        <is>
          <t>Quantity Calcs</t>
        </is>
      </c>
      <c r="AF224" s="1196" t="inlineStr">
        <is>
          <t>$ Material Cost $</t>
        </is>
      </c>
      <c r="AG224" s="1197" t="inlineStr">
        <is>
          <t>Note</t>
        </is>
      </c>
      <c r="AI224" s="1951" t="n"/>
      <c r="AK224" s="1274" t="inlineStr">
        <is>
          <t>Broadcast Media</t>
        </is>
      </c>
      <c r="AL224" s="1276" t="inlineStr">
        <is>
          <t>Product</t>
        </is>
      </c>
      <c r="AM224" s="1277" t="inlineStr">
        <is>
          <t>Coverage</t>
        </is>
      </c>
      <c r="AN224" s="1275" t="inlineStr">
        <is>
          <t>Unit of Measure</t>
        </is>
      </c>
      <c r="AO224" s="1275" t="inlineStr">
        <is>
          <t>Quantity Calcs</t>
        </is>
      </c>
      <c r="AP224" s="1197" t="inlineStr">
        <is>
          <t>$ Material Cost $</t>
        </is>
      </c>
    </row>
    <row r="225" ht="16.2" customFormat="1" customHeight="1" s="585" thickBot="1">
      <c r="A225" s="1226" t="inlineStr">
        <is>
          <t>Broadcast (Liquids)</t>
        </is>
      </c>
      <c r="B225" s="1244" t="inlineStr">
        <is>
          <t>Accelera EXT (Pgmnt)</t>
        </is>
      </c>
      <c r="C225" s="1199" t="n">
        <v>75</v>
      </c>
      <c r="D225" s="1200" t="inlineStr">
        <is>
          <t>SF/Large Kit</t>
        </is>
      </c>
      <c r="E225" s="1201">
        <f>ROUNDUP(I223/C225,0)</f>
        <v/>
      </c>
      <c r="F225" s="2140">
        <f>E225*Accelera_PgmntEXT</f>
        <v/>
      </c>
      <c r="G225" s="1203" t="n"/>
      <c r="I225" s="1951" t="n"/>
      <c r="K225" s="1271" t="inlineStr">
        <is>
          <t>MACRO Flake</t>
        </is>
      </c>
      <c r="L225" s="1214" t="inlineStr">
        <is>
          <t>Flake     (@ 40#s)</t>
        </is>
      </c>
      <c r="M225" s="1214" t="n">
        <v>0.15</v>
      </c>
      <c r="N225" s="1215" t="inlineStr">
        <is>
          <t>Lb/SF</t>
        </is>
      </c>
      <c r="O225" s="2128">
        <f>CEILING(I223*M225,40)</f>
        <v/>
      </c>
      <c r="P225" s="2129">
        <f>IF(O225&lt;240,(O225*$X$146),(O225*MACROFlake))</f>
        <v/>
      </c>
      <c r="Q225" s="585" t="inlineStr">
        <is>
          <t>check</t>
        </is>
      </c>
      <c r="AA225" s="1226" t="inlineStr">
        <is>
          <t>Broadcast (Liquids)</t>
        </is>
      </c>
      <c r="AB225" s="1244" t="inlineStr">
        <is>
          <t>Accelera EXT (Pgmnt)</t>
        </is>
      </c>
      <c r="AC225" s="1199" t="n">
        <v>75</v>
      </c>
      <c r="AD225" s="1200" t="inlineStr">
        <is>
          <t>SF/Large Kit</t>
        </is>
      </c>
      <c r="AE225" s="1201">
        <f>ROUNDUP(AI223/AC225,0)</f>
        <v/>
      </c>
      <c r="AF225" s="2140">
        <f>AE225*Accelera_PgmntEXT</f>
        <v/>
      </c>
      <c r="AG225" s="1203" t="n"/>
      <c r="AI225" s="1951" t="n"/>
      <c r="AK225" s="1271" t="inlineStr">
        <is>
          <t>MACRO Flake</t>
        </is>
      </c>
      <c r="AL225" s="1214" t="inlineStr">
        <is>
          <t>Flake     (@ 40#s)</t>
        </is>
      </c>
      <c r="AM225" s="1214" t="n">
        <v>0.15</v>
      </c>
      <c r="AN225" s="1215" t="inlineStr">
        <is>
          <t>Lb/SF</t>
        </is>
      </c>
      <c r="AO225" s="2128">
        <f>CEILING(AI223*AM225,40)</f>
        <v/>
      </c>
      <c r="AP225" s="2129">
        <f>IF(AO225&lt;240,(AO225*$X$146),(AO225*MACROFlake))</f>
        <v/>
      </c>
      <c r="AQ225" s="585" t="inlineStr">
        <is>
          <t>check</t>
        </is>
      </c>
    </row>
    <row r="226" ht="16.2" customFormat="1" customHeight="1" s="585" thickBot="1">
      <c r="A226" s="1245" t="inlineStr">
        <is>
          <t>Top Coat</t>
        </is>
      </c>
      <c r="B226" s="1246" t="inlineStr">
        <is>
          <t>Accelera EXT (Clear)</t>
        </is>
      </c>
      <c r="C226" s="1247" t="n">
        <v>65</v>
      </c>
      <c r="D226" s="1248" t="inlineStr">
        <is>
          <t>SF/Large Kit</t>
        </is>
      </c>
      <c r="E226" s="1249">
        <f>ROUNDUP(I223/C226,0)</f>
        <v/>
      </c>
      <c r="F226" s="2142">
        <f>E226*Accelera_ClearEXT</f>
        <v/>
      </c>
      <c r="G226" s="1251" t="inlineStr">
        <is>
          <t>Gloss ONLY</t>
        </is>
      </c>
      <c r="I226" s="1951" t="n"/>
      <c r="L226" s="848" t="n"/>
      <c r="M226" s="2014" t="n"/>
      <c r="O226" s="1279" t="inlineStr">
        <is>
          <t>Total Media</t>
        </is>
      </c>
      <c r="P226" s="2132">
        <f>SUM(P225)</f>
        <v/>
      </c>
      <c r="AA226" s="1245" t="inlineStr">
        <is>
          <t>Top Coat</t>
        </is>
      </c>
      <c r="AB226" s="1246" t="inlineStr">
        <is>
          <t>Accelera EXT (Clear)</t>
        </is>
      </c>
      <c r="AC226" s="1247" t="n">
        <v>65</v>
      </c>
      <c r="AD226" s="1248" t="inlineStr">
        <is>
          <t>SF/Large Kit</t>
        </is>
      </c>
      <c r="AE226" s="1249">
        <f>ROUNDUP(AI223/AC226,0)</f>
        <v/>
      </c>
      <c r="AF226" s="2142">
        <f>AE226*Accelera_ClearEXT</f>
        <v/>
      </c>
      <c r="AG226" s="1251" t="inlineStr">
        <is>
          <t>Gloss ONLY</t>
        </is>
      </c>
      <c r="AI226" s="1951" t="n"/>
      <c r="AL226" s="848" t="n"/>
      <c r="AM226" s="2014" t="n"/>
      <c r="AO226" s="1279" t="inlineStr">
        <is>
          <t>Total Media</t>
        </is>
      </c>
      <c r="AP226" s="2132">
        <f>SUM(AP225)</f>
        <v/>
      </c>
    </row>
    <row r="227" ht="16.2" customFormat="1" customHeight="1" s="585" thickBot="1">
      <c r="F227" s="2133">
        <f>SUM(F225:F226)</f>
        <v/>
      </c>
      <c r="G227" s="1236" t="inlineStr">
        <is>
          <t>Total Liquids Above</t>
        </is>
      </c>
      <c r="I227" s="1951" t="n"/>
      <c r="L227" s="848" t="n"/>
      <c r="M227" s="2014" t="n"/>
      <c r="AF227" s="2133">
        <f>SUM(AF225:AF226)</f>
        <v/>
      </c>
      <c r="AG227" s="1236" t="inlineStr">
        <is>
          <t>Total Liquids Above</t>
        </is>
      </c>
      <c r="AI227" s="1951" t="n"/>
      <c r="AL227" s="848" t="n"/>
      <c r="AM227" s="2014" t="n"/>
    </row>
    <row r="228" customFormat="1" s="585">
      <c r="I228" s="1951" t="n"/>
      <c r="L228" s="848" t="n"/>
      <c r="M228" s="2014" t="n"/>
      <c r="AI228" s="1951" t="n"/>
      <c r="AL228" s="848" t="n"/>
      <c r="AM228" s="2014" t="n"/>
    </row>
    <row r="229" customFormat="1" s="585">
      <c r="I229" s="1951" t="n"/>
      <c r="L229" s="848" t="n"/>
      <c r="M229" s="2014" t="n"/>
      <c r="AI229" s="1951" t="n"/>
      <c r="AL229" s="848" t="n"/>
      <c r="AM229" s="2014" t="n"/>
    </row>
    <row r="230" ht="21.6" customFormat="1" customHeight="1" s="585" thickBot="1">
      <c r="A230" s="1862" t="inlineStr">
        <is>
          <t>Decorative Quartz Systems</t>
        </is>
      </c>
      <c r="I230" s="1951" t="n"/>
      <c r="K230" s="1859" t="inlineStr">
        <is>
          <t>Decorative Quartz Systems</t>
        </is>
      </c>
      <c r="L230" s="585" t="n"/>
      <c r="M230" s="585" t="n"/>
      <c r="N230" s="585" t="n"/>
      <c r="O230" s="585" t="n"/>
      <c r="P230" s="585" t="n"/>
      <c r="AA230" s="1858" t="inlineStr">
        <is>
          <t>Decorative Quartz Systems</t>
        </is>
      </c>
      <c r="AI230" s="1951" t="n"/>
      <c r="AK230" s="1859" t="inlineStr">
        <is>
          <t>Decorative Quartz Systems</t>
        </is>
      </c>
      <c r="AL230" s="585" t="n"/>
      <c r="AM230" s="585" t="n"/>
      <c r="AN230" s="585" t="n"/>
      <c r="AO230" s="585" t="n"/>
      <c r="AP230" s="585" t="n"/>
    </row>
    <row r="231" ht="16.2" customFormat="1" customHeight="1" s="585" thickBot="1">
      <c r="A231" s="2072" t="inlineStr">
        <is>
          <t>40-S (Q28) Quartz Double Broadcast</t>
        </is>
      </c>
      <c r="B231" s="2073" t="n"/>
      <c r="C231" s="2073" t="n"/>
      <c r="D231" s="2073" t="n"/>
      <c r="E231" s="2073" t="n"/>
      <c r="F231" s="2073" t="n"/>
      <c r="G231" s="2074" t="n"/>
      <c r="I231" s="2075">
        <f>$I$160</f>
        <v/>
      </c>
      <c r="K231" s="2124" t="inlineStr">
        <is>
          <t xml:space="preserve">40-S (Q28) Quartz Double Broadcast	</t>
        </is>
      </c>
      <c r="L231" s="2125" t="n"/>
      <c r="M231" s="2125" t="n"/>
      <c r="N231" s="2125" t="n"/>
      <c r="O231" s="2125" t="n"/>
      <c r="P231" s="2126" t="n"/>
      <c r="AA231" s="2072" t="inlineStr">
        <is>
          <t>40-S (Q28) Quartz Double Broadcast</t>
        </is>
      </c>
      <c r="AB231" s="2073" t="n"/>
      <c r="AC231" s="2073" t="n"/>
      <c r="AD231" s="2073" t="n"/>
      <c r="AE231" s="2073" t="n"/>
      <c r="AF231" s="2073" t="n"/>
      <c r="AG231" s="2074" t="n"/>
      <c r="AI231" s="2075">
        <f>$AI$160</f>
        <v/>
      </c>
      <c r="AK231" s="2124" t="inlineStr">
        <is>
          <t xml:space="preserve">40-S (Q28) Quartz Double Broadcast	</t>
        </is>
      </c>
      <c r="AL231" s="2125" t="n"/>
      <c r="AM231" s="2125" t="n"/>
      <c r="AN231" s="2125" t="n"/>
      <c r="AO231" s="2125" t="n"/>
      <c r="AP231" s="2126" t="n"/>
    </row>
    <row r="232" ht="16.2" customFormat="1" customHeight="1" s="585" thickBot="1">
      <c r="A232" s="142" t="n"/>
      <c r="B232" s="1194" t="inlineStr">
        <is>
          <t>Product</t>
        </is>
      </c>
      <c r="C232" s="1195" t="inlineStr">
        <is>
          <t>Coverage</t>
        </is>
      </c>
      <c r="D232" s="1196" t="inlineStr">
        <is>
          <t>Unit of Measure</t>
        </is>
      </c>
      <c r="E232" s="1196" t="inlineStr">
        <is>
          <t>Quantity Calcs</t>
        </is>
      </c>
      <c r="F232" s="1196" t="inlineStr">
        <is>
          <t>$ Material Cost $</t>
        </is>
      </c>
      <c r="G232" s="1197" t="inlineStr">
        <is>
          <t>Note</t>
        </is>
      </c>
      <c r="I232" s="1951" t="n"/>
      <c r="K232" s="1274" t="inlineStr">
        <is>
          <t>Broadcast Media</t>
        </is>
      </c>
      <c r="L232" s="1276" t="inlineStr">
        <is>
          <t>Product</t>
        </is>
      </c>
      <c r="M232" s="1277" t="inlineStr">
        <is>
          <t>Coverage</t>
        </is>
      </c>
      <c r="N232" s="1275" t="inlineStr">
        <is>
          <t>Unit of Measure</t>
        </is>
      </c>
      <c r="O232" s="1275" t="inlineStr">
        <is>
          <t>Quantity Calcs</t>
        </is>
      </c>
      <c r="P232" s="1197" t="inlineStr">
        <is>
          <t>$ Material Cost $</t>
        </is>
      </c>
      <c r="AA232" s="142" t="n"/>
      <c r="AB232" s="1194" t="inlineStr">
        <is>
          <t>Product</t>
        </is>
      </c>
      <c r="AC232" s="1195" t="inlineStr">
        <is>
          <t>Coverage</t>
        </is>
      </c>
      <c r="AD232" s="1196" t="inlineStr">
        <is>
          <t>Unit of Measure</t>
        </is>
      </c>
      <c r="AE232" s="1196" t="inlineStr">
        <is>
          <t>Quantity Calcs</t>
        </is>
      </c>
      <c r="AF232" s="1196" t="inlineStr">
        <is>
          <t>$ Material Cost $</t>
        </is>
      </c>
      <c r="AG232" s="1197" t="inlineStr">
        <is>
          <t>Note</t>
        </is>
      </c>
      <c r="AI232" s="1951" t="n"/>
      <c r="AK232" s="1274" t="inlineStr">
        <is>
          <t>Broadcast Media</t>
        </is>
      </c>
      <c r="AL232" s="1276" t="inlineStr">
        <is>
          <t>Product</t>
        </is>
      </c>
      <c r="AM232" s="1277" t="inlineStr">
        <is>
          <t>Coverage</t>
        </is>
      </c>
      <c r="AN232" s="1275" t="inlineStr">
        <is>
          <t>Unit of Measure</t>
        </is>
      </c>
      <c r="AO232" s="1275" t="inlineStr">
        <is>
          <t>Quantity Calcs</t>
        </is>
      </c>
      <c r="AP232" s="1197" t="inlineStr">
        <is>
          <t>$ Material Cost $</t>
        </is>
      </c>
    </row>
    <row r="233" ht="16.2" customFormat="1" customHeight="1" s="585" thickBot="1">
      <c r="A233" s="1226" t="inlineStr">
        <is>
          <t>1st Broadcast (Liquids)</t>
        </is>
      </c>
      <c r="B233" s="1198" t="inlineStr">
        <is>
          <t>Glaze #4</t>
        </is>
      </c>
      <c r="C233" s="1199" t="n">
        <v>100</v>
      </c>
      <c r="D233" s="1200" t="inlineStr">
        <is>
          <t>SF/Gal</t>
        </is>
      </c>
      <c r="E233" s="1201">
        <f>ROUNDUP(I231/C233,0)</f>
        <v/>
      </c>
      <c r="F233" s="2140">
        <f>E233*Glaze4</f>
        <v/>
      </c>
      <c r="G233" s="1203" t="n"/>
      <c r="I233" s="1951" t="n"/>
      <c r="K233" s="1271" t="inlineStr">
        <is>
          <t>40-S (Q28)</t>
        </is>
      </c>
      <c r="L233" s="1214" t="inlineStr">
        <is>
          <t>Quartz    (@ 50#s)</t>
        </is>
      </c>
      <c r="M233" s="1214" t="n">
        <v>0.5</v>
      </c>
      <c r="N233" s="1215" t="inlineStr">
        <is>
          <t>Lb/SF</t>
        </is>
      </c>
      <c r="O233" s="2128">
        <f>CEILING(I231*M233,50)</f>
        <v/>
      </c>
      <c r="P233" s="2129">
        <f>IF((O233+O234)&lt;450,(O233*$X$148),(O233*Q28_40s))</f>
        <v/>
      </c>
      <c r="Q233" s="585" t="inlineStr">
        <is>
          <t>check</t>
        </is>
      </c>
      <c r="AA233" s="1226" t="inlineStr">
        <is>
          <t>1st Broadcast (Liquids)</t>
        </is>
      </c>
      <c r="AB233" s="1198" t="inlineStr">
        <is>
          <t>Glaze #4</t>
        </is>
      </c>
      <c r="AC233" s="1199" t="n">
        <v>100</v>
      </c>
      <c r="AD233" s="1200" t="inlineStr">
        <is>
          <t>SF/Gal</t>
        </is>
      </c>
      <c r="AE233" s="1201">
        <f>ROUNDUP(AI231/AC233,0)</f>
        <v/>
      </c>
      <c r="AF233" s="2140">
        <f>AE233*Glaze4</f>
        <v/>
      </c>
      <c r="AG233" s="1203" t="n"/>
      <c r="AI233" s="1951" t="n"/>
      <c r="AK233" s="1271" t="inlineStr">
        <is>
          <t>40-S (Q28)</t>
        </is>
      </c>
      <c r="AL233" s="1214" t="inlineStr">
        <is>
          <t>Quartz    (@ 50#s)</t>
        </is>
      </c>
      <c r="AM233" s="1214" t="n">
        <v>0.5</v>
      </c>
      <c r="AN233" s="1215" t="inlineStr">
        <is>
          <t>Lb/SF</t>
        </is>
      </c>
      <c r="AO233" s="2128">
        <f>CEILING(AI231*AM233,50)</f>
        <v/>
      </c>
      <c r="AP233" s="2129">
        <f>IF((AO233+AO234)&lt;450,(AO233*$X$148),(AO233*Q28_40s))</f>
        <v/>
      </c>
      <c r="AQ233" s="585" t="inlineStr">
        <is>
          <t>check</t>
        </is>
      </c>
    </row>
    <row r="234" ht="16.2" customFormat="1" customHeight="1" s="594" thickBot="1">
      <c r="A234" s="1252" t="inlineStr">
        <is>
          <t>2nd Broadcast (Liquids)</t>
        </is>
      </c>
      <c r="B234" s="1253" t="inlineStr">
        <is>
          <t>Glaze #4</t>
        </is>
      </c>
      <c r="C234" s="1254" t="n">
        <v>90</v>
      </c>
      <c r="D234" s="1255" t="inlineStr">
        <is>
          <t>SF/Gal</t>
        </is>
      </c>
      <c r="E234" s="1256">
        <f>ROUNDUP(I231/C234,0)</f>
        <v/>
      </c>
      <c r="F234" s="2137">
        <f>E234*Glaze4</f>
        <v/>
      </c>
      <c r="G234" s="1258" t="n"/>
      <c r="H234" s="585" t="n"/>
      <c r="I234" s="1951" t="n"/>
      <c r="J234" s="585" t="n"/>
      <c r="K234" s="1271" t="inlineStr">
        <is>
          <t>40-S (Q28)</t>
        </is>
      </c>
      <c r="L234" s="1214" t="inlineStr">
        <is>
          <t>Quartz    (@ 50#s)</t>
        </is>
      </c>
      <c r="M234" s="1214" t="n">
        <v>0.4</v>
      </c>
      <c r="N234" s="1215" t="inlineStr">
        <is>
          <t>Lb/SF</t>
        </is>
      </c>
      <c r="O234" s="2128">
        <f>CEILING(I231*M234,50)</f>
        <v/>
      </c>
      <c r="P234" s="2129">
        <f>IF((O233+O234)&lt;450,(O234*$X$148),(O234*Q28_40s))</f>
        <v/>
      </c>
      <c r="Q234" s="585" t="inlineStr">
        <is>
          <t>check</t>
        </is>
      </c>
      <c r="R234" s="585" t="n"/>
      <c r="S234" s="585" t="n"/>
      <c r="T234" s="585" t="n"/>
      <c r="AA234" s="1252" t="inlineStr">
        <is>
          <t>2nd Broadcast (Liquids)</t>
        </is>
      </c>
      <c r="AB234" s="1253" t="inlineStr">
        <is>
          <t>Glaze #4</t>
        </is>
      </c>
      <c r="AC234" s="1254" t="n">
        <v>90</v>
      </c>
      <c r="AD234" s="1255" t="inlineStr">
        <is>
          <t>SF/Gal</t>
        </is>
      </c>
      <c r="AE234" s="1256">
        <f>ROUNDUP(AI231/AC234,0)</f>
        <v/>
      </c>
      <c r="AF234" s="2137">
        <f>AE234*Glaze4</f>
        <v/>
      </c>
      <c r="AG234" s="1258" t="n"/>
      <c r="AH234" s="585" t="n"/>
      <c r="AI234" s="1951" t="n"/>
      <c r="AJ234" s="585" t="n"/>
      <c r="AK234" s="1271" t="inlineStr">
        <is>
          <t>40-S (Q28)</t>
        </is>
      </c>
      <c r="AL234" s="1214" t="inlineStr">
        <is>
          <t>Quartz    (@ 50#s)</t>
        </is>
      </c>
      <c r="AM234" s="1214" t="n">
        <v>0.4</v>
      </c>
      <c r="AN234" s="1215" t="inlineStr">
        <is>
          <t>Lb/SF</t>
        </is>
      </c>
      <c r="AO234" s="2128">
        <f>CEILING(AI231*AM234,50)</f>
        <v/>
      </c>
      <c r="AP234" s="2129">
        <f>IF((AO233+AO234)&lt;450,(AO234*$X$148),(AO234*Q28_40s))</f>
        <v/>
      </c>
      <c r="AQ234" s="585" t="inlineStr">
        <is>
          <t>check</t>
        </is>
      </c>
      <c r="AR234" s="585" t="n"/>
    </row>
    <row r="235" ht="16.2" customFormat="1" customHeight="1" s="594" thickBot="1">
      <c r="A235" s="1226" t="inlineStr">
        <is>
          <t>Grout Coat</t>
        </is>
      </c>
      <c r="B235" s="1198" t="inlineStr">
        <is>
          <t>Glaze #4</t>
        </is>
      </c>
      <c r="C235" s="1199" t="n">
        <v>90</v>
      </c>
      <c r="D235" s="1200" t="inlineStr">
        <is>
          <t>SF/Gal</t>
        </is>
      </c>
      <c r="E235" s="1201">
        <f>ROUNDUP(I231/C235,0)</f>
        <v/>
      </c>
      <c r="F235" s="2140">
        <f>E235*Glaze4</f>
        <v/>
      </c>
      <c r="G235" s="1203" t="n"/>
      <c r="H235" s="585" t="n"/>
      <c r="I235" s="1951" t="n"/>
      <c r="J235" s="585" t="n"/>
      <c r="K235" s="585" t="n"/>
      <c r="L235" s="848" t="n"/>
      <c r="M235" s="2014" t="n"/>
      <c r="N235" s="585" t="n"/>
      <c r="O235" s="1279" t="inlineStr">
        <is>
          <t>Total Media</t>
        </is>
      </c>
      <c r="P235" s="2132">
        <f>SUM(P233:P234)</f>
        <v/>
      </c>
      <c r="Q235" s="585" t="n"/>
      <c r="R235" s="593" t="n"/>
      <c r="S235" s="593" t="n"/>
      <c r="AA235" s="1226" t="inlineStr">
        <is>
          <t>Grout Coat</t>
        </is>
      </c>
      <c r="AB235" s="1198" t="inlineStr">
        <is>
          <t>Glaze #4</t>
        </is>
      </c>
      <c r="AC235" s="1199" t="n">
        <v>90</v>
      </c>
      <c r="AD235" s="1200" t="inlineStr">
        <is>
          <t>SF/Gal</t>
        </is>
      </c>
      <c r="AE235" s="1201">
        <f>ROUNDUP(AI231/AC235,0)</f>
        <v/>
      </c>
      <c r="AF235" s="2140">
        <f>AE235*Glaze4</f>
        <v/>
      </c>
      <c r="AG235" s="1203" t="n"/>
      <c r="AH235" s="585" t="n"/>
      <c r="AI235" s="1951" t="n"/>
      <c r="AJ235" s="585" t="n"/>
      <c r="AK235" s="585" t="n"/>
      <c r="AL235" s="848" t="n"/>
      <c r="AM235" s="2014" t="n"/>
      <c r="AN235" s="585" t="n"/>
      <c r="AO235" s="1279" t="inlineStr">
        <is>
          <t>Total Media</t>
        </is>
      </c>
      <c r="AP235" s="2132">
        <f>SUM(AP233:AP234)</f>
        <v/>
      </c>
      <c r="AQ235" s="585" t="n"/>
      <c r="AR235" s="593" t="n"/>
    </row>
    <row r="236" ht="16.2" customFormat="1" customHeight="1" s="594" thickBot="1">
      <c r="A236" s="1219" t="inlineStr">
        <is>
          <t>Top Coat</t>
        </is>
      </c>
      <c r="B236" s="1220" t="inlineStr">
        <is>
          <t>Armor Top Satin W/ Grit</t>
        </is>
      </c>
      <c r="C236" s="1221" t="n">
        <v>775</v>
      </c>
      <c r="D236" s="1222" t="inlineStr">
        <is>
          <t>SF/Kit</t>
        </is>
      </c>
      <c r="E236" s="1223">
        <f>ROUNDUP(I231/C236,0)</f>
        <v/>
      </c>
      <c r="F236" s="2138">
        <f>E236*$T$158</f>
        <v/>
      </c>
      <c r="G236" s="1225" t="n"/>
      <c r="H236" s="585" t="n"/>
      <c r="I236" s="1951" t="n"/>
      <c r="J236" s="585" t="n"/>
      <c r="K236" s="585" t="n"/>
      <c r="L236" s="848" t="n"/>
      <c r="M236" s="2014" t="n"/>
      <c r="N236" s="585" t="n"/>
      <c r="O236" s="585" t="n"/>
      <c r="P236" s="593" t="n"/>
      <c r="Q236" s="593" t="n"/>
      <c r="R236" s="1936" t="n"/>
      <c r="S236" s="593" t="n"/>
      <c r="AA236" s="1219" t="inlineStr">
        <is>
          <t>Top Coat</t>
        </is>
      </c>
      <c r="AB236" s="1220" t="inlineStr">
        <is>
          <t>Armor Top Satin W/ Grit</t>
        </is>
      </c>
      <c r="AC236" s="1221" t="n">
        <v>775</v>
      </c>
      <c r="AD236" s="1222" t="inlineStr">
        <is>
          <t>SF/Kit</t>
        </is>
      </c>
      <c r="AE236" s="1223">
        <f>ROUNDUP(AI231/AC236,0)</f>
        <v/>
      </c>
      <c r="AF236" s="2138">
        <f>AE236*$T$158</f>
        <v/>
      </c>
      <c r="AG236" s="1225" t="n"/>
      <c r="AH236" s="585" t="n"/>
      <c r="AI236" s="1951" t="n"/>
      <c r="AJ236" s="585" t="n"/>
      <c r="AK236" s="585" t="n"/>
      <c r="AL236" s="848" t="n"/>
      <c r="AM236" s="2014" t="n"/>
      <c r="AN236" s="585" t="n"/>
      <c r="AO236" s="585" t="n"/>
      <c r="AP236" s="593" t="n"/>
      <c r="AQ236" s="593" t="n"/>
      <c r="AR236" s="1936" t="n"/>
    </row>
    <row r="237" ht="16.2" customFormat="1" customHeight="1" s="594" thickBot="1">
      <c r="A237" s="585" t="n"/>
      <c r="B237" s="585" t="n"/>
      <c r="C237" s="585" t="n"/>
      <c r="D237" s="585" t="n"/>
      <c r="E237" s="585" t="n"/>
      <c r="F237" s="2133">
        <f>SUM(F233:F236)</f>
        <v/>
      </c>
      <c r="G237" s="1236" t="inlineStr">
        <is>
          <t>Total Liquids Above</t>
        </is>
      </c>
      <c r="H237" s="585" t="n"/>
      <c r="I237" s="1951" t="n"/>
      <c r="J237" s="585" t="n"/>
      <c r="K237" s="585" t="n"/>
      <c r="L237" s="848" t="n"/>
      <c r="M237" s="2014" t="n"/>
      <c r="N237" s="585" t="n"/>
      <c r="O237" s="585" t="n"/>
      <c r="P237" s="593" t="n"/>
      <c r="Q237" s="1936" t="n"/>
      <c r="R237" s="1936" t="n"/>
      <c r="S237" s="593" t="n"/>
      <c r="AA237" s="585" t="n"/>
      <c r="AB237" s="585" t="n"/>
      <c r="AC237" s="585" t="n"/>
      <c r="AD237" s="585" t="n"/>
      <c r="AE237" s="585" t="n"/>
      <c r="AF237" s="2133">
        <f>SUM(AF233:AF236)</f>
        <v/>
      </c>
      <c r="AG237" s="1236" t="inlineStr">
        <is>
          <t>Total Liquids Above</t>
        </is>
      </c>
      <c r="AH237" s="585" t="n"/>
      <c r="AI237" s="1951" t="n"/>
      <c r="AJ237" s="585" t="n"/>
      <c r="AK237" s="585" t="n"/>
      <c r="AL237" s="848" t="n"/>
      <c r="AM237" s="2014" t="n"/>
      <c r="AN237" s="585" t="n"/>
      <c r="AO237" s="585" t="n"/>
      <c r="AP237" s="593" t="n"/>
      <c r="AQ237" s="1936" t="n"/>
      <c r="AR237" s="1936" t="n"/>
    </row>
    <row r="238" ht="16.2" customFormat="1" customHeight="1" s="594" thickBot="1">
      <c r="A238" s="585" t="n"/>
      <c r="B238" s="585" t="n"/>
      <c r="C238" s="585" t="n"/>
      <c r="D238" s="585" t="n"/>
      <c r="E238" s="585" t="n"/>
      <c r="F238" s="585" t="n"/>
      <c r="G238" s="585" t="n"/>
      <c r="H238" s="585" t="n"/>
      <c r="I238" s="1951" t="n"/>
      <c r="J238" s="585" t="n"/>
      <c r="K238" s="585" t="n"/>
      <c r="L238" s="848" t="n"/>
      <c r="M238" s="2014" t="n"/>
      <c r="N238" s="585" t="n"/>
      <c r="O238" s="585" t="n"/>
      <c r="P238" s="593" t="n"/>
      <c r="Q238" s="1936" t="n"/>
      <c r="R238" s="1936" t="n"/>
      <c r="S238" s="593" t="n"/>
      <c r="AA238" s="585" t="n"/>
      <c r="AB238" s="585" t="n"/>
      <c r="AC238" s="585" t="n"/>
      <c r="AD238" s="585" t="n"/>
      <c r="AE238" s="585" t="n"/>
      <c r="AF238" s="585" t="n"/>
      <c r="AG238" s="585" t="n"/>
      <c r="AH238" s="585" t="n"/>
      <c r="AI238" s="1951" t="n"/>
      <c r="AJ238" s="585" t="n"/>
      <c r="AK238" s="585" t="n"/>
      <c r="AL238" s="848" t="n"/>
      <c r="AM238" s="2014" t="n"/>
      <c r="AN238" s="585" t="n"/>
      <c r="AO238" s="585" t="n"/>
      <c r="AP238" s="593" t="n"/>
      <c r="AQ238" s="1936" t="n"/>
      <c r="AR238" s="1936" t="n"/>
    </row>
    <row r="239" ht="16.2" customFormat="1" customHeight="1" s="594" thickBot="1">
      <c r="A239" s="2072" t="inlineStr">
        <is>
          <t>Hybrid Quartz Double Broadcast (Standard Texture)</t>
        </is>
      </c>
      <c r="B239" s="2073" t="n"/>
      <c r="C239" s="2073" t="n"/>
      <c r="D239" s="2073" t="n"/>
      <c r="E239" s="2073" t="n"/>
      <c r="F239" s="2073" t="n"/>
      <c r="G239" s="2074" t="n"/>
      <c r="H239" s="585" t="n"/>
      <c r="I239" s="2075">
        <f>$I$160</f>
        <v/>
      </c>
      <c r="J239" s="585" t="n"/>
      <c r="K239" s="2124" t="inlineStr">
        <is>
          <t>Hybrid Quartz Double Broadcast (Standard Texture)</t>
        </is>
      </c>
      <c r="L239" s="2125" t="n"/>
      <c r="M239" s="2125" t="n"/>
      <c r="N239" s="2125" t="n"/>
      <c r="O239" s="2125" t="n"/>
      <c r="P239" s="2126" t="n"/>
      <c r="Q239" s="1936" t="n"/>
      <c r="R239" s="1936" t="n"/>
      <c r="S239" s="593" t="n"/>
      <c r="AA239" s="2072" t="inlineStr">
        <is>
          <t>Hybrid Quartz Double Broadcast (Standard Texture)</t>
        </is>
      </c>
      <c r="AB239" s="2073" t="n"/>
      <c r="AC239" s="2073" t="n"/>
      <c r="AD239" s="2073" t="n"/>
      <c r="AE239" s="2073" t="n"/>
      <c r="AF239" s="2073" t="n"/>
      <c r="AG239" s="2074" t="n"/>
      <c r="AH239" s="585" t="n"/>
      <c r="AI239" s="2075">
        <f>$AI$160</f>
        <v/>
      </c>
      <c r="AJ239" s="585" t="n"/>
      <c r="AK239" s="2124" t="inlineStr">
        <is>
          <t>Hybrid Quartz Double Broadcast (Standard Texture)</t>
        </is>
      </c>
      <c r="AL239" s="2125" t="n"/>
      <c r="AM239" s="2125" t="n"/>
      <c r="AN239" s="2125" t="n"/>
      <c r="AO239" s="2125" t="n"/>
      <c r="AP239" s="2126" t="n"/>
      <c r="AQ239" s="1936" t="n"/>
      <c r="AR239" s="1936" t="n"/>
    </row>
    <row r="240" ht="16.2" customFormat="1" customHeight="1" s="594" thickBot="1">
      <c r="A240" s="142" t="n"/>
      <c r="B240" s="1194" t="inlineStr">
        <is>
          <t>Product</t>
        </is>
      </c>
      <c r="C240" s="1195" t="inlineStr">
        <is>
          <t>Coverage</t>
        </is>
      </c>
      <c r="D240" s="1196" t="inlineStr">
        <is>
          <t>Unit of Measure</t>
        </is>
      </c>
      <c r="E240" s="1196" t="inlineStr">
        <is>
          <t>Quantity Calcs</t>
        </is>
      </c>
      <c r="F240" s="1196" t="inlineStr">
        <is>
          <t>$ Material Cost $</t>
        </is>
      </c>
      <c r="G240" s="1197" t="inlineStr">
        <is>
          <t>Note</t>
        </is>
      </c>
      <c r="I240" s="2143" t="n"/>
      <c r="K240" s="1274" t="inlineStr">
        <is>
          <t>Broadcast Media</t>
        </is>
      </c>
      <c r="L240" s="1276" t="inlineStr">
        <is>
          <t>Product</t>
        </is>
      </c>
      <c r="M240" s="1277" t="inlineStr">
        <is>
          <t>Coverage</t>
        </is>
      </c>
      <c r="N240" s="1275" t="inlineStr">
        <is>
          <t>Unit of Measure</t>
        </is>
      </c>
      <c r="O240" s="1275" t="inlineStr">
        <is>
          <t>Quantity Calcs</t>
        </is>
      </c>
      <c r="P240" s="1197" t="inlineStr">
        <is>
          <t>$ Material Cost $</t>
        </is>
      </c>
      <c r="Q240" s="1936" t="n"/>
      <c r="R240" s="593" t="n"/>
      <c r="S240" s="593" t="n"/>
      <c r="AA240" s="142" t="n"/>
      <c r="AB240" s="1194" t="inlineStr">
        <is>
          <t>Product</t>
        </is>
      </c>
      <c r="AC240" s="1195" t="inlineStr">
        <is>
          <t>Coverage</t>
        </is>
      </c>
      <c r="AD240" s="1196" t="inlineStr">
        <is>
          <t>Unit of Measure</t>
        </is>
      </c>
      <c r="AE240" s="1196" t="inlineStr">
        <is>
          <t>Quantity Calcs</t>
        </is>
      </c>
      <c r="AF240" s="1196" t="inlineStr">
        <is>
          <t>$ Material Cost $</t>
        </is>
      </c>
      <c r="AG240" s="1197" t="inlineStr">
        <is>
          <t>Note</t>
        </is>
      </c>
      <c r="AI240" s="2143" t="n"/>
      <c r="AK240" s="1274" t="inlineStr">
        <is>
          <t>Broadcast Media</t>
        </is>
      </c>
      <c r="AL240" s="1276" t="inlineStr">
        <is>
          <t>Product</t>
        </is>
      </c>
      <c r="AM240" s="1277" t="inlineStr">
        <is>
          <t>Coverage</t>
        </is>
      </c>
      <c r="AN240" s="1275" t="inlineStr">
        <is>
          <t>Unit of Measure</t>
        </is>
      </c>
      <c r="AO240" s="1275" t="inlineStr">
        <is>
          <t>Quantity Calcs</t>
        </is>
      </c>
      <c r="AP240" s="1197" t="inlineStr">
        <is>
          <t>$ Material Cost $</t>
        </is>
      </c>
      <c r="AQ240" s="1936" t="n"/>
      <c r="AR240" s="593" t="n"/>
    </row>
    <row r="241" ht="16.2" customFormat="1" customHeight="1" s="594" thickBot="1">
      <c r="A241" s="1232" t="inlineStr">
        <is>
          <t>Base Coat 1st BC (Liquids)</t>
        </is>
      </c>
      <c r="B241" s="1204" t="inlineStr">
        <is>
          <t>Poly-Crete SL</t>
        </is>
      </c>
      <c r="C241" s="1205" t="n">
        <v>55</v>
      </c>
      <c r="D241" s="1206" t="inlineStr">
        <is>
          <t>SF/Kit</t>
        </is>
      </c>
      <c r="E241" s="1207">
        <f>ROUNDUP(I239/C241,0)</f>
        <v/>
      </c>
      <c r="F241" s="2077">
        <f>E241*SL</f>
        <v/>
      </c>
      <c r="G241" s="1209" t="n"/>
      <c r="I241" s="2143" t="n"/>
      <c r="K241" s="1271" t="inlineStr">
        <is>
          <t>40-S (Q28)</t>
        </is>
      </c>
      <c r="L241" s="1214" t="inlineStr">
        <is>
          <t>Quartz    (@ 50#s)</t>
        </is>
      </c>
      <c r="M241" s="1214" t="n">
        <v>0.8</v>
      </c>
      <c r="N241" s="1215" t="inlineStr">
        <is>
          <t>Lb/SF</t>
        </is>
      </c>
      <c r="O241" s="2128">
        <f>CEILING(I239*M241,50)</f>
        <v/>
      </c>
      <c r="P241" s="2129">
        <f>IF((O241+O242)&lt;450,(O241*$X$148),(O241*Q28_40s))</f>
        <v/>
      </c>
      <c r="Q241" s="593" t="inlineStr">
        <is>
          <t>check</t>
        </is>
      </c>
      <c r="R241" s="593" t="n"/>
      <c r="S241" s="593" t="n"/>
      <c r="AA241" s="1232" t="inlineStr">
        <is>
          <t>Base Coat 1st BC (Liquids)</t>
        </is>
      </c>
      <c r="AB241" s="1204" t="inlineStr">
        <is>
          <t>Poly-Crete SL</t>
        </is>
      </c>
      <c r="AC241" s="1205" t="n">
        <v>55</v>
      </c>
      <c r="AD241" s="1206" t="inlineStr">
        <is>
          <t>SF/Kit</t>
        </is>
      </c>
      <c r="AE241" s="1207">
        <f>ROUNDUP(AI239/AC241,0)</f>
        <v/>
      </c>
      <c r="AF241" s="2077">
        <f>AE241*SL</f>
        <v/>
      </c>
      <c r="AG241" s="1209" t="n"/>
      <c r="AI241" s="2143" t="n"/>
      <c r="AK241" s="1271" t="inlineStr">
        <is>
          <t>40-S (Q28)</t>
        </is>
      </c>
      <c r="AL241" s="1214" t="inlineStr">
        <is>
          <t>Quartz    (@ 50#s)</t>
        </is>
      </c>
      <c r="AM241" s="1214" t="n">
        <v>0.8</v>
      </c>
      <c r="AN241" s="1215" t="inlineStr">
        <is>
          <t>Lb/SF</t>
        </is>
      </c>
      <c r="AO241" s="2128">
        <f>CEILING(AI239*AM241,50)</f>
        <v/>
      </c>
      <c r="AP241" s="2129">
        <f>IF((AO241+AO242)&lt;450,(AO241*$X$148),(AO241*Q28_40s))</f>
        <v/>
      </c>
      <c r="AQ241" s="593" t="inlineStr">
        <is>
          <t>check</t>
        </is>
      </c>
      <c r="AR241" s="593" t="n"/>
    </row>
    <row r="242" ht="16.2" customFormat="1" customHeight="1" s="594" thickBot="1">
      <c r="A242" s="1226" t="inlineStr">
        <is>
          <t>2nd Broadcast (Liquids)</t>
        </is>
      </c>
      <c r="B242" s="1198" t="inlineStr">
        <is>
          <t>Glaze #4</t>
        </is>
      </c>
      <c r="C242" s="1199" t="n">
        <v>90</v>
      </c>
      <c r="D242" s="1200" t="inlineStr">
        <is>
          <t>SF/Gal</t>
        </is>
      </c>
      <c r="E242" s="1201">
        <f>ROUNDUP(I239/C242,0)</f>
        <v/>
      </c>
      <c r="F242" s="2140">
        <f>E242*Glaze4</f>
        <v/>
      </c>
      <c r="G242" s="1203" t="n"/>
      <c r="I242" s="2143" t="n"/>
      <c r="K242" s="1271" t="inlineStr">
        <is>
          <t>40-S (Q28)</t>
        </is>
      </c>
      <c r="L242" s="1214" t="inlineStr">
        <is>
          <t>Quartz    (@ 50#s)</t>
        </is>
      </c>
      <c r="M242" s="1214" t="n">
        <v>0.4</v>
      </c>
      <c r="N242" s="1215" t="inlineStr">
        <is>
          <t>Lb/SF</t>
        </is>
      </c>
      <c r="O242" s="2128">
        <f>CEILING(I239*M242,50)</f>
        <v/>
      </c>
      <c r="P242" s="2129">
        <f>IF((O241+O242)&lt;450,(O242*$X$148),(O242*Q28_40s))</f>
        <v/>
      </c>
      <c r="Q242" s="593" t="inlineStr">
        <is>
          <t>check</t>
        </is>
      </c>
      <c r="R242" s="593" t="n"/>
      <c r="S242" s="593" t="n"/>
      <c r="AA242" s="1226" t="inlineStr">
        <is>
          <t>2nd Broadcast (Liquids)</t>
        </is>
      </c>
      <c r="AB242" s="1198" t="inlineStr">
        <is>
          <t>Glaze #4</t>
        </is>
      </c>
      <c r="AC242" s="1199" t="n">
        <v>90</v>
      </c>
      <c r="AD242" s="1200" t="inlineStr">
        <is>
          <t>SF/Gal</t>
        </is>
      </c>
      <c r="AE242" s="1201">
        <f>ROUNDUP(AI239/AC242,0)</f>
        <v/>
      </c>
      <c r="AF242" s="2140">
        <f>AE242*Glaze4</f>
        <v/>
      </c>
      <c r="AG242" s="1203" t="n"/>
      <c r="AI242" s="2143" t="n"/>
      <c r="AK242" s="1271" t="inlineStr">
        <is>
          <t>40-S (Q28)</t>
        </is>
      </c>
      <c r="AL242" s="1214" t="inlineStr">
        <is>
          <t>Quartz    (@ 50#s)</t>
        </is>
      </c>
      <c r="AM242" s="1214" t="n">
        <v>0.4</v>
      </c>
      <c r="AN242" s="1215" t="inlineStr">
        <is>
          <t>Lb/SF</t>
        </is>
      </c>
      <c r="AO242" s="2128">
        <f>CEILING(AI239*AM242,50)</f>
        <v/>
      </c>
      <c r="AP242" s="2129">
        <f>IF((AO241+AO242)&lt;450,(AO242*$X$148),(AO242*Q28_40s))</f>
        <v/>
      </c>
      <c r="AQ242" s="593" t="inlineStr">
        <is>
          <t>check</t>
        </is>
      </c>
      <c r="AR242" s="593" t="n"/>
    </row>
    <row r="243" ht="16.2" customFormat="1" customHeight="1" s="594" thickBot="1">
      <c r="A243" s="1252" t="inlineStr">
        <is>
          <t>Grout Coat</t>
        </is>
      </c>
      <c r="B243" s="1253" t="inlineStr">
        <is>
          <t>Glaze #4</t>
        </is>
      </c>
      <c r="C243" s="1254" t="n">
        <v>90</v>
      </c>
      <c r="D243" s="1255" t="inlineStr">
        <is>
          <t>SF/Gal</t>
        </is>
      </c>
      <c r="E243" s="1256">
        <f>ROUNDUP(I239/C243,0)</f>
        <v/>
      </c>
      <c r="F243" s="2137">
        <f>E243*Glaze4</f>
        <v/>
      </c>
      <c r="G243" s="1258" t="n"/>
      <c r="I243" s="2143" t="n"/>
      <c r="O243" s="1279" t="inlineStr">
        <is>
          <t>Total Media</t>
        </is>
      </c>
      <c r="P243" s="2132">
        <f>SUM(P241:P242)</f>
        <v/>
      </c>
      <c r="Q243" s="593" t="n"/>
      <c r="R243" s="593" t="n"/>
      <c r="S243" s="593" t="n"/>
      <c r="AA243" s="1252" t="inlineStr">
        <is>
          <t>Grout Coat</t>
        </is>
      </c>
      <c r="AB243" s="1253" t="inlineStr">
        <is>
          <t>Glaze #4</t>
        </is>
      </c>
      <c r="AC243" s="1254" t="n">
        <v>90</v>
      </c>
      <c r="AD243" s="1255" t="inlineStr">
        <is>
          <t>SF/Gal</t>
        </is>
      </c>
      <c r="AE243" s="1256">
        <f>ROUNDUP(AI239/AC243,0)</f>
        <v/>
      </c>
      <c r="AF243" s="2137">
        <f>AE243*Glaze4</f>
        <v/>
      </c>
      <c r="AG243" s="1258" t="n"/>
      <c r="AI243" s="2143" t="n"/>
      <c r="AO243" s="1279" t="inlineStr">
        <is>
          <t>Total Media</t>
        </is>
      </c>
      <c r="AP243" s="2132">
        <f>SUM(AP241:AP242)</f>
        <v/>
      </c>
      <c r="AQ243" s="593" t="n"/>
      <c r="AR243" s="593" t="n"/>
    </row>
    <row r="244" ht="16.2" customFormat="1" customHeight="1" s="594" thickBot="1">
      <c r="A244" s="1219" t="inlineStr">
        <is>
          <t>Top Coat</t>
        </is>
      </c>
      <c r="B244" s="1220" t="inlineStr">
        <is>
          <t>Armor Top Satin W/ Grit</t>
        </is>
      </c>
      <c r="C244" s="1221" t="n">
        <v>775</v>
      </c>
      <c r="D244" s="1222" t="inlineStr">
        <is>
          <t>SF/Kit</t>
        </is>
      </c>
      <c r="E244" s="1223">
        <f>ROUNDUP(I239/C244,0)</f>
        <v/>
      </c>
      <c r="F244" s="2138">
        <f>E244*$T$158</f>
        <v/>
      </c>
      <c r="G244" s="1225" t="n"/>
      <c r="I244" s="2143" t="n"/>
      <c r="Q244" s="593" t="n"/>
      <c r="R244" s="593" t="n"/>
      <c r="S244" s="593" t="n"/>
      <c r="AA244" s="1219" t="inlineStr">
        <is>
          <t>Top Coat</t>
        </is>
      </c>
      <c r="AB244" s="1220" t="inlineStr">
        <is>
          <t>Armor Top Satin W/ Grit</t>
        </is>
      </c>
      <c r="AC244" s="1221" t="n">
        <v>775</v>
      </c>
      <c r="AD244" s="1222" t="inlineStr">
        <is>
          <t>SF/Kit</t>
        </is>
      </c>
      <c r="AE244" s="1223">
        <f>ROUNDUP(AI239/AC244,0)</f>
        <v/>
      </c>
      <c r="AF244" s="2138">
        <f>AE244*$T$158</f>
        <v/>
      </c>
      <c r="AG244" s="1225" t="n"/>
      <c r="AI244" s="2143" t="n"/>
      <c r="AQ244" s="593" t="n"/>
      <c r="AR244" s="593" t="n"/>
    </row>
    <row r="245" ht="16.2" customFormat="1" customHeight="1" s="594" thickBot="1">
      <c r="A245" s="585" t="n"/>
      <c r="B245" s="585" t="n"/>
      <c r="C245" s="585" t="n"/>
      <c r="D245" s="585" t="n"/>
      <c r="E245" s="585" t="n"/>
      <c r="F245" s="2133">
        <f>SUM(F241:F244)</f>
        <v/>
      </c>
      <c r="G245" s="1236" t="inlineStr">
        <is>
          <t>Total Liquids Above</t>
        </is>
      </c>
      <c r="I245" s="2143" t="n"/>
      <c r="Q245" s="593" t="n"/>
      <c r="R245" s="593" t="n"/>
      <c r="S245" s="593" t="n"/>
      <c r="AA245" s="585" t="n"/>
      <c r="AB245" s="585" t="n"/>
      <c r="AC245" s="585" t="n"/>
      <c r="AD245" s="585" t="n"/>
      <c r="AE245" s="585" t="n"/>
      <c r="AF245" s="2133">
        <f>SUM(AF241:AF244)</f>
        <v/>
      </c>
      <c r="AG245" s="1236" t="inlineStr">
        <is>
          <t>Total Liquids Above</t>
        </is>
      </c>
      <c r="AI245" s="2143" t="n"/>
      <c r="AQ245" s="593" t="n"/>
      <c r="AR245" s="593" t="n"/>
    </row>
    <row r="246" ht="16.2" customFormat="1" customHeight="1" s="594" thickBot="1">
      <c r="A246" s="593" t="n"/>
      <c r="B246" s="593" t="n"/>
      <c r="C246" s="1936" t="n"/>
      <c r="D246" s="1936" t="n"/>
      <c r="E246" s="593" t="n"/>
      <c r="F246" s="593" t="n"/>
      <c r="I246" s="2143" t="n"/>
      <c r="Q246" s="593" t="n"/>
      <c r="R246" s="593" t="n"/>
      <c r="S246" s="593" t="n"/>
      <c r="AA246" s="593" t="n"/>
      <c r="AB246" s="593" t="n"/>
      <c r="AC246" s="1936" t="n"/>
      <c r="AD246" s="1936" t="n"/>
      <c r="AE246" s="593" t="n"/>
      <c r="AF246" s="593" t="n"/>
      <c r="AI246" s="2143" t="n"/>
      <c r="AQ246" s="593" t="n"/>
      <c r="AR246" s="593" t="n"/>
    </row>
    <row r="247" ht="16.2" customFormat="1" customHeight="1" s="594" thickBot="1">
      <c r="A247" s="2072" t="inlineStr">
        <is>
          <t>Trowel - Hybrid Quartz Double Broadcast (Orange Peel Texture/Trowel Texture)</t>
        </is>
      </c>
      <c r="B247" s="2073" t="n"/>
      <c r="C247" s="2073" t="n"/>
      <c r="D247" s="2073" t="n"/>
      <c r="E247" s="2073" t="n"/>
      <c r="F247" s="2073" t="n"/>
      <c r="G247" s="2074" t="n"/>
      <c r="H247" s="585" t="n"/>
      <c r="I247" s="2075">
        <f>$I$160</f>
        <v/>
      </c>
      <c r="K247" s="2124" t="inlineStr">
        <is>
          <t>Trowel - Hybrid Quartz Double Broadcast (Orange Peel Texture/Trowel Texture)</t>
        </is>
      </c>
      <c r="L247" s="2125" t="n"/>
      <c r="M247" s="2125" t="n"/>
      <c r="N247" s="2125" t="n"/>
      <c r="O247" s="2125" t="n"/>
      <c r="P247" s="2126" t="n"/>
      <c r="Q247" s="593" t="n"/>
      <c r="AA247" s="2072" t="inlineStr">
        <is>
          <t>Trowel - Hybrid Quartz Double Broadcast (Orange Peel Texture/Trowel Texture)</t>
        </is>
      </c>
      <c r="AB247" s="2073" t="n"/>
      <c r="AC247" s="2073" t="n"/>
      <c r="AD247" s="2073" t="n"/>
      <c r="AE247" s="2073" t="n"/>
      <c r="AF247" s="2073" t="n"/>
      <c r="AG247" s="2074" t="n"/>
      <c r="AH247" s="585" t="n"/>
      <c r="AI247" s="2075">
        <f>$AI$160</f>
        <v/>
      </c>
      <c r="AK247" s="2124" t="inlineStr">
        <is>
          <t>Trowel - Hybrid Quartz Double Broadcast (Orange Peel Texture/Trowel Texture)</t>
        </is>
      </c>
      <c r="AL247" s="2125" t="n"/>
      <c r="AM247" s="2125" t="n"/>
      <c r="AN247" s="2125" t="n"/>
      <c r="AO247" s="2125" t="n"/>
      <c r="AP247" s="2126" t="n"/>
      <c r="AQ247" s="593" t="n"/>
    </row>
    <row r="248" ht="16.2" customFormat="1" customHeight="1" s="1916" thickBot="1">
      <c r="A248" s="142" t="n"/>
      <c r="B248" s="1194" t="inlineStr">
        <is>
          <t>Product</t>
        </is>
      </c>
      <c r="C248" s="1195" t="inlineStr">
        <is>
          <t>Coverage</t>
        </is>
      </c>
      <c r="D248" s="1196" t="inlineStr">
        <is>
          <t>Unit of Measure</t>
        </is>
      </c>
      <c r="E248" s="1196" t="inlineStr">
        <is>
          <t>Quantity Calcs</t>
        </is>
      </c>
      <c r="F248" s="1196" t="inlineStr">
        <is>
          <t>$ Material Cost $</t>
        </is>
      </c>
      <c r="G248" s="1197" t="inlineStr">
        <is>
          <t>Note</t>
        </is>
      </c>
      <c r="H248" s="594" t="n"/>
      <c r="I248" s="2143" t="n"/>
      <c r="K248" s="1274" t="inlineStr">
        <is>
          <t>Broadcast Media</t>
        </is>
      </c>
      <c r="L248" s="1276" t="inlineStr">
        <is>
          <t>Product</t>
        </is>
      </c>
      <c r="M248" s="1277" t="inlineStr">
        <is>
          <t>Coverage</t>
        </is>
      </c>
      <c r="N248" s="1275" t="inlineStr">
        <is>
          <t>Unit of Measure</t>
        </is>
      </c>
      <c r="O248" s="1275" t="inlineStr">
        <is>
          <t>Quantity Calcs</t>
        </is>
      </c>
      <c r="P248" s="1197" t="inlineStr">
        <is>
          <t>$ Material Cost $</t>
        </is>
      </c>
      <c r="Q248" s="594" t="n"/>
      <c r="AA248" s="142" t="n"/>
      <c r="AB248" s="1194" t="inlineStr">
        <is>
          <t>Product</t>
        </is>
      </c>
      <c r="AC248" s="1195" t="inlineStr">
        <is>
          <t>Coverage</t>
        </is>
      </c>
      <c r="AD248" s="1196" t="inlineStr">
        <is>
          <t>Unit of Measure</t>
        </is>
      </c>
      <c r="AE248" s="1196" t="inlineStr">
        <is>
          <t>Quantity Calcs</t>
        </is>
      </c>
      <c r="AF248" s="1196" t="inlineStr">
        <is>
          <t>$ Material Cost $</t>
        </is>
      </c>
      <c r="AG248" s="1197" t="inlineStr">
        <is>
          <t>Note</t>
        </is>
      </c>
      <c r="AH248" s="594" t="n"/>
      <c r="AI248" s="2143" t="n"/>
      <c r="AK248" s="1274" t="inlineStr">
        <is>
          <t>Broadcast Media</t>
        </is>
      </c>
      <c r="AL248" s="1276" t="inlineStr">
        <is>
          <t>Product</t>
        </is>
      </c>
      <c r="AM248" s="1277" t="inlineStr">
        <is>
          <t>Coverage</t>
        </is>
      </c>
      <c r="AN248" s="1275" t="inlineStr">
        <is>
          <t>Unit of Measure</t>
        </is>
      </c>
      <c r="AO248" s="1275" t="inlineStr">
        <is>
          <t>Quantity Calcs</t>
        </is>
      </c>
      <c r="AP248" s="1197" t="inlineStr">
        <is>
          <t>$ Material Cost $</t>
        </is>
      </c>
      <c r="AQ248" s="594" t="n"/>
    </row>
    <row r="249" ht="16.2" customFormat="1" customHeight="1" s="1916" thickBot="1">
      <c r="A249" s="1232" t="inlineStr">
        <is>
          <t>Base Coat 1st BC (Liquids)</t>
        </is>
      </c>
      <c r="B249" s="1204" t="inlineStr">
        <is>
          <t>Poly-Crete SL</t>
        </is>
      </c>
      <c r="C249" s="1205" t="n">
        <v>55</v>
      </c>
      <c r="D249" s="1206" t="inlineStr">
        <is>
          <t>SF/Kit</t>
        </is>
      </c>
      <c r="E249" s="1207">
        <f>ROUNDUP(I247/C249,0)</f>
        <v/>
      </c>
      <c r="F249" s="2077">
        <f>E249*SL</f>
        <v/>
      </c>
      <c r="G249" s="1209" t="n"/>
      <c r="H249" s="594" t="n"/>
      <c r="I249" s="2143" t="n"/>
      <c r="K249" s="1271" t="inlineStr">
        <is>
          <t>40-S (Q28)</t>
        </is>
      </c>
      <c r="L249" s="1214" t="inlineStr">
        <is>
          <t>Quartz    (@ 50#s)</t>
        </is>
      </c>
      <c r="M249" s="1214" t="n">
        <v>0.8</v>
      </c>
      <c r="N249" s="1215" t="inlineStr">
        <is>
          <t>Lb/SF</t>
        </is>
      </c>
      <c r="O249" s="2128">
        <f>CEILING(I247*M249,50)</f>
        <v/>
      </c>
      <c r="P249" s="2129">
        <f>IF((O249+O250)&lt;450,(O249*$X$148),(O249*Q28_40s))</f>
        <v/>
      </c>
      <c r="Q249" s="1916" t="inlineStr">
        <is>
          <t>check</t>
        </is>
      </c>
      <c r="AA249" s="1232" t="inlineStr">
        <is>
          <t>Base Coat 1st BC (Liquids)</t>
        </is>
      </c>
      <c r="AB249" s="1204" t="inlineStr">
        <is>
          <t>Poly-Crete SL</t>
        </is>
      </c>
      <c r="AC249" s="1205" t="n">
        <v>55</v>
      </c>
      <c r="AD249" s="1206" t="inlineStr">
        <is>
          <t>SF/Kit</t>
        </is>
      </c>
      <c r="AE249" s="1207">
        <f>ROUNDUP(AI247/AC249,0)</f>
        <v/>
      </c>
      <c r="AF249" s="2077">
        <f>AE249*SL</f>
        <v/>
      </c>
      <c r="AG249" s="1209" t="n"/>
      <c r="AH249" s="594" t="n"/>
      <c r="AI249" s="2143" t="n"/>
      <c r="AK249" s="1271" t="inlineStr">
        <is>
          <t>40-S (Q28)</t>
        </is>
      </c>
      <c r="AL249" s="1214" t="inlineStr">
        <is>
          <t>Quartz    (@ 50#s)</t>
        </is>
      </c>
      <c r="AM249" s="1214" t="n">
        <v>0.8</v>
      </c>
      <c r="AN249" s="1215" t="inlineStr">
        <is>
          <t>Lb/SF</t>
        </is>
      </c>
      <c r="AO249" s="2128">
        <f>CEILING(AI247*AM249,50)</f>
        <v/>
      </c>
      <c r="AP249" s="2129">
        <f>IF((AO249+AO250)&lt;450,(AO249*$X$148),(AO249*Q28_40s))</f>
        <v/>
      </c>
      <c r="AQ249" s="1916" t="inlineStr">
        <is>
          <t>check</t>
        </is>
      </c>
    </row>
    <row r="250" ht="16.2" customFormat="1" customHeight="1" s="1916" thickBot="1">
      <c r="A250" s="1226" t="inlineStr">
        <is>
          <t>2nd Broadcast (Liquids)</t>
        </is>
      </c>
      <c r="B250" s="1198" t="inlineStr">
        <is>
          <t>Glaze #4</t>
        </is>
      </c>
      <c r="C250" s="1199" t="n">
        <v>90</v>
      </c>
      <c r="D250" s="1200" t="inlineStr">
        <is>
          <t>SF/Gal</t>
        </is>
      </c>
      <c r="E250" s="1201">
        <f>ROUNDUP(I247/C250,0)</f>
        <v/>
      </c>
      <c r="F250" s="2140">
        <f>E250*Glaze4</f>
        <v/>
      </c>
      <c r="G250" s="1203" t="n"/>
      <c r="H250" s="594" t="n"/>
      <c r="I250" s="2143" t="n"/>
      <c r="K250" s="1271" t="inlineStr">
        <is>
          <t>40-S (Q28)</t>
        </is>
      </c>
      <c r="L250" s="1214" t="inlineStr">
        <is>
          <t>Quartz    (@ 50#s)</t>
        </is>
      </c>
      <c r="M250" s="1214" t="n">
        <v>0.4</v>
      </c>
      <c r="N250" s="1215" t="inlineStr">
        <is>
          <t>Lb/SF</t>
        </is>
      </c>
      <c r="O250" s="2128">
        <f>CEILING(I247*M250,50)</f>
        <v/>
      </c>
      <c r="P250" s="2129">
        <f>IF((O249+O250)&lt;450,(O250*$X$148),(O250*Q28_40s))</f>
        <v/>
      </c>
      <c r="Q250" s="1916" t="inlineStr">
        <is>
          <t>check</t>
        </is>
      </c>
      <c r="AA250" s="1226" t="inlineStr">
        <is>
          <t>2nd Broadcast (Liquids)</t>
        </is>
      </c>
      <c r="AB250" s="1198" t="inlineStr">
        <is>
          <t>Glaze #4</t>
        </is>
      </c>
      <c r="AC250" s="1199" t="n">
        <v>90</v>
      </c>
      <c r="AD250" s="1200" t="inlineStr">
        <is>
          <t>SF/Gal</t>
        </is>
      </c>
      <c r="AE250" s="1201">
        <f>ROUNDUP(AI247/AC250,0)</f>
        <v/>
      </c>
      <c r="AF250" s="2140">
        <f>AE250*Glaze4</f>
        <v/>
      </c>
      <c r="AG250" s="1203" t="n"/>
      <c r="AH250" s="594" t="n"/>
      <c r="AI250" s="2143" t="n"/>
      <c r="AK250" s="1271" t="inlineStr">
        <is>
          <t>40-S (Q28)</t>
        </is>
      </c>
      <c r="AL250" s="1214" t="inlineStr">
        <is>
          <t>Quartz    (@ 50#s)</t>
        </is>
      </c>
      <c r="AM250" s="1214" t="n">
        <v>0.4</v>
      </c>
      <c r="AN250" s="1215" t="inlineStr">
        <is>
          <t>Lb/SF</t>
        </is>
      </c>
      <c r="AO250" s="2128">
        <f>CEILING(AI247*AM250,50)</f>
        <v/>
      </c>
      <c r="AP250" s="2129">
        <f>IF((AO249+AO250)&lt;450,(AO250*$X$148),(AO250*Q28_40s))</f>
        <v/>
      </c>
      <c r="AQ250" s="1916" t="inlineStr">
        <is>
          <t>check</t>
        </is>
      </c>
    </row>
    <row r="251" ht="16.2" customFormat="1" customHeight="1" s="1916" thickBot="1">
      <c r="A251" s="1252" t="inlineStr">
        <is>
          <t>Grout Coat 1</t>
        </is>
      </c>
      <c r="B251" s="1253" t="inlineStr">
        <is>
          <t>Glaze #4</t>
        </is>
      </c>
      <c r="C251" s="1254" t="n">
        <v>90</v>
      </c>
      <c r="D251" s="1255" t="inlineStr">
        <is>
          <t>SF/Gal</t>
        </is>
      </c>
      <c r="E251" s="1256">
        <f>ROUNDUP(I247/C251,0)</f>
        <v/>
      </c>
      <c r="F251" s="2137">
        <f>E251*Glaze4</f>
        <v/>
      </c>
      <c r="G251" s="1258" t="n"/>
      <c r="H251" s="594" t="n"/>
      <c r="I251" s="2143" t="n"/>
      <c r="O251" s="1279" t="inlineStr">
        <is>
          <t>Total Media</t>
        </is>
      </c>
      <c r="P251" s="2132">
        <f>SUM(P249:P250)</f>
        <v/>
      </c>
      <c r="AA251" s="1252" t="inlineStr">
        <is>
          <t>Grout Coat 1</t>
        </is>
      </c>
      <c r="AB251" s="1253" t="inlineStr">
        <is>
          <t>Glaze #4</t>
        </is>
      </c>
      <c r="AC251" s="1254" t="n">
        <v>90</v>
      </c>
      <c r="AD251" s="1255" t="inlineStr">
        <is>
          <t>SF/Gal</t>
        </is>
      </c>
      <c r="AE251" s="1256">
        <f>ROUNDUP(AI247/AC251,0)</f>
        <v/>
      </c>
      <c r="AF251" s="2137">
        <f>AE251*Glaze4</f>
        <v/>
      </c>
      <c r="AG251" s="1258" t="n"/>
      <c r="AH251" s="594" t="n"/>
      <c r="AI251" s="2143" t="n"/>
      <c r="AO251" s="1279" t="inlineStr">
        <is>
          <t>Total Media</t>
        </is>
      </c>
      <c r="AP251" s="2132">
        <f>SUM(AP249:AP250)</f>
        <v/>
      </c>
    </row>
    <row r="252" ht="16.2" customFormat="1" customHeight="1" s="1916" thickBot="1">
      <c r="A252" s="1226" t="inlineStr">
        <is>
          <t>Grout Coat 2</t>
        </is>
      </c>
      <c r="B252" s="1198" t="inlineStr">
        <is>
          <t>Glaze #4</t>
        </is>
      </c>
      <c r="C252" s="1199" t="n">
        <v>250</v>
      </c>
      <c r="D252" s="1200" t="inlineStr">
        <is>
          <t>SF/Gal</t>
        </is>
      </c>
      <c r="E252" s="1201">
        <f>ROUNDUP(I247/C252,0)</f>
        <v/>
      </c>
      <c r="F252" s="2140">
        <f>E252*Glaze4</f>
        <v/>
      </c>
      <c r="G252" s="1259" t="inlineStr">
        <is>
          <t>~ 6.5 mils</t>
        </is>
      </c>
      <c r="H252" s="1243">
        <f>(6.5/1600)*I247</f>
        <v/>
      </c>
      <c r="I252" s="2143" t="n"/>
      <c r="J252" s="53" t="n"/>
      <c r="AA252" s="1226" t="inlineStr">
        <is>
          <t>Grout Coat 2</t>
        </is>
      </c>
      <c r="AB252" s="1198" t="inlineStr">
        <is>
          <t>Glaze #4</t>
        </is>
      </c>
      <c r="AC252" s="1199" t="n">
        <v>250</v>
      </c>
      <c r="AD252" s="1200" t="inlineStr">
        <is>
          <t>SF/Gal</t>
        </is>
      </c>
      <c r="AE252" s="1201">
        <f>ROUNDUP(AI247/AC252,0)</f>
        <v/>
      </c>
      <c r="AF252" s="2140">
        <f>AE252*Glaze4</f>
        <v/>
      </c>
      <c r="AG252" s="1259" t="inlineStr">
        <is>
          <t>~ 6.5 mils</t>
        </is>
      </c>
      <c r="AH252" s="1243">
        <f>(6.5/1600)*AI247</f>
        <v/>
      </c>
      <c r="AI252" s="2143" t="n"/>
      <c r="AJ252" s="53" t="n"/>
    </row>
    <row r="253" ht="16.2" customFormat="1" customHeight="1" s="1916" thickBot="1">
      <c r="A253" s="1219" t="inlineStr">
        <is>
          <t>Top Coat</t>
        </is>
      </c>
      <c r="B253" s="1220" t="inlineStr">
        <is>
          <t>Armor Top Satin W/ Grit</t>
        </is>
      </c>
      <c r="C253" s="1221" t="n">
        <v>775</v>
      </c>
      <c r="D253" s="1222" t="inlineStr">
        <is>
          <t>SF/Kit</t>
        </is>
      </c>
      <c r="E253" s="1223">
        <f>ROUNDUP(I247/C253,0)</f>
        <v/>
      </c>
      <c r="F253" s="2138">
        <f>E253*$T$158</f>
        <v/>
      </c>
      <c r="G253" s="1225" t="n"/>
      <c r="H253" s="594" t="n"/>
      <c r="I253" s="2143" t="n"/>
      <c r="J253" s="106" t="n"/>
      <c r="K253" s="53" t="n"/>
      <c r="L253" s="53" t="n"/>
      <c r="AA253" s="1219" t="inlineStr">
        <is>
          <t>Top Coat</t>
        </is>
      </c>
      <c r="AB253" s="1220" t="inlineStr">
        <is>
          <t>Armor Top Satin W/ Grit</t>
        </is>
      </c>
      <c r="AC253" s="1221" t="n">
        <v>775</v>
      </c>
      <c r="AD253" s="1222" t="inlineStr">
        <is>
          <t>SF/Kit</t>
        </is>
      </c>
      <c r="AE253" s="1223">
        <f>ROUNDUP(AI247/AC253,0)</f>
        <v/>
      </c>
      <c r="AF253" s="2138">
        <f>AE253*$T$158</f>
        <v/>
      </c>
      <c r="AG253" s="1225" t="n"/>
      <c r="AH253" s="594" t="n"/>
      <c r="AI253" s="2143" t="n"/>
      <c r="AJ253" s="106" t="n"/>
      <c r="AK253" s="53" t="n"/>
      <c r="AL253" s="53" t="n"/>
    </row>
    <row r="254" ht="16.2" customFormat="1" customHeight="1" s="1916" thickBot="1">
      <c r="A254" s="585" t="n"/>
      <c r="B254" s="585" t="n"/>
      <c r="C254" s="585" t="n"/>
      <c r="D254" s="585" t="n"/>
      <c r="E254" s="585" t="n"/>
      <c r="F254" s="2133">
        <f>SUM(F249:F253)</f>
        <v/>
      </c>
      <c r="G254" s="1236" t="inlineStr">
        <is>
          <t>Total Liquids Above</t>
        </is>
      </c>
      <c r="H254" s="108" t="n"/>
      <c r="I254" s="2144" t="n"/>
      <c r="J254" s="106" t="n"/>
      <c r="K254" s="106" t="n"/>
      <c r="L254" s="106" t="n"/>
      <c r="AA254" s="585" t="n"/>
      <c r="AB254" s="585" t="n"/>
      <c r="AC254" s="585" t="n"/>
      <c r="AD254" s="585" t="n"/>
      <c r="AE254" s="585" t="n"/>
      <c r="AF254" s="2133">
        <f>SUM(AF249:AF253)</f>
        <v/>
      </c>
      <c r="AG254" s="1236" t="inlineStr">
        <is>
          <t>Total Liquids Above</t>
        </is>
      </c>
      <c r="AH254" s="108" t="n"/>
      <c r="AI254" s="2144" t="n"/>
      <c r="AJ254" s="106" t="n"/>
      <c r="AK254" s="106" t="n"/>
      <c r="AL254" s="106" t="n"/>
    </row>
    <row r="255" customFormat="1" s="1916">
      <c r="A255" s="53" t="n"/>
      <c r="B255" s="53" t="n"/>
      <c r="C255" s="53" t="n"/>
      <c r="D255" s="53" t="n"/>
      <c r="E255" s="107" t="n"/>
      <c r="G255" s="53" t="n"/>
      <c r="H255" s="53" t="n"/>
      <c r="I255" s="2144" t="n"/>
      <c r="J255" s="2145" t="n"/>
      <c r="K255" s="106" t="n"/>
      <c r="L255" s="106" t="n"/>
      <c r="AA255" s="53" t="n"/>
      <c r="AB255" s="53" t="n"/>
      <c r="AC255" s="53" t="n"/>
      <c r="AD255" s="53" t="n"/>
      <c r="AE255" s="107" t="n"/>
      <c r="AG255" s="53" t="n"/>
      <c r="AH255" s="53" t="n"/>
      <c r="AI255" s="2144" t="n"/>
      <c r="AJ255" s="2145" t="n"/>
      <c r="AK255" s="106" t="n"/>
      <c r="AL255" s="106" t="n"/>
    </row>
    <row r="256" customFormat="1" s="1916">
      <c r="A256" s="53" t="n"/>
      <c r="B256" s="53" t="n"/>
      <c r="C256" s="53" t="n"/>
      <c r="D256" s="106" t="n"/>
      <c r="E256" s="106" t="n"/>
      <c r="G256" s="53" t="n"/>
      <c r="H256" s="93" t="n"/>
      <c r="I256" s="2144" t="n"/>
      <c r="J256" s="2145" t="n"/>
      <c r="K256" s="2145" t="n"/>
      <c r="L256" s="53" t="n"/>
      <c r="AA256" s="53" t="n"/>
      <c r="AB256" s="53" t="n"/>
      <c r="AC256" s="53" t="n"/>
      <c r="AD256" s="106" t="n"/>
      <c r="AE256" s="106" t="n"/>
      <c r="AG256" s="53" t="n"/>
      <c r="AH256" s="93" t="n"/>
      <c r="AI256" s="2144" t="n"/>
      <c r="AJ256" s="2145" t="n"/>
      <c r="AK256" s="2145" t="n"/>
      <c r="AL256" s="53" t="n"/>
    </row>
    <row r="257" ht="21.6" customFormat="1" customHeight="1" s="1916" thickBot="1">
      <c r="A257" s="1866" t="inlineStr">
        <is>
          <t>Solid Color Quartz Systems</t>
        </is>
      </c>
      <c r="H257" s="93" t="n"/>
      <c r="I257" s="2144" t="n"/>
      <c r="J257" s="2145" t="n"/>
      <c r="K257" s="1853" t="inlineStr">
        <is>
          <t>Solid Color Quartz Systems</t>
        </is>
      </c>
      <c r="L257" s="585" t="n"/>
      <c r="M257" s="585" t="n"/>
      <c r="N257" s="585" t="n"/>
      <c r="O257" s="585" t="n"/>
      <c r="P257" s="585" t="n"/>
      <c r="AA257" s="1852" t="inlineStr">
        <is>
          <t>Solid Color Quartz Systems</t>
        </is>
      </c>
      <c r="AH257" s="93" t="n"/>
      <c r="AI257" s="2144" t="n"/>
      <c r="AJ257" s="2145" t="n"/>
      <c r="AK257" s="1853" t="inlineStr">
        <is>
          <t>Solid Color Quartz Systems</t>
        </is>
      </c>
      <c r="AL257" s="585" t="n"/>
      <c r="AM257" s="585" t="n"/>
      <c r="AN257" s="585" t="n"/>
      <c r="AO257" s="585" t="n"/>
      <c r="AP257" s="585" t="n"/>
    </row>
    <row r="258" ht="16.2" customFormat="1" customHeight="1" s="1916" thickBot="1">
      <c r="A258" s="2072" t="inlineStr">
        <is>
          <t>Shop Floor Double Broadcast</t>
        </is>
      </c>
      <c r="B258" s="2073" t="n"/>
      <c r="C258" s="2073" t="n"/>
      <c r="D258" s="2073" t="n"/>
      <c r="E258" s="2073" t="n"/>
      <c r="F258" s="2073" t="n"/>
      <c r="G258" s="2074" t="n"/>
      <c r="H258" s="93" t="n"/>
      <c r="I258" s="2075">
        <f>$I$160</f>
        <v/>
      </c>
      <c r="J258" s="2145" t="n"/>
      <c r="K258" s="2124" t="inlineStr">
        <is>
          <t>Shop Floor Double Broadcast</t>
        </is>
      </c>
      <c r="L258" s="2125" t="n"/>
      <c r="M258" s="2125" t="n"/>
      <c r="N258" s="2125" t="n"/>
      <c r="O258" s="2125" t="n"/>
      <c r="P258" s="2126" t="n"/>
      <c r="AA258" s="2072" t="inlineStr">
        <is>
          <t>Shop Floor Double Broadcast</t>
        </is>
      </c>
      <c r="AB258" s="2073" t="n"/>
      <c r="AC258" s="2073" t="n"/>
      <c r="AD258" s="2073" t="n"/>
      <c r="AE258" s="2073" t="n"/>
      <c r="AF258" s="2073" t="n"/>
      <c r="AG258" s="2074" t="n"/>
      <c r="AH258" s="93" t="n"/>
      <c r="AI258" s="2075">
        <f>$AI$160</f>
        <v/>
      </c>
      <c r="AJ258" s="2145" t="n"/>
      <c r="AK258" s="2124" t="inlineStr">
        <is>
          <t>Shop Floor Double Broadcast</t>
        </is>
      </c>
      <c r="AL258" s="2125" t="n"/>
      <c r="AM258" s="2125" t="n"/>
      <c r="AN258" s="2125" t="n"/>
      <c r="AO258" s="2125" t="n"/>
      <c r="AP258" s="2126" t="n"/>
    </row>
    <row r="259" ht="16.2" customFormat="1" customHeight="1" s="1916" thickBot="1">
      <c r="A259" s="142" t="n"/>
      <c r="B259" s="1194" t="inlineStr">
        <is>
          <t>Product</t>
        </is>
      </c>
      <c r="C259" s="1195" t="inlineStr">
        <is>
          <t>Coverage</t>
        </is>
      </c>
      <c r="D259" s="1196" t="inlineStr">
        <is>
          <t>Unit of Measure</t>
        </is>
      </c>
      <c r="E259" s="1196" t="inlineStr">
        <is>
          <t>Quantity Calcs</t>
        </is>
      </c>
      <c r="F259" s="1196" t="inlineStr">
        <is>
          <t>$ Material Cost $</t>
        </is>
      </c>
      <c r="G259" s="1197" t="inlineStr">
        <is>
          <t>Note</t>
        </is>
      </c>
      <c r="H259" s="103" t="n"/>
      <c r="I259" s="2146" t="n"/>
      <c r="J259" s="2147" t="n"/>
      <c r="K259" s="1274" t="inlineStr">
        <is>
          <t>Broadcast Media</t>
        </is>
      </c>
      <c r="L259" s="1276" t="inlineStr">
        <is>
          <t>Product</t>
        </is>
      </c>
      <c r="M259" s="1277" t="inlineStr">
        <is>
          <t>Coverage</t>
        </is>
      </c>
      <c r="N259" s="1275" t="inlineStr">
        <is>
          <t>Unit of Measure</t>
        </is>
      </c>
      <c r="O259" s="1275" t="inlineStr">
        <is>
          <t>Quantity Calcs</t>
        </is>
      </c>
      <c r="P259" s="1197" t="inlineStr">
        <is>
          <t>$ Material Cost $</t>
        </is>
      </c>
      <c r="AA259" s="142" t="n"/>
      <c r="AB259" s="1194" t="inlineStr">
        <is>
          <t>Product</t>
        </is>
      </c>
      <c r="AC259" s="1195" t="inlineStr">
        <is>
          <t>Coverage</t>
        </is>
      </c>
      <c r="AD259" s="1196" t="inlineStr">
        <is>
          <t>Unit of Measure</t>
        </is>
      </c>
      <c r="AE259" s="1196" t="inlineStr">
        <is>
          <t>Quantity Calcs</t>
        </is>
      </c>
      <c r="AF259" s="1196" t="inlineStr">
        <is>
          <t>$ Material Cost $</t>
        </is>
      </c>
      <c r="AG259" s="1197" t="inlineStr">
        <is>
          <t>Note</t>
        </is>
      </c>
      <c r="AH259" s="103" t="n"/>
      <c r="AI259" s="2146" t="n"/>
      <c r="AJ259" s="2147" t="n"/>
      <c r="AK259" s="1274" t="inlineStr">
        <is>
          <t>Broadcast Media</t>
        </is>
      </c>
      <c r="AL259" s="1276" t="inlineStr">
        <is>
          <t>Product</t>
        </is>
      </c>
      <c r="AM259" s="1277" t="inlineStr">
        <is>
          <t>Coverage</t>
        </is>
      </c>
      <c r="AN259" s="1275" t="inlineStr">
        <is>
          <t>Unit of Measure</t>
        </is>
      </c>
      <c r="AO259" s="1275" t="inlineStr">
        <is>
          <t>Quantity Calcs</t>
        </is>
      </c>
      <c r="AP259" s="1197" t="inlineStr">
        <is>
          <t>$ Material Cost $</t>
        </is>
      </c>
    </row>
    <row r="260" ht="16.2" customFormat="1" customHeight="1" s="1916" thickBot="1">
      <c r="A260" s="1226" t="inlineStr">
        <is>
          <t>1st Broadcast (Liquids)</t>
        </is>
      </c>
      <c r="B260" s="1198" t="inlineStr">
        <is>
          <t>Shop Floor</t>
        </is>
      </c>
      <c r="C260" s="1199" t="n">
        <v>100</v>
      </c>
      <c r="D260" s="1200" t="inlineStr">
        <is>
          <t>SF/Gal</t>
        </is>
      </c>
      <c r="E260" s="1201">
        <f>ROUNDUP(I258/C260,0)</f>
        <v/>
      </c>
      <c r="F260" s="2140">
        <f>E260*ShopFloor</f>
        <v/>
      </c>
      <c r="G260" s="1203" t="n"/>
      <c r="H260" s="53" t="n"/>
      <c r="I260" s="2148" t="n"/>
      <c r="K260" s="1271" t="inlineStr">
        <is>
          <t>Shop Floor</t>
        </is>
      </c>
      <c r="L260" s="1214" t="inlineStr">
        <is>
          <t>Silica     (@ 50#s)</t>
        </is>
      </c>
      <c r="M260" s="1214" t="n">
        <v>0.5</v>
      </c>
      <c r="N260" s="1215" t="inlineStr">
        <is>
          <t>Lb/SF</t>
        </is>
      </c>
      <c r="O260" s="2128">
        <f>CEILING(I258*M260,50)</f>
        <v/>
      </c>
      <c r="P260" s="2129">
        <f>O260*Silica</f>
        <v/>
      </c>
      <c r="AA260" s="1226" t="inlineStr">
        <is>
          <t>1st Broadcast (Liquids)</t>
        </is>
      </c>
      <c r="AB260" s="1198" t="inlineStr">
        <is>
          <t>Shop Floor</t>
        </is>
      </c>
      <c r="AC260" s="1199" t="n">
        <v>100</v>
      </c>
      <c r="AD260" s="1200" t="inlineStr">
        <is>
          <t>SF/Gal</t>
        </is>
      </c>
      <c r="AE260" s="1201">
        <f>ROUNDUP(AI258/AC260,0)</f>
        <v/>
      </c>
      <c r="AF260" s="2140">
        <f>AE260*ShopFloor</f>
        <v/>
      </c>
      <c r="AG260" s="1203" t="n"/>
      <c r="AH260" s="53" t="n"/>
      <c r="AI260" s="2148" t="n"/>
      <c r="AK260" s="1271" t="inlineStr">
        <is>
          <t>Shop Floor</t>
        </is>
      </c>
      <c r="AL260" s="1214" t="inlineStr">
        <is>
          <t>Silica     (@ 50#s)</t>
        </is>
      </c>
      <c r="AM260" s="1214" t="n">
        <v>0.5</v>
      </c>
      <c r="AN260" s="1215" t="inlineStr">
        <is>
          <t>Lb/SF</t>
        </is>
      </c>
      <c r="AO260" s="2128">
        <f>CEILING(AI258*AM260,50)</f>
        <v/>
      </c>
      <c r="AP260" s="2129">
        <f>AO260*Silica</f>
        <v/>
      </c>
    </row>
    <row r="261" ht="16.2" customFormat="1" customHeight="1" s="1916" thickBot="1">
      <c r="A261" s="1252" t="inlineStr">
        <is>
          <t>2nd Broadcast (Liquids)</t>
        </is>
      </c>
      <c r="B261" s="1253" t="inlineStr">
        <is>
          <t>Shop Floor</t>
        </is>
      </c>
      <c r="C261" s="1254" t="n">
        <v>100</v>
      </c>
      <c r="D261" s="1255" t="inlineStr">
        <is>
          <t>SF/Gal</t>
        </is>
      </c>
      <c r="E261" s="1256">
        <f>ROUNDUP(I258/C261,0)</f>
        <v/>
      </c>
      <c r="F261" s="2137">
        <f>E261*ShopFloor</f>
        <v/>
      </c>
      <c r="G261" s="1258" t="n"/>
      <c r="H261" s="53" t="n"/>
      <c r="I261" s="2144" t="n"/>
      <c r="J261" s="2145" t="n"/>
      <c r="K261" s="1271" t="inlineStr">
        <is>
          <t>Shop Floor</t>
        </is>
      </c>
      <c r="L261" s="1214" t="inlineStr">
        <is>
          <t>Silica     (@ 50#s)</t>
        </is>
      </c>
      <c r="M261" s="1214" t="n">
        <v>0.4</v>
      </c>
      <c r="N261" s="1215" t="inlineStr">
        <is>
          <t>Lb/SF</t>
        </is>
      </c>
      <c r="O261" s="2128">
        <f>CEILING(I258*M261,50)</f>
        <v/>
      </c>
      <c r="P261" s="2129">
        <f>O261*Silica</f>
        <v/>
      </c>
      <c r="AA261" s="1252" t="inlineStr">
        <is>
          <t>2nd Broadcast (Liquids)</t>
        </is>
      </c>
      <c r="AB261" s="1253" t="inlineStr">
        <is>
          <t>Shop Floor</t>
        </is>
      </c>
      <c r="AC261" s="1254" t="n">
        <v>100</v>
      </c>
      <c r="AD261" s="1255" t="inlineStr">
        <is>
          <t>SF/Gal</t>
        </is>
      </c>
      <c r="AE261" s="1256">
        <f>ROUNDUP(AI258/AC261,0)</f>
        <v/>
      </c>
      <c r="AF261" s="2137">
        <f>AE261*ShopFloor</f>
        <v/>
      </c>
      <c r="AG261" s="1258" t="n"/>
      <c r="AH261" s="53" t="n"/>
      <c r="AI261" s="2144" t="n"/>
      <c r="AJ261" s="2145" t="n"/>
      <c r="AK261" s="1271" t="inlineStr">
        <is>
          <t>Shop Floor</t>
        </is>
      </c>
      <c r="AL261" s="1214" t="inlineStr">
        <is>
          <t>Silica     (@ 50#s)</t>
        </is>
      </c>
      <c r="AM261" s="1214" t="n">
        <v>0.4</v>
      </c>
      <c r="AN261" s="1215" t="inlineStr">
        <is>
          <t>Lb/SF</t>
        </is>
      </c>
      <c r="AO261" s="2128">
        <f>CEILING(AI258*AM261,50)</f>
        <v/>
      </c>
      <c r="AP261" s="2129">
        <f>AO261*Silica</f>
        <v/>
      </c>
    </row>
    <row r="262" ht="16.2" customFormat="1" customHeight="1" s="1916" thickBot="1">
      <c r="A262" s="1226" t="inlineStr">
        <is>
          <t>Grout Coat</t>
        </is>
      </c>
      <c r="B262" s="1198" t="inlineStr">
        <is>
          <t>Shop Floor</t>
        </is>
      </c>
      <c r="C262" s="1199" t="n">
        <v>100</v>
      </c>
      <c r="D262" s="1200" t="inlineStr">
        <is>
          <t>SF/Gal</t>
        </is>
      </c>
      <c r="E262" s="1201">
        <f>ROUNDUP(I258/C262,0)</f>
        <v/>
      </c>
      <c r="F262" s="2140">
        <f>E262*ShopFloor</f>
        <v/>
      </c>
      <c r="G262" s="1203" t="n"/>
      <c r="H262" s="93" t="n"/>
      <c r="I262" s="2144" t="n"/>
      <c r="J262" s="2145" t="n"/>
      <c r="K262" s="2145" t="n"/>
      <c r="O262" s="1279" t="inlineStr">
        <is>
          <t>Total Media</t>
        </is>
      </c>
      <c r="P262" s="2132">
        <f>SUM(P260:P261)</f>
        <v/>
      </c>
      <c r="AA262" s="1226" t="inlineStr">
        <is>
          <t>Grout Coat</t>
        </is>
      </c>
      <c r="AB262" s="1198" t="inlineStr">
        <is>
          <t>Shop Floor</t>
        </is>
      </c>
      <c r="AC262" s="1199" t="n">
        <v>100</v>
      </c>
      <c r="AD262" s="1200" t="inlineStr">
        <is>
          <t>SF/Gal</t>
        </is>
      </c>
      <c r="AE262" s="1201">
        <f>ROUNDUP(AI258/AC262,0)</f>
        <v/>
      </c>
      <c r="AF262" s="2140">
        <f>AE262*ShopFloor</f>
        <v/>
      </c>
      <c r="AG262" s="1203" t="n"/>
      <c r="AH262" s="93" t="n"/>
      <c r="AI262" s="2144" t="n"/>
      <c r="AJ262" s="2145" t="n"/>
      <c r="AK262" s="2145" t="n"/>
      <c r="AO262" s="1279" t="inlineStr">
        <is>
          <t>Total Media</t>
        </is>
      </c>
      <c r="AP262" s="2132">
        <f>SUM(AP260:AP261)</f>
        <v/>
      </c>
    </row>
    <row r="263" ht="16.2" customFormat="1" customHeight="1" s="1916" thickBot="1">
      <c r="A263" s="1219" t="inlineStr">
        <is>
          <t>Top Coat</t>
        </is>
      </c>
      <c r="B263" s="1220" t="inlineStr">
        <is>
          <t>Pigmented AT Satin W/ Grit</t>
        </is>
      </c>
      <c r="C263" s="1221" t="n">
        <v>850</v>
      </c>
      <c r="D263" s="1222" t="inlineStr">
        <is>
          <t>SF/Kit</t>
        </is>
      </c>
      <c r="E263" s="1223">
        <f>ROUNDUP(I258/C263,0)</f>
        <v/>
      </c>
      <c r="F263" s="2138">
        <f>E263*AT_Pgmt_Satin_w_Grit</f>
        <v/>
      </c>
      <c r="G263" s="1225" t="n"/>
      <c r="H263" s="93" t="n"/>
      <c r="I263" s="2144" t="n"/>
      <c r="J263" s="2145" t="n"/>
      <c r="K263" s="2145" t="n"/>
      <c r="AA263" s="1219" t="inlineStr">
        <is>
          <t>Top Coat</t>
        </is>
      </c>
      <c r="AB263" s="1220" t="inlineStr">
        <is>
          <t>Pigmented AT Satin W/ Grit</t>
        </is>
      </c>
      <c r="AC263" s="1221" t="n">
        <v>850</v>
      </c>
      <c r="AD263" s="1222" t="inlineStr">
        <is>
          <t>SF/Kit</t>
        </is>
      </c>
      <c r="AE263" s="1223">
        <f>ROUNDUP(AI258/AC263,0)</f>
        <v/>
      </c>
      <c r="AF263" s="2138">
        <f>AE263*AT_Pgmt_Satin_w_Grit</f>
        <v/>
      </c>
      <c r="AG263" s="1225" t="n"/>
      <c r="AH263" s="93" t="n"/>
      <c r="AI263" s="2144" t="n"/>
      <c r="AJ263" s="2145" t="n"/>
      <c r="AK263" s="2145" t="n"/>
    </row>
    <row r="264" ht="16.2" customFormat="1" customHeight="1" s="1916" thickBot="1">
      <c r="A264" s="585" t="n"/>
      <c r="B264" s="585" t="n"/>
      <c r="C264" s="585" t="n"/>
      <c r="D264" s="585" t="n"/>
      <c r="E264" s="585" t="n"/>
      <c r="F264" s="2133">
        <f>SUM(F260:F263)</f>
        <v/>
      </c>
      <c r="G264" s="1236" t="inlineStr">
        <is>
          <t>Total Liquids Above</t>
        </is>
      </c>
      <c r="H264" s="93" t="n"/>
      <c r="I264" s="2144" t="n"/>
      <c r="J264" s="2145" t="n"/>
      <c r="K264" s="2145" t="n"/>
      <c r="AA264" s="585" t="n"/>
      <c r="AB264" s="585" t="n"/>
      <c r="AC264" s="585" t="n"/>
      <c r="AD264" s="585" t="n"/>
      <c r="AE264" s="585" t="n"/>
      <c r="AF264" s="2133">
        <f>SUM(AF260:AF263)</f>
        <v/>
      </c>
      <c r="AG264" s="1236" t="inlineStr">
        <is>
          <t>Total Liquids Above</t>
        </is>
      </c>
      <c r="AH264" s="93" t="n"/>
      <c r="AI264" s="2144" t="n"/>
      <c r="AJ264" s="2145" t="n"/>
      <c r="AK264" s="2145" t="n"/>
    </row>
    <row r="265" ht="16.2" customFormat="1" customHeight="1" s="1916" thickBot="1">
      <c r="A265" s="53" t="n"/>
      <c r="B265" s="93" t="n"/>
      <c r="C265" s="2145" t="n"/>
      <c r="D265" s="2145" t="n"/>
      <c r="E265" s="111" t="n"/>
      <c r="F265" s="53" t="n"/>
      <c r="G265" s="53" t="n"/>
      <c r="H265" s="93" t="n"/>
      <c r="I265" s="2144" t="n"/>
      <c r="J265" s="2145" t="n"/>
      <c r="K265" s="2145" t="n"/>
      <c r="AA265" s="53" t="n"/>
      <c r="AB265" s="93" t="n"/>
      <c r="AC265" s="2145" t="n"/>
      <c r="AD265" s="2145" t="n"/>
      <c r="AE265" s="111" t="n"/>
      <c r="AF265" s="53" t="n"/>
      <c r="AG265" s="53" t="n"/>
      <c r="AH265" s="93" t="n"/>
      <c r="AI265" s="2144" t="n"/>
      <c r="AJ265" s="2145" t="n"/>
      <c r="AK265" s="2145" t="n"/>
    </row>
    <row r="266" ht="16.2" customFormat="1" customHeight="1" s="1916" thickBot="1">
      <c r="A266" s="2072" t="inlineStr">
        <is>
          <t>Shop Floor Single Broadcast</t>
        </is>
      </c>
      <c r="B266" s="2073" t="n"/>
      <c r="C266" s="2073" t="n"/>
      <c r="D266" s="2073" t="n"/>
      <c r="E266" s="2073" t="n"/>
      <c r="F266" s="2073" t="n"/>
      <c r="G266" s="2074" t="n"/>
      <c r="H266" s="93" t="n"/>
      <c r="I266" s="2075">
        <f>$I$160</f>
        <v/>
      </c>
      <c r="J266" s="2145" t="n"/>
      <c r="K266" s="2124" t="inlineStr">
        <is>
          <t>Shop Floor SINGLE Broadcast</t>
        </is>
      </c>
      <c r="L266" s="2125" t="n"/>
      <c r="M266" s="2125" t="n"/>
      <c r="N266" s="2125" t="n"/>
      <c r="O266" s="2125" t="n"/>
      <c r="P266" s="2126" t="n"/>
      <c r="AA266" s="2072" t="inlineStr">
        <is>
          <t>Shop Floor Single Broadcast</t>
        </is>
      </c>
      <c r="AB266" s="2073" t="n"/>
      <c r="AC266" s="2073" t="n"/>
      <c r="AD266" s="2073" t="n"/>
      <c r="AE266" s="2073" t="n"/>
      <c r="AF266" s="2073" t="n"/>
      <c r="AG266" s="2074" t="n"/>
      <c r="AH266" s="93" t="n"/>
      <c r="AI266" s="2075">
        <f>$AI$160</f>
        <v/>
      </c>
      <c r="AJ266" s="2145" t="n"/>
      <c r="AK266" s="2124" t="inlineStr">
        <is>
          <t>Shop Floor SINGLE Broadcast</t>
        </is>
      </c>
      <c r="AL266" s="2125" t="n"/>
      <c r="AM266" s="2125" t="n"/>
      <c r="AN266" s="2125" t="n"/>
      <c r="AO266" s="2125" t="n"/>
      <c r="AP266" s="2126" t="n"/>
    </row>
    <row r="267" ht="16.2" customFormat="1" customHeight="1" s="1916" thickBot="1">
      <c r="A267" s="142" t="n"/>
      <c r="B267" s="1194" t="inlineStr">
        <is>
          <t>Product</t>
        </is>
      </c>
      <c r="C267" s="1195" t="inlineStr">
        <is>
          <t>Coverage</t>
        </is>
      </c>
      <c r="D267" s="1196" t="inlineStr">
        <is>
          <t>Unit of Measure</t>
        </is>
      </c>
      <c r="E267" s="1196" t="inlineStr">
        <is>
          <t>Quantity Calcs</t>
        </is>
      </c>
      <c r="F267" s="1196" t="inlineStr">
        <is>
          <t>$ Material Cost $</t>
        </is>
      </c>
      <c r="G267" s="1197" t="inlineStr">
        <is>
          <t>Note</t>
        </is>
      </c>
      <c r="H267" s="93" t="n"/>
      <c r="I267" s="2144" t="n"/>
      <c r="J267" s="2145" t="n"/>
      <c r="K267" s="1274" t="inlineStr">
        <is>
          <t>Broadcast Media</t>
        </is>
      </c>
      <c r="L267" s="1276" t="inlineStr">
        <is>
          <t>Product</t>
        </is>
      </c>
      <c r="M267" s="1277" t="inlineStr">
        <is>
          <t>Coverage</t>
        </is>
      </c>
      <c r="N267" s="1275" t="inlineStr">
        <is>
          <t>Unit of Measure</t>
        </is>
      </c>
      <c r="O267" s="1275" t="inlineStr">
        <is>
          <t>Quantity Calcs</t>
        </is>
      </c>
      <c r="P267" s="1197" t="inlineStr">
        <is>
          <t>$ Material Cost $</t>
        </is>
      </c>
      <c r="AA267" s="142" t="n"/>
      <c r="AB267" s="1194" t="inlineStr">
        <is>
          <t>Product</t>
        </is>
      </c>
      <c r="AC267" s="1195" t="inlineStr">
        <is>
          <t>Coverage</t>
        </is>
      </c>
      <c r="AD267" s="1196" t="inlineStr">
        <is>
          <t>Unit of Measure</t>
        </is>
      </c>
      <c r="AE267" s="1196" t="inlineStr">
        <is>
          <t>Quantity Calcs</t>
        </is>
      </c>
      <c r="AF267" s="1196" t="inlineStr">
        <is>
          <t>$ Material Cost $</t>
        </is>
      </c>
      <c r="AG267" s="1197" t="inlineStr">
        <is>
          <t>Note</t>
        </is>
      </c>
      <c r="AH267" s="93" t="n"/>
      <c r="AI267" s="2144" t="n"/>
      <c r="AJ267" s="2145" t="n"/>
      <c r="AK267" s="1274" t="inlineStr">
        <is>
          <t>Broadcast Media</t>
        </is>
      </c>
      <c r="AL267" s="1276" t="inlineStr">
        <is>
          <t>Product</t>
        </is>
      </c>
      <c r="AM267" s="1277" t="inlineStr">
        <is>
          <t>Coverage</t>
        </is>
      </c>
      <c r="AN267" s="1275" t="inlineStr">
        <is>
          <t>Unit of Measure</t>
        </is>
      </c>
      <c r="AO267" s="1275" t="inlineStr">
        <is>
          <t>Quantity Calcs</t>
        </is>
      </c>
      <c r="AP267" s="1197" t="inlineStr">
        <is>
          <t>$ Material Cost $</t>
        </is>
      </c>
    </row>
    <row r="268" ht="16.2" customFormat="1" customHeight="1" s="1916" thickBot="1">
      <c r="A268" s="1226" t="inlineStr">
        <is>
          <t>1st Broadcast (Liquids)</t>
        </is>
      </c>
      <c r="B268" s="1198" t="inlineStr">
        <is>
          <t>Shop Floor</t>
        </is>
      </c>
      <c r="C268" s="1199" t="n">
        <v>100</v>
      </c>
      <c r="D268" s="1200" t="inlineStr">
        <is>
          <t>SF/Gal</t>
        </is>
      </c>
      <c r="E268" s="1201">
        <f>ROUNDUP(I266/C268,0)</f>
        <v/>
      </c>
      <c r="F268" s="2140">
        <f>E268*ShopFloor</f>
        <v/>
      </c>
      <c r="G268" s="1203" t="n"/>
      <c r="H268" s="93" t="n"/>
      <c r="I268" s="2144" t="n"/>
      <c r="J268" s="2145" t="n"/>
      <c r="K268" s="1271" t="inlineStr">
        <is>
          <t>Shop Floor</t>
        </is>
      </c>
      <c r="L268" s="1214" t="inlineStr">
        <is>
          <t>Silica     (@ 50#s)</t>
        </is>
      </c>
      <c r="M268" s="1214" t="n">
        <v>0.5</v>
      </c>
      <c r="N268" s="1215" t="inlineStr">
        <is>
          <t>Lb/SF</t>
        </is>
      </c>
      <c r="O268" s="2128">
        <f>CEILING(I266*M268,50)</f>
        <v/>
      </c>
      <c r="P268" s="2129">
        <f>O268*Silica</f>
        <v/>
      </c>
      <c r="AA268" s="1226" t="inlineStr">
        <is>
          <t>1st Broadcast (Liquids)</t>
        </is>
      </c>
      <c r="AB268" s="1198" t="inlineStr">
        <is>
          <t>Shop Floor</t>
        </is>
      </c>
      <c r="AC268" s="1199" t="n">
        <v>100</v>
      </c>
      <c r="AD268" s="1200" t="inlineStr">
        <is>
          <t>SF/Gal</t>
        </is>
      </c>
      <c r="AE268" s="1201">
        <f>ROUNDUP(AI266/AC268,0)</f>
        <v/>
      </c>
      <c r="AF268" s="2140">
        <f>AE268*ShopFloor</f>
        <v/>
      </c>
      <c r="AG268" s="1203" t="n"/>
      <c r="AH268" s="93" t="n"/>
      <c r="AI268" s="2144" t="n"/>
      <c r="AJ268" s="2145" t="n"/>
      <c r="AK268" s="1271" t="inlineStr">
        <is>
          <t>Shop Floor</t>
        </is>
      </c>
      <c r="AL268" s="1214" t="inlineStr">
        <is>
          <t>Silica     (@ 50#s)</t>
        </is>
      </c>
      <c r="AM268" s="1214" t="n">
        <v>0.5</v>
      </c>
      <c r="AN268" s="1215" t="inlineStr">
        <is>
          <t>Lb/SF</t>
        </is>
      </c>
      <c r="AO268" s="2128">
        <f>CEILING(AI266*AM268,50)</f>
        <v/>
      </c>
      <c r="AP268" s="2129">
        <f>AO268*Silica</f>
        <v/>
      </c>
    </row>
    <row r="269" ht="16.2" customFormat="1" customHeight="1" s="1916" thickBot="1">
      <c r="A269" s="1252" t="inlineStr">
        <is>
          <t>Grout Coat</t>
        </is>
      </c>
      <c r="B269" s="1253" t="inlineStr">
        <is>
          <t>Shop Floor</t>
        </is>
      </c>
      <c r="C269" s="1254" t="n">
        <v>100</v>
      </c>
      <c r="D269" s="1255" t="inlineStr">
        <is>
          <t>SF/Gal</t>
        </is>
      </c>
      <c r="E269" s="1256">
        <f>ROUNDUP(I266/C269,0)</f>
        <v/>
      </c>
      <c r="F269" s="2137">
        <f>E269*ShopFloor</f>
        <v/>
      </c>
      <c r="G269" s="1258" t="n"/>
      <c r="H269" s="103" t="n"/>
      <c r="I269" s="2146" t="n"/>
      <c r="J269" s="2147" t="n"/>
      <c r="K269" s="2145" t="n"/>
      <c r="O269" s="1279" t="inlineStr">
        <is>
          <t>Total Media</t>
        </is>
      </c>
      <c r="P269" s="2132">
        <f>SUM(P268)</f>
        <v/>
      </c>
      <c r="AA269" s="1252" t="inlineStr">
        <is>
          <t>Grout Coat</t>
        </is>
      </c>
      <c r="AB269" s="1253" t="inlineStr">
        <is>
          <t>Shop Floor</t>
        </is>
      </c>
      <c r="AC269" s="1254" t="n">
        <v>100</v>
      </c>
      <c r="AD269" s="1255" t="inlineStr">
        <is>
          <t>SF/Gal</t>
        </is>
      </c>
      <c r="AE269" s="1256">
        <f>ROUNDUP(AI266/AC269,0)</f>
        <v/>
      </c>
      <c r="AF269" s="2137">
        <f>AE269*ShopFloor</f>
        <v/>
      </c>
      <c r="AG269" s="1258" t="n"/>
      <c r="AH269" s="103" t="n"/>
      <c r="AI269" s="2146" t="n"/>
      <c r="AJ269" s="2147" t="n"/>
      <c r="AK269" s="2145" t="n"/>
      <c r="AO269" s="1279" t="inlineStr">
        <is>
          <t>Total Media</t>
        </is>
      </c>
      <c r="AP269" s="2132">
        <f>SUM(AP268)</f>
        <v/>
      </c>
    </row>
    <row r="270" ht="16.2" customFormat="1" customHeight="1" s="1916" thickBot="1">
      <c r="A270" s="1219" t="inlineStr">
        <is>
          <t>Top Coat</t>
        </is>
      </c>
      <c r="B270" s="1220" t="inlineStr">
        <is>
          <t>Pigmented AT Satin W/ Grit</t>
        </is>
      </c>
      <c r="C270" s="1221" t="n">
        <v>850</v>
      </c>
      <c r="D270" s="1222" t="inlineStr">
        <is>
          <t>SF/Kit</t>
        </is>
      </c>
      <c r="E270" s="1223">
        <f>ROUNDUP(I266/C270,0)</f>
        <v/>
      </c>
      <c r="F270" s="2138">
        <f>E270*AT_Pgmt_Satin_w_Grit</f>
        <v/>
      </c>
      <c r="G270" s="1225" t="n"/>
      <c r="I270" s="2148" t="n"/>
      <c r="K270" s="2147" t="n"/>
      <c r="AA270" s="1219" t="inlineStr">
        <is>
          <t>Top Coat</t>
        </is>
      </c>
      <c r="AB270" s="1220" t="inlineStr">
        <is>
          <t>Pigmented AT Satin W/ Grit</t>
        </is>
      </c>
      <c r="AC270" s="1221" t="n">
        <v>850</v>
      </c>
      <c r="AD270" s="1222" t="inlineStr">
        <is>
          <t>SF/Kit</t>
        </is>
      </c>
      <c r="AE270" s="1223">
        <f>ROUNDUP(AI266/AC270,0)</f>
        <v/>
      </c>
      <c r="AF270" s="2138">
        <f>AE270*AT_Pgmt_Satin_w_Grit</f>
        <v/>
      </c>
      <c r="AG270" s="1225" t="n"/>
      <c r="AI270" s="2148" t="n"/>
      <c r="AK270" s="2147" t="n"/>
    </row>
    <row r="271" ht="16.2" customFormat="1" customHeight="1" s="1916" thickBot="1">
      <c r="A271" s="585" t="n"/>
      <c r="B271" s="585" t="n"/>
      <c r="C271" s="585" t="n"/>
      <c r="D271" s="585" t="n"/>
      <c r="E271" s="585" t="n"/>
      <c r="F271" s="2133">
        <f>SUM(F268:F270)</f>
        <v/>
      </c>
      <c r="G271" s="1236" t="inlineStr">
        <is>
          <t>Total Liquids Above</t>
        </is>
      </c>
      <c r="I271" s="2148" t="n"/>
      <c r="AA271" s="585" t="n"/>
      <c r="AB271" s="585" t="n"/>
      <c r="AC271" s="585" t="n"/>
      <c r="AD271" s="585" t="n"/>
      <c r="AE271" s="585" t="n"/>
      <c r="AF271" s="2133">
        <f>SUM(AF268:AF270)</f>
        <v/>
      </c>
      <c r="AG271" s="1236" t="inlineStr">
        <is>
          <t>Total Liquids Above</t>
        </is>
      </c>
      <c r="AI271" s="2148" t="n"/>
    </row>
    <row r="272" customFormat="1" s="1916">
      <c r="A272" s="53" t="n"/>
      <c r="B272" s="53" t="n"/>
      <c r="C272" s="2145" t="n"/>
      <c r="D272" s="2145" t="n"/>
      <c r="E272" s="53" t="n"/>
      <c r="F272" s="53" t="n"/>
      <c r="I272" s="2148" t="n"/>
      <c r="AA272" s="53" t="n"/>
      <c r="AB272" s="53" t="n"/>
      <c r="AC272" s="2145" t="n"/>
      <c r="AD272" s="2145" t="n"/>
      <c r="AE272" s="53" t="n"/>
      <c r="AF272" s="53" t="n"/>
      <c r="AI272" s="2148" t="n"/>
    </row>
    <row r="273" customFormat="1" s="1916">
      <c r="A273" s="53" t="n"/>
      <c r="B273" s="53" t="n"/>
      <c r="C273" s="2145" t="n"/>
      <c r="D273" s="2145" t="n"/>
      <c r="E273" s="53" t="n"/>
      <c r="F273" s="53" t="n"/>
      <c r="I273" s="2148" t="n"/>
      <c r="AA273" s="53" t="n"/>
      <c r="AB273" s="53" t="n"/>
      <c r="AC273" s="2145" t="n"/>
      <c r="AD273" s="2145" t="n"/>
      <c r="AE273" s="53" t="n"/>
      <c r="AF273" s="53" t="n"/>
      <c r="AI273" s="2148" t="n"/>
    </row>
    <row r="274" ht="21.6" customFormat="1" customHeight="1" s="1916" thickBot="1">
      <c r="A274" s="1867" t="inlineStr">
        <is>
          <t>Solid Color Thin Mil</t>
        </is>
      </c>
      <c r="I274" s="2148" t="n"/>
      <c r="K274" s="1851" t="inlineStr">
        <is>
          <t>Solid Color Thin Mil</t>
        </is>
      </c>
      <c r="L274" s="585" t="n"/>
      <c r="M274" s="585" t="n"/>
      <c r="N274" s="585" t="n"/>
      <c r="O274" s="585" t="n"/>
      <c r="P274" s="585" t="n"/>
      <c r="AA274" s="1850" t="inlineStr">
        <is>
          <t>Solid Color Thin Mil</t>
        </is>
      </c>
      <c r="AI274" s="2148" t="n"/>
      <c r="AK274" s="1851" t="inlineStr">
        <is>
          <t>Solid Color Thin Mil</t>
        </is>
      </c>
      <c r="AL274" s="585" t="n"/>
      <c r="AM274" s="585" t="n"/>
      <c r="AN274" s="585" t="n"/>
      <c r="AO274" s="585" t="n"/>
      <c r="AP274" s="585" t="n"/>
    </row>
    <row r="275" ht="16.2" customFormat="1" customHeight="1" s="1916" thickBot="1">
      <c r="A275" s="2072" t="inlineStr">
        <is>
          <t>Dur-A-Gard</t>
        </is>
      </c>
      <c r="B275" s="2073" t="n"/>
      <c r="C275" s="2073" t="n"/>
      <c r="D275" s="2073" t="n"/>
      <c r="E275" s="2073" t="n"/>
      <c r="F275" s="2073" t="n"/>
      <c r="G275" s="2074" t="n"/>
      <c r="I275" s="2075">
        <f>$I$160</f>
        <v/>
      </c>
      <c r="K275" s="2124" t="inlineStr">
        <is>
          <t>Dur-A-Gard</t>
        </is>
      </c>
      <c r="L275" s="2125" t="n"/>
      <c r="M275" s="2125" t="n"/>
      <c r="N275" s="2125" t="n"/>
      <c r="O275" s="2125" t="n"/>
      <c r="P275" s="2126" t="n"/>
      <c r="AA275" s="2072" t="inlineStr">
        <is>
          <t>Dur-A-Gard</t>
        </is>
      </c>
      <c r="AB275" s="2073" t="n"/>
      <c r="AC275" s="2073" t="n"/>
      <c r="AD275" s="2073" t="n"/>
      <c r="AE275" s="2073" t="n"/>
      <c r="AF275" s="2073" t="n"/>
      <c r="AG275" s="2074" t="n"/>
      <c r="AI275" s="2075">
        <f>$AI$160</f>
        <v/>
      </c>
      <c r="AK275" s="2124" t="inlineStr">
        <is>
          <t>Dur-A-Gard</t>
        </is>
      </c>
      <c r="AL275" s="2125" t="n"/>
      <c r="AM275" s="2125" t="n"/>
      <c r="AN275" s="2125" t="n"/>
      <c r="AO275" s="2125" t="n"/>
      <c r="AP275" s="2126" t="n"/>
    </row>
    <row r="276" ht="16.2" customFormat="1" customHeight="1" s="1916" thickBot="1">
      <c r="A276" s="142" t="n"/>
      <c r="B276" s="1194" t="inlineStr">
        <is>
          <t>Product</t>
        </is>
      </c>
      <c r="C276" s="1195" t="inlineStr">
        <is>
          <t>Coverage</t>
        </is>
      </c>
      <c r="D276" s="1196" t="inlineStr">
        <is>
          <t>Unit of Measure</t>
        </is>
      </c>
      <c r="E276" s="1196" t="inlineStr">
        <is>
          <t>Quantity Calcs</t>
        </is>
      </c>
      <c r="F276" s="1196" t="inlineStr">
        <is>
          <t>$ Material Cost $</t>
        </is>
      </c>
      <c r="G276" s="1197" t="inlineStr">
        <is>
          <t>Note</t>
        </is>
      </c>
      <c r="I276" s="2148" t="n"/>
      <c r="K276" s="1274" t="inlineStr">
        <is>
          <t>Broadcast Media</t>
        </is>
      </c>
      <c r="L276" s="1276" t="inlineStr">
        <is>
          <t>Product</t>
        </is>
      </c>
      <c r="M276" s="1277" t="inlineStr">
        <is>
          <t>Coverage</t>
        </is>
      </c>
      <c r="N276" s="1275" t="inlineStr">
        <is>
          <t>Unit of Measure</t>
        </is>
      </c>
      <c r="O276" s="1275" t="inlineStr">
        <is>
          <t>Quantity Calcs</t>
        </is>
      </c>
      <c r="P276" s="1197" t="inlineStr">
        <is>
          <t>$ Material Cost $</t>
        </is>
      </c>
      <c r="AA276" s="142" t="n"/>
      <c r="AB276" s="1194" t="inlineStr">
        <is>
          <t>Product</t>
        </is>
      </c>
      <c r="AC276" s="1195" t="inlineStr">
        <is>
          <t>Coverage</t>
        </is>
      </c>
      <c r="AD276" s="1196" t="inlineStr">
        <is>
          <t>Unit of Measure</t>
        </is>
      </c>
      <c r="AE276" s="1196" t="inlineStr">
        <is>
          <t>Quantity Calcs</t>
        </is>
      </c>
      <c r="AF276" s="1196" t="inlineStr">
        <is>
          <t>$ Material Cost $</t>
        </is>
      </c>
      <c r="AG276" s="1197" t="inlineStr">
        <is>
          <t>Note</t>
        </is>
      </c>
      <c r="AI276" s="2148" t="n"/>
      <c r="AK276" s="1274" t="inlineStr">
        <is>
          <t>Broadcast Media</t>
        </is>
      </c>
      <c r="AL276" s="1276" t="inlineStr">
        <is>
          <t>Product</t>
        </is>
      </c>
      <c r="AM276" s="1277" t="inlineStr">
        <is>
          <t>Coverage</t>
        </is>
      </c>
      <c r="AN276" s="1275" t="inlineStr">
        <is>
          <t>Unit of Measure</t>
        </is>
      </c>
      <c r="AO276" s="1275" t="inlineStr">
        <is>
          <t>Quantity Calcs</t>
        </is>
      </c>
      <c r="AP276" s="1197" t="inlineStr">
        <is>
          <t>$ Material Cost $</t>
        </is>
      </c>
    </row>
    <row r="277" ht="16.2" customFormat="1" customHeight="1" s="1916" thickBot="1">
      <c r="A277" s="1226" t="inlineStr">
        <is>
          <t>Base Coat</t>
        </is>
      </c>
      <c r="B277" s="1198" t="inlineStr">
        <is>
          <t>Dur-A-Gard</t>
        </is>
      </c>
      <c r="C277" s="1199" t="n">
        <v>100</v>
      </c>
      <c r="D277" s="1200" t="inlineStr">
        <is>
          <t>SF/Gal</t>
        </is>
      </c>
      <c r="E277" s="1201">
        <f>ROUNDUP(I275/C277,0)</f>
        <v/>
      </c>
      <c r="F277" s="2140">
        <f>E277*GardReg</f>
        <v/>
      </c>
      <c r="G277" s="1260" t="inlineStr">
        <is>
          <t xml:space="preserve">  @ 16 mils</t>
        </is>
      </c>
      <c r="I277" s="2148" t="n"/>
      <c r="K277" s="1271" t="inlineStr">
        <is>
          <t>NOT used</t>
        </is>
      </c>
      <c r="L277" s="1214" t="inlineStr">
        <is>
          <t>Grip</t>
        </is>
      </c>
      <c r="M277" s="1214" t="n"/>
      <c r="N277" s="1215" t="inlineStr">
        <is>
          <t>Lb/SF</t>
        </is>
      </c>
      <c r="O277" s="2128">
        <f>CEILING(I275*M277,50)</f>
        <v/>
      </c>
      <c r="P277" s="2129">
        <f>O277*Q277</f>
        <v/>
      </c>
      <c r="Q277" s="1916" t="n">
        <v>0</v>
      </c>
      <c r="AA277" s="1226" t="inlineStr">
        <is>
          <t>Base Coat</t>
        </is>
      </c>
      <c r="AB277" s="1198" t="inlineStr">
        <is>
          <t>Dur-A-Gard</t>
        </is>
      </c>
      <c r="AC277" s="1199" t="n">
        <v>100</v>
      </c>
      <c r="AD277" s="1200" t="inlineStr">
        <is>
          <t>SF/Gal</t>
        </is>
      </c>
      <c r="AE277" s="1201">
        <f>ROUNDUP(AI275/AC277,0)</f>
        <v/>
      </c>
      <c r="AF277" s="2140">
        <f>AE277*GardReg</f>
        <v/>
      </c>
      <c r="AG277" s="1260" t="inlineStr">
        <is>
          <t xml:space="preserve">  @ 16 mils</t>
        </is>
      </c>
      <c r="AI277" s="2148" t="n"/>
      <c r="AK277" s="1271" t="inlineStr">
        <is>
          <t>NOT used</t>
        </is>
      </c>
      <c r="AL277" s="1214" t="inlineStr">
        <is>
          <t>Grip</t>
        </is>
      </c>
      <c r="AM277" s="1214" t="n"/>
      <c r="AN277" s="1215" t="inlineStr">
        <is>
          <t>Lb/SF</t>
        </is>
      </c>
      <c r="AO277" s="2128">
        <f>CEILING(AI275*AM277,50)</f>
        <v/>
      </c>
      <c r="AP277" s="2129">
        <f>AO277*AQ277</f>
        <v/>
      </c>
      <c r="AQ277" s="1916" t="n">
        <v>0</v>
      </c>
    </row>
    <row r="278" ht="16.2" customFormat="1" customHeight="1" s="1916" thickBot="1">
      <c r="A278" s="1219" t="inlineStr">
        <is>
          <t>Top Coat</t>
        </is>
      </c>
      <c r="B278" s="1220" t="inlineStr">
        <is>
          <t>Pigmented AT Satin W/ Grit</t>
        </is>
      </c>
      <c r="C278" s="1221" t="n">
        <v>850</v>
      </c>
      <c r="D278" s="1222" t="inlineStr">
        <is>
          <t>SF/Kit</t>
        </is>
      </c>
      <c r="E278" s="1223">
        <f>ROUNDUP(I275/C278,0)</f>
        <v/>
      </c>
      <c r="F278" s="2138">
        <f>E278*AT_Pgmt_Satin_w_Grit</f>
        <v/>
      </c>
      <c r="G278" s="1225" t="n"/>
      <c r="I278" s="2148" t="n"/>
      <c r="O278" s="1279" t="inlineStr">
        <is>
          <t>Total Media</t>
        </is>
      </c>
      <c r="P278" s="2132">
        <f>SUM(P277)</f>
        <v/>
      </c>
      <c r="Q278" s="1370" t="inlineStr">
        <is>
          <t>NOT used</t>
        </is>
      </c>
      <c r="AA278" s="1219" t="inlineStr">
        <is>
          <t>Top Coat</t>
        </is>
      </c>
      <c r="AB278" s="1220" t="inlineStr">
        <is>
          <t>Pigmented AT Satin W/ Grit</t>
        </is>
      </c>
      <c r="AC278" s="1221" t="n">
        <v>850</v>
      </c>
      <c r="AD278" s="1222" t="inlineStr">
        <is>
          <t>SF/Kit</t>
        </is>
      </c>
      <c r="AE278" s="1223">
        <f>ROUNDUP(AI275/AC278,0)</f>
        <v/>
      </c>
      <c r="AF278" s="2138">
        <f>AE278*AT_Pgmt_Satin_w_Grit</f>
        <v/>
      </c>
      <c r="AG278" s="1225" t="n"/>
      <c r="AI278" s="2148" t="n"/>
      <c r="AO278" s="1279" t="inlineStr">
        <is>
          <t>Total Media</t>
        </is>
      </c>
      <c r="AP278" s="2132">
        <f>SUM(AP277)</f>
        <v/>
      </c>
      <c r="AQ278" s="1370" t="inlineStr">
        <is>
          <t>NOT used</t>
        </is>
      </c>
    </row>
    <row r="279" ht="16.2" customFormat="1" customHeight="1" s="1916" thickBot="1">
      <c r="A279" s="585" t="n"/>
      <c r="B279" s="585" t="n"/>
      <c r="C279" s="585" t="n"/>
      <c r="D279" s="585" t="n"/>
      <c r="E279" s="585" t="n"/>
      <c r="F279" s="2133">
        <f>SUM(F277:F278)</f>
        <v/>
      </c>
      <c r="G279" s="1236" t="inlineStr">
        <is>
          <t>Total Liquids Above</t>
        </is>
      </c>
      <c r="I279" s="2148" t="n"/>
      <c r="O279" s="1281" t="inlineStr">
        <is>
          <t>"ceiling" @ 10 lbs? 50 lbs?</t>
        </is>
      </c>
      <c r="AA279" s="585" t="n"/>
      <c r="AB279" s="585" t="n"/>
      <c r="AC279" s="585" t="n"/>
      <c r="AD279" s="585" t="n"/>
      <c r="AE279" s="585" t="n"/>
      <c r="AF279" s="2133">
        <f>SUM(AF277:AF278)</f>
        <v/>
      </c>
      <c r="AG279" s="1236" t="inlineStr">
        <is>
          <t>Total Liquids Above</t>
        </is>
      </c>
      <c r="AI279" s="2148" t="n"/>
      <c r="AO279" s="1281" t="inlineStr">
        <is>
          <t>"ceiling" @ 10 lbs? 50 lbs?</t>
        </is>
      </c>
    </row>
    <row r="280" customFormat="1" s="1916">
      <c r="A280" s="53" t="n"/>
      <c r="B280" s="112" t="n"/>
      <c r="C280" s="2145" t="n"/>
      <c r="D280" s="2145" t="n"/>
      <c r="E280" s="53" t="n"/>
      <c r="F280" s="53" t="n"/>
      <c r="I280" s="2148" t="n"/>
      <c r="AA280" s="53" t="n"/>
      <c r="AB280" s="112" t="n"/>
      <c r="AC280" s="2145" t="n"/>
      <c r="AD280" s="2145" t="n"/>
      <c r="AE280" s="53" t="n"/>
      <c r="AF280" s="53" t="n"/>
      <c r="AI280" s="2148" t="n"/>
    </row>
    <row r="281" customFormat="1" s="1916">
      <c r="A281" s="53" t="n"/>
      <c r="B281" s="113" t="n"/>
      <c r="C281" s="2145" t="n"/>
      <c r="D281" s="2149" t="n"/>
      <c r="E281" s="53" t="n"/>
      <c r="F281" s="53" t="n"/>
      <c r="I281" s="2148" t="n"/>
      <c r="AA281" s="53" t="n"/>
      <c r="AB281" s="113" t="n"/>
      <c r="AC281" s="2145" t="n"/>
      <c r="AD281" s="2149" t="n"/>
      <c r="AE281" s="53" t="n"/>
      <c r="AF281" s="53" t="n"/>
      <c r="AI281" s="2148" t="n"/>
    </row>
    <row r="282" ht="21.6" customFormat="1" customHeight="1" s="1916" thickBot="1">
      <c r="A282" s="1869" t="inlineStr">
        <is>
          <t>Novolac - Solid Color Thin Mil</t>
        </is>
      </c>
      <c r="I282" s="2148" t="n"/>
      <c r="K282" s="1855" t="inlineStr">
        <is>
          <t>Novolac - Solid Color Thin Mil</t>
        </is>
      </c>
      <c r="L282" s="585" t="n"/>
      <c r="M282" s="585" t="n"/>
      <c r="N282" s="585" t="n"/>
      <c r="O282" s="585" t="n"/>
      <c r="P282" s="585" t="n"/>
      <c r="AA282" s="1854" t="inlineStr">
        <is>
          <t>Novolac - Solid Color Thin Mil</t>
        </is>
      </c>
      <c r="AI282" s="2148" t="n"/>
      <c r="AK282" s="1855" t="inlineStr">
        <is>
          <t>Novolac - Solid Color Thin Mil</t>
        </is>
      </c>
      <c r="AL282" s="585" t="n"/>
      <c r="AM282" s="585" t="n"/>
      <c r="AN282" s="585" t="n"/>
      <c r="AO282" s="585" t="n"/>
      <c r="AP282" s="585" t="n"/>
    </row>
    <row r="283" ht="16.2" customFormat="1" customHeight="1" s="1916" thickBot="1">
      <c r="A283" s="2072" t="inlineStr">
        <is>
          <t>Dur-A-Gard Novolac</t>
        </is>
      </c>
      <c r="B283" s="2073" t="n"/>
      <c r="C283" s="2073" t="n"/>
      <c r="D283" s="2073" t="n"/>
      <c r="E283" s="2073" t="n"/>
      <c r="F283" s="2073" t="n"/>
      <c r="G283" s="2074" t="n"/>
      <c r="I283" s="2075">
        <f>$I$160</f>
        <v/>
      </c>
      <c r="K283" s="2124" t="inlineStr">
        <is>
          <t>Dur-A-Gard Novolac</t>
        </is>
      </c>
      <c r="L283" s="2125" t="n"/>
      <c r="M283" s="2125" t="n"/>
      <c r="N283" s="2125" t="n"/>
      <c r="O283" s="2125" t="n"/>
      <c r="P283" s="2126" t="n"/>
      <c r="AA283" s="2072" t="inlineStr">
        <is>
          <t>Dur-A-Gard Novolac</t>
        </is>
      </c>
      <c r="AB283" s="2073" t="n"/>
      <c r="AC283" s="2073" t="n"/>
      <c r="AD283" s="2073" t="n"/>
      <c r="AE283" s="2073" t="n"/>
      <c r="AF283" s="2073" t="n"/>
      <c r="AG283" s="2074" t="n"/>
      <c r="AI283" s="2075">
        <f>$AI$160</f>
        <v/>
      </c>
      <c r="AK283" s="2124" t="inlineStr">
        <is>
          <t>Dur-A-Gard Novolac</t>
        </is>
      </c>
      <c r="AL283" s="2125" t="n"/>
      <c r="AM283" s="2125" t="n"/>
      <c r="AN283" s="2125" t="n"/>
      <c r="AO283" s="2125" t="n"/>
      <c r="AP283" s="2126" t="n"/>
    </row>
    <row r="284" ht="16.2" customFormat="1" customHeight="1" s="1916" thickBot="1">
      <c r="A284" s="142" t="n"/>
      <c r="B284" s="1194" t="inlineStr">
        <is>
          <t>Product</t>
        </is>
      </c>
      <c r="C284" s="1195" t="inlineStr">
        <is>
          <t>Coverage</t>
        </is>
      </c>
      <c r="D284" s="1196" t="inlineStr">
        <is>
          <t>Unit of Measure</t>
        </is>
      </c>
      <c r="E284" s="1196" t="inlineStr">
        <is>
          <t>Quantity Calcs</t>
        </is>
      </c>
      <c r="F284" s="1196" t="inlineStr">
        <is>
          <t>$ Material Cost $</t>
        </is>
      </c>
      <c r="G284" s="1197" t="inlineStr">
        <is>
          <t>Note</t>
        </is>
      </c>
      <c r="I284" s="2148" t="n"/>
      <c r="K284" s="1274" t="inlineStr">
        <is>
          <t>Broadcast Media</t>
        </is>
      </c>
      <c r="L284" s="1276" t="inlineStr">
        <is>
          <t>Product</t>
        </is>
      </c>
      <c r="M284" s="1277" t="inlineStr">
        <is>
          <t>Coverage</t>
        </is>
      </c>
      <c r="N284" s="1275" t="inlineStr">
        <is>
          <t>Unit of Measure</t>
        </is>
      </c>
      <c r="O284" s="1275" t="inlineStr">
        <is>
          <t>Quantity Calcs</t>
        </is>
      </c>
      <c r="P284" s="1197" t="inlineStr">
        <is>
          <t>$ Material Cost $</t>
        </is>
      </c>
      <c r="AA284" s="142" t="n"/>
      <c r="AB284" s="1194" t="inlineStr">
        <is>
          <t>Product</t>
        </is>
      </c>
      <c r="AC284" s="1195" t="inlineStr">
        <is>
          <t>Coverage</t>
        </is>
      </c>
      <c r="AD284" s="1196" t="inlineStr">
        <is>
          <t>Unit of Measure</t>
        </is>
      </c>
      <c r="AE284" s="1196" t="inlineStr">
        <is>
          <t>Quantity Calcs</t>
        </is>
      </c>
      <c r="AF284" s="1196" t="inlineStr">
        <is>
          <t>$ Material Cost $</t>
        </is>
      </c>
      <c r="AG284" s="1197" t="inlineStr">
        <is>
          <t>Note</t>
        </is>
      </c>
      <c r="AI284" s="2148" t="n"/>
      <c r="AK284" s="1274" t="inlineStr">
        <is>
          <t>Broadcast Media</t>
        </is>
      </c>
      <c r="AL284" s="1276" t="inlineStr">
        <is>
          <t>Product</t>
        </is>
      </c>
      <c r="AM284" s="1277" t="inlineStr">
        <is>
          <t>Coverage</t>
        </is>
      </c>
      <c r="AN284" s="1275" t="inlineStr">
        <is>
          <t>Unit of Measure</t>
        </is>
      </c>
      <c r="AO284" s="1275" t="inlineStr">
        <is>
          <t>Quantity Calcs</t>
        </is>
      </c>
      <c r="AP284" s="1197" t="inlineStr">
        <is>
          <t>$ Material Cost $</t>
        </is>
      </c>
    </row>
    <row r="285" ht="16.2" customFormat="1" customHeight="1" s="1916" thickBot="1">
      <c r="A285" s="1261" t="inlineStr">
        <is>
          <t>Body/Topcoat</t>
        </is>
      </c>
      <c r="B285" s="1262" t="inlineStr">
        <is>
          <t>Novolac (Dur-A-Gard)</t>
        </is>
      </c>
      <c r="C285" s="1247" t="n">
        <v>100</v>
      </c>
      <c r="D285" s="1248" t="inlineStr">
        <is>
          <t>SF/Gal</t>
        </is>
      </c>
      <c r="E285" s="1249">
        <f>ROUNDUP(I283/C285,0)</f>
        <v/>
      </c>
      <c r="F285" s="2142">
        <f>E285*NovolacGard</f>
        <v/>
      </c>
      <c r="G285" s="1251" t="inlineStr">
        <is>
          <t xml:space="preserve">  = 16 mils over primer</t>
        </is>
      </c>
      <c r="I285" s="2148" t="n"/>
      <c r="K285" s="1271" t="inlineStr">
        <is>
          <t>NOT used</t>
        </is>
      </c>
      <c r="L285" s="1214" t="inlineStr">
        <is>
          <t>Grip</t>
        </is>
      </c>
      <c r="M285" s="1214" t="n"/>
      <c r="N285" s="1215" t="inlineStr">
        <is>
          <t>Lb/SF</t>
        </is>
      </c>
      <c r="O285" s="2128">
        <f>CEILING(I283*M285,50)</f>
        <v/>
      </c>
      <c r="P285" s="2129">
        <f>O285*Q285</f>
        <v/>
      </c>
      <c r="Q285" s="1916" t="n">
        <v>0</v>
      </c>
      <c r="AA285" s="1261" t="inlineStr">
        <is>
          <t>Body/Topcoat</t>
        </is>
      </c>
      <c r="AB285" s="1262" t="inlineStr">
        <is>
          <t>Novolac (Dur-A-Gard)</t>
        </is>
      </c>
      <c r="AC285" s="1247" t="n">
        <v>100</v>
      </c>
      <c r="AD285" s="1248" t="inlineStr">
        <is>
          <t>SF/Gal</t>
        </is>
      </c>
      <c r="AE285" s="1249">
        <f>ROUNDUP(AI283/AC285,0)</f>
        <v/>
      </c>
      <c r="AF285" s="2142">
        <f>AE285*NovolacGard</f>
        <v/>
      </c>
      <c r="AG285" s="1251" t="inlineStr">
        <is>
          <t xml:space="preserve">  = 16 mils over primer</t>
        </is>
      </c>
      <c r="AI285" s="2148" t="n"/>
      <c r="AK285" s="1271" t="inlineStr">
        <is>
          <t>NOT used</t>
        </is>
      </c>
      <c r="AL285" s="1214" t="inlineStr">
        <is>
          <t>Grip</t>
        </is>
      </c>
      <c r="AM285" s="1214" t="n"/>
      <c r="AN285" s="1215" t="inlineStr">
        <is>
          <t>Lb/SF</t>
        </is>
      </c>
      <c r="AO285" s="2128">
        <f>CEILING(AI283*AM285,50)</f>
        <v/>
      </c>
      <c r="AP285" s="2129">
        <f>AO285*AQ285</f>
        <v/>
      </c>
      <c r="AQ285" s="1916" t="n">
        <v>0</v>
      </c>
    </row>
    <row r="286" ht="16.2" customFormat="1" customHeight="1" s="1916" thickBot="1">
      <c r="F286" s="2133">
        <f>SUM(F285)</f>
        <v/>
      </c>
      <c r="G286" s="1236" t="inlineStr">
        <is>
          <t>Total Liquids Above</t>
        </is>
      </c>
      <c r="I286" s="2148" t="n"/>
      <c r="L286" s="53" t="n"/>
      <c r="M286" s="53" t="n"/>
      <c r="N286" s="53" t="n"/>
      <c r="O286" s="1279" t="inlineStr">
        <is>
          <t>Total Media</t>
        </is>
      </c>
      <c r="P286" s="2132">
        <f>SUM(P285)</f>
        <v/>
      </c>
      <c r="Q286" s="1370" t="inlineStr">
        <is>
          <t>NOT used</t>
        </is>
      </c>
      <c r="AF286" s="2133">
        <f>SUM(AF285)</f>
        <v/>
      </c>
      <c r="AG286" s="1236" t="inlineStr">
        <is>
          <t>Total Liquids Above</t>
        </is>
      </c>
      <c r="AI286" s="2148" t="n"/>
      <c r="AL286" s="53" t="n"/>
      <c r="AM286" s="53" t="n"/>
      <c r="AN286" s="53" t="n"/>
      <c r="AO286" s="1279" t="inlineStr">
        <is>
          <t>Total Media</t>
        </is>
      </c>
      <c r="AP286" s="2132">
        <f>SUM(AP285)</f>
        <v/>
      </c>
      <c r="AQ286" s="1370" t="inlineStr">
        <is>
          <t>NOT used</t>
        </is>
      </c>
    </row>
    <row r="287" customFormat="1" s="1916">
      <c r="I287" s="2148" t="n"/>
      <c r="L287" s="53" t="n"/>
      <c r="M287" s="53" t="n"/>
      <c r="N287" s="53" t="n"/>
      <c r="O287" s="1281" t="inlineStr">
        <is>
          <t>"ceiling" @ 10 lbs? 50 lbs?</t>
        </is>
      </c>
      <c r="AI287" s="2148" t="n"/>
      <c r="AL287" s="53" t="n"/>
      <c r="AM287" s="53" t="n"/>
      <c r="AN287" s="53" t="n"/>
      <c r="AO287" s="1281" t="inlineStr">
        <is>
          <t>"ceiling" @ 10 lbs? 50 lbs?</t>
        </is>
      </c>
    </row>
    <row r="288" customFormat="1" s="1916">
      <c r="A288" s="1294" t="n"/>
      <c r="B288" s="1294" t="n"/>
      <c r="C288" s="1294" t="n"/>
      <c r="D288" s="1294" t="n"/>
      <c r="E288" s="1295" t="n"/>
      <c r="F288" s="1295" t="n"/>
      <c r="G288" s="1295" t="n"/>
      <c r="H288" s="1295" t="n"/>
      <c r="I288" s="2150" t="n"/>
      <c r="J288" s="1295" t="n"/>
      <c r="K288" s="1295" t="n"/>
      <c r="L288" s="1294" t="n"/>
      <c r="M288" s="1294" t="n"/>
      <c r="N288" s="1294" t="n"/>
      <c r="O288" s="1294" t="n"/>
      <c r="P288" s="1294" t="n"/>
      <c r="Q288" s="1295" t="n"/>
      <c r="R288" s="1295" t="n"/>
      <c r="S288" s="1295" t="n"/>
      <c r="T288" s="1295" t="n"/>
      <c r="U288" s="1295" t="n"/>
      <c r="V288" s="1295" t="n"/>
      <c r="W288" s="1295" t="n"/>
      <c r="X288" s="1295" t="n"/>
      <c r="Y288" s="1299" t="n"/>
      <c r="Z288" s="1299" t="n"/>
      <c r="AA288" s="1294" t="n"/>
      <c r="AB288" s="1294" t="n"/>
      <c r="AC288" s="1294" t="n"/>
      <c r="AD288" s="1294" t="n"/>
      <c r="AE288" s="1295" t="n"/>
      <c r="AF288" s="1295" t="n"/>
      <c r="AG288" s="1295" t="n"/>
      <c r="AH288" s="1295" t="n"/>
      <c r="AI288" s="2151" t="inlineStr">
        <is>
          <t>Wall Systems</t>
        </is>
      </c>
      <c r="AJ288" s="1295" t="n"/>
      <c r="AK288" s="1295" t="n"/>
      <c r="AL288" s="1294" t="n"/>
      <c r="AM288" s="1294" t="n"/>
      <c r="AN288" s="1294" t="n"/>
      <c r="AO288" s="1294" t="n"/>
      <c r="AP288" s="1294" t="n"/>
      <c r="AQ288" s="1295" t="n"/>
      <c r="AR288" s="1295" t="n"/>
    </row>
    <row r="289" customFormat="1" s="1916">
      <c r="A289" s="1294" t="n"/>
      <c r="B289" s="1294" t="n"/>
      <c r="C289" s="1294" t="n"/>
      <c r="D289" s="1294" t="n"/>
      <c r="E289" s="1295" t="n"/>
      <c r="F289" s="1295" t="n"/>
      <c r="G289" s="1295" t="n"/>
      <c r="H289" s="1295" t="n"/>
      <c r="I289" s="2150" t="n"/>
      <c r="J289" s="1295" t="n"/>
      <c r="K289" s="1295" t="n"/>
      <c r="L289" s="1294" t="n"/>
      <c r="M289" s="1294" t="n"/>
      <c r="N289" s="1294" t="n"/>
      <c r="O289" s="1294" t="n"/>
      <c r="P289" s="1294" t="n"/>
      <c r="Q289" s="1295" t="n"/>
      <c r="R289" s="1295" t="n"/>
      <c r="S289" s="1295" t="n"/>
      <c r="T289" s="1295" t="n"/>
      <c r="U289" s="1295" t="n"/>
      <c r="V289" s="1295" t="n"/>
      <c r="W289" s="1295" t="n"/>
      <c r="X289" s="1295" t="n"/>
      <c r="Y289" s="1299" t="n"/>
      <c r="Z289" s="1299" t="n"/>
      <c r="AA289" s="1294" t="n"/>
      <c r="AB289" s="1294" t="n"/>
      <c r="AC289" s="1294" t="n"/>
      <c r="AD289" s="1294" t="n"/>
      <c r="AE289" s="1295" t="n"/>
      <c r="AF289" s="1295" t="n"/>
      <c r="AG289" s="1295" t="n"/>
      <c r="AH289" s="1295" t="n"/>
      <c r="AI289" s="2151" t="inlineStr">
        <is>
          <t>BELOW</t>
        </is>
      </c>
      <c r="AJ289" s="1295" t="n"/>
      <c r="AK289" s="1295" t="n"/>
      <c r="AL289" s="1294" t="n"/>
      <c r="AM289" s="1294" t="n"/>
      <c r="AN289" s="1294" t="n"/>
      <c r="AO289" s="1294" t="n"/>
      <c r="AP289" s="1294" t="n"/>
      <c r="AQ289" s="1295" t="n"/>
      <c r="AR289" s="1295" t="n"/>
    </row>
    <row r="290" customFormat="1" s="1916">
      <c r="A290" s="53" t="n"/>
      <c r="B290" s="53" t="n"/>
      <c r="C290" s="53" t="n"/>
      <c r="D290" s="53" t="n"/>
      <c r="I290" s="2148" t="n"/>
      <c r="L290" s="53" t="n"/>
      <c r="M290" s="53" t="n"/>
      <c r="N290" s="53" t="n"/>
      <c r="O290" s="53" t="n"/>
      <c r="P290" s="53" t="n"/>
      <c r="AA290" s="53" t="n"/>
      <c r="AB290" s="53" t="n"/>
      <c r="AC290" s="53" t="n"/>
      <c r="AD290" s="53" t="n"/>
      <c r="AI290" s="2148" t="n"/>
      <c r="AL290" s="53" t="n"/>
      <c r="AM290" s="53" t="n"/>
      <c r="AN290" s="53" t="n"/>
      <c r="AO290" s="53" t="n"/>
      <c r="AP290" s="53" t="n"/>
    </row>
    <row r="291" ht="26.4" customFormat="1" customHeight="1" s="1916" thickBot="1">
      <c r="A291" s="1868" t="inlineStr">
        <is>
          <t>Wall Systems -----&gt; See System 2 -------&gt;</t>
        </is>
      </c>
      <c r="H291" s="1298" t="n"/>
      <c r="I291" s="2152" t="n"/>
      <c r="J291" s="1299" t="n"/>
      <c r="K291" s="1857" t="inlineStr">
        <is>
          <t>Wall Systems -----&gt; See System 2 -------&gt;</t>
        </is>
      </c>
      <c r="L291" s="585" t="n"/>
      <c r="M291" s="585" t="n"/>
      <c r="N291" s="585" t="n"/>
      <c r="O291" s="585" t="n"/>
      <c r="P291" s="585" t="n"/>
      <c r="AA291" s="1856" t="inlineStr">
        <is>
          <t>Wall Systems</t>
        </is>
      </c>
      <c r="AI291" s="2148" t="n"/>
      <c r="AK291" s="1857" t="inlineStr">
        <is>
          <t>Wall Systems</t>
        </is>
      </c>
      <c r="AL291" s="585" t="n"/>
      <c r="AM291" s="585" t="n"/>
      <c r="AN291" s="585" t="n"/>
      <c r="AO291" s="585" t="n"/>
      <c r="AP291" s="585" t="n"/>
    </row>
    <row r="292" ht="16.2" customFormat="1" customHeight="1" s="1916" thickBot="1">
      <c r="R292" s="53" t="n"/>
      <c r="AA292" s="2072" t="inlineStr">
        <is>
          <t>Walls: Troweled Quartz</t>
        </is>
      </c>
      <c r="AB292" s="2073" t="n"/>
      <c r="AC292" s="2073" t="n"/>
      <c r="AD292" s="2073" t="n"/>
      <c r="AE292" s="2073" t="n"/>
      <c r="AF292" s="2073" t="n"/>
      <c r="AG292" s="2074" t="n"/>
      <c r="AH292" s="585" t="n"/>
      <c r="AI292" s="2076">
        <f>$AI$160</f>
        <v/>
      </c>
      <c r="AJ292" s="594" t="n"/>
      <c r="AK292" s="2124" t="inlineStr">
        <is>
          <t>Walls: Troweled Quartz</t>
        </is>
      </c>
      <c r="AL292" s="2125" t="n"/>
      <c r="AM292" s="2125" t="n"/>
      <c r="AN292" s="2125" t="n"/>
      <c r="AO292" s="2125" t="n"/>
      <c r="AP292" s="2126" t="n"/>
      <c r="AQ292" s="53" t="n"/>
      <c r="AR292" s="53" t="n"/>
    </row>
    <row r="293" ht="16.2" customFormat="1" customHeight="1" s="1916" thickBot="1">
      <c r="R293" s="53" t="n"/>
      <c r="AA293" s="142" t="n"/>
      <c r="AB293" s="1194" t="inlineStr">
        <is>
          <t>Product</t>
        </is>
      </c>
      <c r="AC293" s="1195" t="inlineStr">
        <is>
          <t>Coverage</t>
        </is>
      </c>
      <c r="AD293" s="1196" t="inlineStr">
        <is>
          <t>Unit of Measure</t>
        </is>
      </c>
      <c r="AE293" s="1196" t="inlineStr">
        <is>
          <t>Quantity Calcs</t>
        </is>
      </c>
      <c r="AF293" s="1196" t="inlineStr">
        <is>
          <t>$ Material Cost $</t>
        </is>
      </c>
      <c r="AG293" s="1197" t="inlineStr">
        <is>
          <t>Note</t>
        </is>
      </c>
      <c r="AH293" s="594" t="n"/>
      <c r="AI293" s="2143" t="n"/>
      <c r="AK293" s="1274" t="inlineStr">
        <is>
          <t>Broadcast Media</t>
        </is>
      </c>
      <c r="AL293" s="1276" t="inlineStr">
        <is>
          <t>Product</t>
        </is>
      </c>
      <c r="AM293" s="1277" t="inlineStr">
        <is>
          <t>Coverage</t>
        </is>
      </c>
      <c r="AN293" s="1275" t="inlineStr">
        <is>
          <t>Unit of Measure</t>
        </is>
      </c>
      <c r="AO293" s="1275" t="inlineStr">
        <is>
          <t>Quantity Calcs</t>
        </is>
      </c>
      <c r="AP293" s="1197" t="inlineStr">
        <is>
          <t>$ Material Cost $</t>
        </is>
      </c>
      <c r="AQ293" s="53" t="n"/>
      <c r="AR293" s="53" t="n"/>
    </row>
    <row r="294" ht="16.2" customFormat="1" customHeight="1" s="1916" thickBot="1">
      <c r="R294" s="53" t="n"/>
      <c r="AA294" s="1226" t="inlineStr">
        <is>
          <t>Trowel (Liquids)</t>
        </is>
      </c>
      <c r="AB294" s="1198" t="inlineStr">
        <is>
          <t>Glaze #4</t>
        </is>
      </c>
      <c r="AC294" s="1199">
        <f>36*2</f>
        <v/>
      </c>
      <c r="AD294" s="1200" t="inlineStr">
        <is>
          <t>SF/Gal</t>
        </is>
      </c>
      <c r="AE294" s="1201">
        <f>ROUNDUP(AI292/AC294,0)</f>
        <v/>
      </c>
      <c r="AF294" s="2140">
        <f>AE294*Glaze4</f>
        <v/>
      </c>
      <c r="AG294" s="1260" t="inlineStr">
        <is>
          <t>** 1/2'd for walls</t>
        </is>
      </c>
      <c r="AH294" s="1072" t="inlineStr">
        <is>
          <t>Body Coat</t>
        </is>
      </c>
      <c r="AI294" s="2143" t="n"/>
      <c r="AK294" s="1271" t="inlineStr">
        <is>
          <t>25-A (Q11)</t>
        </is>
      </c>
      <c r="AL294" s="1214" t="inlineStr">
        <is>
          <t>Quartz    (@ 50#s)</t>
        </is>
      </c>
      <c r="AM294" s="1214">
        <f>1.333*0.5</f>
        <v/>
      </c>
      <c r="AN294" s="1215" t="inlineStr">
        <is>
          <t>Lb/SF</t>
        </is>
      </c>
      <c r="AO294" s="2128">
        <f>CEILING(AI292*AM294,50)</f>
        <v/>
      </c>
      <c r="AP294" s="2129">
        <f>IF((AO294+AO295)&lt;450,(AO294*$X$149),(AO294*Q11_25a))</f>
        <v/>
      </c>
      <c r="AQ294" s="103" t="inlineStr">
        <is>
          <t>1/2'd for walls</t>
        </is>
      </c>
      <c r="AR294" s="53" t="inlineStr">
        <is>
          <t>check</t>
        </is>
      </c>
    </row>
    <row r="295" ht="16.2" customFormat="1" customHeight="1" s="1916" thickBot="1">
      <c r="R295" s="53" t="n"/>
      <c r="S295" s="53" t="n"/>
      <c r="AA295" s="1252" t="inlineStr">
        <is>
          <t>Grout Coat</t>
        </is>
      </c>
      <c r="AB295" s="1253" t="inlineStr">
        <is>
          <t>Glaze #4 /or/ Cove Rez</t>
        </is>
      </c>
      <c r="AC295" s="1254" t="n">
        <v>200</v>
      </c>
      <c r="AD295" s="1255" t="inlineStr">
        <is>
          <t>SF/Gal</t>
        </is>
      </c>
      <c r="AE295" s="1256">
        <f>ROUNDUP(AI292/AC295,0)</f>
        <v/>
      </c>
      <c r="AF295" s="2137">
        <f>AE295*CoveRez</f>
        <v/>
      </c>
      <c r="AG295" s="1258" t="n"/>
      <c r="AH295" s="594" t="n"/>
      <c r="AI295" s="2143" t="n"/>
      <c r="AK295" s="1271" t="inlineStr">
        <is>
          <t>25-A (Q11)</t>
        </is>
      </c>
      <c r="AL295" s="1214" t="inlineStr">
        <is>
          <t>Quartz    (@ 50#s)</t>
        </is>
      </c>
      <c r="AM295" s="1214">
        <f>0.66*0.5</f>
        <v/>
      </c>
      <c r="AN295" s="1215" t="inlineStr">
        <is>
          <t>Lb/SF</t>
        </is>
      </c>
      <c r="AO295" s="2128">
        <f>CEILING(AI292*AM295,50)</f>
        <v/>
      </c>
      <c r="AP295" s="2129">
        <f>IF((AO294+AO295)&lt;450,(AO295*$X$149),(AO295*Q11_25a))</f>
        <v/>
      </c>
      <c r="AQ295" s="103" t="inlineStr">
        <is>
          <t>1/2'd for walls</t>
        </is>
      </c>
      <c r="AR295" s="53" t="inlineStr">
        <is>
          <t>check</t>
        </is>
      </c>
    </row>
    <row r="296" ht="16.2" customFormat="1" customHeight="1" s="1916" thickBot="1">
      <c r="R296" s="2145" t="n"/>
      <c r="S296" s="53" t="n"/>
      <c r="AA296" s="1219" t="inlineStr">
        <is>
          <t>Top Coat</t>
        </is>
      </c>
      <c r="AB296" s="1220" t="inlineStr">
        <is>
          <t>Armor Top Satin W/ Grit</t>
        </is>
      </c>
      <c r="AC296" s="1221" t="n">
        <v>775</v>
      </c>
      <c r="AD296" s="1222" t="inlineStr">
        <is>
          <t>SF/Kit</t>
        </is>
      </c>
      <c r="AE296" s="1223">
        <f>ROUNDUP(AI292/AC296,0)</f>
        <v/>
      </c>
      <c r="AF296" s="2138">
        <f>AE296*$T$158</f>
        <v/>
      </c>
      <c r="AG296" s="1225" t="n"/>
      <c r="AH296" s="594" t="n"/>
      <c r="AI296" s="2143" t="n"/>
      <c r="AM296" s="1281" t="inlineStr">
        <is>
          <t xml:space="preserve">         ^ 1/2'd for walls</t>
        </is>
      </c>
      <c r="AO296" s="1279" t="inlineStr">
        <is>
          <t>Total Media</t>
        </is>
      </c>
      <c r="AP296" s="2132">
        <f>SUM(AP294:AP295)</f>
        <v/>
      </c>
      <c r="AQ296" s="2145" t="n"/>
      <c r="AR296" s="2145" t="n"/>
    </row>
    <row r="297" ht="16.2" customFormat="1" customHeight="1" s="1916" thickBot="1">
      <c r="R297" s="2145" t="n"/>
      <c r="S297" s="53" t="n"/>
      <c r="AA297" s="585" t="n"/>
      <c r="AB297" s="585" t="n"/>
      <c r="AC297" s="585" t="n"/>
      <c r="AD297" s="585" t="n"/>
      <c r="AE297" s="585" t="n"/>
      <c r="AF297" s="2133">
        <f>SUM(AF294:AF296)</f>
        <v/>
      </c>
      <c r="AG297" s="1236" t="inlineStr">
        <is>
          <t>Total Liquids Above</t>
        </is>
      </c>
      <c r="AH297" s="1243" t="n"/>
      <c r="AI297" s="2143" t="n"/>
      <c r="AJ297" s="53" t="n"/>
      <c r="AQ297" s="2145" t="n"/>
      <c r="AR297" s="2145" t="n"/>
    </row>
    <row r="298" customFormat="1" s="1916">
      <c r="R298" s="2145" t="n"/>
      <c r="S298" s="53" t="n"/>
      <c r="AH298" s="594" t="n"/>
      <c r="AI298" s="2143" t="n"/>
      <c r="AJ298" s="106" t="n"/>
      <c r="AK298" s="53" t="n"/>
      <c r="AL298" s="53" t="n"/>
      <c r="AQ298" s="2145" t="n"/>
      <c r="AR298" s="2145" t="n"/>
    </row>
    <row r="299" customFormat="1" s="1916">
      <c r="R299" s="2145" t="n"/>
      <c r="S299" s="53" t="n"/>
      <c r="AH299" s="108" t="n"/>
      <c r="AI299" s="2144" t="n"/>
      <c r="AJ299" s="106" t="n"/>
      <c r="AK299" s="106" t="n"/>
      <c r="AL299" s="106" t="n"/>
      <c r="AQ299" s="2145" t="n"/>
      <c r="AR299" s="2145" t="n"/>
    </row>
    <row r="300" customFormat="1" s="1916">
      <c r="R300" s="53" t="n"/>
      <c r="S300" s="53" t="n"/>
      <c r="AA300" s="53" t="n"/>
      <c r="AB300" s="53" t="n"/>
      <c r="AC300" s="2145" t="n"/>
      <c r="AD300" s="2145" t="n"/>
      <c r="AE300" s="53" t="n"/>
      <c r="AF300" s="53" t="n"/>
      <c r="AI300" s="2148" t="n"/>
      <c r="AL300" s="53" t="n"/>
      <c r="AM300" s="53" t="n"/>
      <c r="AN300" s="2149" t="n"/>
      <c r="AO300" s="53" t="n"/>
      <c r="AP300" s="53" t="n"/>
      <c r="AQ300" s="53" t="n"/>
      <c r="AR300" s="53" t="n"/>
    </row>
    <row r="301" ht="16.2" customFormat="1" customHeight="1" s="1916" thickBot="1">
      <c r="R301" s="53" t="n"/>
      <c r="S301" s="53" t="n"/>
      <c r="AA301" s="53" t="n"/>
      <c r="AB301" s="53" t="n"/>
      <c r="AC301" s="2145" t="n"/>
      <c r="AD301" s="2145" t="n"/>
      <c r="AE301" s="53" t="n"/>
      <c r="AF301" s="53" t="n"/>
      <c r="AI301" s="2148" t="n"/>
      <c r="AL301" s="53" t="n"/>
      <c r="AM301" s="53" t="n"/>
      <c r="AN301" s="2149" t="n"/>
      <c r="AO301" s="53" t="n"/>
      <c r="AP301" s="53" t="n"/>
      <c r="AQ301" s="53" t="n"/>
      <c r="AR301" s="53" t="n"/>
    </row>
    <row r="302" ht="16.2" customFormat="1" customHeight="1" s="1916" thickBot="1">
      <c r="R302" s="53" t="n"/>
      <c r="S302" s="53" t="n"/>
      <c r="AA302" s="2072" t="inlineStr">
        <is>
          <t>Walls: MACRO Flake Double Broadcast</t>
        </is>
      </c>
      <c r="AB302" s="2073" t="n"/>
      <c r="AC302" s="2073" t="n"/>
      <c r="AD302" s="2073" t="n"/>
      <c r="AE302" s="2073" t="n"/>
      <c r="AF302" s="2073" t="n"/>
      <c r="AG302" s="2074" t="n"/>
      <c r="AH302" s="585" t="n"/>
      <c r="AI302" s="2076">
        <f>$AI$160</f>
        <v/>
      </c>
      <c r="AJ302" s="585" t="n"/>
      <c r="AK302" s="2124" t="inlineStr">
        <is>
          <t>Walls: MACRO Flake Double Broadcast</t>
        </is>
      </c>
      <c r="AL302" s="2125" t="n"/>
      <c r="AM302" s="2125" t="n"/>
      <c r="AN302" s="2125" t="n"/>
      <c r="AO302" s="2125" t="n"/>
      <c r="AP302" s="2126" t="n"/>
      <c r="AQ302" s="53" t="n"/>
      <c r="AR302" s="53" t="n"/>
    </row>
    <row r="303" ht="16.2" customFormat="1" customHeight="1" s="1916" thickBot="1">
      <c r="R303" s="53" t="n"/>
      <c r="S303" s="53" t="n"/>
      <c r="AA303" s="142" t="n"/>
      <c r="AB303" s="1194" t="inlineStr">
        <is>
          <t>Product</t>
        </is>
      </c>
      <c r="AC303" s="1195" t="inlineStr">
        <is>
          <t>Coverage</t>
        </is>
      </c>
      <c r="AD303" s="1196" t="inlineStr">
        <is>
          <t>Unit of Measure</t>
        </is>
      </c>
      <c r="AE303" s="1196" t="inlineStr">
        <is>
          <t>Quantity Calcs</t>
        </is>
      </c>
      <c r="AF303" s="1196" t="inlineStr">
        <is>
          <t>$ Material Cost $</t>
        </is>
      </c>
      <c r="AG303" s="1197" t="inlineStr">
        <is>
          <t>Note</t>
        </is>
      </c>
      <c r="AH303" s="585" t="n"/>
      <c r="AI303" s="1951" t="n"/>
      <c r="AJ303" s="585" t="n"/>
      <c r="AK303" s="1274" t="inlineStr">
        <is>
          <t>Broadcast Media</t>
        </is>
      </c>
      <c r="AL303" s="1276" t="inlineStr">
        <is>
          <t>Product</t>
        </is>
      </c>
      <c r="AM303" s="1277" t="inlineStr">
        <is>
          <t>Coverage</t>
        </is>
      </c>
      <c r="AN303" s="1275" t="inlineStr">
        <is>
          <t>Unit of Measure</t>
        </is>
      </c>
      <c r="AO303" s="1275" t="inlineStr">
        <is>
          <t>Quantity Calcs</t>
        </is>
      </c>
      <c r="AP303" s="1197" t="inlineStr">
        <is>
          <t>$ Material Cost $</t>
        </is>
      </c>
      <c r="AQ303" s="53" t="n"/>
      <c r="AR303" s="53" t="n"/>
    </row>
    <row r="304" ht="16.2" customFormat="1" customHeight="1" s="1916" thickBot="1">
      <c r="R304" s="53" t="n"/>
      <c r="S304" s="53" t="n"/>
      <c r="AA304" s="1226" t="inlineStr">
        <is>
          <t>1st Broadcast (Liquids)</t>
        </is>
      </c>
      <c r="AB304" s="1198" t="inlineStr">
        <is>
          <t>Dur-A-Gard No-Sag</t>
        </is>
      </c>
      <c r="AC304" s="1199" t="n">
        <v>250</v>
      </c>
      <c r="AD304" s="1200" t="inlineStr">
        <is>
          <t>SF/Gal</t>
        </is>
      </c>
      <c r="AE304" s="1201">
        <f>ROUNDUP(AI302/AC304,0)</f>
        <v/>
      </c>
      <c r="AF304" s="2140">
        <f>AE304*Gard_No_Sag</f>
        <v/>
      </c>
      <c r="AG304" s="1203" t="n"/>
      <c r="AH304" s="585" t="n"/>
      <c r="AI304" s="1951" t="n"/>
      <c r="AJ304" s="585" t="n"/>
      <c r="AK304" s="1271" t="inlineStr">
        <is>
          <t>MACRO Flake</t>
        </is>
      </c>
      <c r="AL304" s="1214" t="inlineStr">
        <is>
          <t>Flake     (@ 40#s)</t>
        </is>
      </c>
      <c r="AM304" s="1214" t="n">
        <v>0.12</v>
      </c>
      <c r="AN304" s="1215" t="inlineStr">
        <is>
          <t>Lb/SF</t>
        </is>
      </c>
      <c r="AO304" s="2128">
        <f>CEILING(AI302*AM304,40)</f>
        <v/>
      </c>
      <c r="AP304" s="2129">
        <f>IF((AO304+AO305)&lt;240,(AO304*$X$146),(AO304*MACROFlake))</f>
        <v/>
      </c>
      <c r="AQ304" s="53" t="inlineStr">
        <is>
          <t>check</t>
        </is>
      </c>
      <c r="AR304" s="53" t="n"/>
    </row>
    <row r="305" ht="16.2" customFormat="1" customHeight="1" s="1916" thickBot="1">
      <c r="R305" s="53" t="n"/>
      <c r="S305" s="53" t="n"/>
      <c r="AA305" s="1252" t="inlineStr">
        <is>
          <t>2nd Broadcast (Liquids)</t>
        </is>
      </c>
      <c r="AB305" s="1253" t="inlineStr">
        <is>
          <t>Glaze #4</t>
        </is>
      </c>
      <c r="AC305" s="1254" t="n">
        <v>150</v>
      </c>
      <c r="AD305" s="1255" t="inlineStr">
        <is>
          <t>SF/Gal</t>
        </is>
      </c>
      <c r="AE305" s="1256">
        <f>ROUNDUP(AI302/AC305,0)</f>
        <v/>
      </c>
      <c r="AF305" s="2137">
        <f>AE305*Glaze4</f>
        <v/>
      </c>
      <c r="AG305" s="1258" t="n"/>
      <c r="AH305" s="585" t="n"/>
      <c r="AI305" s="1951" t="n"/>
      <c r="AJ305" s="585" t="n"/>
      <c r="AK305" s="1271" t="inlineStr">
        <is>
          <t>MACRO Flake</t>
        </is>
      </c>
      <c r="AL305" s="1214" t="inlineStr">
        <is>
          <t>Flake     (@ 40#s)</t>
        </is>
      </c>
      <c r="AM305" s="1214" t="n">
        <v>0.12</v>
      </c>
      <c r="AN305" s="1215" t="inlineStr">
        <is>
          <t>Lb/SF</t>
        </is>
      </c>
      <c r="AO305" s="2128">
        <f>CEILING(AI302*AM305,40)</f>
        <v/>
      </c>
      <c r="AP305" s="2129">
        <f>IF((AO304+AO305)&lt;240,(AO305*$X$146),(AO305*MACROFlake))</f>
        <v/>
      </c>
      <c r="AQ305" s="53" t="inlineStr">
        <is>
          <t>check</t>
        </is>
      </c>
      <c r="AR305" s="53" t="n"/>
    </row>
    <row r="306" ht="16.2" customFormat="1" customHeight="1" s="1916" thickBot="1">
      <c r="R306" s="53" t="n"/>
      <c r="S306" s="53" t="n"/>
      <c r="AA306" s="1226" t="inlineStr">
        <is>
          <t>Grout Coat</t>
        </is>
      </c>
      <c r="AB306" s="1198" t="inlineStr">
        <is>
          <t>Glaze #4</t>
        </is>
      </c>
      <c r="AC306" s="1199" t="n">
        <v>150</v>
      </c>
      <c r="AD306" s="1200" t="inlineStr">
        <is>
          <t>SF/Gal</t>
        </is>
      </c>
      <c r="AE306" s="1201">
        <f>ROUNDUP(AI302/AC306,0)</f>
        <v/>
      </c>
      <c r="AF306" s="2140">
        <f>AE306*Glaze4</f>
        <v/>
      </c>
      <c r="AG306" s="1203" t="n"/>
      <c r="AH306" s="585" t="n"/>
      <c r="AI306" s="1951" t="n"/>
      <c r="AJ306" s="585" t="n"/>
      <c r="AK306" s="585" t="n"/>
      <c r="AL306" s="848" t="n"/>
      <c r="AM306" s="2014" t="n"/>
      <c r="AN306" s="585" t="n"/>
      <c r="AO306" s="1279" t="inlineStr">
        <is>
          <t>Total Media</t>
        </is>
      </c>
      <c r="AP306" s="2132">
        <f>SUM(AP304:AP305)</f>
        <v/>
      </c>
      <c r="AQ306" s="53" t="n"/>
      <c r="AR306" s="53" t="n"/>
    </row>
    <row r="307" ht="16.2" customFormat="1" customHeight="1" s="1916" thickBot="1">
      <c r="AA307" s="1219" t="inlineStr">
        <is>
          <t>Top Coat</t>
        </is>
      </c>
      <c r="AB307" s="1220" t="inlineStr">
        <is>
          <t>Armor Top Satin W/ Grit</t>
        </is>
      </c>
      <c r="AC307" s="1221" t="n">
        <v>775</v>
      </c>
      <c r="AD307" s="1222" t="inlineStr">
        <is>
          <t>SF/Kit</t>
        </is>
      </c>
      <c r="AE307" s="1223">
        <f>ROUNDUP(AI302/AC307,0)</f>
        <v/>
      </c>
      <c r="AF307" s="2138">
        <f>AE307*$T$158</f>
        <v/>
      </c>
      <c r="AG307" s="1225" t="n"/>
      <c r="AH307" s="2080">
        <f>T158</f>
        <v/>
      </c>
      <c r="AI307" s="1951">
        <f>AT_Clear_Satin_w_Grit</f>
        <v/>
      </c>
      <c r="AJ307" s="585" t="n"/>
      <c r="AK307" s="585" t="n"/>
      <c r="AL307" s="848" t="n"/>
      <c r="AM307" s="2014" t="n"/>
      <c r="AN307" s="585" t="n"/>
      <c r="AO307" s="585" t="n"/>
      <c r="AP307" s="585" t="n"/>
    </row>
    <row r="308" ht="16.2" customFormat="1" customHeight="1" s="1916" thickBot="1">
      <c r="AA308" s="585" t="n"/>
      <c r="AB308" s="585" t="n"/>
      <c r="AC308" s="585" t="n"/>
      <c r="AD308" s="585" t="n"/>
      <c r="AE308" s="585" t="n"/>
      <c r="AF308" s="2133">
        <f>SUM(AF304:AF307)</f>
        <v/>
      </c>
      <c r="AG308" s="1236" t="inlineStr">
        <is>
          <t>Total Liquids Above</t>
        </is>
      </c>
      <c r="AH308" s="585" t="n"/>
      <c r="AI308" s="1951" t="n"/>
      <c r="AJ308" s="585" t="n"/>
      <c r="AK308" s="585" t="n"/>
      <c r="AL308" s="848" t="n"/>
      <c r="AM308" s="2014" t="n"/>
      <c r="AN308" s="585" t="n"/>
      <c r="AO308" s="585" t="n"/>
      <c r="AP308" s="585" t="n"/>
    </row>
    <row r="309" ht="16.2" customFormat="1" customHeight="1" s="1916" thickBot="1">
      <c r="AA309" s="103" t="n"/>
      <c r="AB309" s="103" t="n"/>
      <c r="AC309" s="2147" t="n"/>
      <c r="AD309" s="2147" t="n"/>
      <c r="AE309" s="53" t="n"/>
      <c r="AF309" s="53" t="n"/>
    </row>
    <row r="310" ht="16.2" customFormat="1" customHeight="1" s="1916" thickBot="1">
      <c r="AA310" s="2072" t="inlineStr">
        <is>
          <t>Walls: micro Flake Double Broadcast</t>
        </is>
      </c>
      <c r="AB310" s="2073" t="n"/>
      <c r="AC310" s="2073" t="n"/>
      <c r="AD310" s="2073" t="n"/>
      <c r="AE310" s="2073" t="n"/>
      <c r="AF310" s="2073" t="n"/>
      <c r="AG310" s="2074" t="n"/>
      <c r="AH310" s="585" t="n"/>
      <c r="AI310" s="2076">
        <f>$AI$160</f>
        <v/>
      </c>
      <c r="AJ310" s="585" t="n"/>
      <c r="AK310" s="2124" t="inlineStr">
        <is>
          <t>Walls: micro Flake Double Broadcast</t>
        </is>
      </c>
      <c r="AL310" s="2125" t="n"/>
      <c r="AM310" s="2125" t="n"/>
      <c r="AN310" s="2125" t="n"/>
      <c r="AO310" s="2125" t="n"/>
      <c r="AP310" s="2126" t="n"/>
    </row>
    <row r="311" ht="16.2" customFormat="1" customHeight="1" s="1916" thickBot="1">
      <c r="AA311" s="142" t="n"/>
      <c r="AB311" s="1194" t="inlineStr">
        <is>
          <t>Product</t>
        </is>
      </c>
      <c r="AC311" s="1195" t="inlineStr">
        <is>
          <t>Coverage</t>
        </is>
      </c>
      <c r="AD311" s="1196" t="inlineStr">
        <is>
          <t>Unit of Measure</t>
        </is>
      </c>
      <c r="AE311" s="1196" t="inlineStr">
        <is>
          <t>Quantity Calcs</t>
        </is>
      </c>
      <c r="AF311" s="1196" t="inlineStr">
        <is>
          <t>$ Material Cost $</t>
        </is>
      </c>
      <c r="AG311" s="1197" t="inlineStr">
        <is>
          <t>Note</t>
        </is>
      </c>
      <c r="AH311" s="585" t="n"/>
      <c r="AI311" s="1951" t="n"/>
      <c r="AJ311" s="585" t="n"/>
      <c r="AK311" s="1274" t="inlineStr">
        <is>
          <t>Broadcast Media</t>
        </is>
      </c>
      <c r="AL311" s="1276" t="inlineStr">
        <is>
          <t>Product</t>
        </is>
      </c>
      <c r="AM311" s="1277" t="inlineStr">
        <is>
          <t>Coverage</t>
        </is>
      </c>
      <c r="AN311" s="1275" t="inlineStr">
        <is>
          <t>Unit of Measure</t>
        </is>
      </c>
      <c r="AO311" s="1275" t="inlineStr">
        <is>
          <t>Quantity Calcs</t>
        </is>
      </c>
      <c r="AP311" s="1197" t="inlineStr">
        <is>
          <t>$ Material Cost $</t>
        </is>
      </c>
    </row>
    <row r="312" ht="16.2" customFormat="1" customHeight="1" s="1916" thickBot="1">
      <c r="AA312" s="1226" t="inlineStr">
        <is>
          <t>1st Broadcast (Liquids)</t>
        </is>
      </c>
      <c r="AB312" s="1198" t="inlineStr">
        <is>
          <t>Dur-A-Gard No-Sag</t>
        </is>
      </c>
      <c r="AC312" s="1199" t="n">
        <v>250</v>
      </c>
      <c r="AD312" s="1200" t="inlineStr">
        <is>
          <t>SF/Gal</t>
        </is>
      </c>
      <c r="AE312" s="1201">
        <f>ROUNDUP(AI310/AC312,0)</f>
        <v/>
      </c>
      <c r="AF312" s="2140">
        <f>AE312*Gard_No_Sag</f>
        <v/>
      </c>
      <c r="AG312" s="1203" t="n"/>
      <c r="AH312" s="585" t="n"/>
      <c r="AI312" s="1951" t="n"/>
      <c r="AJ312" s="585" t="n"/>
      <c r="AK312" s="1271" t="inlineStr">
        <is>
          <t>micro Flake</t>
        </is>
      </c>
      <c r="AL312" s="1214" t="inlineStr">
        <is>
          <t>Flake     (@ 40#s)</t>
        </is>
      </c>
      <c r="AM312" s="1214" t="n">
        <v>0.15</v>
      </c>
      <c r="AN312" s="1215" t="inlineStr">
        <is>
          <t>Lb/SF</t>
        </is>
      </c>
      <c r="AO312" s="2128">
        <f>CEILING(AI310*AM312,40)</f>
        <v/>
      </c>
      <c r="AP312" s="2129">
        <f>IF((AO312+AO313)&lt;240,(AO312*$X$147),(AO312*microFlake))</f>
        <v/>
      </c>
      <c r="AQ312" s="1916" t="inlineStr">
        <is>
          <t>check</t>
        </is>
      </c>
    </row>
    <row r="313" ht="16.2" customFormat="1" customHeight="1" s="1916" thickBot="1">
      <c r="AA313" s="1252" t="inlineStr">
        <is>
          <t>2nd Broadcast (Liquids)</t>
        </is>
      </c>
      <c r="AB313" s="1253" t="inlineStr">
        <is>
          <t>Glaze #4</t>
        </is>
      </c>
      <c r="AC313" s="1254" t="n">
        <v>150</v>
      </c>
      <c r="AD313" s="1255" t="inlineStr">
        <is>
          <t>SF/Gal</t>
        </is>
      </c>
      <c r="AE313" s="1256">
        <f>ROUNDUP(AI310/AC313,0)</f>
        <v/>
      </c>
      <c r="AF313" s="2137">
        <f>AE313*Glaze4</f>
        <v/>
      </c>
      <c r="AG313" s="1258" t="n"/>
      <c r="AH313" s="585" t="n"/>
      <c r="AI313" s="1951" t="n"/>
      <c r="AJ313" s="585" t="n"/>
      <c r="AK313" s="1271" t="inlineStr">
        <is>
          <t>micro Flake</t>
        </is>
      </c>
      <c r="AL313" s="1214" t="inlineStr">
        <is>
          <t>Flake     (@ 40#s)</t>
        </is>
      </c>
      <c r="AM313" s="1214" t="n">
        <v>0.15</v>
      </c>
      <c r="AN313" s="1215" t="inlineStr">
        <is>
          <t>Lb/SF</t>
        </is>
      </c>
      <c r="AO313" s="2128">
        <f>CEILING(AI310*AM313,40)</f>
        <v/>
      </c>
      <c r="AP313" s="2129">
        <f>IF((AO312+AO313)&lt;240,(AO313*$X$147),(AO313*microFlake))</f>
        <v/>
      </c>
      <c r="AQ313" s="1916" t="inlineStr">
        <is>
          <t>check</t>
        </is>
      </c>
    </row>
    <row r="314" ht="16.2" customFormat="1" customHeight="1" s="1916" thickBot="1">
      <c r="AA314" s="1226" t="inlineStr">
        <is>
          <t>Grout Coat</t>
        </is>
      </c>
      <c r="AB314" s="1198" t="inlineStr">
        <is>
          <t>Glaze #4</t>
        </is>
      </c>
      <c r="AC314" s="1199" t="n">
        <v>150</v>
      </c>
      <c r="AD314" s="1200" t="inlineStr">
        <is>
          <t>SF/Gal</t>
        </is>
      </c>
      <c r="AE314" s="1201">
        <f>ROUNDUP(AI310/AC314,0)</f>
        <v/>
      </c>
      <c r="AF314" s="2140">
        <f>AE314*Glaze4</f>
        <v/>
      </c>
      <c r="AG314" s="1203" t="n"/>
      <c r="AH314" s="585" t="n"/>
      <c r="AI314" s="1951" t="n"/>
      <c r="AJ314" s="585" t="n"/>
      <c r="AK314" s="585" t="n"/>
      <c r="AL314" s="848" t="n"/>
      <c r="AM314" s="2014" t="n"/>
      <c r="AN314" s="585" t="n"/>
      <c r="AO314" s="1279" t="inlineStr">
        <is>
          <t>Total Media</t>
        </is>
      </c>
      <c r="AP314" s="2132">
        <f>SUM(AP312:AP313)</f>
        <v/>
      </c>
    </row>
    <row r="315" ht="16.2" customFormat="1" customHeight="1" s="1916" thickBot="1">
      <c r="AA315" s="1219" t="inlineStr">
        <is>
          <t>Top Coat</t>
        </is>
      </c>
      <c r="AB315" s="1220" t="inlineStr">
        <is>
          <t>Armor Top Satin W/ Grit</t>
        </is>
      </c>
      <c r="AC315" s="1221" t="n">
        <v>775</v>
      </c>
      <c r="AD315" s="1222" t="inlineStr">
        <is>
          <t>SF/Kit</t>
        </is>
      </c>
      <c r="AE315" s="1223">
        <f>ROUNDUP(AI310/AC315,0)</f>
        <v/>
      </c>
      <c r="AF315" s="2138">
        <f>AE315*$T$158</f>
        <v/>
      </c>
      <c r="AG315" s="1225" t="n"/>
      <c r="AH315" s="585" t="n"/>
      <c r="AI315" s="1951" t="n"/>
      <c r="AJ315" s="585" t="n"/>
      <c r="AK315" s="585" t="n"/>
      <c r="AL315" s="848" t="n"/>
      <c r="AM315" s="2014" t="n"/>
      <c r="AN315" s="585" t="n"/>
      <c r="AO315" s="585" t="n"/>
      <c r="AP315" s="585" t="n"/>
    </row>
    <row r="316" ht="16.2" customFormat="1" customHeight="1" s="1916" thickBot="1">
      <c r="AA316" s="585" t="n"/>
      <c r="AB316" s="585" t="n"/>
      <c r="AC316" s="585" t="n"/>
      <c r="AD316" s="585" t="n"/>
      <c r="AE316" s="585" t="n"/>
      <c r="AF316" s="2133">
        <f>SUM(AF312:AF315)</f>
        <v/>
      </c>
      <c r="AG316" s="1236" t="inlineStr">
        <is>
          <t>Total Liquids Above</t>
        </is>
      </c>
      <c r="AH316" s="585" t="n"/>
      <c r="AI316" s="1951" t="n"/>
      <c r="AJ316" s="585" t="n"/>
      <c r="AK316" s="585" t="n"/>
      <c r="AL316" s="848" t="n"/>
      <c r="AM316" s="2014" t="n"/>
      <c r="AN316" s="585" t="n"/>
      <c r="AO316" s="585" t="n"/>
      <c r="AP316" s="585" t="n"/>
    </row>
    <row r="317" customFormat="1" s="1916">
      <c r="AA317" s="53" t="n"/>
      <c r="AB317" s="53" t="n"/>
      <c r="AC317" s="53" t="n"/>
      <c r="AD317" s="53" t="n"/>
      <c r="AE317" s="53" t="n"/>
      <c r="AG317" s="53" t="n"/>
      <c r="AH317" s="93" t="n"/>
      <c r="AI317" s="2145" t="n"/>
      <c r="AJ317" s="2145" t="n"/>
      <c r="AK317" s="2145" t="n"/>
      <c r="AL317" s="53" t="n"/>
    </row>
    <row r="318" customFormat="1" s="1916">
      <c r="AA318" s="53" t="n"/>
      <c r="AB318" s="53" t="n"/>
      <c r="AC318" s="53" t="n"/>
      <c r="AD318" s="106" t="n"/>
      <c r="AE318" s="106" t="n"/>
      <c r="AG318" s="53" t="n"/>
      <c r="AH318" s="93" t="n"/>
      <c r="AI318" s="2145" t="n"/>
      <c r="AJ318" s="2145" t="n"/>
      <c r="AK318" s="2145" t="n"/>
      <c r="AL318" s="106" t="n"/>
    </row>
    <row r="319" ht="21.6" customFormat="1" customHeight="1" s="1916" thickBot="1">
      <c r="AA319" s="1850" t="inlineStr">
        <is>
          <t>Wall HP</t>
        </is>
      </c>
      <c r="AI319" s="2148" t="n"/>
      <c r="AK319" s="1851" t="inlineStr">
        <is>
          <t>Wall HP</t>
        </is>
      </c>
      <c r="AL319" s="585" t="n"/>
      <c r="AM319" s="585" t="n"/>
      <c r="AN319" s="585" t="n"/>
      <c r="AO319" s="585" t="n"/>
      <c r="AP319" s="585" t="n"/>
    </row>
    <row r="320" ht="16.2" customFormat="1" customHeight="1" s="1916" thickBot="1">
      <c r="AA320" s="2072" t="inlineStr">
        <is>
          <t>Walls: Dur-A-Wall HP</t>
        </is>
      </c>
      <c r="AB320" s="2073" t="n"/>
      <c r="AC320" s="2073" t="n"/>
      <c r="AD320" s="2073" t="n"/>
      <c r="AE320" s="2073" t="n"/>
      <c r="AF320" s="2073" t="n"/>
      <c r="AG320" s="2074" t="n"/>
      <c r="AI320" s="2076">
        <f>$AI$160</f>
        <v/>
      </c>
      <c r="AK320" s="2124" t="inlineStr">
        <is>
          <t>Walls: Dur-A-Wall HP</t>
        </is>
      </c>
      <c r="AL320" s="2125" t="n"/>
      <c r="AM320" s="2125" t="n"/>
      <c r="AN320" s="2125" t="n"/>
      <c r="AO320" s="2125" t="n"/>
      <c r="AP320" s="2126" t="n"/>
    </row>
    <row r="321" ht="16.2" customFormat="1" customHeight="1" s="1916" thickBot="1">
      <c r="AA321" s="142" t="n"/>
      <c r="AB321" s="1194" t="inlineStr">
        <is>
          <t>Product</t>
        </is>
      </c>
      <c r="AC321" s="1195" t="inlineStr">
        <is>
          <t>Coverage</t>
        </is>
      </c>
      <c r="AD321" s="1196" t="inlineStr">
        <is>
          <t>Unit of Measure</t>
        </is>
      </c>
      <c r="AE321" s="1196" t="inlineStr">
        <is>
          <t>Quantity Calcs</t>
        </is>
      </c>
      <c r="AF321" s="1196" t="inlineStr">
        <is>
          <t>$ Material Cost $</t>
        </is>
      </c>
      <c r="AG321" s="1197" t="inlineStr">
        <is>
          <t>Note</t>
        </is>
      </c>
      <c r="AI321" s="2148" t="n"/>
      <c r="AK321" s="1274" t="inlineStr">
        <is>
          <t>Broadcast/Agg. Media</t>
        </is>
      </c>
      <c r="AL321" s="1276" t="inlineStr">
        <is>
          <t>Product</t>
        </is>
      </c>
      <c r="AM321" s="1277" t="inlineStr">
        <is>
          <t>Coverage</t>
        </is>
      </c>
      <c r="AN321" s="1275" t="inlineStr">
        <is>
          <t>Unit of Measure</t>
        </is>
      </c>
      <c r="AO321" s="1275" t="inlineStr">
        <is>
          <t>Quantity Calcs</t>
        </is>
      </c>
      <c r="AP321" s="1197" t="inlineStr">
        <is>
          <t>$ Material Cost $</t>
        </is>
      </c>
    </row>
    <row r="322" ht="16.2" customFormat="1" customHeight="1" s="1916" thickBot="1">
      <c r="AA322" s="1219" t="inlineStr">
        <is>
          <t>Top Coat 1</t>
        </is>
      </c>
      <c r="AB322" s="1220" t="inlineStr">
        <is>
          <t>HP Topcoat Satin-or-Eggshell</t>
        </is>
      </c>
      <c r="AC322" s="1221" t="n">
        <v>370</v>
      </c>
      <c r="AD322" s="1222" t="inlineStr">
        <is>
          <t>SF/Kit</t>
        </is>
      </c>
      <c r="AE322" s="1223">
        <f>ROUNDUP(AI320/AC322,0)</f>
        <v/>
      </c>
      <c r="AF322" s="2138">
        <f>AE322*HP_Eggshell_Topcoat</f>
        <v/>
      </c>
      <c r="AG322" s="1502" t="inlineStr">
        <is>
          <t>satin = 340 /kit</t>
        </is>
      </c>
      <c r="AH322" s="1916" t="inlineStr">
        <is>
          <t>median:</t>
        </is>
      </c>
      <c r="AI322" s="2153">
        <f>HP_Satin_Topcoat</f>
        <v/>
      </c>
      <c r="AK322" s="1271" t="inlineStr">
        <is>
          <t>none</t>
        </is>
      </c>
      <c r="AL322" s="1214" t="inlineStr">
        <is>
          <t>n/a</t>
        </is>
      </c>
      <c r="AM322" s="1214" t="n"/>
      <c r="AN322" s="1215" t="inlineStr">
        <is>
          <t>Lb/SF</t>
        </is>
      </c>
      <c r="AO322" s="2128">
        <f>CEILING(AI320*AM322,50)</f>
        <v/>
      </c>
      <c r="AP322" s="2129">
        <f>AO322*AQ322</f>
        <v/>
      </c>
      <c r="AQ322" s="1916" t="inlineStr">
        <is>
          <t>??</t>
        </is>
      </c>
    </row>
    <row r="323" ht="16.2" customFormat="1" customHeight="1" s="1916" thickBot="1">
      <c r="AA323" s="1219" t="inlineStr">
        <is>
          <t>Top Coat 2</t>
        </is>
      </c>
      <c r="AB323" s="1220" t="inlineStr">
        <is>
          <t>HP Topcoat Satin-or-Eggshell</t>
        </is>
      </c>
      <c r="AC323" s="1221" t="n">
        <v>370</v>
      </c>
      <c r="AD323" s="1222" t="inlineStr">
        <is>
          <t>SF/Kit</t>
        </is>
      </c>
      <c r="AE323" s="1223">
        <f>ROUNDUP(AI320/AC323,0)</f>
        <v/>
      </c>
      <c r="AF323" s="2138">
        <f>AE323*HP_Eggshell_Topcoat</f>
        <v/>
      </c>
      <c r="AG323" s="1502" t="inlineStr">
        <is>
          <t>egg shell = 400 /kit</t>
        </is>
      </c>
      <c r="AH323" s="1891">
        <f>MEDIAN(340,400)</f>
        <v/>
      </c>
      <c r="AI323" s="2153">
        <f>HP_Eggshell_Topcoat</f>
        <v/>
      </c>
      <c r="AO323" s="1279" t="inlineStr">
        <is>
          <t>Total Media</t>
        </is>
      </c>
      <c r="AP323" s="2132">
        <f>SUM(AP322)</f>
        <v/>
      </c>
      <c r="AQ323" s="1370" t="inlineStr">
        <is>
          <t>NOT used</t>
        </is>
      </c>
    </row>
    <row r="324" ht="16.2" customFormat="1" customHeight="1" s="1916" thickBot="1">
      <c r="AA324" s="585" t="n"/>
      <c r="AB324" s="585" t="n"/>
      <c r="AC324" s="585" t="n"/>
      <c r="AD324" s="585" t="n"/>
      <c r="AE324" s="585" t="n"/>
      <c r="AF324" s="2133">
        <f>SUM(AF322:AF323)</f>
        <v/>
      </c>
      <c r="AG324" s="1236" t="inlineStr">
        <is>
          <t>Total Liquids Above</t>
        </is>
      </c>
      <c r="AI324" s="2148" t="n"/>
      <c r="AO324" s="1281" t="inlineStr">
        <is>
          <t>"ceiling" @ 10 lbs? 50 lbs?</t>
        </is>
      </c>
    </row>
    <row r="325" ht="16.2" customFormat="1" customHeight="1" s="1916" thickBot="1">
      <c r="AA325" s="53" t="n"/>
      <c r="AB325" s="93" t="n"/>
      <c r="AC325" s="2145" t="n"/>
      <c r="AD325" s="2145" t="n"/>
      <c r="AE325" s="111" t="n"/>
      <c r="AF325" s="53" t="n"/>
      <c r="AG325" s="53" t="n"/>
      <c r="AH325" s="93" t="n"/>
      <c r="AI325" s="2145" t="n"/>
      <c r="AJ325" s="2145" t="n"/>
      <c r="AK325" s="2145" t="n"/>
    </row>
    <row r="326" ht="16.2" customFormat="1" customHeight="1" s="1916" thickBot="1">
      <c r="A326" s="53" t="n"/>
      <c r="B326" s="93" t="n"/>
      <c r="C326" s="2145" t="n"/>
      <c r="D326" s="2145" t="n"/>
      <c r="E326" s="111" t="n"/>
      <c r="F326" s="53" t="n"/>
      <c r="G326" s="53" t="n"/>
      <c r="H326" s="93" t="n"/>
      <c r="I326" s="2145" t="n"/>
      <c r="J326" s="2145" t="n"/>
      <c r="K326" s="2145" t="n"/>
      <c r="AA326" s="2072" t="inlineStr">
        <is>
          <t>Walls: Dur-A-Wall HP PLUS (+)</t>
        </is>
      </c>
      <c r="AB326" s="2073" t="n"/>
      <c r="AC326" s="2073" t="n"/>
      <c r="AD326" s="2073" t="n"/>
      <c r="AE326" s="2073" t="n"/>
      <c r="AF326" s="2073" t="n"/>
      <c r="AG326" s="2074" t="n"/>
      <c r="AI326" s="2076">
        <f>$AI$160</f>
        <v/>
      </c>
      <c r="AK326" s="2124" t="inlineStr">
        <is>
          <t>Walls: Dur-A-Wall HP PLUS (+)</t>
        </is>
      </c>
      <c r="AL326" s="2125" t="n"/>
      <c r="AM326" s="2125" t="n"/>
      <c r="AN326" s="2125" t="n"/>
      <c r="AO326" s="2125" t="n"/>
      <c r="AP326" s="2126" t="n"/>
    </row>
    <row r="327" ht="16.2" customFormat="1" customHeight="1" s="1916" thickBot="1">
      <c r="A327" s="53" t="n"/>
      <c r="B327" s="93" t="n"/>
      <c r="C327" s="2145" t="n"/>
      <c r="D327" s="2145" t="n"/>
      <c r="E327" s="53" t="n"/>
      <c r="F327" s="53" t="n"/>
      <c r="G327" s="53" t="n"/>
      <c r="H327" s="93" t="n"/>
      <c r="I327" s="2145" t="n"/>
      <c r="J327" s="2145" t="n"/>
      <c r="K327" s="2145" t="n"/>
      <c r="AA327" s="142" t="n"/>
      <c r="AB327" s="1194" t="inlineStr">
        <is>
          <t>Product</t>
        </is>
      </c>
      <c r="AC327" s="1195" t="inlineStr">
        <is>
          <t>Coverage</t>
        </is>
      </c>
      <c r="AD327" s="1196" t="inlineStr">
        <is>
          <t>Unit of Measure</t>
        </is>
      </c>
      <c r="AE327" s="1196" t="inlineStr">
        <is>
          <t>Quantity Calcs</t>
        </is>
      </c>
      <c r="AF327" s="1196" t="inlineStr">
        <is>
          <t>$ Material Cost $</t>
        </is>
      </c>
      <c r="AG327" s="1197" t="inlineStr">
        <is>
          <t>Note</t>
        </is>
      </c>
      <c r="AI327" s="2148" t="n"/>
      <c r="AK327" s="1274" t="inlineStr">
        <is>
          <t>Broadcast/Agg. Media</t>
        </is>
      </c>
      <c r="AL327" s="1276" t="inlineStr">
        <is>
          <t>Product</t>
        </is>
      </c>
      <c r="AM327" s="1277" t="inlineStr">
        <is>
          <t>Coverage</t>
        </is>
      </c>
      <c r="AN327" s="1275" t="inlineStr">
        <is>
          <t>Unit of Measure</t>
        </is>
      </c>
      <c r="AO327" s="1275" t="inlineStr">
        <is>
          <t>Quantity Calcs</t>
        </is>
      </c>
      <c r="AP327" s="1197" t="inlineStr">
        <is>
          <t>$ Material Cost $</t>
        </is>
      </c>
    </row>
    <row r="328" ht="16.2" customFormat="1" customHeight="1" s="1916" thickBot="1">
      <c r="A328" s="53" t="n"/>
      <c r="B328" s="93" t="n"/>
      <c r="C328" s="2145" t="n"/>
      <c r="D328" s="2145" t="n"/>
      <c r="E328" s="53" t="n"/>
      <c r="F328" s="53" t="n"/>
      <c r="G328" s="53" t="n"/>
      <c r="H328" s="93" t="n"/>
      <c r="I328" s="2145" t="n"/>
      <c r="J328" s="2145" t="n"/>
      <c r="K328" s="2145" t="n"/>
      <c r="AA328" s="1226" t="inlineStr">
        <is>
          <t>Body Coat</t>
        </is>
      </c>
      <c r="AB328" s="1198" t="inlineStr">
        <is>
          <t>Dur-A-Gard No-Sag</t>
        </is>
      </c>
      <c r="AC328" s="1199" t="n">
        <v>250</v>
      </c>
      <c r="AD328" s="1200" t="inlineStr">
        <is>
          <t>SF/Gal</t>
        </is>
      </c>
      <c r="AE328" s="1201">
        <f>ROUNDUP(AI326/AC328,0)</f>
        <v/>
      </c>
      <c r="AF328" s="2140">
        <f>AE328*Gard_No_Sag</f>
        <v/>
      </c>
      <c r="AG328" s="1260" t="n"/>
      <c r="AK328" s="1271" t="inlineStr">
        <is>
          <t>none</t>
        </is>
      </c>
      <c r="AL328" s="1214" t="inlineStr">
        <is>
          <t>n/a</t>
        </is>
      </c>
      <c r="AM328" s="1214" t="n"/>
      <c r="AN328" s="1215" t="inlineStr">
        <is>
          <t>Lb/SF</t>
        </is>
      </c>
      <c r="AO328" s="2128">
        <f>CEILING(AI327*AM328,50)</f>
        <v/>
      </c>
      <c r="AP328" s="2129">
        <f>AO328*AQ328</f>
        <v/>
      </c>
      <c r="AQ328" s="1916" t="inlineStr">
        <is>
          <t>??</t>
        </is>
      </c>
    </row>
    <row r="329" ht="16.2" customFormat="1" customHeight="1" s="1916" thickBot="1">
      <c r="A329" s="103" t="n"/>
      <c r="B329" s="103" t="n"/>
      <c r="C329" s="2147" t="n"/>
      <c r="D329" s="2147" t="n"/>
      <c r="E329" s="53" t="n"/>
      <c r="F329" s="53" t="n"/>
      <c r="G329" s="103" t="n"/>
      <c r="H329" s="103" t="n"/>
      <c r="I329" s="2147" t="n"/>
      <c r="J329" s="2147" t="n"/>
      <c r="K329" s="2147" t="n"/>
      <c r="AA329" s="1219" t="inlineStr">
        <is>
          <t>Top Coat 1</t>
        </is>
      </c>
      <c r="AB329" s="1220" t="inlineStr">
        <is>
          <t>HP Topcoat Satin-or-Eggshell</t>
        </is>
      </c>
      <c r="AC329" s="1221" t="n">
        <v>370</v>
      </c>
      <c r="AD329" s="1222" t="inlineStr">
        <is>
          <t>SF/Kit</t>
        </is>
      </c>
      <c r="AE329" s="1223">
        <f>ROUNDUP(AI326/AC329,0)</f>
        <v/>
      </c>
      <c r="AF329" s="2138">
        <f>AE329*HP_Eggshell_Topcoat</f>
        <v/>
      </c>
      <c r="AG329" s="1502" t="inlineStr">
        <is>
          <t>satin = 340 /kit</t>
        </is>
      </c>
      <c r="AH329" s="1916" t="inlineStr">
        <is>
          <t>median:</t>
        </is>
      </c>
      <c r="AI329" s="2153">
        <f>HP_Satin_Topcoat</f>
        <v/>
      </c>
      <c r="AO329" s="1279" t="inlineStr">
        <is>
          <t>Total Media</t>
        </is>
      </c>
      <c r="AP329" s="2132">
        <f>SUM(AP328)</f>
        <v/>
      </c>
      <c r="AQ329" s="1370" t="inlineStr">
        <is>
          <t>NOT used</t>
        </is>
      </c>
    </row>
    <row r="330" ht="16.2" customFormat="1" customHeight="1" s="1916" thickBot="1">
      <c r="A330" s="53" t="n"/>
      <c r="B330" s="53" t="n"/>
      <c r="C330" s="2145" t="n"/>
      <c r="D330" s="2145" t="n"/>
      <c r="E330" s="53" t="n"/>
      <c r="F330" s="53" t="n"/>
      <c r="AA330" s="1219" t="inlineStr">
        <is>
          <t>Top Coat 2</t>
        </is>
      </c>
      <c r="AB330" s="1220" t="inlineStr">
        <is>
          <t>HP Topcoat Satin-or-Eggshell</t>
        </is>
      </c>
      <c r="AC330" s="1221" t="n">
        <v>370</v>
      </c>
      <c r="AD330" s="1222" t="inlineStr">
        <is>
          <t>SF/Kit</t>
        </is>
      </c>
      <c r="AE330" s="1223">
        <f>ROUNDUP(AI326/AC330,0)</f>
        <v/>
      </c>
      <c r="AF330" s="2138">
        <f>AE330*HP_Eggshell_Topcoat</f>
        <v/>
      </c>
      <c r="AG330" s="1502" t="inlineStr">
        <is>
          <t>egg shell = 400 /kit</t>
        </is>
      </c>
      <c r="AH330" s="1891">
        <f>MEDIAN(340,400)</f>
        <v/>
      </c>
      <c r="AI330" s="2153">
        <f>HP_Eggshell_Topcoat</f>
        <v/>
      </c>
      <c r="AO330" s="1281" t="inlineStr">
        <is>
          <t>"ceiling" @ 10 lbs? 50 lbs?</t>
        </is>
      </c>
    </row>
    <row r="331" ht="16.2" customFormat="1" customHeight="1" s="1916" thickBot="1">
      <c r="A331" s="53" t="n"/>
      <c r="B331" s="53" t="n"/>
      <c r="C331" s="2145" t="n"/>
      <c r="D331" s="2147" t="n"/>
      <c r="E331" s="53" t="n"/>
      <c r="F331" s="53" t="n"/>
      <c r="AA331" s="585" t="n"/>
      <c r="AB331" s="585" t="n"/>
      <c r="AC331" s="585" t="n"/>
      <c r="AD331" s="585" t="n"/>
      <c r="AE331" s="585" t="n"/>
      <c r="AF331" s="2133">
        <f>SUM(AF328:AF330)</f>
        <v/>
      </c>
      <c r="AG331" s="1236" t="inlineStr">
        <is>
          <t>Total Liquids Above</t>
        </is>
      </c>
      <c r="AI331" s="2148" t="n"/>
    </row>
    <row r="332" ht="16.2" customFormat="1" customHeight="1" s="1916" thickBot="1">
      <c r="A332" s="53" t="n"/>
      <c r="B332" s="53" t="n"/>
      <c r="C332" s="2145" t="n"/>
      <c r="D332" s="2145" t="n"/>
      <c r="E332" s="53" t="n"/>
      <c r="F332" s="53" t="n"/>
    </row>
    <row r="333" ht="16.2" customFormat="1" customHeight="1" s="1916" thickBot="1">
      <c r="A333" s="53" t="n"/>
      <c r="B333" s="53" t="n"/>
      <c r="C333" s="2145" t="n"/>
      <c r="D333" s="2145" t="n"/>
      <c r="E333" s="53" t="n"/>
      <c r="F333" s="53" t="n"/>
      <c r="AA333" s="2072" t="inlineStr">
        <is>
          <t>Walls: Dur-A-Wall HPF (Fiber)</t>
        </is>
      </c>
      <c r="AB333" s="2073" t="n"/>
      <c r="AC333" s="2073" t="n"/>
      <c r="AD333" s="2073" t="n"/>
      <c r="AE333" s="2073" t="n"/>
      <c r="AF333" s="2073" t="n"/>
      <c r="AG333" s="2074" t="n"/>
      <c r="AI333" s="2076">
        <f>$AI$160</f>
        <v/>
      </c>
      <c r="AK333" s="2124" t="inlineStr">
        <is>
          <t>Walls: Dur-A-Wall HPF (Fiber)</t>
        </is>
      </c>
      <c r="AL333" s="2125" t="n"/>
      <c r="AM333" s="2125" t="n"/>
      <c r="AN333" s="2125" t="n"/>
      <c r="AO333" s="2125" t="n"/>
      <c r="AP333" s="2126" t="n"/>
    </row>
    <row r="334" ht="16.2" customFormat="1" customHeight="1" s="1916" thickBot="1">
      <c r="A334" s="53" t="n"/>
      <c r="B334" s="112" t="n"/>
      <c r="C334" s="2145" t="n"/>
      <c r="D334" s="2145" t="n"/>
      <c r="E334" s="53" t="n"/>
      <c r="F334" s="53" t="n"/>
      <c r="AA334" s="142" t="n"/>
      <c r="AB334" s="1194" t="inlineStr">
        <is>
          <t>Product</t>
        </is>
      </c>
      <c r="AC334" s="1195" t="inlineStr">
        <is>
          <t>Coverage</t>
        </is>
      </c>
      <c r="AD334" s="1196" t="inlineStr">
        <is>
          <t>Unit of Measure</t>
        </is>
      </c>
      <c r="AE334" s="1196" t="inlineStr">
        <is>
          <t>Quantity Calcs</t>
        </is>
      </c>
      <c r="AF334" s="1196" t="inlineStr">
        <is>
          <t>$ Material Cost $</t>
        </is>
      </c>
      <c r="AG334" s="1197" t="inlineStr">
        <is>
          <t>Note</t>
        </is>
      </c>
      <c r="AI334" s="2148" t="n"/>
      <c r="AK334" s="1274" t="inlineStr">
        <is>
          <t>Media / Inlay</t>
        </is>
      </c>
      <c r="AL334" s="1276" t="inlineStr">
        <is>
          <t>Product</t>
        </is>
      </c>
      <c r="AM334" s="1277" t="inlineStr">
        <is>
          <t>Coverage</t>
        </is>
      </c>
      <c r="AN334" s="1275" t="inlineStr">
        <is>
          <t>Unit of Measure</t>
        </is>
      </c>
      <c r="AO334" s="1275" t="inlineStr">
        <is>
          <t>Quantity Calcs</t>
        </is>
      </c>
      <c r="AP334" s="1197" t="inlineStr">
        <is>
          <t>$ Material Cost $</t>
        </is>
      </c>
    </row>
    <row r="335" ht="16.2" customFormat="1" customHeight="1" s="1916" thickBot="1">
      <c r="A335" s="53" t="n"/>
      <c r="B335" s="112" t="n"/>
      <c r="C335" s="2145" t="n"/>
      <c r="D335" s="2145" t="n"/>
      <c r="E335" s="53" t="n"/>
      <c r="F335" s="53" t="n"/>
      <c r="AA335" s="1226" t="inlineStr">
        <is>
          <t>Base Coat</t>
        </is>
      </c>
      <c r="AB335" s="1198" t="inlineStr">
        <is>
          <t>Dur-A-Gard No-Sag</t>
        </is>
      </c>
      <c r="AC335" s="1199" t="n">
        <v>250</v>
      </c>
      <c r="AD335" s="1200" t="inlineStr">
        <is>
          <t>SF/Gal</t>
        </is>
      </c>
      <c r="AE335" s="1201">
        <f>ROUNDUP(AI333/AC335,0)</f>
        <v/>
      </c>
      <c r="AF335" s="2140">
        <f>AE335*Gard_No_Sag</f>
        <v/>
      </c>
      <c r="AG335" s="1260" t="n"/>
      <c r="AK335" s="1271" t="inlineStr">
        <is>
          <t>Fiberglass Mat</t>
        </is>
      </c>
      <c r="AL335" s="1214" t="inlineStr">
        <is>
          <t>Fiberglass Mat</t>
        </is>
      </c>
      <c r="AM335" s="1214" t="n">
        <v>1</v>
      </c>
      <c r="AN335" s="1215" t="inlineStr">
        <is>
          <t>SF/SF</t>
        </is>
      </c>
      <c r="AO335" s="2128">
        <f>CEILING(AI333*AM335,10)</f>
        <v/>
      </c>
      <c r="AP335" s="2129">
        <f>AO335*Fiberglass_Mat</f>
        <v/>
      </c>
    </row>
    <row r="336" ht="16.2" customFormat="1" customHeight="1" s="1916" thickBot="1">
      <c r="A336" s="53" t="n"/>
      <c r="B336" s="113" t="n"/>
      <c r="C336" s="2145" t="n"/>
      <c r="D336" s="2145" t="n"/>
      <c r="E336" s="53" t="n"/>
      <c r="F336" s="53" t="n"/>
      <c r="AA336" s="1252" t="inlineStr">
        <is>
          <t>Saturant / Grout</t>
        </is>
      </c>
      <c r="AB336" s="1198" t="inlineStr">
        <is>
          <t>Dur-A-Gard No-Sag</t>
        </is>
      </c>
      <c r="AC336" s="1254" t="n">
        <v>100</v>
      </c>
      <c r="AD336" s="1255" t="inlineStr">
        <is>
          <t>SF/Gal</t>
        </is>
      </c>
      <c r="AE336" s="1256">
        <f>ROUNDUP(AI333/AC336,0)</f>
        <v/>
      </c>
      <c r="AF336" s="2137">
        <f>AE336*Gard_No_Sag</f>
        <v/>
      </c>
      <c r="AG336" s="1258" t="n"/>
      <c r="AO336" s="1279" t="inlineStr">
        <is>
          <t>Total Media</t>
        </is>
      </c>
      <c r="AP336" s="2132">
        <f>SUM(AP335)</f>
        <v/>
      </c>
    </row>
    <row r="337" ht="16.2" customFormat="1" customHeight="1" s="1916" thickBot="1">
      <c r="A337" s="53" t="n"/>
      <c r="B337" s="113" t="n"/>
      <c r="C337" s="2145" t="n"/>
      <c r="D337" s="2145" t="n"/>
      <c r="E337" s="53" t="n"/>
      <c r="F337" s="53" t="n"/>
      <c r="AA337" s="1219" t="inlineStr">
        <is>
          <t>Top Coat 1</t>
        </is>
      </c>
      <c r="AB337" s="1220" t="inlineStr">
        <is>
          <t>HP Topcoat Satin-or-Eggshell</t>
        </is>
      </c>
      <c r="AC337" s="1221" t="n">
        <v>370</v>
      </c>
      <c r="AD337" s="1222" t="inlineStr">
        <is>
          <t>SF/Kit</t>
        </is>
      </c>
      <c r="AE337" s="1223">
        <f>ROUNDUP(AI333/AC337,0)</f>
        <v/>
      </c>
      <c r="AF337" s="2138">
        <f>AE337*HP_Eggshell_Topcoat</f>
        <v/>
      </c>
      <c r="AG337" s="1502" t="inlineStr">
        <is>
          <t>satin = 340 /kit</t>
        </is>
      </c>
      <c r="AH337" s="1916" t="inlineStr">
        <is>
          <t>median:</t>
        </is>
      </c>
      <c r="AI337" s="2153">
        <f>HP_Satin_Topcoat</f>
        <v/>
      </c>
      <c r="AO337" s="1281" t="inlineStr">
        <is>
          <t>"ceiling" @ 10 lbs? 50 lbs?</t>
        </is>
      </c>
    </row>
    <row r="338" ht="16.2" customFormat="1" customHeight="1" s="1916" thickBot="1">
      <c r="A338" s="53" t="n"/>
      <c r="B338" s="113" t="n"/>
      <c r="C338" s="2145" t="n"/>
      <c r="D338" s="2145" t="n"/>
      <c r="E338" s="53" t="n"/>
      <c r="F338" s="53" t="n"/>
      <c r="AA338" s="1219" t="inlineStr">
        <is>
          <t>Top Coat 2</t>
        </is>
      </c>
      <c r="AB338" s="1220" t="inlineStr">
        <is>
          <t>HP Topcoat Satin-or-Eggshell</t>
        </is>
      </c>
      <c r="AC338" s="1221" t="n">
        <v>370</v>
      </c>
      <c r="AD338" s="1222" t="inlineStr">
        <is>
          <t>SF/Kit</t>
        </is>
      </c>
      <c r="AE338" s="1223">
        <f>ROUNDUP(AI333/AC338,0)</f>
        <v/>
      </c>
      <c r="AF338" s="2138">
        <f>AE338*HP_Eggshell_Topcoat</f>
        <v/>
      </c>
      <c r="AG338" s="1502" t="inlineStr">
        <is>
          <t>egg shell = 400 /kit</t>
        </is>
      </c>
      <c r="AH338" s="1891">
        <f>MEDIAN(340,400)</f>
        <v/>
      </c>
      <c r="AI338" s="2153">
        <f>HP_Eggshell_Topcoat</f>
        <v/>
      </c>
    </row>
    <row r="339" ht="16.2" customFormat="1" customHeight="1" s="1916" thickBot="1">
      <c r="A339" s="53" t="n"/>
      <c r="B339" s="113" t="n"/>
      <c r="C339" s="2145" t="n"/>
      <c r="D339" s="2145" t="n"/>
      <c r="E339" s="53" t="n"/>
      <c r="F339" s="53" t="n"/>
      <c r="AA339" s="585" t="n"/>
      <c r="AB339" s="585" t="n"/>
      <c r="AC339" s="585" t="n"/>
      <c r="AD339" s="585" t="n"/>
      <c r="AE339" s="585" t="n"/>
      <c r="AF339" s="2133">
        <f>SUM(AF335:AF338)</f>
        <v/>
      </c>
      <c r="AG339" s="1236" t="inlineStr">
        <is>
          <t>Total Liquids Above</t>
        </is>
      </c>
      <c r="AI339" s="2148" t="n"/>
    </row>
    <row r="340" customFormat="1" s="1916">
      <c r="A340" s="53" t="n"/>
      <c r="B340" s="112" t="n"/>
      <c r="C340" s="2145" t="n"/>
      <c r="D340" s="2145" t="n"/>
      <c r="E340" s="53" t="n"/>
      <c r="F340" s="53" t="n"/>
    </row>
    <row r="341" customFormat="1" s="1916">
      <c r="A341" s="53" t="n"/>
      <c r="B341" s="112" t="n"/>
      <c r="C341" s="2145" t="n"/>
      <c r="D341" s="2145" t="n"/>
      <c r="E341" s="53" t="n"/>
      <c r="F341" s="53" t="n"/>
    </row>
    <row r="342" customFormat="1" s="1916">
      <c r="A342" s="53" t="n"/>
      <c r="B342" s="112" t="n"/>
      <c r="C342" s="2145" t="n"/>
      <c r="D342" s="2149" t="n"/>
      <c r="E342" s="53" t="n"/>
      <c r="F342" s="53" t="n"/>
      <c r="N342" s="53" t="n"/>
    </row>
    <row r="343" customFormat="1" s="1916">
      <c r="A343" s="53" t="n"/>
      <c r="B343" s="113" t="n"/>
      <c r="C343" s="2145" t="n"/>
      <c r="D343" s="2145" t="n"/>
      <c r="E343" s="53" t="n"/>
      <c r="F343" s="53" t="n"/>
      <c r="G343" s="53" t="n"/>
      <c r="I343" s="2154" t="n"/>
      <c r="N343" s="53" t="n"/>
    </row>
    <row r="344" customFormat="1" s="1916">
      <c r="A344" s="53" t="n"/>
      <c r="B344" s="53" t="n"/>
      <c r="C344" s="2145" t="n"/>
      <c r="D344" s="2145" t="n"/>
      <c r="E344" s="2145" t="n"/>
      <c r="F344" s="2145" t="n"/>
      <c r="N344" s="53" t="n"/>
    </row>
    <row r="345" customFormat="1" s="1916">
      <c r="A345" s="53" t="n"/>
      <c r="B345" s="53" t="n"/>
      <c r="C345" s="2145" t="n"/>
      <c r="D345" s="2145" t="n"/>
      <c r="F345" s="108" t="n"/>
      <c r="N345" s="53" t="n"/>
    </row>
    <row r="346" customFormat="1" s="1916">
      <c r="D346" s="2145" t="n"/>
    </row>
    <row r="347" customFormat="1" s="1916">
      <c r="A347" s="115" t="n"/>
    </row>
    <row r="348" customFormat="1" s="1916"/>
    <row r="349" customFormat="1" s="1916">
      <c r="A349" s="53" t="n"/>
      <c r="B349" s="53" t="n"/>
      <c r="C349" s="53" t="n"/>
      <c r="D349" s="53" t="n"/>
      <c r="L349" s="53" t="n"/>
      <c r="M349" s="53" t="n"/>
      <c r="N349" s="53" t="n"/>
      <c r="O349" s="53" t="n"/>
      <c r="P349" s="53" t="n"/>
    </row>
    <row r="350" customFormat="1" s="1916">
      <c r="A350" s="53" t="n"/>
      <c r="B350" s="53" t="n"/>
      <c r="C350" s="53" t="n"/>
      <c r="D350" s="53" t="n"/>
      <c r="E350" s="53" t="n"/>
      <c r="F350" s="53" t="n"/>
      <c r="L350" s="53" t="n"/>
      <c r="M350" s="53" t="n"/>
      <c r="N350" s="53" t="n"/>
      <c r="O350" s="53" t="n"/>
      <c r="P350" s="2145" t="n"/>
    </row>
    <row r="351" customFormat="1" s="1916">
      <c r="A351" s="53" t="n"/>
      <c r="B351" s="2155" t="n"/>
      <c r="C351" s="2145" t="n"/>
      <c r="D351" s="2145" t="n"/>
      <c r="E351" s="2156" t="n"/>
      <c r="F351" s="53" t="n"/>
      <c r="L351" s="53" t="n"/>
      <c r="M351" s="53" t="n"/>
      <c r="N351" s="2145" t="n"/>
      <c r="O351" s="2145" t="n"/>
      <c r="P351" s="2145" t="n"/>
    </row>
    <row r="352" customFormat="1" s="1916">
      <c r="A352" s="53" t="n"/>
      <c r="B352" s="53" t="n"/>
      <c r="C352" s="2145" t="n"/>
      <c r="D352" s="2145" t="n"/>
      <c r="E352" s="53" t="n"/>
      <c r="F352" s="53" t="n"/>
      <c r="L352" s="53" t="n"/>
      <c r="M352" s="53" t="n"/>
      <c r="N352" s="2145" t="n"/>
      <c r="O352" s="2156" t="n"/>
      <c r="P352" s="2145" t="n"/>
    </row>
    <row r="353" customFormat="1" s="1916">
      <c r="A353" s="53" t="n"/>
      <c r="B353" s="53" t="n"/>
      <c r="C353" s="2145" t="n"/>
      <c r="D353" s="2145" t="n"/>
      <c r="E353" s="53" t="n"/>
      <c r="F353" s="53" t="n"/>
      <c r="L353" s="53" t="n"/>
      <c r="M353" s="53" t="n"/>
      <c r="N353" s="2145" t="n"/>
      <c r="O353" s="2156" t="n"/>
      <c r="P353" s="2145" t="n"/>
    </row>
    <row r="354" customFormat="1" s="1916">
      <c r="A354" s="53" t="n"/>
      <c r="B354" s="53" t="n"/>
      <c r="C354" s="2145" t="n"/>
      <c r="D354" s="2145" t="n"/>
      <c r="E354" s="53" t="n"/>
      <c r="F354" s="53" t="n"/>
      <c r="L354" s="53" t="n"/>
      <c r="M354" s="2145" t="n"/>
      <c r="N354" s="2149" t="n"/>
      <c r="O354" s="53" t="n"/>
      <c r="P354" s="53" t="n"/>
      <c r="Q354" s="53" t="n"/>
      <c r="R354" s="53" t="n"/>
      <c r="S354" s="53" t="n"/>
    </row>
    <row r="355" customFormat="1" s="1916">
      <c r="A355" s="53" t="n"/>
      <c r="B355" s="53" t="n"/>
      <c r="C355" s="2145" t="n"/>
      <c r="D355" s="2145" t="n"/>
      <c r="E355" s="53" t="n"/>
      <c r="F355" s="53" t="n"/>
      <c r="L355" s="53" t="n"/>
      <c r="M355" s="53" t="n"/>
      <c r="N355" s="2149" t="n"/>
      <c r="O355" s="53" t="n"/>
      <c r="P355" s="53" t="n"/>
      <c r="Q355" s="2145" t="n"/>
      <c r="R355" s="2145" t="n"/>
      <c r="S355" s="53" t="n"/>
    </row>
    <row r="356" customFormat="1" s="1916">
      <c r="A356" s="53" t="n"/>
      <c r="B356" s="53" t="n"/>
      <c r="C356" s="2145" t="n"/>
      <c r="D356" s="2145" t="n"/>
      <c r="E356" s="53" t="n"/>
      <c r="F356" s="53" t="n"/>
      <c r="L356" s="53" t="n"/>
      <c r="M356" s="53" t="n"/>
      <c r="N356" s="2149" t="n"/>
      <c r="O356" s="53" t="n"/>
      <c r="P356" s="53" t="n"/>
      <c r="Q356" s="2145" t="n"/>
      <c r="R356" s="2145" t="n"/>
      <c r="S356" s="53" t="n"/>
    </row>
    <row r="357" customFormat="1" s="1916">
      <c r="A357" s="53" t="n"/>
      <c r="B357" s="53" t="n"/>
      <c r="C357" s="2145" t="n"/>
      <c r="D357" s="2145" t="n"/>
      <c r="E357" s="53" t="n"/>
      <c r="F357" s="53" t="n"/>
      <c r="L357" s="53" t="n"/>
      <c r="M357" s="53" t="n"/>
      <c r="N357" s="2149" t="n"/>
      <c r="O357" s="53" t="n"/>
      <c r="P357" s="53" t="n"/>
      <c r="Q357" s="2145" t="n"/>
      <c r="R357" s="2145" t="n"/>
      <c r="S357" s="53" t="n"/>
    </row>
    <row r="358" customFormat="1" s="1916">
      <c r="A358" s="53" t="n"/>
      <c r="B358" s="53" t="n"/>
      <c r="C358" s="2145" t="n"/>
      <c r="D358" s="2145" t="n"/>
      <c r="E358" s="53" t="n"/>
      <c r="F358" s="53" t="n"/>
      <c r="L358" s="53" t="n"/>
      <c r="M358" s="53" t="n"/>
      <c r="N358" s="2149" t="n"/>
      <c r="O358" s="53" t="n"/>
      <c r="P358" s="53" t="n"/>
      <c r="Q358" s="2145" t="n"/>
      <c r="R358" s="2145" t="n"/>
      <c r="S358" s="53" t="n"/>
    </row>
    <row r="359" customFormat="1" s="1916">
      <c r="A359" s="53" t="n"/>
      <c r="B359" s="53" t="n"/>
      <c r="C359" s="2145" t="n"/>
      <c r="D359" s="2145" t="n"/>
      <c r="E359" s="53" t="n"/>
      <c r="F359" s="53" t="n"/>
      <c r="L359" s="53" t="n"/>
      <c r="M359" s="53" t="n"/>
      <c r="N359" s="2149" t="n"/>
      <c r="O359" s="53" t="n"/>
      <c r="P359" s="53" t="n"/>
      <c r="Q359" s="53" t="n"/>
      <c r="R359" s="53" t="n"/>
      <c r="S359" s="53" t="n"/>
    </row>
    <row r="360" customFormat="1" s="1916">
      <c r="A360" s="53" t="n"/>
      <c r="B360" s="53" t="n"/>
      <c r="C360" s="2145" t="n"/>
      <c r="D360" s="2145" t="n"/>
      <c r="E360" s="53" t="n"/>
      <c r="F360" s="53" t="n"/>
      <c r="L360" s="53" t="n"/>
      <c r="M360" s="53" t="n"/>
      <c r="N360" s="2149" t="n"/>
      <c r="O360" s="53" t="n"/>
      <c r="P360" s="53" t="n"/>
      <c r="Q360" s="53" t="n"/>
      <c r="R360" s="53" t="n"/>
      <c r="S360" s="53" t="n"/>
    </row>
    <row r="361" customFormat="1" s="1916">
      <c r="A361" s="53" t="n"/>
      <c r="B361" s="53" t="n"/>
      <c r="C361" s="2145" t="n"/>
      <c r="D361" s="2145" t="n"/>
      <c r="E361" s="53" t="n"/>
      <c r="F361" s="53" t="n"/>
      <c r="Q361" s="53" t="n"/>
      <c r="R361" s="53" t="n"/>
      <c r="S361" s="53" t="n"/>
    </row>
    <row r="362" customFormat="1" s="1916">
      <c r="A362" s="53" t="n"/>
      <c r="B362" s="53" t="n"/>
      <c r="C362" s="2145" t="n"/>
      <c r="D362" s="2145" t="n"/>
      <c r="E362" s="53" t="n"/>
      <c r="F362" s="53" t="n"/>
      <c r="Q362" s="53" t="n"/>
      <c r="R362" s="53" t="n"/>
      <c r="S362" s="53" t="n"/>
    </row>
    <row r="363" customFormat="1" s="1916">
      <c r="A363" s="53" t="n"/>
      <c r="B363" s="53" t="n"/>
      <c r="C363" s="2145" t="n"/>
      <c r="D363" s="2145" t="n"/>
      <c r="E363" s="2156" t="n"/>
      <c r="F363" s="53" t="n"/>
      <c r="Q363" s="53" t="n"/>
      <c r="R363" s="53" t="n"/>
      <c r="S363" s="53" t="n"/>
    </row>
    <row r="364" customFormat="1" s="1916">
      <c r="A364" s="53" t="n"/>
      <c r="B364" s="53" t="n"/>
      <c r="C364" s="2145" t="n"/>
      <c r="D364" s="2145" t="n"/>
      <c r="E364" s="53" t="n"/>
      <c r="F364" s="53" t="n"/>
      <c r="Q364" s="53" t="n"/>
      <c r="R364" s="53" t="n"/>
      <c r="S364" s="53" t="n"/>
    </row>
    <row r="365" customFormat="1" s="1916">
      <c r="A365" s="53" t="n"/>
      <c r="B365" s="53" t="n"/>
      <c r="C365" s="2145" t="n"/>
      <c r="D365" s="2145" t="n"/>
      <c r="E365" s="53" t="n"/>
      <c r="F365" s="53" t="n"/>
      <c r="Q365" s="53" t="n"/>
      <c r="R365" s="53" t="n"/>
      <c r="S365" s="53" t="n"/>
    </row>
    <row r="366" customFormat="1" s="1916">
      <c r="A366" s="53" t="n"/>
      <c r="B366" s="53" t="n"/>
      <c r="C366" s="2145" t="n"/>
      <c r="D366" s="2145" t="n"/>
      <c r="E366" s="53" t="n"/>
      <c r="F366" s="53" t="n"/>
    </row>
    <row r="367" customFormat="1" s="1916">
      <c r="A367" s="53" t="n"/>
      <c r="B367" s="53" t="n"/>
      <c r="C367" s="2145" t="n"/>
      <c r="D367" s="2145" t="n"/>
      <c r="E367" s="53" t="n"/>
      <c r="F367" s="53" t="n"/>
    </row>
    <row r="368" customFormat="1" s="1916">
      <c r="A368" s="103" t="n"/>
      <c r="B368" s="103" t="n"/>
      <c r="C368" s="2147" t="n"/>
      <c r="D368" s="2147" t="n"/>
      <c r="E368" s="53" t="n"/>
      <c r="F368" s="53" t="n"/>
    </row>
    <row r="369" customFormat="1" s="1916">
      <c r="A369" s="103" t="n"/>
      <c r="B369" s="105" t="n"/>
      <c r="C369" s="2147" t="n"/>
      <c r="D369" s="2147" t="n"/>
      <c r="E369" s="53" t="n"/>
      <c r="F369" s="53" t="n"/>
    </row>
    <row r="370" customFormat="1" s="1916">
      <c r="A370" s="103" t="n"/>
      <c r="B370" s="103" t="n"/>
      <c r="C370" s="2147" t="n"/>
      <c r="D370" s="2147" t="n"/>
      <c r="E370" s="53" t="n"/>
      <c r="F370" s="53" t="n"/>
    </row>
    <row r="371" customFormat="1" s="1916">
      <c r="A371" s="103" t="n"/>
      <c r="B371" s="105" t="n"/>
      <c r="C371" s="2147" t="n"/>
      <c r="D371" s="2147" t="n"/>
      <c r="E371" s="53" t="n"/>
      <c r="G371" s="53" t="n"/>
      <c r="H371" s="53" t="n"/>
      <c r="I371" s="53" t="n"/>
      <c r="J371" s="53" t="n"/>
      <c r="K371" s="53" t="n"/>
      <c r="L371" s="53" t="n"/>
    </row>
    <row r="372" customFormat="1" s="1916">
      <c r="A372" s="53" t="n"/>
      <c r="B372" s="53" t="n"/>
      <c r="C372" s="2145" t="n"/>
      <c r="D372" s="2145" t="n"/>
      <c r="E372" s="53" t="n"/>
      <c r="G372" s="53" t="n"/>
      <c r="H372" s="53" t="n"/>
      <c r="I372" s="53" t="n"/>
      <c r="J372" s="106" t="n"/>
      <c r="K372" s="106" t="n"/>
      <c r="L372" s="106" t="n"/>
    </row>
    <row r="373" customFormat="1" s="1916">
      <c r="A373" s="3" t="n"/>
      <c r="B373" s="2156" t="n"/>
      <c r="C373" s="3" t="n"/>
      <c r="D373" s="2156" t="n"/>
      <c r="E373" s="107" t="n"/>
      <c r="G373" s="53" t="n"/>
      <c r="H373" s="108" t="n"/>
      <c r="I373" s="53" t="n"/>
      <c r="J373" s="106" t="n"/>
      <c r="K373" s="106" t="n"/>
      <c r="L373" s="106" t="n"/>
    </row>
    <row r="374" customFormat="1" s="1916">
      <c r="A374" s="53" t="n"/>
      <c r="B374" s="53" t="n"/>
      <c r="C374" s="53" t="n"/>
      <c r="D374" s="53" t="n"/>
      <c r="E374" s="107" t="n"/>
      <c r="G374" s="53" t="n"/>
      <c r="H374" s="53" t="n"/>
      <c r="I374" s="53" t="n"/>
      <c r="J374" s="2145" t="n"/>
      <c r="K374" s="2145" t="n"/>
      <c r="L374" s="53" t="n"/>
    </row>
    <row r="375" customFormat="1" s="1916">
      <c r="A375" s="53" t="n"/>
      <c r="B375" s="53" t="n"/>
      <c r="C375" s="53" t="n"/>
      <c r="D375" s="106" t="n"/>
      <c r="E375" s="106" t="n"/>
      <c r="G375" s="53" t="n"/>
      <c r="H375" s="93" t="n"/>
      <c r="I375" s="2145" t="n"/>
      <c r="J375" s="2145" t="n"/>
      <c r="K375" s="2145" t="n"/>
      <c r="L375" s="106" t="n"/>
    </row>
    <row r="376" customFormat="1" s="1916">
      <c r="A376" s="53" t="n"/>
      <c r="B376" s="53" t="n"/>
      <c r="C376" s="53" t="n"/>
      <c r="D376" s="53" t="n"/>
      <c r="E376" s="53" t="n"/>
      <c r="G376" s="53" t="n"/>
      <c r="H376" s="93" t="n"/>
      <c r="I376" s="2145" t="n"/>
      <c r="J376" s="2145" t="n"/>
      <c r="K376" s="2145" t="n"/>
      <c r="L376" s="53" t="n"/>
    </row>
    <row r="377" customFormat="1" s="1916">
      <c r="A377" s="53" t="n"/>
      <c r="B377" s="53" t="n"/>
      <c r="C377" s="53" t="n"/>
      <c r="D377" s="106" t="n"/>
      <c r="E377" s="106" t="n"/>
      <c r="G377" s="53" t="n"/>
      <c r="H377" s="93" t="n"/>
      <c r="I377" s="2145" t="n"/>
      <c r="J377" s="2145" t="n"/>
      <c r="K377" s="2145" t="n"/>
      <c r="L377" s="106" t="n"/>
    </row>
    <row r="378" customFormat="1" s="1916">
      <c r="A378" s="53" t="n"/>
      <c r="B378" s="53" t="n"/>
      <c r="C378" s="53" t="n"/>
      <c r="D378" s="2157" t="n"/>
      <c r="E378" s="2157" t="n"/>
      <c r="F378" s="53" t="n"/>
      <c r="G378" s="103" t="n"/>
      <c r="H378" s="103" t="n"/>
      <c r="I378" s="2147" t="n"/>
      <c r="J378" s="2147" t="n"/>
      <c r="K378" s="2145" t="n"/>
      <c r="L378" s="106" t="n"/>
    </row>
    <row r="379" customFormat="1" s="1916">
      <c r="A379" s="53" t="n"/>
      <c r="B379" s="53" t="n"/>
      <c r="C379" s="2145" t="n"/>
      <c r="D379" s="2145" t="n"/>
      <c r="E379" s="2145" t="n"/>
      <c r="F379" s="53" t="n"/>
      <c r="G379" s="53" t="n"/>
      <c r="H379" s="53" t="n"/>
    </row>
    <row r="380" customFormat="1" s="1916">
      <c r="A380" s="53" t="n"/>
      <c r="B380" s="53" t="n"/>
      <c r="C380" s="53" t="n"/>
      <c r="D380" s="2145" t="n"/>
      <c r="E380" s="53" t="n"/>
      <c r="F380" s="53" t="n"/>
      <c r="G380" s="110" t="n"/>
      <c r="H380" s="53" t="n"/>
      <c r="I380" s="53" t="n"/>
      <c r="J380" s="2145" t="n"/>
      <c r="K380" s="2145" t="n"/>
    </row>
    <row r="381" customFormat="1" s="1916">
      <c r="A381" s="53" t="n"/>
      <c r="B381" s="93" t="n"/>
      <c r="C381" s="2145" t="n"/>
      <c r="D381" s="2145" t="n"/>
      <c r="E381" s="53" t="n"/>
      <c r="F381" s="53" t="n"/>
      <c r="G381" s="2156" t="n"/>
      <c r="H381" s="93" t="n"/>
      <c r="I381" s="2145" t="n"/>
      <c r="J381" s="2145" t="n"/>
      <c r="K381" s="2145" t="n"/>
    </row>
    <row r="382" customFormat="1" s="1916">
      <c r="A382" s="53" t="n"/>
      <c r="B382" s="93" t="n"/>
      <c r="C382" s="2145" t="n"/>
      <c r="D382" s="2145" t="n"/>
      <c r="E382" s="53" t="n"/>
      <c r="F382" s="53" t="n"/>
      <c r="G382" s="53" t="n"/>
      <c r="H382" s="93" t="n"/>
      <c r="I382" s="2145" t="n"/>
      <c r="J382" s="2145" t="n"/>
      <c r="K382" s="2145" t="n"/>
    </row>
    <row r="383" customFormat="1" s="1916">
      <c r="A383" s="53" t="n"/>
      <c r="B383" s="93" t="n"/>
      <c r="C383" s="2145" t="n"/>
      <c r="D383" s="2145" t="n"/>
      <c r="E383" s="53" t="n"/>
      <c r="F383" s="53" t="n"/>
      <c r="G383" s="53" t="n"/>
      <c r="H383" s="93" t="n"/>
      <c r="I383" s="2145" t="n"/>
      <c r="J383" s="2145" t="n"/>
      <c r="K383" s="2145" t="n"/>
    </row>
    <row r="384" customFormat="1" s="1916">
      <c r="A384" s="53" t="n"/>
      <c r="B384" s="93" t="n"/>
      <c r="C384" s="2145" t="n"/>
      <c r="D384" s="2145" t="n"/>
      <c r="E384" s="111" t="n"/>
      <c r="F384" s="53" t="n"/>
      <c r="G384" s="53" t="n"/>
      <c r="H384" s="93" t="n"/>
      <c r="I384" s="2145" t="n"/>
      <c r="J384" s="2145" t="n"/>
      <c r="K384" s="2145" t="n"/>
    </row>
    <row r="385" customFormat="1" s="1916">
      <c r="A385" s="53" t="n"/>
      <c r="B385" s="93" t="n"/>
      <c r="C385" s="2145" t="n"/>
      <c r="D385" s="2145" t="n"/>
      <c r="E385" s="111" t="n"/>
      <c r="F385" s="53" t="n"/>
      <c r="G385" s="53" t="n"/>
      <c r="H385" s="93" t="n"/>
      <c r="I385" s="2145" t="n"/>
      <c r="J385" s="2145" t="n"/>
      <c r="K385" s="2145" t="n"/>
    </row>
    <row r="386" customFormat="1" s="1916">
      <c r="A386" s="53" t="n"/>
      <c r="B386" s="93" t="n"/>
      <c r="C386" s="2145" t="n"/>
      <c r="D386" s="2145" t="n"/>
      <c r="E386" s="53" t="n"/>
      <c r="F386" s="53" t="n"/>
      <c r="G386" s="53" t="n"/>
      <c r="H386" s="93" t="n"/>
      <c r="I386" s="2145" t="n"/>
      <c r="J386" s="2145" t="n"/>
      <c r="K386" s="2145" t="n"/>
    </row>
    <row r="387" customFormat="1" s="1916">
      <c r="A387" s="53" t="n"/>
      <c r="B387" s="93" t="n"/>
      <c r="C387" s="2145" t="n"/>
      <c r="D387" s="2145" t="n"/>
      <c r="E387" s="53" t="n"/>
      <c r="F387" s="53" t="n"/>
      <c r="G387" s="53" t="n"/>
      <c r="H387" s="93" t="n"/>
      <c r="I387" s="2145" t="n"/>
      <c r="J387" s="2145" t="n"/>
      <c r="K387" s="2145" t="n"/>
    </row>
    <row r="388" customFormat="1" s="1916">
      <c r="A388" s="103" t="n"/>
      <c r="B388" s="103" t="n"/>
      <c r="C388" s="2147" t="n"/>
      <c r="D388" s="2147" t="n"/>
      <c r="E388" s="53" t="n"/>
      <c r="F388" s="53" t="n"/>
      <c r="G388" s="103" t="n"/>
      <c r="H388" s="103" t="n"/>
      <c r="I388" s="2147" t="n"/>
      <c r="J388" s="2147" t="n"/>
      <c r="K388" s="2147" t="n"/>
    </row>
    <row r="389" customFormat="1" s="1916">
      <c r="A389" s="53" t="n"/>
      <c r="B389" s="53" t="n"/>
      <c r="C389" s="2145" t="n"/>
      <c r="D389" s="2145" t="n"/>
      <c r="E389" s="53" t="n"/>
      <c r="F389" s="53" t="n"/>
    </row>
    <row r="390" customFormat="1" s="1916">
      <c r="A390" s="53" t="n"/>
      <c r="B390" s="53" t="n"/>
      <c r="C390" s="2145" t="n"/>
      <c r="D390" s="2147" t="n"/>
      <c r="E390" s="53" t="n"/>
      <c r="F390" s="53" t="n"/>
    </row>
    <row r="391" customFormat="1" s="1916">
      <c r="A391" s="53" t="n"/>
      <c r="B391" s="53" t="n"/>
      <c r="C391" s="2145" t="n"/>
      <c r="D391" s="2145" t="n"/>
      <c r="E391" s="53" t="n"/>
      <c r="F391" s="53" t="n"/>
    </row>
    <row r="392" customFormat="1" s="1916">
      <c r="A392" s="53" t="n"/>
      <c r="B392" s="53" t="n"/>
      <c r="C392" s="2145" t="n"/>
      <c r="D392" s="2145" t="n"/>
      <c r="E392" s="53" t="n"/>
      <c r="F392" s="53" t="n"/>
    </row>
    <row r="393" customFormat="1" s="1916">
      <c r="A393" s="53" t="n"/>
      <c r="B393" s="112" t="n"/>
      <c r="C393" s="2145" t="n"/>
      <c r="D393" s="2145" t="n"/>
      <c r="E393" s="53" t="n"/>
      <c r="F393" s="53" t="n"/>
    </row>
    <row r="394" customFormat="1" s="1916">
      <c r="A394" s="53" t="n"/>
      <c r="B394" s="112" t="n"/>
      <c r="C394" s="2145" t="n"/>
      <c r="D394" s="2145" t="n"/>
      <c r="E394" s="53" t="n"/>
      <c r="F394" s="53" t="n"/>
    </row>
    <row r="395" customFormat="1" s="1916">
      <c r="A395" s="53" t="n"/>
      <c r="B395" s="113" t="n"/>
      <c r="C395" s="2145" t="n"/>
      <c r="D395" s="2145" t="n"/>
      <c r="E395" s="53" t="n"/>
      <c r="F395" s="53" t="n"/>
    </row>
    <row r="396" customFormat="1" s="1916">
      <c r="A396" s="53" t="n"/>
      <c r="B396" s="113" t="n"/>
      <c r="C396" s="2145" t="n"/>
      <c r="D396" s="2145" t="n"/>
      <c r="E396" s="53" t="n"/>
      <c r="F396" s="53" t="n"/>
    </row>
    <row r="397" customFormat="1" s="1916">
      <c r="A397" s="53" t="n"/>
      <c r="B397" s="113" t="n"/>
      <c r="C397" s="2145" t="n"/>
      <c r="D397" s="2145" t="n"/>
      <c r="E397" s="53" t="n"/>
      <c r="F397" s="53" t="n"/>
    </row>
    <row r="398" customFormat="1" s="1916">
      <c r="A398" s="53" t="n"/>
      <c r="B398" s="113" t="n"/>
      <c r="C398" s="2145" t="n"/>
      <c r="D398" s="2145" t="n"/>
      <c r="E398" s="53" t="n"/>
      <c r="F398" s="53" t="n"/>
    </row>
    <row r="399" customFormat="1" s="1916">
      <c r="A399" s="53" t="n"/>
      <c r="B399" s="112" t="n"/>
      <c r="C399" s="2145" t="n"/>
      <c r="D399" s="2145" t="n"/>
      <c r="E399" s="53" t="n"/>
      <c r="F399" s="53" t="n"/>
    </row>
    <row r="400" customFormat="1" s="1916">
      <c r="A400" s="53" t="n"/>
      <c r="B400" s="112" t="n"/>
      <c r="C400" s="2145" t="n"/>
      <c r="D400" s="2145" t="n"/>
      <c r="E400" s="53" t="n"/>
      <c r="F400" s="53" t="n"/>
    </row>
    <row r="401" customFormat="1" s="1916">
      <c r="A401" s="53" t="n"/>
      <c r="B401" s="112" t="n"/>
      <c r="C401" s="2145" t="n"/>
      <c r="D401" s="2149" t="n"/>
      <c r="E401" s="53" t="n"/>
      <c r="F401" s="53" t="n"/>
      <c r="N401" s="53" t="n"/>
    </row>
    <row r="402" customFormat="1" s="1916">
      <c r="A402" s="53" t="n"/>
      <c r="B402" s="113" t="n"/>
      <c r="C402" s="2145" t="n"/>
      <c r="D402" s="2145" t="n"/>
      <c r="E402" s="53" t="n"/>
      <c r="F402" s="53" t="n"/>
      <c r="G402" s="53" t="n"/>
      <c r="I402" s="2154" t="n"/>
      <c r="N402" s="53" t="n"/>
    </row>
    <row r="403" customFormat="1" s="1916">
      <c r="A403" s="53" t="n"/>
      <c r="B403" s="53" t="n"/>
      <c r="C403" s="2145" t="n"/>
      <c r="D403" s="2145" t="n"/>
      <c r="E403" s="2145" t="n"/>
      <c r="F403" s="2145" t="n"/>
      <c r="N403" s="53" t="n"/>
    </row>
    <row r="404" customFormat="1" s="1916">
      <c r="A404" s="53" t="n"/>
      <c r="B404" s="53" t="n"/>
      <c r="C404" s="2145" t="n"/>
      <c r="D404" s="2145" t="n"/>
      <c r="F404" s="108" t="n"/>
      <c r="N404" s="53" t="n"/>
    </row>
    <row r="405" customFormat="1" s="1916">
      <c r="A405" s="115" t="n"/>
      <c r="D405" s="2145" t="n"/>
    </row>
    <row r="406" customFormat="1" s="1916"/>
    <row r="407" customFormat="1" s="1916">
      <c r="A407" s="116" t="n"/>
    </row>
    <row r="408" customFormat="1" s="1916">
      <c r="A408" s="53" t="n"/>
      <c r="B408" s="53" t="n"/>
      <c r="C408" s="53" t="n"/>
      <c r="D408" s="53" t="n"/>
      <c r="L408" s="53" t="n"/>
      <c r="M408" s="53" t="n"/>
      <c r="N408" s="53" t="n"/>
      <c r="O408" s="53" t="n"/>
      <c r="P408" s="53" t="n"/>
    </row>
    <row r="409" customFormat="1" s="1916">
      <c r="A409" s="53" t="n"/>
      <c r="B409" s="53" t="n"/>
      <c r="C409" s="53" t="n"/>
      <c r="D409" s="53" t="n"/>
      <c r="E409" s="53" t="n"/>
      <c r="F409" s="53" t="n"/>
      <c r="L409" s="53" t="n"/>
      <c r="M409" s="53" t="n"/>
      <c r="N409" s="53" t="n"/>
      <c r="O409" s="53" t="n"/>
      <c r="P409" s="2145" t="n"/>
    </row>
    <row r="410" customFormat="1" s="1916">
      <c r="A410" s="53" t="n"/>
      <c r="B410" s="2155" t="n"/>
      <c r="C410" s="2145" t="n"/>
      <c r="D410" s="2145" t="n"/>
      <c r="E410" s="2156" t="n"/>
      <c r="F410" s="53" t="n"/>
      <c r="L410" s="53" t="n"/>
      <c r="M410" s="53" t="n"/>
      <c r="N410" s="2145" t="n"/>
      <c r="O410" s="2145" t="n"/>
      <c r="P410" s="2145" t="n"/>
    </row>
    <row r="411" customFormat="1" s="1916">
      <c r="A411" s="53" t="n"/>
      <c r="B411" s="53" t="n"/>
      <c r="C411" s="2145" t="n"/>
      <c r="D411" s="2145" t="n"/>
      <c r="E411" s="53" t="n"/>
      <c r="F411" s="53" t="n"/>
      <c r="L411" s="53" t="n"/>
      <c r="M411" s="53" t="n"/>
      <c r="N411" s="2145" t="n"/>
      <c r="O411" s="2156" t="n"/>
      <c r="P411" s="2145" t="n"/>
    </row>
    <row r="412" customFormat="1" s="1916">
      <c r="A412" s="53" t="n"/>
      <c r="B412" s="53" t="n"/>
      <c r="C412" s="2145" t="n"/>
      <c r="D412" s="2145" t="n"/>
      <c r="E412" s="53" t="n"/>
      <c r="F412" s="53" t="n"/>
      <c r="L412" s="53" t="n"/>
      <c r="M412" s="53" t="n"/>
      <c r="N412" s="2145" t="n"/>
      <c r="O412" s="2156" t="n"/>
      <c r="P412" s="2145" t="n"/>
    </row>
    <row r="413" customFormat="1" s="1916">
      <c r="A413" s="53" t="n"/>
      <c r="B413" s="53" t="n"/>
      <c r="C413" s="2145" t="n"/>
      <c r="D413" s="2145" t="n"/>
      <c r="E413" s="53" t="n"/>
      <c r="F413" s="53" t="n"/>
      <c r="L413" s="53" t="n"/>
      <c r="M413" s="2145" t="n"/>
      <c r="N413" s="2149" t="n"/>
      <c r="O413" s="53" t="n"/>
      <c r="P413" s="53" t="n"/>
      <c r="Q413" s="53" t="n"/>
      <c r="R413" s="53" t="n"/>
      <c r="S413" s="53" t="n"/>
    </row>
    <row r="414" customFormat="1" s="1916">
      <c r="A414" s="53" t="n"/>
      <c r="B414" s="53" t="n"/>
      <c r="C414" s="2145" t="n"/>
      <c r="D414" s="2145" t="n"/>
      <c r="E414" s="53" t="n"/>
      <c r="F414" s="53" t="n"/>
      <c r="L414" s="53" t="n"/>
      <c r="M414" s="53" t="n"/>
      <c r="N414" s="2149" t="n"/>
      <c r="O414" s="53" t="n"/>
      <c r="P414" s="53" t="n"/>
      <c r="Q414" s="2145" t="n"/>
      <c r="R414" s="2145" t="n"/>
      <c r="S414" s="53" t="n"/>
    </row>
    <row r="415" customFormat="1" s="1916">
      <c r="A415" s="53" t="n"/>
      <c r="B415" s="53" t="n"/>
      <c r="C415" s="2145" t="n"/>
      <c r="D415" s="2145" t="n"/>
      <c r="E415" s="53" t="n"/>
      <c r="F415" s="53" t="n"/>
      <c r="L415" s="53" t="n"/>
      <c r="M415" s="53" t="n"/>
      <c r="N415" s="2149" t="n"/>
      <c r="O415" s="53" t="n"/>
      <c r="P415" s="53" t="n"/>
      <c r="Q415" s="2145" t="n"/>
      <c r="R415" s="2145" t="n"/>
      <c r="S415" s="53" t="n"/>
    </row>
    <row r="416" customFormat="1" s="1916">
      <c r="A416" s="53" t="n"/>
      <c r="B416" s="53" t="n"/>
      <c r="C416" s="2145" t="n"/>
      <c r="D416" s="2145" t="n"/>
      <c r="E416" s="53" t="n"/>
      <c r="F416" s="53" t="n"/>
      <c r="L416" s="53" t="n"/>
      <c r="M416" s="53" t="n"/>
      <c r="N416" s="2149" t="n"/>
      <c r="O416" s="53" t="n"/>
      <c r="P416" s="53" t="n"/>
      <c r="Q416" s="2145" t="n"/>
      <c r="R416" s="2145" t="n"/>
      <c r="S416" s="53" t="n"/>
    </row>
    <row r="417" customFormat="1" s="1916">
      <c r="A417" s="53" t="n"/>
      <c r="B417" s="53" t="n"/>
      <c r="C417" s="2145" t="n"/>
      <c r="D417" s="2145" t="n"/>
      <c r="E417" s="53" t="n"/>
      <c r="F417" s="53" t="n"/>
      <c r="L417" s="53" t="n"/>
      <c r="M417" s="53" t="n"/>
      <c r="N417" s="2149" t="n"/>
      <c r="O417" s="53" t="n"/>
      <c r="P417" s="53" t="n"/>
      <c r="Q417" s="2145" t="n"/>
      <c r="R417" s="2145" t="n"/>
      <c r="S417" s="53" t="n"/>
    </row>
    <row r="418" customFormat="1" s="1916">
      <c r="A418" s="53" t="n"/>
      <c r="B418" s="53" t="n"/>
      <c r="C418" s="2145" t="n"/>
      <c r="D418" s="2145" t="n"/>
      <c r="E418" s="53" t="n"/>
      <c r="F418" s="53" t="n"/>
      <c r="L418" s="53" t="n"/>
      <c r="M418" s="53" t="n"/>
      <c r="N418" s="2149" t="n"/>
      <c r="O418" s="53" t="n"/>
      <c r="P418" s="53" t="n"/>
      <c r="Q418" s="53" t="n"/>
      <c r="R418" s="53" t="n"/>
      <c r="S418" s="53" t="n"/>
    </row>
    <row r="419" customFormat="1" s="1916">
      <c r="A419" s="53" t="n"/>
      <c r="B419" s="53" t="n"/>
      <c r="C419" s="2145" t="n"/>
      <c r="D419" s="2145" t="n"/>
      <c r="E419" s="53" t="n"/>
      <c r="F419" s="53" t="n"/>
      <c r="L419" s="53" t="n"/>
      <c r="M419" s="53" t="n"/>
      <c r="N419" s="2149" t="n"/>
      <c r="O419" s="53" t="n"/>
      <c r="P419" s="53" t="n"/>
      <c r="Q419" s="53" t="n"/>
      <c r="R419" s="53" t="n"/>
      <c r="S419" s="53" t="n"/>
    </row>
    <row r="420" customFormat="1" s="1916">
      <c r="A420" s="53" t="n"/>
      <c r="B420" s="53" t="n"/>
      <c r="C420" s="2145" t="n"/>
      <c r="D420" s="2145" t="n"/>
      <c r="E420" s="53" t="n"/>
      <c r="F420" s="53" t="n"/>
      <c r="Q420" s="53" t="n"/>
      <c r="R420" s="53" t="n"/>
      <c r="S420" s="53" t="n"/>
    </row>
    <row r="421" customFormat="1" s="1916">
      <c r="A421" s="53" t="n"/>
      <c r="B421" s="53" t="n"/>
      <c r="C421" s="2145" t="n"/>
      <c r="D421" s="2145" t="n"/>
      <c r="E421" s="53" t="n"/>
      <c r="F421" s="53" t="n"/>
      <c r="Q421" s="53" t="n"/>
      <c r="R421" s="53" t="n"/>
      <c r="S421" s="53" t="n"/>
    </row>
    <row r="422" customFormat="1" s="1916">
      <c r="A422" s="53" t="n"/>
      <c r="B422" s="53" t="n"/>
      <c r="C422" s="2145" t="n"/>
      <c r="D422" s="2145" t="n"/>
      <c r="E422" s="2156" t="n"/>
      <c r="F422" s="53" t="n"/>
      <c r="Q422" s="53" t="n"/>
      <c r="R422" s="53" t="n"/>
      <c r="S422" s="53" t="n"/>
    </row>
    <row r="423" customFormat="1" s="1916">
      <c r="A423" s="53" t="n"/>
      <c r="B423" s="53" t="n"/>
      <c r="C423" s="2145" t="n"/>
      <c r="D423" s="2145" t="n"/>
      <c r="E423" s="53" t="n"/>
      <c r="F423" s="53" t="n"/>
      <c r="Q423" s="53" t="n"/>
      <c r="R423" s="53" t="n"/>
      <c r="S423" s="53" t="n"/>
    </row>
    <row r="424" customFormat="1" s="1916">
      <c r="A424" s="53" t="n"/>
      <c r="B424" s="53" t="n"/>
      <c r="C424" s="2145" t="n"/>
      <c r="D424" s="2145" t="n"/>
      <c r="E424" s="53" t="n"/>
      <c r="F424" s="53" t="n"/>
      <c r="Q424" s="53" t="n"/>
      <c r="R424" s="53" t="n"/>
      <c r="S424" s="53" t="n"/>
    </row>
    <row r="425" customFormat="1" s="1916">
      <c r="A425" s="53" t="n"/>
      <c r="B425" s="53" t="n"/>
      <c r="C425" s="2145" t="n"/>
      <c r="D425" s="2145" t="n"/>
      <c r="E425" s="53" t="n"/>
      <c r="F425" s="53" t="n"/>
    </row>
    <row r="426" customFormat="1" s="1916">
      <c r="A426" s="53" t="n"/>
      <c r="B426" s="53" t="n"/>
      <c r="C426" s="2145" t="n"/>
      <c r="D426" s="2145" t="n"/>
      <c r="E426" s="53" t="n"/>
      <c r="F426" s="53" t="n"/>
    </row>
    <row r="427" customFormat="1" s="1916">
      <c r="A427" s="103" t="n"/>
      <c r="B427" s="103" t="n"/>
      <c r="C427" s="2147" t="n"/>
      <c r="D427" s="2147" t="n"/>
      <c r="E427" s="53" t="n"/>
      <c r="F427" s="53" t="n"/>
    </row>
    <row r="428" customFormat="1" s="1916">
      <c r="A428" s="103" t="n"/>
      <c r="B428" s="105" t="n"/>
      <c r="C428" s="2147" t="n"/>
      <c r="D428" s="2147" t="n"/>
      <c r="E428" s="53" t="n"/>
      <c r="F428" s="53" t="n"/>
    </row>
    <row r="429" customFormat="1" s="1916">
      <c r="A429" s="103" t="n"/>
      <c r="B429" s="103" t="n"/>
      <c r="C429" s="2147" t="n"/>
      <c r="D429" s="2147" t="n"/>
      <c r="E429" s="53" t="n"/>
      <c r="F429" s="53" t="n"/>
    </row>
    <row r="430" customFormat="1" s="1916">
      <c r="A430" s="103" t="n"/>
      <c r="B430" s="105" t="n"/>
      <c r="C430" s="2147" t="n"/>
      <c r="D430" s="2147" t="n"/>
      <c r="E430" s="53" t="n"/>
      <c r="G430" s="53" t="n"/>
      <c r="H430" s="53" t="n"/>
      <c r="I430" s="53" t="n"/>
      <c r="J430" s="53" t="n"/>
      <c r="K430" s="53" t="n"/>
      <c r="L430" s="53" t="n"/>
    </row>
    <row r="431" customFormat="1" s="1916">
      <c r="A431" s="53" t="n"/>
      <c r="B431" s="53" t="n"/>
      <c r="C431" s="2145" t="n"/>
      <c r="D431" s="2145" t="n"/>
      <c r="E431" s="53" t="n"/>
      <c r="G431" s="53" t="n"/>
      <c r="H431" s="53" t="n"/>
      <c r="I431" s="53" t="n"/>
      <c r="J431" s="106" t="n"/>
      <c r="K431" s="106" t="n"/>
      <c r="L431" s="106" t="n"/>
    </row>
    <row r="432" customFormat="1" s="1916">
      <c r="A432" s="3" t="n"/>
      <c r="B432" s="2156" t="n"/>
      <c r="C432" s="3" t="n"/>
      <c r="D432" s="2156" t="n"/>
      <c r="E432" s="107" t="n"/>
      <c r="G432" s="53" t="n"/>
      <c r="H432" s="108" t="n"/>
      <c r="I432" s="53" t="n"/>
      <c r="J432" s="106" t="n"/>
      <c r="K432" s="106" t="n"/>
      <c r="L432" s="106" t="n"/>
    </row>
    <row r="433" customFormat="1" s="1916">
      <c r="A433" s="53" t="n"/>
      <c r="B433" s="53" t="n"/>
      <c r="C433" s="53" t="n"/>
      <c r="D433" s="53" t="n"/>
      <c r="E433" s="107" t="n"/>
      <c r="G433" s="53" t="n"/>
      <c r="H433" s="53" t="n"/>
      <c r="I433" s="53" t="n"/>
      <c r="J433" s="2145" t="n"/>
      <c r="K433" s="2145" t="n"/>
      <c r="L433" s="53" t="n"/>
    </row>
    <row r="434" customFormat="1" s="1916">
      <c r="A434" s="53" t="n"/>
      <c r="B434" s="53" t="n"/>
      <c r="C434" s="53" t="n"/>
      <c r="D434" s="106" t="n"/>
      <c r="E434" s="106" t="n"/>
      <c r="G434" s="53" t="n"/>
      <c r="H434" s="93" t="n"/>
      <c r="I434" s="2145" t="n"/>
      <c r="J434" s="2145" t="n"/>
      <c r="K434" s="2145" t="n"/>
      <c r="L434" s="106" t="n"/>
    </row>
    <row r="435" customFormat="1" s="1916">
      <c r="A435" s="53" t="n"/>
      <c r="B435" s="53" t="n"/>
      <c r="C435" s="53" t="n"/>
      <c r="D435" s="53" t="n"/>
      <c r="E435" s="53" t="n"/>
      <c r="G435" s="53" t="n"/>
      <c r="H435" s="93" t="n"/>
      <c r="I435" s="2145" t="n"/>
      <c r="J435" s="2145" t="n"/>
      <c r="K435" s="2145" t="n"/>
      <c r="L435" s="53" t="n"/>
    </row>
    <row r="436" customFormat="1" s="1916">
      <c r="A436" s="53" t="n"/>
      <c r="B436" s="53" t="n"/>
      <c r="C436" s="53" t="n"/>
      <c r="D436" s="106" t="n"/>
      <c r="E436" s="106" t="n"/>
      <c r="G436" s="53" t="n"/>
      <c r="H436" s="93" t="n"/>
      <c r="I436" s="2145" t="n"/>
      <c r="J436" s="2145" t="n"/>
      <c r="K436" s="2145" t="n"/>
      <c r="L436" s="106" t="n"/>
    </row>
    <row r="437" customFormat="1" s="1916">
      <c r="A437" s="53" t="n"/>
      <c r="B437" s="53" t="n"/>
      <c r="C437" s="53" t="n"/>
      <c r="D437" s="2157" t="n"/>
      <c r="E437" s="2157" t="n"/>
      <c r="F437" s="53" t="n"/>
      <c r="G437" s="103" t="n"/>
      <c r="H437" s="103" t="n"/>
      <c r="I437" s="2147" t="n"/>
      <c r="J437" s="2147" t="n"/>
      <c r="K437" s="2145" t="n"/>
      <c r="L437" s="106" t="n"/>
    </row>
    <row r="438" customFormat="1" s="1916">
      <c r="A438" s="53" t="n"/>
      <c r="B438" s="53" t="n"/>
      <c r="C438" s="2145" t="n"/>
      <c r="D438" s="2145" t="n"/>
      <c r="E438" s="2145" t="n"/>
      <c r="F438" s="53" t="n"/>
      <c r="G438" s="53" t="n"/>
      <c r="H438" s="53" t="n"/>
    </row>
    <row r="439" customFormat="1" s="1916">
      <c r="A439" s="53" t="n"/>
      <c r="B439" s="53" t="n"/>
      <c r="C439" s="53" t="n"/>
      <c r="D439" s="2145" t="n"/>
      <c r="E439" s="53" t="n"/>
      <c r="F439" s="53" t="n"/>
      <c r="G439" s="110" t="n"/>
      <c r="H439" s="53" t="n"/>
      <c r="I439" s="53" t="n"/>
      <c r="J439" s="2145" t="n"/>
      <c r="K439" s="2145" t="n"/>
    </row>
    <row r="440" customFormat="1" s="1916">
      <c r="A440" s="53" t="n"/>
      <c r="B440" s="93" t="n"/>
      <c r="C440" s="2145" t="n"/>
      <c r="D440" s="2145" t="n"/>
      <c r="E440" s="53" t="n"/>
      <c r="F440" s="53" t="n"/>
      <c r="G440" s="2156" t="n"/>
      <c r="H440" s="93" t="n"/>
      <c r="I440" s="2145" t="n"/>
      <c r="J440" s="2145" t="n"/>
      <c r="K440" s="2145" t="n"/>
    </row>
    <row r="441" customFormat="1" s="1916">
      <c r="A441" s="53" t="n"/>
      <c r="B441" s="93" t="n"/>
      <c r="C441" s="2145" t="n"/>
      <c r="D441" s="2145" t="n"/>
      <c r="E441" s="53" t="n"/>
      <c r="F441" s="53" t="n"/>
      <c r="G441" s="53" t="n"/>
      <c r="H441" s="93" t="n"/>
      <c r="I441" s="2145" t="n"/>
      <c r="J441" s="2145" t="n"/>
      <c r="K441" s="2145" t="n"/>
    </row>
    <row r="442" customFormat="1" s="1916">
      <c r="A442" s="53" t="n"/>
      <c r="B442" s="93" t="n"/>
      <c r="C442" s="2145" t="n"/>
      <c r="D442" s="2145" t="n"/>
      <c r="E442" s="53" t="n"/>
      <c r="F442" s="53" t="n"/>
      <c r="G442" s="53" t="n"/>
      <c r="H442" s="93" t="n"/>
      <c r="I442" s="2145" t="n"/>
      <c r="J442" s="2145" t="n"/>
      <c r="K442" s="2145" t="n"/>
    </row>
    <row r="443" customFormat="1" s="1916">
      <c r="A443" s="53" t="n"/>
      <c r="B443" s="93" t="n"/>
      <c r="C443" s="2145" t="n"/>
      <c r="D443" s="2145" t="n"/>
      <c r="E443" s="111" t="n"/>
      <c r="F443" s="53" t="n"/>
      <c r="G443" s="53" t="n"/>
      <c r="H443" s="93" t="n"/>
      <c r="I443" s="2145" t="n"/>
      <c r="J443" s="2145" t="n"/>
      <c r="K443" s="2145" t="n"/>
    </row>
    <row r="444" customFormat="1" s="1916">
      <c r="A444" s="53" t="n"/>
      <c r="B444" s="93" t="n"/>
      <c r="C444" s="2145" t="n"/>
      <c r="D444" s="2145" t="n"/>
      <c r="E444" s="53" t="n"/>
      <c r="F444" s="53" t="n"/>
      <c r="G444" s="53" t="n"/>
      <c r="H444" s="93" t="n"/>
      <c r="I444" s="2145" t="n"/>
      <c r="J444" s="2145" t="n"/>
      <c r="K444" s="2145" t="n"/>
    </row>
    <row r="445" customFormat="1" s="1916">
      <c r="A445" s="53" t="n"/>
      <c r="B445" s="93" t="n"/>
      <c r="C445" s="2145" t="n"/>
      <c r="D445" s="2145" t="n"/>
      <c r="E445" s="53" t="n"/>
      <c r="F445" s="53" t="n"/>
      <c r="G445" s="53" t="n"/>
      <c r="H445" s="93" t="n"/>
      <c r="I445" s="2145" t="n"/>
      <c r="J445" s="2145" t="n"/>
      <c r="K445" s="2145" t="n"/>
    </row>
    <row r="446" customFormat="1" s="1916">
      <c r="A446" s="53" t="n"/>
      <c r="B446" s="93" t="n"/>
      <c r="C446" s="2145" t="n"/>
      <c r="D446" s="2145" t="n"/>
      <c r="E446" s="53" t="n"/>
      <c r="F446" s="53" t="n"/>
      <c r="G446" s="53" t="n"/>
      <c r="H446" s="93" t="n"/>
      <c r="I446" s="2145" t="n"/>
      <c r="J446" s="2145" t="n"/>
      <c r="K446" s="2145" t="n"/>
    </row>
    <row r="447" customFormat="1" s="1916">
      <c r="A447" s="103" t="n"/>
      <c r="B447" s="103" t="n"/>
      <c r="C447" s="2147" t="n"/>
      <c r="D447" s="2147" t="n"/>
      <c r="E447" s="53" t="n"/>
      <c r="F447" s="53" t="n"/>
      <c r="G447" s="103" t="n"/>
      <c r="H447" s="103" t="n"/>
      <c r="I447" s="2147" t="n"/>
      <c r="J447" s="2147" t="n"/>
      <c r="K447" s="2147" t="n"/>
    </row>
    <row r="448" customFormat="1" s="1916">
      <c r="A448" s="53" t="n"/>
      <c r="B448" s="53" t="n"/>
      <c r="C448" s="2145" t="n"/>
      <c r="D448" s="2145" t="n"/>
      <c r="E448" s="53" t="n"/>
      <c r="F448" s="53" t="n"/>
    </row>
    <row r="449" customFormat="1" s="1916">
      <c r="A449" s="53" t="n"/>
      <c r="B449" s="53" t="n"/>
      <c r="C449" s="2145" t="n"/>
      <c r="D449" s="2147" t="n"/>
      <c r="E449" s="53" t="n"/>
      <c r="F449" s="53" t="n"/>
    </row>
    <row r="450" customFormat="1" s="1916">
      <c r="A450" s="53" t="n"/>
      <c r="B450" s="53" t="n"/>
      <c r="C450" s="2145" t="n"/>
      <c r="D450" s="2145" t="n"/>
      <c r="E450" s="53" t="n"/>
      <c r="F450" s="53" t="n"/>
    </row>
    <row r="451" customFormat="1" s="1916">
      <c r="A451" s="53" t="n"/>
      <c r="B451" s="53" t="n"/>
      <c r="C451" s="2145" t="n"/>
      <c r="D451" s="2145" t="n"/>
      <c r="E451" s="53" t="n"/>
      <c r="F451" s="53" t="n"/>
    </row>
    <row r="452" customFormat="1" s="1916">
      <c r="A452" s="53" t="n"/>
      <c r="B452" s="112" t="n"/>
      <c r="C452" s="2145" t="n"/>
      <c r="D452" s="2145" t="n"/>
      <c r="E452" s="53" t="n"/>
      <c r="F452" s="53" t="n"/>
    </row>
    <row r="453" customFormat="1" s="1916">
      <c r="A453" s="53" t="n"/>
      <c r="B453" s="112" t="n"/>
      <c r="C453" s="2145" t="n"/>
      <c r="D453" s="2145" t="n"/>
      <c r="E453" s="53" t="n"/>
      <c r="F453" s="53" t="n"/>
    </row>
    <row r="454" customFormat="1" s="1916">
      <c r="A454" s="53" t="n"/>
      <c r="B454" s="113" t="n"/>
      <c r="C454" s="2145" t="n"/>
      <c r="D454" s="2145" t="n"/>
      <c r="E454" s="53" t="n"/>
      <c r="F454" s="53" t="n"/>
    </row>
    <row r="455" customFormat="1" s="1916">
      <c r="A455" s="53" t="n"/>
      <c r="B455" s="113" t="n"/>
      <c r="C455" s="2145" t="n"/>
      <c r="D455" s="2145" t="n"/>
      <c r="E455" s="53" t="n"/>
      <c r="F455" s="53" t="n"/>
    </row>
    <row r="456" customFormat="1" s="1916">
      <c r="A456" s="53" t="n"/>
      <c r="B456" s="113" t="n"/>
      <c r="C456" s="2145" t="n"/>
      <c r="D456" s="2145" t="n"/>
      <c r="E456" s="53" t="n"/>
      <c r="F456" s="53" t="n"/>
    </row>
    <row r="457" customFormat="1" s="1916">
      <c r="A457" s="53" t="n"/>
      <c r="B457" s="113" t="n"/>
      <c r="C457" s="2145" t="n"/>
      <c r="D457" s="2145" t="n"/>
      <c r="E457" s="53" t="n"/>
      <c r="F457" s="53" t="n"/>
    </row>
    <row r="458" customFormat="1" s="1916">
      <c r="A458" s="53" t="n"/>
      <c r="B458" s="112" t="n"/>
      <c r="C458" s="2145" t="n"/>
      <c r="D458" s="2145" t="n"/>
      <c r="E458" s="53" t="n"/>
      <c r="F458" s="53" t="n"/>
    </row>
    <row r="459" customFormat="1" s="1916">
      <c r="A459" s="53" t="n"/>
      <c r="B459" s="112" t="n"/>
      <c r="C459" s="2145" t="n"/>
      <c r="D459" s="2145" t="n"/>
      <c r="E459" s="53" t="n"/>
      <c r="F459" s="53" t="n"/>
    </row>
    <row r="460" customFormat="1" s="1916">
      <c r="A460" s="53" t="n"/>
      <c r="B460" s="112" t="n"/>
      <c r="C460" s="2145" t="n"/>
      <c r="D460" s="2149" t="n"/>
      <c r="E460" s="53" t="n"/>
      <c r="F460" s="53" t="n"/>
      <c r="N460" s="53" t="n"/>
    </row>
    <row r="461" customFormat="1" s="1916">
      <c r="A461" s="53" t="n"/>
      <c r="B461" s="113" t="n"/>
      <c r="C461" s="2145" t="n"/>
      <c r="D461" s="2145" t="n"/>
      <c r="E461" s="53" t="n"/>
      <c r="F461" s="53" t="n"/>
      <c r="G461" s="53" t="n"/>
      <c r="I461" s="2154" t="n"/>
      <c r="N461" s="53" t="n"/>
    </row>
    <row r="462" customFormat="1" s="1916">
      <c r="A462" s="53" t="n"/>
      <c r="B462" s="53" t="n"/>
      <c r="C462" s="2145" t="n"/>
      <c r="D462" s="2145" t="n"/>
      <c r="E462" s="2145" t="n"/>
      <c r="F462" s="2145" t="n"/>
      <c r="N462" s="53" t="n"/>
    </row>
    <row r="463" customFormat="1" s="1916">
      <c r="A463" s="53" t="n"/>
      <c r="B463" s="53" t="n"/>
      <c r="C463" s="2145" t="n"/>
      <c r="D463" s="2145" t="n"/>
      <c r="F463" s="108" t="n"/>
      <c r="N463" s="53" t="n"/>
    </row>
    <row r="464" customFormat="1" s="1916">
      <c r="D464" s="2145" t="n"/>
    </row>
    <row r="465" customFormat="1" s="1916">
      <c r="A465" s="115" t="n"/>
    </row>
    <row r="466" customFormat="1" s="1916"/>
    <row r="467" customFormat="1" s="1916">
      <c r="A467" s="53" t="n"/>
      <c r="B467" s="53" t="n"/>
      <c r="C467" s="53" t="n"/>
      <c r="D467" s="53" t="n"/>
      <c r="L467" s="53" t="n"/>
      <c r="M467" s="53" t="n"/>
      <c r="N467" s="53" t="n"/>
      <c r="O467" s="53" t="n"/>
      <c r="P467" s="53" t="n"/>
    </row>
    <row r="468" customFormat="1" s="1916">
      <c r="A468" s="53" t="n"/>
      <c r="B468" s="53" t="n"/>
      <c r="C468" s="53" t="n"/>
      <c r="D468" s="53" t="n"/>
      <c r="E468" s="53" t="n"/>
      <c r="F468" s="53" t="n"/>
      <c r="L468" s="53" t="n"/>
      <c r="M468" s="53" t="n"/>
      <c r="N468" s="53" t="n"/>
      <c r="O468" s="53" t="n"/>
      <c r="P468" s="2145" t="n"/>
    </row>
    <row r="469" customFormat="1" s="1916">
      <c r="A469" s="53" t="n"/>
      <c r="B469" s="2155" t="n"/>
      <c r="C469" s="2145" t="n"/>
      <c r="D469" s="2145" t="n"/>
      <c r="E469" s="2156" t="n"/>
      <c r="F469" s="53" t="n"/>
      <c r="L469" s="53" t="n"/>
      <c r="M469" s="53" t="n"/>
      <c r="N469" s="2145" t="n"/>
      <c r="O469" s="2145" t="n"/>
      <c r="P469" s="2145" t="n"/>
    </row>
    <row r="470" customFormat="1" s="1916">
      <c r="A470" s="53" t="n"/>
      <c r="B470" s="53" t="n"/>
      <c r="C470" s="2145" t="n"/>
      <c r="D470" s="2145" t="n"/>
      <c r="E470" s="53" t="n"/>
      <c r="F470" s="53" t="n"/>
      <c r="L470" s="53" t="n"/>
      <c r="M470" s="53" t="n"/>
      <c r="N470" s="2145" t="n"/>
      <c r="O470" s="2156" t="n"/>
      <c r="P470" s="2145" t="n"/>
    </row>
    <row r="471" customFormat="1" s="1916">
      <c r="A471" s="53" t="n"/>
      <c r="B471" s="53" t="n"/>
      <c r="C471" s="2145" t="n"/>
      <c r="D471" s="2145" t="n"/>
      <c r="E471" s="53" t="n"/>
      <c r="F471" s="53" t="n"/>
      <c r="L471" s="53" t="n"/>
      <c r="M471" s="53" t="n"/>
      <c r="N471" s="2145" t="n"/>
      <c r="O471" s="2156" t="n"/>
      <c r="P471" s="2145" t="n"/>
    </row>
    <row r="472" customFormat="1" s="1916">
      <c r="A472" s="53" t="n"/>
      <c r="B472" s="53" t="n"/>
      <c r="C472" s="2145" t="n"/>
      <c r="D472" s="2145" t="n"/>
      <c r="E472" s="53" t="n"/>
      <c r="F472" s="53" t="n"/>
      <c r="L472" s="53" t="n"/>
      <c r="M472" s="2145" t="n"/>
      <c r="N472" s="2149" t="n"/>
      <c r="O472" s="53" t="n"/>
      <c r="P472" s="53" t="n"/>
      <c r="Q472" s="53" t="n"/>
      <c r="R472" s="53" t="n"/>
      <c r="S472" s="53" t="n"/>
    </row>
    <row r="473" customFormat="1" s="1916">
      <c r="A473" s="53" t="n"/>
      <c r="B473" s="53" t="n"/>
      <c r="C473" s="2145" t="n"/>
      <c r="D473" s="2145" t="n"/>
      <c r="E473" s="53" t="n"/>
      <c r="F473" s="53" t="n"/>
      <c r="L473" s="53" t="n"/>
      <c r="M473" s="53" t="n"/>
      <c r="N473" s="2149" t="n"/>
      <c r="O473" s="53" t="n"/>
      <c r="P473" s="53" t="n"/>
      <c r="Q473" s="2145" t="n"/>
      <c r="R473" s="2145" t="n"/>
      <c r="S473" s="53" t="n"/>
    </row>
    <row r="474" customFormat="1" s="1916">
      <c r="A474" s="53" t="n"/>
      <c r="B474" s="53" t="n"/>
      <c r="C474" s="2145" t="n"/>
      <c r="D474" s="2145" t="n"/>
      <c r="E474" s="53" t="n"/>
      <c r="F474" s="53" t="n"/>
      <c r="L474" s="53" t="n"/>
      <c r="M474" s="53" t="n"/>
      <c r="N474" s="2149" t="n"/>
      <c r="O474" s="53" t="n"/>
      <c r="P474" s="53" t="n"/>
      <c r="Q474" s="2145" t="n"/>
      <c r="R474" s="2145" t="n"/>
      <c r="S474" s="53" t="n"/>
    </row>
    <row r="475" customFormat="1" s="1916">
      <c r="A475" s="53" t="n"/>
      <c r="B475" s="53" t="n"/>
      <c r="C475" s="2145" t="n"/>
      <c r="D475" s="2145" t="n"/>
      <c r="E475" s="53" t="n"/>
      <c r="F475" s="53" t="n"/>
      <c r="L475" s="53" t="n"/>
      <c r="M475" s="53" t="n"/>
      <c r="N475" s="2149" t="n"/>
      <c r="O475" s="53" t="n"/>
      <c r="P475" s="53" t="n"/>
      <c r="Q475" s="2145" t="n"/>
      <c r="R475" s="2145" t="n"/>
      <c r="S475" s="53" t="n"/>
    </row>
    <row r="476" customFormat="1" s="1916">
      <c r="A476" s="53" t="n"/>
      <c r="B476" s="53" t="n"/>
      <c r="C476" s="2145" t="n"/>
      <c r="D476" s="2145" t="n"/>
      <c r="E476" s="53" t="n"/>
      <c r="F476" s="53" t="n"/>
      <c r="L476" s="53" t="n"/>
      <c r="M476" s="53" t="n"/>
      <c r="N476" s="2149" t="n"/>
      <c r="O476" s="53" t="n"/>
      <c r="P476" s="53" t="n"/>
      <c r="Q476" s="2145" t="n"/>
      <c r="R476" s="2145" t="n"/>
      <c r="S476" s="53" t="n"/>
    </row>
    <row r="477" customFormat="1" s="1916">
      <c r="A477" s="53" t="n"/>
      <c r="B477" s="53" t="n"/>
      <c r="C477" s="2145" t="n"/>
      <c r="D477" s="2145" t="n"/>
      <c r="E477" s="53" t="n"/>
      <c r="F477" s="53" t="n"/>
      <c r="L477" s="53" t="n"/>
      <c r="M477" s="53" t="n"/>
      <c r="N477" s="2149" t="n"/>
      <c r="O477" s="53" t="n"/>
      <c r="P477" s="53" t="n"/>
      <c r="Q477" s="53" t="n"/>
      <c r="R477" s="53" t="n"/>
      <c r="S477" s="53" t="n"/>
    </row>
    <row r="478" customFormat="1" s="1916">
      <c r="A478" s="53" t="n"/>
      <c r="B478" s="53" t="n"/>
      <c r="C478" s="2145" t="n"/>
      <c r="D478" s="2145" t="n"/>
      <c r="E478" s="53" t="n"/>
      <c r="F478" s="53" t="n"/>
      <c r="L478" s="53" t="n"/>
      <c r="M478" s="53" t="n"/>
      <c r="N478" s="2149" t="n"/>
      <c r="O478" s="53" t="n"/>
      <c r="P478" s="53" t="n"/>
      <c r="Q478" s="53" t="n"/>
      <c r="R478" s="53" t="n"/>
      <c r="S478" s="53" t="n"/>
    </row>
    <row r="479" customFormat="1" s="1916">
      <c r="A479" s="53" t="n"/>
      <c r="B479" s="53" t="n"/>
      <c r="C479" s="2145" t="n"/>
      <c r="D479" s="2145" t="n"/>
      <c r="E479" s="53" t="n"/>
      <c r="F479" s="53" t="n"/>
      <c r="Q479" s="53" t="n"/>
      <c r="R479" s="53" t="n"/>
      <c r="S479" s="53" t="n"/>
    </row>
    <row r="480" customFormat="1" s="1916">
      <c r="A480" s="53" t="n"/>
      <c r="B480" s="53" t="n"/>
      <c r="C480" s="2145" t="n"/>
      <c r="D480" s="2145" t="n"/>
      <c r="E480" s="53" t="n"/>
      <c r="F480" s="53" t="n"/>
      <c r="Q480" s="53" t="n"/>
      <c r="R480" s="53" t="n"/>
      <c r="S480" s="53" t="n"/>
    </row>
    <row r="481" customFormat="1" s="1916">
      <c r="A481" s="53" t="n"/>
      <c r="B481" s="53" t="n"/>
      <c r="C481" s="2145" t="n"/>
      <c r="D481" s="2145" t="n"/>
      <c r="E481" s="2156" t="n"/>
      <c r="F481" s="53" t="n"/>
      <c r="Q481" s="53" t="n"/>
      <c r="R481" s="53" t="n"/>
      <c r="S481" s="53" t="n"/>
    </row>
    <row r="482" customFormat="1" s="1916">
      <c r="A482" s="53" t="n"/>
      <c r="B482" s="53" t="n"/>
      <c r="C482" s="2145" t="n"/>
      <c r="D482" s="2145" t="n"/>
      <c r="E482" s="53" t="n"/>
      <c r="F482" s="53" t="n"/>
      <c r="Q482" s="53" t="n"/>
      <c r="R482" s="53" t="n"/>
      <c r="S482" s="53" t="n"/>
    </row>
    <row r="483" customFormat="1" s="1916">
      <c r="A483" s="53" t="n"/>
      <c r="B483" s="53" t="n"/>
      <c r="C483" s="2145" t="n"/>
      <c r="D483" s="2145" t="n"/>
      <c r="E483" s="53" t="n"/>
      <c r="F483" s="53" t="n"/>
      <c r="Q483" s="53" t="n"/>
      <c r="R483" s="53" t="n"/>
      <c r="S483" s="53" t="n"/>
    </row>
    <row r="484" customFormat="1" s="1916">
      <c r="A484" s="53" t="n"/>
      <c r="B484" s="53" t="n"/>
      <c r="C484" s="2145" t="n"/>
      <c r="D484" s="2145" t="n"/>
      <c r="E484" s="53" t="n"/>
      <c r="F484" s="53" t="n"/>
    </row>
    <row r="485" customFormat="1" s="1916">
      <c r="A485" s="53" t="n"/>
      <c r="B485" s="53" t="n"/>
      <c r="C485" s="2145" t="n"/>
      <c r="D485" s="2145" t="n"/>
      <c r="E485" s="53" t="n"/>
      <c r="F485" s="53" t="n"/>
    </row>
    <row r="486" customFormat="1" s="1916">
      <c r="A486" s="103" t="n"/>
      <c r="B486" s="103" t="n"/>
      <c r="C486" s="2147" t="n"/>
      <c r="D486" s="2147" t="n"/>
      <c r="E486" s="53" t="n"/>
      <c r="F486" s="53" t="n"/>
    </row>
    <row r="487" customFormat="1" s="1916">
      <c r="A487" s="103" t="n"/>
      <c r="B487" s="105" t="n"/>
      <c r="C487" s="2147" t="n"/>
      <c r="D487" s="2147" t="n"/>
      <c r="E487" s="53" t="n"/>
      <c r="F487" s="53" t="n"/>
    </row>
    <row r="488" customFormat="1" s="1916">
      <c r="A488" s="103" t="n"/>
      <c r="B488" s="103" t="n"/>
      <c r="C488" s="2147" t="n"/>
      <c r="D488" s="2147" t="n"/>
      <c r="E488" s="53" t="n"/>
      <c r="F488" s="53" t="n"/>
    </row>
    <row r="489" customFormat="1" s="1916">
      <c r="A489" s="103" t="n"/>
      <c r="B489" s="105" t="n"/>
      <c r="C489" s="2147" t="n"/>
      <c r="D489" s="2147" t="n"/>
      <c r="E489" s="53" t="n"/>
      <c r="G489" s="53" t="n"/>
      <c r="H489" s="53" t="n"/>
      <c r="I489" s="53" t="n"/>
      <c r="J489" s="53" t="n"/>
      <c r="K489" s="53" t="n"/>
      <c r="L489" s="53" t="n"/>
    </row>
    <row r="490" customFormat="1" s="1916">
      <c r="A490" s="53" t="n"/>
      <c r="B490" s="53" t="n"/>
      <c r="C490" s="2145" t="n"/>
      <c r="D490" s="2145" t="n"/>
      <c r="E490" s="53" t="n"/>
      <c r="G490" s="53" t="n"/>
      <c r="H490" s="53" t="n"/>
      <c r="I490" s="53" t="n"/>
      <c r="J490" s="106" t="n"/>
      <c r="K490" s="106" t="n"/>
      <c r="L490" s="106" t="n"/>
    </row>
    <row r="491" customFormat="1" s="1916">
      <c r="A491" s="3" t="n"/>
      <c r="B491" s="2156" t="n"/>
      <c r="C491" s="3" t="n"/>
      <c r="D491" s="2156" t="n"/>
      <c r="E491" s="107" t="n"/>
      <c r="G491" s="53" t="n"/>
      <c r="H491" s="108" t="n"/>
      <c r="I491" s="53" t="n"/>
      <c r="J491" s="106" t="n"/>
      <c r="K491" s="106" t="n"/>
      <c r="L491" s="106" t="n"/>
    </row>
    <row r="492" customFormat="1" s="1916">
      <c r="A492" s="53" t="n"/>
      <c r="B492" s="53" t="n"/>
      <c r="C492" s="53" t="n"/>
      <c r="D492" s="53" t="n"/>
      <c r="E492" s="107" t="n"/>
      <c r="G492" s="53" t="n"/>
      <c r="H492" s="53" t="n"/>
      <c r="I492" s="53" t="n"/>
      <c r="J492" s="2145" t="n"/>
      <c r="K492" s="2145" t="n"/>
      <c r="L492" s="53" t="n"/>
    </row>
    <row r="493" customFormat="1" s="1916">
      <c r="A493" s="53" t="n"/>
      <c r="B493" s="53" t="n"/>
      <c r="C493" s="53" t="n"/>
      <c r="D493" s="106" t="n"/>
      <c r="E493" s="106" t="n"/>
      <c r="G493" s="53" t="n"/>
      <c r="H493" s="93" t="n"/>
      <c r="I493" s="2145" t="n"/>
      <c r="J493" s="2145" t="n"/>
      <c r="K493" s="2145" t="n"/>
      <c r="L493" s="106" t="n"/>
    </row>
    <row r="494" customFormat="1" s="1916">
      <c r="A494" s="53" t="n"/>
      <c r="B494" s="53" t="n"/>
      <c r="C494" s="53" t="n"/>
      <c r="D494" s="53" t="n"/>
      <c r="E494" s="53" t="n"/>
      <c r="G494" s="53" t="n"/>
      <c r="H494" s="93" t="n"/>
      <c r="I494" s="2145" t="n"/>
      <c r="J494" s="2145" t="n"/>
      <c r="K494" s="2145" t="n"/>
      <c r="L494" s="53" t="n"/>
    </row>
    <row r="495" customFormat="1" s="1916">
      <c r="A495" s="53" t="n"/>
      <c r="B495" s="53" t="n"/>
      <c r="C495" s="53" t="n"/>
      <c r="D495" s="106" t="n"/>
      <c r="E495" s="106" t="n"/>
      <c r="G495" s="53" t="n"/>
      <c r="H495" s="93" t="n"/>
      <c r="I495" s="2145" t="n"/>
      <c r="J495" s="2145" t="n"/>
      <c r="K495" s="2145" t="n"/>
      <c r="L495" s="106" t="n"/>
    </row>
    <row r="496" customFormat="1" s="1916">
      <c r="A496" s="53" t="n"/>
      <c r="B496" s="53" t="n"/>
      <c r="C496" s="53" t="n"/>
      <c r="D496" s="2157" t="n"/>
      <c r="E496" s="2157" t="n"/>
      <c r="F496" s="53" t="n"/>
      <c r="G496" s="103" t="n"/>
      <c r="H496" s="103" t="n"/>
      <c r="I496" s="2147" t="n"/>
      <c r="J496" s="2147" t="n"/>
      <c r="K496" s="2145" t="n"/>
      <c r="L496" s="106" t="n"/>
    </row>
    <row r="497" customFormat="1" s="1916">
      <c r="A497" s="53" t="n"/>
      <c r="B497" s="53" t="n"/>
      <c r="C497" s="2145" t="n"/>
      <c r="D497" s="2145" t="n"/>
      <c r="E497" s="2145" t="n"/>
      <c r="F497" s="53" t="n"/>
      <c r="G497" s="53" t="n"/>
      <c r="H497" s="53" t="n"/>
    </row>
    <row r="498" customFormat="1" s="1916">
      <c r="A498" s="53" t="n"/>
      <c r="B498" s="53" t="n"/>
      <c r="C498" s="53" t="n"/>
      <c r="D498" s="2145" t="n"/>
      <c r="E498" s="53" t="n"/>
      <c r="F498" s="53" t="n"/>
      <c r="G498" s="110" t="n"/>
      <c r="H498" s="53" t="n"/>
      <c r="I498" s="53" t="n"/>
      <c r="J498" s="2145" t="n"/>
      <c r="K498" s="2145" t="n"/>
    </row>
    <row r="499" customFormat="1" s="1916">
      <c r="A499" s="53" t="n"/>
      <c r="B499" s="93" t="n"/>
      <c r="C499" s="2145" t="n"/>
      <c r="D499" s="2145" t="n"/>
      <c r="E499" s="53" t="n"/>
      <c r="F499" s="53" t="n"/>
      <c r="G499" s="2156" t="n"/>
      <c r="H499" s="93" t="n"/>
      <c r="I499" s="2145" t="n"/>
      <c r="J499" s="2145" t="n"/>
      <c r="K499" s="2145" t="n"/>
    </row>
    <row r="500" customFormat="1" s="1916">
      <c r="A500" s="53" t="n"/>
      <c r="B500" s="93" t="n"/>
      <c r="C500" s="2145" t="n"/>
      <c r="D500" s="2145" t="n"/>
      <c r="E500" s="53" t="n"/>
      <c r="F500" s="53" t="n"/>
      <c r="G500" s="53" t="n"/>
      <c r="H500" s="93" t="n"/>
      <c r="I500" s="2145" t="n"/>
      <c r="J500" s="2145" t="n"/>
      <c r="K500" s="2145" t="n"/>
    </row>
    <row r="501" customFormat="1" s="1916">
      <c r="A501" s="53" t="n"/>
      <c r="B501" s="93" t="n"/>
      <c r="C501" s="2145" t="n"/>
      <c r="D501" s="2145" t="n"/>
      <c r="E501" s="53" t="n"/>
      <c r="F501" s="53" t="n"/>
      <c r="G501" s="53" t="n"/>
      <c r="H501" s="93" t="n"/>
      <c r="I501" s="2145" t="n"/>
      <c r="J501" s="2145" t="n"/>
      <c r="K501" s="2145" t="n"/>
    </row>
    <row r="502" customFormat="1" s="1916">
      <c r="A502" s="53" t="n"/>
      <c r="B502" s="93" t="n"/>
      <c r="C502" s="2145" t="n"/>
      <c r="D502" s="2145" t="n"/>
      <c r="E502" s="111" t="n"/>
      <c r="F502" s="53" t="n"/>
      <c r="G502" s="53" t="n"/>
      <c r="H502" s="93" t="n"/>
      <c r="I502" s="2145" t="n"/>
      <c r="J502" s="2145" t="n"/>
      <c r="K502" s="2145" t="n"/>
    </row>
    <row r="503" customFormat="1" s="1916">
      <c r="A503" s="53" t="n"/>
      <c r="B503" s="93" t="n"/>
      <c r="C503" s="2145" t="n"/>
      <c r="D503" s="2145" t="n"/>
      <c r="E503" s="53" t="n"/>
      <c r="F503" s="53" t="n"/>
      <c r="G503" s="53" t="n"/>
      <c r="H503" s="93" t="n"/>
      <c r="I503" s="2145" t="n"/>
      <c r="J503" s="2145" t="n"/>
      <c r="K503" s="2145" t="n"/>
    </row>
    <row r="504" customFormat="1" s="1916">
      <c r="A504" s="53" t="n"/>
      <c r="B504" s="93" t="n"/>
      <c r="C504" s="2145" t="n"/>
      <c r="D504" s="2145" t="n"/>
      <c r="E504" s="53" t="n"/>
      <c r="F504" s="53" t="n"/>
      <c r="G504" s="53" t="n"/>
      <c r="H504" s="93" t="n"/>
      <c r="I504" s="2145" t="n"/>
      <c r="J504" s="2145" t="n"/>
      <c r="K504" s="2145" t="n"/>
    </row>
    <row r="505" customFormat="1" s="1916">
      <c r="A505" s="53" t="n"/>
      <c r="B505" s="93" t="n"/>
      <c r="C505" s="2145" t="n"/>
      <c r="D505" s="2145" t="n"/>
      <c r="E505" s="53" t="n"/>
      <c r="F505" s="53" t="n"/>
      <c r="G505" s="53" t="n"/>
      <c r="H505" s="93" t="n"/>
      <c r="I505" s="2145" t="n"/>
      <c r="J505" s="2145" t="n"/>
      <c r="K505" s="2145" t="n"/>
    </row>
    <row r="506" customFormat="1" s="1916">
      <c r="A506" s="103" t="n"/>
      <c r="B506" s="103" t="n"/>
      <c r="C506" s="2147" t="n"/>
      <c r="D506" s="2147" t="n"/>
      <c r="E506" s="53" t="n"/>
      <c r="F506" s="53" t="n"/>
      <c r="G506" s="103" t="n"/>
      <c r="H506" s="103" t="n"/>
      <c r="I506" s="2147" t="n"/>
      <c r="J506" s="2147" t="n"/>
      <c r="K506" s="2147" t="n"/>
    </row>
    <row r="507" customFormat="1" s="1916">
      <c r="A507" s="53" t="n"/>
      <c r="B507" s="53" t="n"/>
      <c r="C507" s="2145" t="n"/>
      <c r="D507" s="2145" t="n"/>
      <c r="E507" s="53" t="n"/>
      <c r="F507" s="53" t="n"/>
    </row>
    <row r="508" customFormat="1" s="1916">
      <c r="A508" s="53" t="n"/>
      <c r="B508" s="53" t="n"/>
      <c r="C508" s="2145" t="n"/>
      <c r="D508" s="2147" t="n"/>
      <c r="E508" s="53" t="n"/>
      <c r="F508" s="53" t="n"/>
    </row>
    <row r="509" customFormat="1" s="1916">
      <c r="A509" s="53" t="n"/>
      <c r="B509" s="53" t="n"/>
      <c r="C509" s="2145" t="n"/>
      <c r="D509" s="2145" t="n"/>
      <c r="E509" s="53" t="n"/>
      <c r="F509" s="53" t="n"/>
    </row>
    <row r="510" customFormat="1" s="1916">
      <c r="A510" s="53" t="n"/>
      <c r="B510" s="53" t="n"/>
      <c r="C510" s="2145" t="n"/>
      <c r="D510" s="2145" t="n"/>
      <c r="E510" s="53" t="n"/>
      <c r="F510" s="53" t="n"/>
    </row>
    <row r="511" customFormat="1" s="1916">
      <c r="A511" s="53" t="n"/>
      <c r="B511" s="112" t="n"/>
      <c r="C511" s="2145" t="n"/>
      <c r="D511" s="2145" t="n"/>
      <c r="E511" s="53" t="n"/>
      <c r="F511" s="53" t="n"/>
    </row>
    <row r="512" customFormat="1" s="1916">
      <c r="A512" s="53" t="n"/>
      <c r="B512" s="112" t="n"/>
      <c r="C512" s="2145" t="n"/>
      <c r="D512" s="2145" t="n"/>
      <c r="E512" s="53" t="n"/>
      <c r="F512" s="53" t="n"/>
    </row>
    <row r="513" customFormat="1" s="1916">
      <c r="A513" s="53" t="n"/>
      <c r="B513" s="113" t="n"/>
      <c r="C513" s="2145" t="n"/>
      <c r="D513" s="2145" t="n"/>
      <c r="E513" s="53" t="n"/>
      <c r="F513" s="53" t="n"/>
    </row>
    <row r="514" customFormat="1" s="1916">
      <c r="A514" s="53" t="n"/>
      <c r="B514" s="113" t="n"/>
      <c r="C514" s="2145" t="n"/>
      <c r="D514" s="2145" t="n"/>
      <c r="E514" s="53" t="n"/>
      <c r="F514" s="53" t="n"/>
    </row>
    <row r="515" customFormat="1" s="1916">
      <c r="A515" s="53" t="n"/>
      <c r="B515" s="113" t="n"/>
      <c r="C515" s="2145" t="n"/>
      <c r="D515" s="2145" t="n"/>
      <c r="E515" s="53" t="n"/>
      <c r="F515" s="53" t="n"/>
    </row>
    <row r="516" customFormat="1" s="1916">
      <c r="A516" s="53" t="n"/>
      <c r="B516" s="113" t="n"/>
      <c r="C516" s="2145" t="n"/>
      <c r="D516" s="2145" t="n"/>
      <c r="E516" s="53" t="n"/>
      <c r="F516" s="53" t="n"/>
    </row>
    <row r="517" customFormat="1" s="1916">
      <c r="A517" s="53" t="n"/>
      <c r="B517" s="112" t="n"/>
      <c r="C517" s="2145" t="n"/>
      <c r="D517" s="2145" t="n"/>
      <c r="E517" s="53" t="n"/>
      <c r="F517" s="53" t="n"/>
    </row>
    <row r="518" customFormat="1" s="1916">
      <c r="A518" s="53" t="n"/>
      <c r="B518" s="112" t="n"/>
      <c r="C518" s="2145" t="n"/>
      <c r="D518" s="2145" t="n"/>
      <c r="E518" s="53" t="n"/>
      <c r="F518" s="53" t="n"/>
    </row>
    <row r="519" customFormat="1" s="1916">
      <c r="A519" s="53" t="n"/>
      <c r="B519" s="112" t="n"/>
      <c r="C519" s="2145" t="n"/>
      <c r="D519" s="2149" t="n"/>
      <c r="E519" s="53" t="n"/>
      <c r="F519" s="53" t="n"/>
      <c r="N519" s="53" t="n"/>
    </row>
    <row r="520" customFormat="1" s="1916">
      <c r="A520" s="53" t="n"/>
      <c r="B520" s="113" t="n"/>
      <c r="C520" s="2145" t="n"/>
      <c r="D520" s="2145" t="n"/>
      <c r="E520" s="53" t="n"/>
      <c r="F520" s="53" t="n"/>
      <c r="G520" s="53" t="n"/>
      <c r="I520" s="2154" t="n"/>
      <c r="N520" s="53" t="n"/>
    </row>
    <row r="521" customFormat="1" s="1916">
      <c r="A521" s="53" t="n"/>
      <c r="B521" s="53" t="n"/>
      <c r="C521" s="2145" t="n"/>
      <c r="D521" s="2145" t="n"/>
      <c r="E521" s="2145" t="n"/>
      <c r="F521" s="2145" t="n"/>
      <c r="N521" s="53" t="n"/>
    </row>
    <row r="522" customFormat="1" s="1916">
      <c r="A522" s="53" t="n"/>
      <c r="B522" s="53" t="n"/>
      <c r="C522" s="2145" t="n"/>
      <c r="D522" s="2145" t="n"/>
      <c r="F522" s="108" t="n"/>
      <c r="N522" s="53" t="n"/>
    </row>
    <row r="523" customFormat="1" s="1916">
      <c r="D523" s="2145" t="n"/>
    </row>
    <row r="524" customFormat="1" s="1916"/>
    <row r="525" customFormat="1" s="1916"/>
    <row r="526" customFormat="1" s="1916">
      <c r="A526" s="53" t="n"/>
      <c r="B526" s="53" t="n"/>
      <c r="C526" s="53" t="n"/>
      <c r="D526" s="53" t="n"/>
      <c r="L526" s="53" t="n"/>
      <c r="M526" s="53" t="n"/>
      <c r="N526" s="53" t="n"/>
      <c r="O526" s="53" t="n"/>
      <c r="P526" s="53" t="n"/>
    </row>
    <row r="527" customFormat="1" s="1916">
      <c r="A527" s="53" t="n"/>
      <c r="B527" s="53" t="n"/>
      <c r="C527" s="53" t="n"/>
      <c r="D527" s="53" t="n"/>
      <c r="E527" s="53" t="n"/>
      <c r="F527" s="53" t="n"/>
      <c r="L527" s="53" t="n"/>
      <c r="M527" s="53" t="n"/>
      <c r="N527" s="53" t="n"/>
      <c r="O527" s="53" t="n"/>
      <c r="P527" s="2145" t="n"/>
    </row>
    <row r="528" customFormat="1" s="1916">
      <c r="A528" s="53" t="n"/>
      <c r="B528" s="2155" t="n"/>
      <c r="C528" s="2145" t="n"/>
      <c r="D528" s="2145" t="n"/>
      <c r="E528" s="2156" t="n"/>
      <c r="F528" s="53" t="n"/>
      <c r="L528" s="53" t="n"/>
      <c r="M528" s="53" t="n"/>
      <c r="N528" s="2145" t="n"/>
      <c r="O528" s="2145" t="n"/>
      <c r="P528" s="2145" t="n"/>
    </row>
    <row r="529" customFormat="1" s="1916">
      <c r="A529" s="53" t="n"/>
      <c r="B529" s="53" t="n"/>
      <c r="C529" s="2145" t="n"/>
      <c r="D529" s="2145" t="n"/>
      <c r="E529" s="53" t="n"/>
      <c r="F529" s="53" t="n"/>
      <c r="L529" s="53" t="n"/>
      <c r="M529" s="53" t="n"/>
      <c r="N529" s="2145" t="n"/>
      <c r="O529" s="2156" t="n"/>
      <c r="P529" s="2145" t="n"/>
    </row>
    <row r="530" customFormat="1" s="1916">
      <c r="A530" s="53" t="n"/>
      <c r="B530" s="53" t="n"/>
      <c r="C530" s="2145" t="n"/>
      <c r="D530" s="2145" t="n"/>
      <c r="E530" s="53" t="n"/>
      <c r="F530" s="53" t="n"/>
      <c r="L530" s="53" t="n"/>
      <c r="M530" s="53" t="n"/>
      <c r="N530" s="2145" t="n"/>
      <c r="O530" s="2156" t="n"/>
      <c r="P530" s="2145" t="n"/>
    </row>
    <row r="531" customFormat="1" s="1916">
      <c r="A531" s="53" t="n"/>
      <c r="B531" s="53" t="n"/>
      <c r="C531" s="2145" t="n"/>
      <c r="D531" s="2145" t="n"/>
      <c r="E531" s="53" t="n"/>
      <c r="F531" s="53" t="n"/>
      <c r="L531" s="53" t="n"/>
      <c r="M531" s="2145" t="n"/>
      <c r="N531" s="2149" t="n"/>
      <c r="O531" s="53" t="n"/>
      <c r="P531" s="53" t="n"/>
      <c r="Q531" s="53" t="n"/>
      <c r="R531" s="53" t="n"/>
      <c r="S531" s="53" t="n"/>
    </row>
    <row r="532" customFormat="1" s="1916">
      <c r="A532" s="53" t="n"/>
      <c r="B532" s="53" t="n"/>
      <c r="C532" s="2145" t="n"/>
      <c r="D532" s="2145" t="n"/>
      <c r="E532" s="53" t="n"/>
      <c r="F532" s="53" t="n"/>
      <c r="L532" s="53" t="n"/>
      <c r="M532" s="53" t="n"/>
      <c r="N532" s="2149" t="n"/>
      <c r="O532" s="53" t="n"/>
      <c r="P532" s="53" t="n"/>
      <c r="Q532" s="2145" t="n"/>
      <c r="R532" s="2145" t="n"/>
      <c r="S532" s="53" t="n"/>
    </row>
    <row r="533" customFormat="1" s="1916">
      <c r="A533" s="53" t="n"/>
      <c r="B533" s="53" t="n"/>
      <c r="C533" s="2145" t="n"/>
      <c r="D533" s="2145" t="n"/>
      <c r="E533" s="53" t="n"/>
      <c r="F533" s="53" t="n"/>
      <c r="L533" s="53" t="n"/>
      <c r="M533" s="53" t="n"/>
      <c r="N533" s="2149" t="n"/>
      <c r="O533" s="53" t="n"/>
      <c r="P533" s="53" t="n"/>
      <c r="Q533" s="2145" t="n"/>
      <c r="R533" s="2145" t="n"/>
      <c r="S533" s="53" t="n"/>
    </row>
    <row r="534" customFormat="1" s="1916">
      <c r="A534" s="53" t="n"/>
      <c r="B534" s="53" t="n"/>
      <c r="C534" s="2145" t="n"/>
      <c r="D534" s="2145" t="n"/>
      <c r="E534" s="53" t="n"/>
      <c r="F534" s="53" t="n"/>
      <c r="L534" s="53" t="n"/>
      <c r="M534" s="53" t="n"/>
      <c r="N534" s="2149" t="n"/>
      <c r="O534" s="53" t="n"/>
      <c r="P534" s="53" t="n"/>
      <c r="Q534" s="2145" t="n"/>
      <c r="R534" s="2145" t="n"/>
      <c r="S534" s="53" t="n"/>
    </row>
    <row r="535" customFormat="1" s="1916">
      <c r="A535" s="53" t="n"/>
      <c r="B535" s="53" t="n"/>
      <c r="C535" s="2145" t="n"/>
      <c r="D535" s="2145" t="n"/>
      <c r="E535" s="53" t="n"/>
      <c r="F535" s="53" t="n"/>
      <c r="L535" s="53" t="n"/>
      <c r="M535" s="53" t="n"/>
      <c r="N535" s="2149" t="n"/>
      <c r="O535" s="53" t="n"/>
      <c r="P535" s="53" t="n"/>
      <c r="Q535" s="2145" t="n"/>
      <c r="R535" s="2145" t="n"/>
      <c r="S535" s="53" t="n"/>
    </row>
    <row r="536" customFormat="1" s="1916">
      <c r="A536" s="53" t="n"/>
      <c r="B536" s="53" t="n"/>
      <c r="C536" s="2145" t="n"/>
      <c r="D536" s="2145" t="n"/>
      <c r="E536" s="53" t="n"/>
      <c r="F536" s="53" t="n"/>
      <c r="L536" s="53" t="n"/>
      <c r="M536" s="53" t="n"/>
      <c r="N536" s="2149" t="n"/>
      <c r="O536" s="53" t="n"/>
      <c r="P536" s="53" t="n"/>
      <c r="Q536" s="53" t="n"/>
      <c r="R536" s="53" t="n"/>
      <c r="S536" s="53" t="n"/>
    </row>
    <row r="537" customFormat="1" s="1916">
      <c r="A537" s="53" t="n"/>
      <c r="B537" s="53" t="n"/>
      <c r="C537" s="2145" t="n"/>
      <c r="D537" s="2145" t="n"/>
      <c r="E537" s="53" t="n"/>
      <c r="F537" s="53" t="n"/>
      <c r="L537" s="53" t="n"/>
      <c r="M537" s="53" t="n"/>
      <c r="N537" s="2149" t="n"/>
      <c r="O537" s="53" t="n"/>
      <c r="P537" s="53" t="n"/>
      <c r="Q537" s="53" t="n"/>
      <c r="R537" s="53" t="n"/>
      <c r="S537" s="53" t="n"/>
    </row>
    <row r="538" customFormat="1" s="1916">
      <c r="A538" s="53" t="n"/>
      <c r="B538" s="53" t="n"/>
      <c r="C538" s="2145" t="n"/>
      <c r="D538" s="2145" t="n"/>
      <c r="E538" s="53" t="n"/>
      <c r="F538" s="53" t="n"/>
      <c r="Q538" s="53" t="n"/>
      <c r="R538" s="53" t="n"/>
      <c r="S538" s="53" t="n"/>
    </row>
    <row r="539" customFormat="1" s="1916">
      <c r="A539" s="53" t="n"/>
      <c r="B539" s="53" t="n"/>
      <c r="C539" s="2145" t="n"/>
      <c r="D539" s="2145" t="n"/>
      <c r="E539" s="53" t="n"/>
      <c r="F539" s="53" t="n"/>
      <c r="Q539" s="53" t="n"/>
      <c r="R539" s="53" t="n"/>
      <c r="S539" s="53" t="n"/>
    </row>
    <row r="540" customFormat="1" s="1916">
      <c r="A540" s="53" t="n"/>
      <c r="B540" s="53" t="n"/>
      <c r="C540" s="2145" t="n"/>
      <c r="D540" s="2145" t="n"/>
      <c r="E540" s="2156" t="n"/>
      <c r="F540" s="53" t="n"/>
      <c r="Q540" s="53" t="n"/>
      <c r="R540" s="53" t="n"/>
      <c r="S540" s="53" t="n"/>
    </row>
    <row r="541" customFormat="1" s="1916">
      <c r="A541" s="53" t="n"/>
      <c r="B541" s="53" t="n"/>
      <c r="C541" s="2145" t="n"/>
      <c r="D541" s="2145" t="n"/>
      <c r="E541" s="53" t="n"/>
      <c r="F541" s="53" t="n"/>
      <c r="Q541" s="53" t="n"/>
      <c r="R541" s="53" t="n"/>
      <c r="S541" s="53" t="n"/>
    </row>
    <row r="542" customFormat="1" s="1916">
      <c r="A542" s="53" t="n"/>
      <c r="B542" s="53" t="n"/>
      <c r="C542" s="2145" t="n"/>
      <c r="D542" s="2145" t="n"/>
      <c r="E542" s="53" t="n"/>
      <c r="F542" s="53" t="n"/>
      <c r="Q542" s="53" t="n"/>
      <c r="R542" s="53" t="n"/>
      <c r="S542" s="53" t="n"/>
    </row>
    <row r="543" customFormat="1" s="1916">
      <c r="A543" s="53" t="n"/>
      <c r="B543" s="53" t="n"/>
      <c r="C543" s="2145" t="n"/>
      <c r="D543" s="2145" t="n"/>
      <c r="E543" s="53" t="n"/>
      <c r="F543" s="53" t="n"/>
    </row>
    <row r="544" customFormat="1" s="1916">
      <c r="A544" s="53" t="n"/>
      <c r="B544" s="53" t="n"/>
      <c r="C544" s="2145" t="n"/>
      <c r="D544" s="2145" t="n"/>
      <c r="E544" s="53" t="n"/>
      <c r="F544" s="53" t="n"/>
    </row>
    <row r="545" customFormat="1" s="1916">
      <c r="A545" s="103" t="n"/>
      <c r="B545" s="103" t="n"/>
      <c r="C545" s="2147" t="n"/>
      <c r="D545" s="2147" t="n"/>
      <c r="E545" s="53" t="n"/>
      <c r="F545" s="53" t="n"/>
    </row>
    <row r="546" customFormat="1" s="1916">
      <c r="A546" s="103" t="n"/>
      <c r="B546" s="105" t="n"/>
      <c r="C546" s="2147" t="n"/>
      <c r="D546" s="2147" t="n"/>
      <c r="E546" s="53" t="n"/>
      <c r="F546" s="53" t="n"/>
    </row>
    <row r="547" customFormat="1" s="1916">
      <c r="A547" s="103" t="n"/>
      <c r="B547" s="103" t="n"/>
      <c r="C547" s="2147" t="n"/>
      <c r="D547" s="2147" t="n"/>
      <c r="E547" s="53" t="n"/>
      <c r="F547" s="53" t="n"/>
    </row>
    <row r="548" customFormat="1" s="1916">
      <c r="A548" s="103" t="n"/>
      <c r="B548" s="105" t="n"/>
      <c r="C548" s="2147" t="n"/>
      <c r="D548" s="2147" t="n"/>
      <c r="E548" s="53" t="n"/>
      <c r="G548" s="53" t="n"/>
      <c r="H548" s="53" t="n"/>
      <c r="I548" s="53" t="n"/>
      <c r="J548" s="53" t="n"/>
      <c r="K548" s="53" t="n"/>
      <c r="L548" s="53" t="n"/>
    </row>
    <row r="549" customFormat="1" s="1916">
      <c r="A549" s="53" t="n"/>
      <c r="B549" s="53" t="n"/>
      <c r="C549" s="2145" t="n"/>
      <c r="D549" s="2145" t="n"/>
      <c r="E549" s="53" t="n"/>
      <c r="G549" s="53" t="n"/>
      <c r="H549" s="53" t="n"/>
      <c r="I549" s="53" t="n"/>
      <c r="J549" s="106" t="n"/>
      <c r="K549" s="106" t="n"/>
      <c r="L549" s="106" t="n"/>
    </row>
    <row r="550" customFormat="1" s="1916">
      <c r="A550" s="3" t="n"/>
      <c r="B550" s="2156" t="n"/>
      <c r="C550" s="3" t="n"/>
      <c r="D550" s="2156" t="n"/>
      <c r="E550" s="107" t="n"/>
      <c r="G550" s="53" t="n"/>
      <c r="H550" s="108" t="n"/>
      <c r="I550" s="53" t="n"/>
      <c r="J550" s="106" t="n"/>
      <c r="K550" s="106" t="n"/>
      <c r="L550" s="106" t="n"/>
    </row>
    <row r="551" customFormat="1" s="1916">
      <c r="A551" s="53" t="n"/>
      <c r="B551" s="53" t="n"/>
      <c r="C551" s="53" t="n"/>
      <c r="D551" s="53" t="n"/>
      <c r="E551" s="107" t="n"/>
      <c r="G551" s="53" t="n"/>
      <c r="H551" s="53" t="n"/>
      <c r="I551" s="53" t="n"/>
      <c r="J551" s="2145" t="n"/>
      <c r="K551" s="2145" t="n"/>
      <c r="L551" s="53" t="n"/>
    </row>
    <row r="552" customFormat="1" s="1916">
      <c r="A552" s="53" t="n"/>
      <c r="B552" s="53" t="n"/>
      <c r="C552" s="53" t="n"/>
      <c r="D552" s="106" t="n"/>
      <c r="E552" s="106" t="n"/>
      <c r="G552" s="53" t="n"/>
      <c r="H552" s="93" t="n"/>
      <c r="I552" s="2145" t="n"/>
      <c r="J552" s="2145" t="n"/>
      <c r="K552" s="2145" t="n"/>
      <c r="L552" s="106" t="n"/>
    </row>
    <row r="553" customFormat="1" s="1916">
      <c r="A553" s="53" t="n"/>
      <c r="B553" s="53" t="n"/>
      <c r="C553" s="53" t="n"/>
      <c r="D553" s="53" t="n"/>
      <c r="E553" s="53" t="n"/>
      <c r="G553" s="53" t="n"/>
      <c r="H553" s="93" t="n"/>
      <c r="I553" s="2145" t="n"/>
      <c r="J553" s="2145" t="n"/>
      <c r="K553" s="2145" t="n"/>
      <c r="L553" s="53" t="n"/>
    </row>
    <row r="554" customFormat="1" s="1916">
      <c r="A554" s="53" t="n"/>
      <c r="B554" s="53" t="n"/>
      <c r="C554" s="53" t="n"/>
      <c r="D554" s="106" t="n"/>
      <c r="E554" s="106" t="n"/>
      <c r="G554" s="53" t="n"/>
      <c r="H554" s="93" t="n"/>
      <c r="I554" s="2145" t="n"/>
      <c r="J554" s="2145" t="n"/>
      <c r="K554" s="2145" t="n"/>
      <c r="L554" s="106" t="n"/>
    </row>
    <row r="555" customFormat="1" s="1916">
      <c r="A555" s="53" t="n"/>
      <c r="B555" s="53" t="n"/>
      <c r="C555" s="53" t="n"/>
      <c r="D555" s="2157" t="n"/>
      <c r="E555" s="2157" t="n"/>
      <c r="F555" s="53" t="n"/>
      <c r="G555" s="103" t="n"/>
      <c r="H555" s="103" t="n"/>
      <c r="I555" s="2147" t="n"/>
      <c r="J555" s="2147" t="n"/>
      <c r="K555" s="2145" t="n"/>
      <c r="L555" s="106" t="n"/>
    </row>
    <row r="556" customFormat="1" s="1916">
      <c r="A556" s="53" t="n"/>
      <c r="B556" s="53" t="n"/>
      <c r="C556" s="2145" t="n"/>
      <c r="D556" s="2145" t="n"/>
      <c r="E556" s="2145" t="n"/>
      <c r="F556" s="53" t="n"/>
      <c r="G556" s="53" t="n"/>
      <c r="H556" s="53" t="n"/>
    </row>
    <row r="557" customFormat="1" s="1916">
      <c r="A557" s="53" t="n"/>
      <c r="B557" s="53" t="n"/>
      <c r="C557" s="53" t="n"/>
      <c r="D557" s="2145" t="n"/>
      <c r="E557" s="53" t="n"/>
      <c r="F557" s="53" t="n"/>
      <c r="G557" s="110" t="n"/>
      <c r="H557" s="53" t="n"/>
      <c r="I557" s="53" t="n"/>
      <c r="J557" s="2145" t="n"/>
      <c r="K557" s="2145" t="n"/>
    </row>
    <row r="558" customFormat="1" s="1916">
      <c r="A558" s="53" t="n"/>
      <c r="B558" s="93" t="n"/>
      <c r="C558" s="2145" t="n"/>
      <c r="D558" s="2145" t="n"/>
      <c r="E558" s="53" t="n"/>
      <c r="F558" s="53" t="n"/>
      <c r="G558" s="2156" t="n"/>
      <c r="H558" s="93" t="n"/>
      <c r="I558" s="2145" t="n"/>
      <c r="J558" s="2145" t="n"/>
      <c r="K558" s="2145" t="n"/>
    </row>
    <row r="559" customFormat="1" s="1916">
      <c r="A559" s="53" t="n"/>
      <c r="B559" s="93" t="n"/>
      <c r="C559" s="2145" t="n"/>
      <c r="D559" s="2145" t="n"/>
      <c r="E559" s="53" t="n"/>
      <c r="F559" s="53" t="n"/>
      <c r="G559" s="53" t="n"/>
      <c r="H559" s="93" t="n"/>
      <c r="I559" s="2145" t="n"/>
      <c r="J559" s="2145" t="n"/>
      <c r="K559" s="2145" t="n"/>
    </row>
    <row r="560" customFormat="1" s="1916">
      <c r="A560" s="53" t="n"/>
      <c r="B560" s="93" t="n"/>
      <c r="C560" s="2145" t="n"/>
      <c r="D560" s="2145" t="n"/>
      <c r="E560" s="53" t="n"/>
      <c r="F560" s="53" t="n"/>
      <c r="G560" s="53" t="n"/>
      <c r="H560" s="93" t="n"/>
      <c r="I560" s="2145" t="n"/>
      <c r="J560" s="2145" t="n"/>
      <c r="K560" s="2145" t="n"/>
    </row>
    <row r="561" customFormat="1" s="1916">
      <c r="A561" s="53" t="n"/>
      <c r="B561" s="93" t="n"/>
      <c r="C561" s="2145" t="n"/>
      <c r="D561" s="2145" t="n"/>
      <c r="E561" s="111" t="n"/>
      <c r="F561" s="53" t="n"/>
      <c r="G561" s="53" t="n"/>
      <c r="H561" s="93" t="n"/>
      <c r="I561" s="2145" t="n"/>
      <c r="J561" s="2145" t="n"/>
      <c r="K561" s="2145" t="n"/>
    </row>
    <row r="562" customFormat="1" s="1916">
      <c r="A562" s="53" t="n"/>
      <c r="B562" s="93" t="n"/>
      <c r="C562" s="2145" t="n"/>
      <c r="D562" s="2145" t="n"/>
      <c r="E562" s="111" t="n"/>
      <c r="F562" s="53" t="n"/>
      <c r="G562" s="53" t="n"/>
      <c r="H562" s="93" t="n"/>
      <c r="I562" s="2145" t="n"/>
      <c r="J562" s="2145" t="n"/>
      <c r="K562" s="2145" t="n"/>
    </row>
    <row r="563" customFormat="1" s="1916">
      <c r="A563" s="53" t="n"/>
      <c r="B563" s="93" t="n"/>
      <c r="C563" s="2145" t="n"/>
      <c r="D563" s="2145" t="n"/>
      <c r="E563" s="53" t="n"/>
      <c r="F563" s="53" t="n"/>
      <c r="G563" s="53" t="n"/>
      <c r="H563" s="93" t="n"/>
      <c r="I563" s="2145" t="n"/>
      <c r="J563" s="2145" t="n"/>
      <c r="K563" s="2145" t="n"/>
    </row>
    <row r="564" customFormat="1" s="1916">
      <c r="A564" s="53" t="n"/>
      <c r="B564" s="93" t="n"/>
      <c r="C564" s="2145" t="n"/>
      <c r="D564" s="2145" t="n"/>
      <c r="E564" s="53" t="n"/>
      <c r="F564" s="53" t="n"/>
      <c r="G564" s="53" t="n"/>
      <c r="H564" s="93" t="n"/>
      <c r="I564" s="2145" t="n"/>
      <c r="J564" s="2145" t="n"/>
      <c r="K564" s="2145" t="n"/>
    </row>
    <row r="565" customFormat="1" s="1916">
      <c r="A565" s="103" t="n"/>
      <c r="B565" s="103" t="n"/>
      <c r="C565" s="2147" t="n"/>
      <c r="D565" s="2147" t="n"/>
      <c r="E565" s="53" t="n"/>
      <c r="F565" s="53" t="n"/>
      <c r="G565" s="103" t="n"/>
      <c r="H565" s="103" t="n"/>
      <c r="I565" s="2147" t="n"/>
      <c r="J565" s="2147" t="n"/>
      <c r="K565" s="2147" t="n"/>
    </row>
    <row r="566" customFormat="1" s="1916">
      <c r="A566" s="53" t="n"/>
      <c r="B566" s="53" t="n"/>
      <c r="C566" s="2145" t="n"/>
      <c r="D566" s="2145" t="n"/>
      <c r="E566" s="53" t="n"/>
      <c r="F566" s="53" t="n"/>
    </row>
    <row r="567" customFormat="1" s="1916">
      <c r="A567" s="53" t="n"/>
      <c r="B567" s="53" t="n"/>
      <c r="C567" s="2145" t="n"/>
      <c r="D567" s="2147" t="n"/>
      <c r="E567" s="53" t="n"/>
      <c r="F567" s="53" t="n"/>
    </row>
    <row r="568" customFormat="1" s="1916">
      <c r="A568" s="53" t="n"/>
      <c r="B568" s="53" t="n"/>
      <c r="C568" s="2145" t="n"/>
      <c r="D568" s="2145" t="n"/>
      <c r="E568" s="53" t="n"/>
      <c r="F568" s="53" t="n"/>
    </row>
    <row r="569" customFormat="1" s="1916">
      <c r="A569" s="53" t="n"/>
      <c r="B569" s="53" t="n"/>
      <c r="C569" s="2145" t="n"/>
      <c r="D569" s="2145" t="n"/>
      <c r="E569" s="53" t="n"/>
      <c r="F569" s="53" t="n"/>
    </row>
    <row r="570" customFormat="1" s="1916">
      <c r="A570" s="53" t="n"/>
      <c r="B570" s="112" t="n"/>
      <c r="C570" s="2145" t="n"/>
      <c r="D570" s="2145" t="n"/>
      <c r="E570" s="53" t="n"/>
      <c r="F570" s="53" t="n"/>
    </row>
    <row r="571" customFormat="1" s="1916">
      <c r="A571" s="53" t="n"/>
      <c r="B571" s="112" t="n"/>
      <c r="C571" s="2145" t="n"/>
      <c r="D571" s="2145" t="n"/>
      <c r="E571" s="53" t="n"/>
      <c r="F571" s="53" t="n"/>
    </row>
    <row r="572" customFormat="1" s="1916">
      <c r="A572" s="53" t="n"/>
      <c r="B572" s="113" t="n"/>
      <c r="C572" s="2145" t="n"/>
      <c r="D572" s="2145" t="n"/>
      <c r="E572" s="53" t="n"/>
      <c r="F572" s="53" t="n"/>
    </row>
    <row r="573" customFormat="1" s="1916">
      <c r="A573" s="53" t="n"/>
      <c r="B573" s="113" t="n"/>
      <c r="C573" s="2145" t="n"/>
      <c r="D573" s="2145" t="n"/>
      <c r="E573" s="53" t="n"/>
      <c r="F573" s="53" t="n"/>
    </row>
    <row r="574" customFormat="1" s="1916">
      <c r="A574" s="53" t="n"/>
      <c r="B574" s="113" t="n"/>
      <c r="C574" s="2145" t="n"/>
      <c r="D574" s="2145" t="n"/>
      <c r="E574" s="53" t="n"/>
      <c r="F574" s="53" t="n"/>
    </row>
    <row r="575" customFormat="1" s="1916">
      <c r="A575" s="53" t="n"/>
      <c r="B575" s="113" t="n"/>
      <c r="C575" s="2145" t="n"/>
      <c r="D575" s="2145" t="n"/>
      <c r="E575" s="53" t="n"/>
      <c r="F575" s="53" t="n"/>
    </row>
    <row r="576" customFormat="1" s="1916">
      <c r="A576" s="53" t="n"/>
      <c r="B576" s="112" t="n"/>
      <c r="C576" s="2145" t="n"/>
      <c r="D576" s="2145" t="n"/>
      <c r="E576" s="53" t="n"/>
      <c r="F576" s="53" t="n"/>
    </row>
    <row r="577" customFormat="1" s="1916">
      <c r="A577" s="53" t="n"/>
      <c r="B577" s="112" t="n"/>
      <c r="C577" s="2145" t="n"/>
      <c r="D577" s="2145" t="n"/>
      <c r="E577" s="53" t="n"/>
      <c r="F577" s="53" t="n"/>
    </row>
    <row r="578" customFormat="1" s="1916">
      <c r="A578" s="53" t="n"/>
      <c r="B578" s="112" t="n"/>
      <c r="C578" s="2145" t="n"/>
      <c r="D578" s="2149" t="n"/>
      <c r="E578" s="53" t="n"/>
      <c r="F578" s="53" t="n"/>
      <c r="N578" s="53" t="n"/>
    </row>
    <row r="579" customFormat="1" s="1916">
      <c r="A579" s="53" t="n"/>
      <c r="B579" s="113" t="n"/>
      <c r="C579" s="2145" t="n"/>
      <c r="D579" s="2145" t="n"/>
      <c r="E579" s="53" t="n"/>
      <c r="F579" s="53" t="n"/>
      <c r="G579" s="53" t="n"/>
      <c r="I579" s="2154" t="n"/>
      <c r="N579" s="53" t="n"/>
    </row>
    <row r="580" customFormat="1" s="1916">
      <c r="A580" s="53" t="n"/>
      <c r="B580" s="53" t="n"/>
      <c r="C580" s="2145" t="n"/>
      <c r="D580" s="2145" t="n"/>
      <c r="E580" s="2145" t="n"/>
      <c r="F580" s="2145" t="n"/>
      <c r="N580" s="53" t="n"/>
    </row>
    <row r="581" customFormat="1" s="1916">
      <c r="A581" s="53" t="n"/>
      <c r="B581" s="53" t="n"/>
      <c r="C581" s="2145" t="n"/>
      <c r="D581" s="2145" t="n"/>
      <c r="F581" s="108" t="n"/>
      <c r="N581" s="53" t="n"/>
    </row>
    <row r="582" customFormat="1" s="1916">
      <c r="D582" s="2145" t="n"/>
    </row>
    <row r="583" customFormat="1" s="1916"/>
    <row r="584" customFormat="1" s="1916"/>
    <row r="585" customFormat="1" s="1916">
      <c r="A585" s="53" t="n"/>
      <c r="B585" s="53" t="n"/>
      <c r="C585" s="53" t="n"/>
      <c r="D585" s="53" t="n"/>
      <c r="L585" s="53" t="n"/>
      <c r="M585" s="53" t="n"/>
      <c r="N585" s="53" t="n"/>
      <c r="O585" s="53" t="n"/>
      <c r="P585" s="53" t="n"/>
    </row>
    <row r="586" customFormat="1" s="1916">
      <c r="A586" s="53" t="n"/>
      <c r="B586" s="53" t="n"/>
      <c r="C586" s="53" t="n"/>
      <c r="D586" s="53" t="n"/>
      <c r="E586" s="53" t="n"/>
      <c r="F586" s="53" t="n"/>
      <c r="L586" s="53" t="n"/>
      <c r="M586" s="53" t="n"/>
      <c r="N586" s="53" t="n"/>
      <c r="O586" s="53" t="n"/>
      <c r="P586" s="2145" t="n"/>
    </row>
    <row r="587" customFormat="1" s="1916">
      <c r="A587" s="53" t="n"/>
      <c r="B587" s="2155" t="n"/>
      <c r="C587" s="2145" t="n"/>
      <c r="D587" s="2145" t="n"/>
      <c r="E587" s="2156" t="n"/>
      <c r="F587" s="53" t="n"/>
      <c r="L587" s="53" t="n"/>
      <c r="M587" s="53" t="n"/>
      <c r="N587" s="2145" t="n"/>
      <c r="O587" s="2145" t="n"/>
      <c r="P587" s="2145" t="n"/>
    </row>
    <row r="588" customFormat="1" s="1916">
      <c r="A588" s="53" t="n"/>
      <c r="B588" s="53" t="n"/>
      <c r="C588" s="2145" t="n"/>
      <c r="D588" s="2145" t="n"/>
      <c r="E588" s="53" t="n"/>
      <c r="F588" s="53" t="n"/>
      <c r="L588" s="53" t="n"/>
      <c r="M588" s="53" t="n"/>
      <c r="N588" s="2145" t="n"/>
      <c r="O588" s="2156" t="n"/>
      <c r="P588" s="2145" t="n"/>
    </row>
    <row r="589" customFormat="1" s="1916">
      <c r="A589" s="53" t="n"/>
      <c r="B589" s="53" t="n"/>
      <c r="C589" s="2145" t="n"/>
      <c r="D589" s="2145" t="n"/>
      <c r="E589" s="53" t="n"/>
      <c r="F589" s="53" t="n"/>
      <c r="L589" s="53" t="n"/>
      <c r="M589" s="53" t="n"/>
      <c r="N589" s="2145" t="n"/>
      <c r="O589" s="2156" t="n"/>
      <c r="P589" s="2145" t="n"/>
    </row>
    <row r="590" customFormat="1" s="1916">
      <c r="A590" s="53" t="n"/>
      <c r="B590" s="53" t="n"/>
      <c r="C590" s="2145" t="n"/>
      <c r="D590" s="2145" t="n"/>
      <c r="E590" s="53" t="n"/>
      <c r="F590" s="53" t="n"/>
      <c r="L590" s="53" t="n"/>
      <c r="M590" s="2145" t="n"/>
      <c r="N590" s="2149" t="n"/>
      <c r="O590" s="53" t="n"/>
      <c r="P590" s="53" t="n"/>
      <c r="Q590" s="53" t="n"/>
      <c r="R590" s="53" t="n"/>
      <c r="S590" s="53" t="n"/>
    </row>
    <row r="591" customFormat="1" s="1916">
      <c r="A591" s="53" t="n"/>
      <c r="B591" s="53" t="n"/>
      <c r="C591" s="2145" t="n"/>
      <c r="D591" s="2145" t="n"/>
      <c r="E591" s="53" t="n"/>
      <c r="F591" s="53" t="n"/>
      <c r="L591" s="53" t="n"/>
      <c r="M591" s="53" t="n"/>
      <c r="N591" s="2149" t="n"/>
      <c r="O591" s="53" t="n"/>
      <c r="P591" s="53" t="n"/>
      <c r="Q591" s="2145" t="n"/>
      <c r="R591" s="2145" t="n"/>
      <c r="S591" s="53" t="n"/>
    </row>
    <row r="592" customFormat="1" s="1916">
      <c r="A592" s="53" t="n"/>
      <c r="B592" s="53" t="n"/>
      <c r="C592" s="2145" t="n"/>
      <c r="D592" s="2145" t="n"/>
      <c r="E592" s="53" t="n"/>
      <c r="F592" s="53" t="n"/>
      <c r="L592" s="53" t="n"/>
      <c r="M592" s="53" t="n"/>
      <c r="N592" s="2149" t="n"/>
      <c r="O592" s="53" t="n"/>
      <c r="P592" s="53" t="n"/>
      <c r="Q592" s="2145" t="n"/>
      <c r="R592" s="2145" t="n"/>
      <c r="S592" s="53" t="n"/>
    </row>
    <row r="593" customFormat="1" s="1916">
      <c r="A593" s="53" t="n"/>
      <c r="B593" s="53" t="n"/>
      <c r="C593" s="2145" t="n"/>
      <c r="D593" s="2145" t="n"/>
      <c r="E593" s="53" t="n"/>
      <c r="F593" s="53" t="n"/>
      <c r="L593" s="53" t="n"/>
      <c r="M593" s="53" t="n"/>
      <c r="N593" s="2149" t="n"/>
      <c r="O593" s="53" t="n"/>
      <c r="P593" s="53" t="n"/>
      <c r="Q593" s="2145" t="n"/>
      <c r="R593" s="2145" t="n"/>
      <c r="S593" s="53" t="n"/>
    </row>
    <row r="594" customFormat="1" s="1916">
      <c r="A594" s="53" t="n"/>
      <c r="B594" s="53" t="n"/>
      <c r="C594" s="2145" t="n"/>
      <c r="D594" s="2145" t="n"/>
      <c r="E594" s="53" t="n"/>
      <c r="F594" s="53" t="n"/>
      <c r="L594" s="53" t="n"/>
      <c r="M594" s="53" t="n"/>
      <c r="N594" s="2149" t="n"/>
      <c r="O594" s="53" t="n"/>
      <c r="P594" s="53" t="n"/>
      <c r="Q594" s="2145" t="n"/>
      <c r="R594" s="2145" t="n"/>
      <c r="S594" s="53" t="n"/>
    </row>
    <row r="595" customFormat="1" s="1916">
      <c r="A595" s="53" t="n"/>
      <c r="B595" s="53" t="n"/>
      <c r="C595" s="2145" t="n"/>
      <c r="D595" s="2145" t="n"/>
      <c r="E595" s="53" t="n"/>
      <c r="F595" s="53" t="n"/>
      <c r="L595" s="53" t="n"/>
      <c r="M595" s="53" t="n"/>
      <c r="N595" s="2149" t="n"/>
      <c r="O595" s="53" t="n"/>
      <c r="P595" s="53" t="n"/>
      <c r="Q595" s="53" t="n"/>
      <c r="R595" s="53" t="n"/>
      <c r="S595" s="53" t="n"/>
    </row>
    <row r="596" customFormat="1" s="1916">
      <c r="A596" s="53" t="n"/>
      <c r="B596" s="53" t="n"/>
      <c r="C596" s="2145" t="n"/>
      <c r="D596" s="2145" t="n"/>
      <c r="E596" s="53" t="n"/>
      <c r="F596" s="53" t="n"/>
      <c r="L596" s="53" t="n"/>
      <c r="M596" s="53" t="n"/>
      <c r="N596" s="2149" t="n"/>
      <c r="O596" s="53" t="n"/>
      <c r="P596" s="53" t="n"/>
      <c r="Q596" s="53" t="n"/>
      <c r="R596" s="53" t="n"/>
      <c r="S596" s="53" t="n"/>
    </row>
    <row r="597" customFormat="1" s="1916">
      <c r="A597" s="53" t="n"/>
      <c r="B597" s="53" t="n"/>
      <c r="C597" s="2145" t="n"/>
      <c r="D597" s="2145" t="n"/>
      <c r="E597" s="53" t="n"/>
      <c r="F597" s="53" t="n"/>
      <c r="Q597" s="53" t="n"/>
      <c r="R597" s="53" t="n"/>
      <c r="S597" s="53" t="n"/>
    </row>
    <row r="598" customFormat="1" s="1916">
      <c r="A598" s="53" t="n"/>
      <c r="B598" s="53" t="n"/>
      <c r="C598" s="2145" t="n"/>
      <c r="D598" s="2145" t="n"/>
      <c r="E598" s="53" t="n"/>
      <c r="F598" s="53" t="n"/>
      <c r="Q598" s="53" t="n"/>
      <c r="R598" s="53" t="n"/>
      <c r="S598" s="53" t="n"/>
    </row>
    <row r="599" customFormat="1" s="1916">
      <c r="A599" s="53" t="n"/>
      <c r="B599" s="53" t="n"/>
      <c r="C599" s="2145" t="n"/>
      <c r="D599" s="2145" t="n"/>
      <c r="E599" s="2156" t="n"/>
      <c r="F599" s="53" t="n"/>
      <c r="Q599" s="53" t="n"/>
      <c r="R599" s="53" t="n"/>
      <c r="S599" s="53" t="n"/>
    </row>
    <row r="600" customFormat="1" s="1916">
      <c r="A600" s="53" t="n"/>
      <c r="B600" s="53" t="n"/>
      <c r="C600" s="2145" t="n"/>
      <c r="D600" s="2145" t="n"/>
      <c r="E600" s="53" t="n"/>
      <c r="F600" s="53" t="n"/>
      <c r="Q600" s="53" t="n"/>
      <c r="R600" s="53" t="n"/>
      <c r="S600" s="53" t="n"/>
    </row>
    <row r="601" customFormat="1" s="1916">
      <c r="A601" s="53" t="n"/>
      <c r="B601" s="53" t="n"/>
      <c r="C601" s="2145" t="n"/>
      <c r="D601" s="2145" t="n"/>
      <c r="E601" s="53" t="n"/>
      <c r="F601" s="53" t="n"/>
      <c r="Q601" s="53" t="n"/>
      <c r="R601" s="53" t="n"/>
      <c r="S601" s="53" t="n"/>
    </row>
    <row r="602" customFormat="1" s="1916">
      <c r="A602" s="53" t="n"/>
      <c r="B602" s="53" t="n"/>
      <c r="C602" s="2145" t="n"/>
      <c r="D602" s="2145" t="n"/>
      <c r="E602" s="53" t="n"/>
      <c r="F602" s="53" t="n"/>
    </row>
    <row r="603" customFormat="1" s="1916">
      <c r="A603" s="53" t="n"/>
      <c r="B603" s="53" t="n"/>
      <c r="C603" s="2145" t="n"/>
      <c r="D603" s="2145" t="n"/>
      <c r="E603" s="53" t="n"/>
      <c r="F603" s="53" t="n"/>
    </row>
    <row r="604" customFormat="1" s="1916">
      <c r="A604" s="103" t="n"/>
      <c r="B604" s="103" t="n"/>
      <c r="C604" s="2147" t="n"/>
      <c r="D604" s="2147" t="n"/>
      <c r="E604" s="53" t="n"/>
      <c r="F604" s="53" t="n"/>
    </row>
    <row r="605" customFormat="1" s="1916">
      <c r="A605" s="103" t="n"/>
      <c r="B605" s="105" t="n"/>
      <c r="C605" s="2147" t="n"/>
      <c r="D605" s="2147" t="n"/>
      <c r="E605" s="53" t="n"/>
      <c r="F605" s="53" t="n"/>
    </row>
    <row r="606" customFormat="1" s="1916">
      <c r="A606" s="103" t="n"/>
      <c r="B606" s="103" t="n"/>
      <c r="C606" s="2147" t="n"/>
      <c r="D606" s="2147" t="n"/>
      <c r="E606" s="53" t="n"/>
      <c r="F606" s="53" t="n"/>
    </row>
    <row r="607" customFormat="1" s="1916">
      <c r="A607" s="103" t="n"/>
      <c r="B607" s="105" t="n"/>
      <c r="C607" s="2147" t="n"/>
      <c r="D607" s="2147" t="n"/>
      <c r="E607" s="53" t="n"/>
      <c r="G607" s="53" t="n"/>
      <c r="H607" s="53" t="n"/>
      <c r="I607" s="53" t="n"/>
      <c r="J607" s="53" t="n"/>
      <c r="K607" s="53" t="n"/>
      <c r="L607" s="53" t="n"/>
    </row>
    <row r="608" customFormat="1" s="1916">
      <c r="A608" s="53" t="n"/>
      <c r="B608" s="53" t="n"/>
      <c r="C608" s="2145" t="n"/>
      <c r="D608" s="2145" t="n"/>
      <c r="E608" s="53" t="n"/>
      <c r="G608" s="53" t="n"/>
      <c r="H608" s="53" t="n"/>
      <c r="I608" s="53" t="n"/>
      <c r="J608" s="106" t="n"/>
      <c r="K608" s="106" t="n"/>
      <c r="L608" s="106" t="n"/>
    </row>
    <row r="609" customFormat="1" s="1916">
      <c r="A609" s="3" t="n"/>
      <c r="B609" s="2156" t="n"/>
      <c r="C609" s="3" t="n"/>
      <c r="D609" s="2156" t="n"/>
      <c r="E609" s="107" t="n"/>
      <c r="G609" s="53" t="n"/>
      <c r="H609" s="108" t="n"/>
      <c r="I609" s="53" t="n"/>
      <c r="J609" s="106" t="n"/>
      <c r="K609" s="106" t="n"/>
      <c r="L609" s="106" t="n"/>
    </row>
    <row r="610" customFormat="1" s="1916">
      <c r="A610" s="53" t="n"/>
      <c r="B610" s="53" t="n"/>
      <c r="C610" s="53" t="n"/>
      <c r="D610" s="53" t="n"/>
      <c r="E610" s="107" t="n"/>
      <c r="G610" s="53" t="n"/>
      <c r="H610" s="53" t="n"/>
      <c r="I610" s="53" t="n"/>
      <c r="J610" s="2145" t="n"/>
      <c r="K610" s="2145" t="n"/>
      <c r="L610" s="53" t="n"/>
    </row>
    <row r="611" customFormat="1" s="1916">
      <c r="A611" s="53" t="n"/>
      <c r="B611" s="53" t="n"/>
      <c r="C611" s="53" t="n"/>
      <c r="D611" s="106" t="n"/>
      <c r="E611" s="106" t="n"/>
      <c r="G611" s="53" t="n"/>
      <c r="H611" s="93" t="n"/>
      <c r="I611" s="2145" t="n"/>
      <c r="J611" s="2145" t="n"/>
      <c r="K611" s="2145" t="n"/>
      <c r="L611" s="106" t="n"/>
    </row>
    <row r="612" customFormat="1" s="1916">
      <c r="A612" s="53" t="n"/>
      <c r="B612" s="53" t="n"/>
      <c r="C612" s="53" t="n"/>
      <c r="D612" s="53" t="n"/>
      <c r="E612" s="53" t="n"/>
      <c r="G612" s="53" t="n"/>
      <c r="H612" s="93" t="n"/>
      <c r="I612" s="2145" t="n"/>
      <c r="J612" s="2145" t="n"/>
      <c r="K612" s="2145" t="n"/>
      <c r="L612" s="53" t="n"/>
    </row>
    <row r="613" customFormat="1" s="1916">
      <c r="A613" s="53" t="n"/>
      <c r="B613" s="53" t="n"/>
      <c r="C613" s="53" t="n"/>
      <c r="D613" s="106" t="n"/>
      <c r="E613" s="106" t="n"/>
      <c r="G613" s="53" t="n"/>
      <c r="H613" s="93" t="n"/>
      <c r="I613" s="2145" t="n"/>
      <c r="J613" s="2145" t="n"/>
      <c r="K613" s="2145" t="n"/>
      <c r="L613" s="106" t="n"/>
    </row>
    <row r="614" customFormat="1" s="1916">
      <c r="A614" s="53" t="n"/>
      <c r="B614" s="53" t="n"/>
      <c r="C614" s="53" t="n"/>
      <c r="D614" s="2157" t="n"/>
      <c r="E614" s="2157" t="n"/>
      <c r="F614" s="53" t="n"/>
      <c r="G614" s="103" t="n"/>
      <c r="H614" s="103" t="n"/>
      <c r="I614" s="2147" t="n"/>
      <c r="J614" s="2147" t="n"/>
      <c r="K614" s="2145" t="n"/>
      <c r="L614" s="106" t="n"/>
    </row>
    <row r="615" customFormat="1" s="1916">
      <c r="A615" s="53" t="n"/>
      <c r="B615" s="53" t="n"/>
      <c r="C615" s="2145" t="n"/>
      <c r="D615" s="2145" t="n"/>
      <c r="E615" s="2145" t="n"/>
      <c r="F615" s="53" t="n"/>
      <c r="G615" s="53" t="n"/>
      <c r="H615" s="53" t="n"/>
    </row>
    <row r="616" customFormat="1" s="1916">
      <c r="A616" s="53" t="n"/>
      <c r="B616" s="53" t="n"/>
      <c r="C616" s="53" t="n"/>
      <c r="D616" s="2145" t="n"/>
      <c r="E616" s="53" t="n"/>
      <c r="F616" s="53" t="n"/>
      <c r="G616" s="110" t="n"/>
      <c r="H616" s="53" t="n"/>
      <c r="I616" s="53" t="n"/>
      <c r="J616" s="2145" t="n"/>
      <c r="K616" s="2145" t="n"/>
    </row>
    <row r="617" customFormat="1" s="1916">
      <c r="A617" s="53" t="n"/>
      <c r="B617" s="93" t="n"/>
      <c r="C617" s="2145" t="n"/>
      <c r="D617" s="2145" t="n"/>
      <c r="E617" s="53" t="n"/>
      <c r="F617" s="53" t="n"/>
      <c r="G617" s="2156" t="n"/>
      <c r="H617" s="93" t="n"/>
      <c r="I617" s="2145" t="n"/>
      <c r="J617" s="2145" t="n"/>
      <c r="K617" s="2145" t="n"/>
    </row>
    <row r="618" customFormat="1" s="1916">
      <c r="A618" s="53" t="n"/>
      <c r="B618" s="93" t="n"/>
      <c r="C618" s="2145" t="n"/>
      <c r="D618" s="2145" t="n"/>
      <c r="E618" s="53" t="n"/>
      <c r="F618" s="53" t="n"/>
      <c r="G618" s="53" t="n"/>
      <c r="H618" s="93" t="n"/>
      <c r="I618" s="2145" t="n"/>
      <c r="J618" s="2145" t="n"/>
      <c r="K618" s="2145" t="n"/>
    </row>
    <row r="619" customFormat="1" s="1916">
      <c r="A619" s="53" t="n"/>
      <c r="B619" s="93" t="n"/>
      <c r="C619" s="2145" t="n"/>
      <c r="D619" s="2145" t="n"/>
      <c r="E619" s="53" t="n"/>
      <c r="F619" s="53" t="n"/>
      <c r="G619" s="53" t="n"/>
      <c r="H619" s="93" t="n"/>
      <c r="I619" s="2145" t="n"/>
      <c r="J619" s="2145" t="n"/>
      <c r="K619" s="2145" t="n"/>
    </row>
    <row r="620" customFormat="1" s="1916">
      <c r="A620" s="53" t="n"/>
      <c r="B620" s="93" t="n"/>
      <c r="C620" s="2145" t="n"/>
      <c r="D620" s="2145" t="n"/>
      <c r="E620" s="111" t="n"/>
      <c r="F620" s="53" t="n"/>
      <c r="G620" s="53" t="n"/>
      <c r="H620" s="93" t="n"/>
      <c r="I620" s="2145" t="n"/>
      <c r="J620" s="2145" t="n"/>
      <c r="K620" s="2145" t="n"/>
    </row>
    <row r="621" customFormat="1" s="1916">
      <c r="A621" s="53" t="n"/>
      <c r="B621" s="93" t="n"/>
      <c r="C621" s="2145" t="n"/>
      <c r="D621" s="2145" t="n"/>
      <c r="E621" s="111" t="n"/>
      <c r="F621" s="53" t="n"/>
      <c r="G621" s="53" t="n"/>
      <c r="H621" s="93" t="n"/>
      <c r="I621" s="2145" t="n"/>
      <c r="J621" s="2145" t="n"/>
      <c r="K621" s="2145" t="n"/>
    </row>
    <row r="622" customFormat="1" s="1916">
      <c r="A622" s="53" t="n"/>
      <c r="B622" s="93" t="n"/>
      <c r="C622" s="2145" t="n"/>
      <c r="D622" s="2145" t="n"/>
      <c r="E622" s="53" t="n"/>
      <c r="F622" s="53" t="n"/>
      <c r="G622" s="53" t="n"/>
      <c r="H622" s="93" t="n"/>
      <c r="I622" s="2145" t="n"/>
      <c r="J622" s="2145" t="n"/>
      <c r="K622" s="2145" t="n"/>
    </row>
    <row r="623" customFormat="1" s="1916">
      <c r="A623" s="53" t="n"/>
      <c r="B623" s="93" t="n"/>
      <c r="C623" s="2145" t="n"/>
      <c r="D623" s="2145" t="n"/>
      <c r="E623" s="53" t="n"/>
      <c r="F623" s="53" t="n"/>
      <c r="G623" s="53" t="n"/>
      <c r="H623" s="93" t="n"/>
      <c r="I623" s="2145" t="n"/>
      <c r="J623" s="2145" t="n"/>
      <c r="K623" s="2145" t="n"/>
    </row>
    <row r="624" customFormat="1" s="1916">
      <c r="A624" s="103" t="n"/>
      <c r="B624" s="103" t="n"/>
      <c r="C624" s="2147" t="n"/>
      <c r="D624" s="2147" t="n"/>
      <c r="E624" s="53" t="n"/>
      <c r="F624" s="53" t="n"/>
      <c r="G624" s="103" t="n"/>
      <c r="H624" s="103" t="n"/>
      <c r="I624" s="2147" t="n"/>
      <c r="J624" s="2147" t="n"/>
      <c r="K624" s="2147" t="n"/>
    </row>
    <row r="625" customFormat="1" s="1916">
      <c r="A625" s="53" t="n"/>
      <c r="B625" s="53" t="n"/>
      <c r="C625" s="2145" t="n"/>
      <c r="D625" s="2145" t="n"/>
      <c r="E625" s="53" t="n"/>
      <c r="F625" s="53" t="n"/>
    </row>
    <row r="626" customFormat="1" s="1916">
      <c r="A626" s="53" t="n"/>
      <c r="B626" s="53" t="n"/>
      <c r="C626" s="2145" t="n"/>
      <c r="D626" s="2147" t="n"/>
      <c r="E626" s="53" t="n"/>
      <c r="F626" s="53" t="n"/>
    </row>
    <row r="627" customFormat="1" s="1916">
      <c r="A627" s="53" t="n"/>
      <c r="B627" s="53" t="n"/>
      <c r="C627" s="2145" t="n"/>
      <c r="D627" s="2145" t="n"/>
      <c r="E627" s="53" t="n"/>
      <c r="F627" s="53" t="n"/>
    </row>
    <row r="628" customFormat="1" s="1916">
      <c r="A628" s="53" t="n"/>
      <c r="B628" s="53" t="n"/>
      <c r="C628" s="2145" t="n"/>
      <c r="D628" s="2145" t="n"/>
      <c r="E628" s="53" t="n"/>
      <c r="F628" s="53" t="n"/>
    </row>
    <row r="629" customFormat="1" s="1916">
      <c r="A629" s="53" t="n"/>
      <c r="B629" s="112" t="n"/>
      <c r="C629" s="2145" t="n"/>
      <c r="D629" s="2145" t="n"/>
      <c r="E629" s="53" t="n"/>
      <c r="F629" s="53" t="n"/>
    </row>
    <row r="630" customFormat="1" s="1916">
      <c r="A630" s="53" t="n"/>
      <c r="B630" s="112" t="n"/>
      <c r="C630" s="2145" t="n"/>
      <c r="D630" s="2145" t="n"/>
      <c r="E630" s="53" t="n"/>
      <c r="F630" s="53" t="n"/>
    </row>
    <row r="631" customFormat="1" s="1916">
      <c r="A631" s="53" t="n"/>
      <c r="B631" s="113" t="n"/>
      <c r="C631" s="2145" t="n"/>
      <c r="D631" s="2145" t="n"/>
      <c r="E631" s="53" t="n"/>
      <c r="F631" s="53" t="n"/>
    </row>
    <row r="632" customFormat="1" s="1916">
      <c r="A632" s="53" t="n"/>
      <c r="B632" s="113" t="n"/>
      <c r="C632" s="2145" t="n"/>
      <c r="D632" s="2145" t="n"/>
      <c r="E632" s="53" t="n"/>
      <c r="F632" s="53" t="n"/>
    </row>
    <row r="633" customFormat="1" s="1916">
      <c r="A633" s="53" t="n"/>
      <c r="B633" s="113" t="n"/>
      <c r="C633" s="2145" t="n"/>
      <c r="D633" s="2145" t="n"/>
      <c r="E633" s="53" t="n"/>
      <c r="F633" s="53" t="n"/>
    </row>
    <row r="634" customFormat="1" s="1916">
      <c r="A634" s="53" t="n"/>
      <c r="B634" s="113" t="n"/>
      <c r="C634" s="2145" t="n"/>
      <c r="D634" s="2145" t="n"/>
      <c r="E634" s="53" t="n"/>
      <c r="F634" s="53" t="n"/>
    </row>
    <row r="635" customFormat="1" s="1916">
      <c r="A635" s="53" t="n"/>
      <c r="B635" s="112" t="n"/>
      <c r="C635" s="2145" t="n"/>
      <c r="D635" s="2145" t="n"/>
      <c r="E635" s="53" t="n"/>
      <c r="F635" s="53" t="n"/>
    </row>
    <row r="636" customFormat="1" s="1916">
      <c r="A636" s="53" t="n"/>
      <c r="B636" s="112" t="n"/>
      <c r="C636" s="2145" t="n"/>
      <c r="D636" s="2145" t="n"/>
      <c r="E636" s="53" t="n"/>
      <c r="F636" s="53" t="n"/>
    </row>
    <row r="637" customFormat="1" s="1916">
      <c r="A637" s="53" t="n"/>
      <c r="B637" s="112" t="n"/>
      <c r="C637" s="2145" t="n"/>
      <c r="D637" s="2149" t="n"/>
      <c r="E637" s="53" t="n"/>
      <c r="F637" s="53" t="n"/>
      <c r="N637" s="53" t="n"/>
    </row>
    <row r="638" customFormat="1" s="1916">
      <c r="A638" s="53" t="n"/>
      <c r="B638" s="113" t="n"/>
      <c r="C638" s="2145" t="n"/>
      <c r="D638" s="2145" t="n"/>
      <c r="E638" s="53" t="n"/>
      <c r="F638" s="53" t="n"/>
      <c r="G638" s="53" t="n"/>
      <c r="I638" s="2154" t="n"/>
      <c r="N638" s="53" t="n"/>
    </row>
    <row r="639" customFormat="1" s="1916">
      <c r="A639" s="53" t="n"/>
      <c r="B639" s="53" t="n"/>
      <c r="C639" s="2145" t="n"/>
      <c r="D639" s="2145" t="n"/>
      <c r="E639" s="2145" t="n"/>
      <c r="F639" s="2145" t="n"/>
      <c r="N639" s="53" t="n"/>
    </row>
    <row r="640" customFormat="1" s="1916">
      <c r="A640" s="53" t="n"/>
      <c r="B640" s="53" t="n"/>
      <c r="C640" s="2145" t="n"/>
      <c r="D640" s="2145" t="n"/>
      <c r="F640" s="108" t="n"/>
      <c r="N640" s="53" t="n"/>
    </row>
    <row r="641" customFormat="1" s="1916">
      <c r="D641" s="2145" t="n"/>
    </row>
    <row r="642" customFormat="1" s="1916"/>
    <row r="643" customFormat="1" s="1916"/>
    <row r="644" customFormat="1" s="1916"/>
    <row r="645" customFormat="1" s="1916"/>
    <row r="646" customFormat="1" s="1916"/>
    <row r="647" customFormat="1" s="1916"/>
    <row r="648" customFormat="1" s="1916"/>
    <row r="649">
      <c r="Q649" s="1916" t="n"/>
      <c r="R649" s="1916" t="n"/>
      <c r="S649" s="1916" t="n"/>
      <c r="T649" s="191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142">
    <mergeCell ref="AK310:AP310"/>
    <mergeCell ref="AK319:AP319"/>
    <mergeCell ref="A231:G231"/>
    <mergeCell ref="A162:A165"/>
    <mergeCell ref="AA223:AG223"/>
    <mergeCell ref="AA291:AG291"/>
    <mergeCell ref="A230:G230"/>
    <mergeCell ref="K257:P257"/>
    <mergeCell ref="K199:P199"/>
    <mergeCell ref="AA162:AA165"/>
    <mergeCell ref="K207:P207"/>
    <mergeCell ref="AA215:AG215"/>
    <mergeCell ref="AK282:AP282"/>
    <mergeCell ref="A207:G207"/>
    <mergeCell ref="K133:Q133"/>
    <mergeCell ref="Q35:R35"/>
    <mergeCell ref="AA199:AG199"/>
    <mergeCell ref="AK150:AQ150"/>
    <mergeCell ref="AK257:AP257"/>
    <mergeCell ref="K191:P191"/>
    <mergeCell ref="AK239:AP239"/>
    <mergeCell ref="K283:P283"/>
    <mergeCell ref="AK266:AP266"/>
    <mergeCell ref="K122:Q122"/>
    <mergeCell ref="A128:G128"/>
    <mergeCell ref="AA191:AG191"/>
    <mergeCell ref="K266:P266"/>
    <mergeCell ref="K177:P177"/>
    <mergeCell ref="A282:G282"/>
    <mergeCell ref="AK292:AP292"/>
    <mergeCell ref="A192:G192"/>
    <mergeCell ref="AK274:AP274"/>
    <mergeCell ref="A145:G145"/>
    <mergeCell ref="A139:G139"/>
    <mergeCell ref="AK184:AP184"/>
    <mergeCell ref="AK128:AQ128"/>
    <mergeCell ref="AA177:AG177"/>
    <mergeCell ref="AK177:AP177"/>
    <mergeCell ref="AK192:AP192"/>
    <mergeCell ref="A184:G184"/>
    <mergeCell ref="AK231:AP231"/>
    <mergeCell ref="AA145:AG145"/>
    <mergeCell ref="AA139:AG139"/>
    <mergeCell ref="A171:G171"/>
    <mergeCell ref="AK139:AQ139"/>
    <mergeCell ref="A94:N94"/>
    <mergeCell ref="AK291:AP291"/>
    <mergeCell ref="AA231:AG231"/>
    <mergeCell ref="AA333:AG333"/>
    <mergeCell ref="AK320:AP320"/>
    <mergeCell ref="K230:P230"/>
    <mergeCell ref="AK326:AP326"/>
    <mergeCell ref="AA239:AG239"/>
    <mergeCell ref="AA310:AG310"/>
    <mergeCell ref="AA319:AG319"/>
    <mergeCell ref="K223:P223"/>
    <mergeCell ref="A133:G133"/>
    <mergeCell ref="AK215:AP215"/>
    <mergeCell ref="AA207:AG207"/>
    <mergeCell ref="K150:Q150"/>
    <mergeCell ref="AK133:AQ133"/>
    <mergeCell ref="AA230:AG230"/>
    <mergeCell ref="AK283:AP283"/>
    <mergeCell ref="A239:G239"/>
    <mergeCell ref="K192:P192"/>
    <mergeCell ref="A247:G247"/>
    <mergeCell ref="AA128:AG128"/>
    <mergeCell ref="A159:G159"/>
    <mergeCell ref="K247:P247"/>
    <mergeCell ref="AA326:AG326"/>
    <mergeCell ref="K145:Q145"/>
    <mergeCell ref="AA282:AG282"/>
    <mergeCell ref="AA192:AG192"/>
    <mergeCell ref="A274:G274"/>
    <mergeCell ref="K258:P258"/>
    <mergeCell ref="A170:G170"/>
    <mergeCell ref="AA302:AG302"/>
    <mergeCell ref="K170:P170"/>
    <mergeCell ref="AK302:AP302"/>
    <mergeCell ref="AA247:AG247"/>
    <mergeCell ref="AK333:AP333"/>
    <mergeCell ref="K128:Q128"/>
    <mergeCell ref="A258:G258"/>
    <mergeCell ref="AK145:AQ145"/>
    <mergeCell ref="AA184:AG184"/>
    <mergeCell ref="A266:G266"/>
    <mergeCell ref="AA283:AG283"/>
    <mergeCell ref="A275:G275"/>
    <mergeCell ref="AA258:AG258"/>
    <mergeCell ref="K139:Q139"/>
    <mergeCell ref="K275:P275"/>
    <mergeCell ref="AK258:AP258"/>
    <mergeCell ref="A123:G123"/>
    <mergeCell ref="K123:Q123"/>
    <mergeCell ref="K215:P215"/>
    <mergeCell ref="AA170:AG170"/>
    <mergeCell ref="AA275:AG275"/>
    <mergeCell ref="AK123:AQ123"/>
    <mergeCell ref="A223:G223"/>
    <mergeCell ref="AK230:AP230"/>
    <mergeCell ref="A160:G160"/>
    <mergeCell ref="AK223:AP223"/>
    <mergeCell ref="A150:G150"/>
    <mergeCell ref="AA133:AG133"/>
    <mergeCell ref="A122:G122"/>
    <mergeCell ref="A215:G215"/>
    <mergeCell ref="K159:P159"/>
    <mergeCell ref="AK207:AP207"/>
    <mergeCell ref="AA320:AG320"/>
    <mergeCell ref="K282:P282"/>
    <mergeCell ref="Q33:R33"/>
    <mergeCell ref="K291:P291"/>
    <mergeCell ref="A199:G199"/>
    <mergeCell ref="K239:P239"/>
    <mergeCell ref="AA160:AG160"/>
    <mergeCell ref="AK191:AP191"/>
    <mergeCell ref="AA122:AG122"/>
    <mergeCell ref="AA150:AG150"/>
    <mergeCell ref="AA159:AG159"/>
    <mergeCell ref="AK247:AP247"/>
    <mergeCell ref="AK199:AP199"/>
    <mergeCell ref="A257:G257"/>
    <mergeCell ref="A191:G191"/>
    <mergeCell ref="A291:G291"/>
    <mergeCell ref="AA274:AG274"/>
    <mergeCell ref="Q34:R34"/>
    <mergeCell ref="K274:P274"/>
    <mergeCell ref="AK170:AP170"/>
    <mergeCell ref="AK122:AQ122"/>
    <mergeCell ref="K184:P184"/>
    <mergeCell ref="K171:P171"/>
    <mergeCell ref="Q36:R36"/>
    <mergeCell ref="AA257:AG257"/>
    <mergeCell ref="A177:G177"/>
    <mergeCell ref="A283:G283"/>
    <mergeCell ref="AA266:AG266"/>
    <mergeCell ref="AK275:AP275"/>
    <mergeCell ref="K231:P231"/>
    <mergeCell ref="AK171:AP171"/>
    <mergeCell ref="AA123:AG123"/>
    <mergeCell ref="AA171:AG171"/>
    <mergeCell ref="AA292:AG292"/>
  </mergeCells>
  <conditionalFormatting sqref="A81:B81 D81">
    <cfRule type="expression" priority="3" dxfId="4">
      <formula>$D$6="yes"</formula>
    </cfRule>
  </conditionalFormatting>
  <conditionalFormatting sqref="D5">
    <cfRule type="cellIs" priority="5" operator="equal" dxfId="2">
      <formula>"Yes"</formula>
    </cfRule>
  </conditionalFormatting>
  <conditionalFormatting sqref="D6">
    <cfRule type="containsText" priority="11" operator="containsText" dxfId="10" text="Yes">
      <formula>NOT(ISERROR(SEARCH("Yes",D6)))</formula>
    </cfRule>
  </conditionalFormatting>
  <conditionalFormatting sqref="D41">
    <cfRule type="containsText" priority="2" operator="containsText" dxfId="2" text="BULK Discount ON">
      <formula>NOT(ISERROR(SEARCH("BULK Discount ON",D41)))</formula>
    </cfRule>
  </conditionalFormatting>
  <conditionalFormatting sqref="E45">
    <cfRule type="containsText" priority="7" operator="containsText" dxfId="2" text="10 hour days">
      <formula>NOT(ISERROR(SEARCH("10 hour days",E45)))</formula>
    </cfRule>
    <cfRule type="containsText" priority="8" operator="containsText" dxfId="4" text="8 hour days">
      <formula>NOT(ISERROR(SEARCH("8 hour days",E45)))</formula>
    </cfRule>
  </conditionalFormatting>
  <conditionalFormatting sqref="E46">
    <cfRule type="cellIs" priority="4" operator="equal" dxfId="9" stopIfTrue="1">
      <formula>"PW"</formula>
    </cfRule>
  </conditionalFormatting>
  <conditionalFormatting sqref="F45">
    <cfRule type="cellIs" priority="12" operator="greaterThan" dxfId="2">
      <formula>0.25</formula>
    </cfRule>
    <cfRule type="cellIs" priority="13" operator="lessThan" dxfId="1">
      <formula>0.15</formula>
    </cfRule>
  </conditionalFormatting>
  <conditionalFormatting sqref="F89">
    <cfRule type="containsText" priority="14" operator="containsText" dxfId="2" text="owner">
      <formula>NOT(ISERROR(SEARCH("owner",F89)))</formula>
    </cfRule>
  </conditionalFormatting>
  <conditionalFormatting sqref="G41:H41">
    <cfRule type="cellIs" priority="10" operator="notEqual" dxfId="0">
      <formula>FALSE</formula>
    </cfRule>
  </conditionalFormatting>
  <conditionalFormatting sqref="V136">
    <cfRule type="containsText" priority="1" operator="containsText" dxfId="2" text="BULK Discount ON">
      <formula>NOT(ISERROR(SEARCH("BULK Discount ON",V136)))</formula>
    </cfRule>
  </conditionalFormatting>
  <dataValidations disablePrompts="1" count="7">
    <dataValidation sqref="A21" showDropDown="0" showInputMessage="1" showErrorMessage="1" allowBlank="1" type="list">
      <formula1>$B$161:$B$165</formula1>
    </dataValidation>
    <dataValidation sqref="A22" showDropDown="0" showInputMessage="1" showErrorMessage="1" allowBlank="1" type="list">
      <formula1>$R$180:$R$195</formula1>
    </dataValidation>
    <dataValidation sqref="A25" showDropDown="0" showInputMessage="1" showErrorMessage="1" allowBlank="1" type="list">
      <formula1>$AB$161:$AB$167</formula1>
    </dataValidation>
    <dataValidation sqref="A26" showDropDown="0" showInputMessage="1" showErrorMessage="1" allowBlank="1" type="list">
      <formula1>$AR$180:$AR$205</formula1>
    </dataValidation>
    <dataValidation sqref="A35" showDropDown="0" showInputMessage="1" showErrorMessage="1" allowBlank="1" type="list">
      <formula1>$S$124:$S$136</formula1>
    </dataValidation>
    <dataValidation sqref="A37" showDropDown="0" showInputMessage="1" showErrorMessage="1" allowBlank="1" type="list">
      <formula1>$AS$124:$AS$136</formula1>
    </dataValidation>
    <dataValidation sqref="D41" showDropDown="0" showInputMessage="1" showErrorMessage="1" allowBlank="0" type="list">
      <formula1>$V$136:$V$137</formula1>
    </dataValidation>
  </dataValidations>
  <hyperlinks>
    <hyperlink xmlns:r="http://schemas.openxmlformats.org/officeDocument/2006/relationships" ref="A81" display="Kansas Remodel Tax" r:id="rId1"/>
  </hyperlinks>
  <pageMargins left="0.75" right="0.75" top="0.5" bottom="0.25" header="0.5" footer="0.5"/>
  <pageSetup orientation="portrait" scale="61" horizontalDpi="4294967292" verticalDpi="4294967292"/>
  <colBreaks count="1" manualBreakCount="1">
    <brk id="6" min="0" max="1048575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98"/>
  <sheetViews>
    <sheetView zoomScaleNormal="100" workbookViewId="0">
      <selection activeCell="B11" sqref="B11"/>
    </sheetView>
  </sheetViews>
  <sheetFormatPr baseColWidth="8" defaultColWidth="11.19921875" defaultRowHeight="15.6"/>
  <cols>
    <col width="19.796875" customWidth="1" min="1" max="1"/>
    <col width="13.796875" customWidth="1" min="2" max="2"/>
    <col width="13.296875" customWidth="1" min="3" max="3"/>
    <col width="14.296875" customWidth="1" min="4" max="4"/>
    <col width="16.796875" customWidth="1" min="5" max="5"/>
    <col width="18.19921875" customWidth="1" min="6" max="6"/>
    <col width="18.5" customWidth="1" min="7" max="7"/>
    <col width="19.5" customWidth="1" min="8" max="9"/>
    <col width="14.19921875" customWidth="1" min="10" max="10"/>
    <col width="14" customWidth="1" min="11" max="11"/>
    <col width="12.19921875" customWidth="1" min="12" max="12"/>
    <col width="13.69921875" customWidth="1" min="13" max="14"/>
    <col width="11.796875" customWidth="1" min="15" max="15"/>
    <col width="11.296875" customWidth="1" min="16" max="16"/>
    <col width="16.19921875" bestFit="1" customWidth="1" min="17" max="17"/>
    <col width="14.296875" customWidth="1" min="18" max="18"/>
    <col width="14.796875" customWidth="1" min="19" max="19"/>
    <col width="15.796875" customWidth="1" min="23" max="23"/>
    <col width="16.5" customWidth="1" min="24" max="24"/>
  </cols>
  <sheetData>
    <row r="1" customFormat="1" s="585">
      <c r="A1" s="584" t="inlineStr">
        <is>
          <t>Project</t>
        </is>
      </c>
      <c r="B1" s="585">
        <f>Epoxy!B1</f>
        <v/>
      </c>
      <c r="G1" s="586" t="inlineStr">
        <is>
          <t>Bidding Contacts:</t>
        </is>
      </c>
    </row>
    <row r="2" customFormat="1" s="585">
      <c r="A2" s="584" t="inlineStr">
        <is>
          <t>Bid Date</t>
        </is>
      </c>
      <c r="B2" s="587">
        <f>Epoxy!B2</f>
        <v/>
      </c>
      <c r="C2" s="587" t="n"/>
      <c r="D2" s="587" t="n"/>
      <c r="G2" s="588">
        <f>Epoxy!G2</f>
        <v/>
      </c>
      <c r="H2" s="585">
        <f>Epoxy!H2</f>
        <v/>
      </c>
      <c r="I2" s="585">
        <f>Epoxy!I2</f>
        <v/>
      </c>
      <c r="J2" s="585">
        <f>Epoxy!J2</f>
        <v/>
      </c>
      <c r="K2" s="585">
        <f>Epoxy!K2</f>
        <v/>
      </c>
    </row>
    <row r="3" customFormat="1" s="585">
      <c r="A3" s="584" t="inlineStr">
        <is>
          <t>Address</t>
        </is>
      </c>
      <c r="B3" s="585">
        <f>Epoxy!B3</f>
        <v/>
      </c>
      <c r="G3" s="588">
        <f>Epoxy!G3</f>
        <v/>
      </c>
      <c r="H3" s="585">
        <f>Epoxy!H3</f>
        <v/>
      </c>
      <c r="I3" s="585">
        <f>Epoxy!I3</f>
        <v/>
      </c>
      <c r="J3" s="585">
        <f>Epoxy!J3</f>
        <v/>
      </c>
      <c r="K3" s="585">
        <f>Epoxy!K3</f>
        <v/>
      </c>
    </row>
    <row r="4" ht="16.2" customFormat="1" customHeight="1" s="585" thickBot="1">
      <c r="A4" s="1637" t="inlineStr">
        <is>
          <t>Local?</t>
        </is>
      </c>
      <c r="B4" s="585" t="inlineStr">
        <is>
          <t>Yes</t>
        </is>
      </c>
      <c r="C4" s="590" t="inlineStr">
        <is>
          <t>&lt; 70 miles?</t>
        </is>
      </c>
      <c r="D4" s="591" t="n"/>
      <c r="E4" s="609" t="n"/>
      <c r="F4" s="592" t="n"/>
      <c r="G4" s="588">
        <f>Epoxy!G4</f>
        <v/>
      </c>
      <c r="H4" s="585">
        <f>Epoxy!H4</f>
        <v/>
      </c>
      <c r="I4" s="585">
        <f>Epoxy!I4</f>
        <v/>
      </c>
      <c r="J4" s="585">
        <f>Epoxy!J4</f>
        <v/>
      </c>
      <c r="K4" s="585">
        <f>Epoxy!K4</f>
        <v/>
      </c>
      <c r="M4" s="594" t="n"/>
      <c r="P4" s="1876" t="inlineStr">
        <is>
          <t>Calculator for Polish Days - DO NOT DELETE</t>
        </is>
      </c>
      <c r="Q4" s="585" t="n"/>
      <c r="R4" s="585" t="n"/>
      <c r="S4" s="585" t="n"/>
      <c r="T4" s="585" t="n"/>
      <c r="U4" s="585" t="n"/>
      <c r="V4" s="585" t="n"/>
    </row>
    <row r="5" customFormat="1" s="585">
      <c r="A5" s="589" t="inlineStr">
        <is>
          <t>Hard Bid?</t>
        </is>
      </c>
      <c r="B5" s="585" t="inlineStr">
        <is>
          <t>No</t>
        </is>
      </c>
      <c r="C5" s="1010" t="inlineStr">
        <is>
          <t>PrevailingWage?</t>
        </is>
      </c>
      <c r="D5" s="591">
        <f>Epoxy!D5</f>
        <v/>
      </c>
      <c r="E5" s="1728">
        <f>Epoxy!E5</f>
        <v/>
      </c>
      <c r="F5" s="592" t="n"/>
      <c r="G5" s="588">
        <f>Epoxy!G5</f>
        <v/>
      </c>
      <c r="H5" s="585">
        <f>Epoxy!H5</f>
        <v/>
      </c>
      <c r="I5" s="585">
        <f>Epoxy!I5</f>
        <v/>
      </c>
      <c r="J5" s="585">
        <f>Epoxy!J5</f>
        <v/>
      </c>
      <c r="K5" s="585">
        <f>Epoxy!K5</f>
        <v/>
      </c>
      <c r="M5" s="594" t="n"/>
      <c r="P5" s="2158">
        <f>IF((B35/2500)&lt;1,1,(B35/2500))</f>
        <v/>
      </c>
      <c r="Q5" s="861" t="inlineStr">
        <is>
          <t># 2500 sf multiplier</t>
        </is>
      </c>
      <c r="R5" s="862" t="n"/>
      <c r="S5" s="862" t="n"/>
      <c r="T5" s="862" t="n"/>
      <c r="U5" s="862" t="n"/>
      <c r="V5" s="862" t="n"/>
      <c r="W5" s="863" t="n"/>
    </row>
    <row r="6" customFormat="1" s="585">
      <c r="A6" s="589" t="inlineStr">
        <is>
          <t>Taxable?</t>
        </is>
      </c>
      <c r="B6" s="585">
        <f>Epoxy!B6</f>
        <v/>
      </c>
      <c r="C6" s="1539" t="inlineStr">
        <is>
          <t>Remodel Tax?</t>
        </is>
      </c>
      <c r="D6" s="591">
        <f>Epoxy!D6</f>
        <v/>
      </c>
      <c r="E6" s="1728">
        <f>Epoxy!E6</f>
        <v/>
      </c>
      <c r="F6" s="592" t="n"/>
      <c r="G6" s="588">
        <f>Epoxy!G6</f>
        <v/>
      </c>
      <c r="H6" s="585">
        <f>Epoxy!H6</f>
        <v/>
      </c>
      <c r="I6" s="585">
        <f>Epoxy!I6</f>
        <v/>
      </c>
      <c r="J6" s="585">
        <f>Epoxy!J6</f>
        <v/>
      </c>
      <c r="K6" s="585">
        <f>Epoxy!K6</f>
        <v/>
      </c>
      <c r="M6" s="594" t="n"/>
      <c r="P6" s="864" t="n"/>
      <c r="Q6" s="593" t="inlineStr">
        <is>
          <t>Aggregate?</t>
        </is>
      </c>
      <c r="R6" s="593" t="inlineStr">
        <is>
          <t>Polish System</t>
        </is>
      </c>
      <c r="S6" s="593" t="inlineStr">
        <is>
          <t>Dye</t>
        </is>
      </c>
      <c r="T6" s="593" t="inlineStr">
        <is>
          <t>Grout</t>
        </is>
      </c>
      <c r="U6" s="600" t="inlineStr">
        <is>
          <t>Demo Glue</t>
        </is>
      </c>
      <c r="V6" s="1878" t="inlineStr">
        <is>
          <t>Tooling</t>
        </is>
      </c>
      <c r="W6" s="868" t="n"/>
    </row>
    <row r="7" customFormat="1" s="585">
      <c r="A7" s="589" t="inlineStr">
        <is>
          <t>Approx Start Date</t>
        </is>
      </c>
      <c r="B7" s="587" t="n"/>
      <c r="D7" s="591" t="n"/>
      <c r="E7" s="609" t="n"/>
      <c r="F7" s="592" t="n"/>
      <c r="G7" s="588">
        <f>Epoxy!G7</f>
        <v/>
      </c>
      <c r="H7" s="585">
        <f>Epoxy!H7</f>
        <v/>
      </c>
      <c r="I7" s="585">
        <f>Epoxy!I7</f>
        <v/>
      </c>
      <c r="J7" s="585">
        <f>Epoxy!J7</f>
        <v/>
      </c>
      <c r="K7" s="585">
        <f>Epoxy!K7</f>
        <v/>
      </c>
      <c r="M7" s="594" t="n"/>
      <c r="P7" s="864" t="n"/>
      <c r="Q7" s="593" t="n"/>
      <c r="R7" s="593" t="n"/>
      <c r="S7" s="593" t="n"/>
      <c r="T7" s="593" t="n"/>
      <c r="U7" s="600" t="n"/>
      <c r="V7" s="1877" t="n"/>
      <c r="W7" s="1878" t="n"/>
    </row>
    <row r="8" customFormat="1" s="585">
      <c r="A8" s="602" t="inlineStr">
        <is>
          <t>Architect</t>
        </is>
      </c>
      <c r="B8" s="585">
        <f>Epoxy!B8</f>
        <v/>
      </c>
      <c r="D8" s="591" t="n"/>
      <c r="E8" s="1472" t="n"/>
      <c r="F8" s="592" t="n"/>
      <c r="G8" s="588">
        <f>Epoxy!G8</f>
        <v/>
      </c>
      <c r="H8" s="585">
        <f>Epoxy!H8</f>
        <v/>
      </c>
      <c r="I8" s="585">
        <f>Epoxy!I8</f>
        <v/>
      </c>
      <c r="J8" s="585">
        <f>Epoxy!J8</f>
        <v/>
      </c>
      <c r="K8" s="585">
        <f>Epoxy!K8</f>
        <v/>
      </c>
      <c r="M8" s="594" t="n"/>
      <c r="P8" s="864" t="n"/>
      <c r="Q8" s="593" t="n"/>
      <c r="R8" s="593" t="n"/>
      <c r="S8" s="593" t="n"/>
      <c r="T8" s="593" t="n"/>
      <c r="U8" s="600" t="n"/>
      <c r="V8" s="1877" t="n"/>
      <c r="W8" s="1878" t="n"/>
    </row>
    <row r="9" customFormat="1" s="585">
      <c r="A9" s="602" t="inlineStr">
        <is>
          <t>Drawings Dated</t>
        </is>
      </c>
      <c r="B9" s="587">
        <f>Epoxy!B9</f>
        <v/>
      </c>
      <c r="D9" s="591" t="n"/>
      <c r="E9" s="609" t="n"/>
      <c r="F9" s="592" t="n"/>
      <c r="G9" s="588">
        <f>Epoxy!G9</f>
        <v/>
      </c>
      <c r="H9" s="585">
        <f>Epoxy!H9</f>
        <v/>
      </c>
      <c r="I9" s="585">
        <f>Epoxy!I9</f>
        <v/>
      </c>
      <c r="J9" s="585">
        <f>Epoxy!J9</f>
        <v/>
      </c>
      <c r="K9" s="585">
        <f>Epoxy!K9</f>
        <v/>
      </c>
      <c r="M9" s="594" t="n"/>
      <c r="P9" s="864" t="n"/>
      <c r="Q9" s="593" t="n"/>
      <c r="R9" s="593" t="n"/>
      <c r="S9" s="593" t="n"/>
      <c r="T9" s="593" t="n"/>
      <c r="U9" s="600" t="n"/>
      <c r="V9" s="1877" t="n"/>
      <c r="W9" s="1878" t="n"/>
    </row>
    <row r="10" customFormat="1" s="585">
      <c r="A10" s="584" t="inlineStr">
        <is>
          <t>New / Reno:</t>
        </is>
      </c>
      <c r="D10" s="591" t="n"/>
      <c r="E10" s="609" t="n"/>
      <c r="F10" s="592" t="n"/>
      <c r="G10" s="588">
        <f>Epoxy!G10</f>
        <v/>
      </c>
      <c r="H10" s="585">
        <f>Epoxy!H10</f>
        <v/>
      </c>
      <c r="I10" s="585">
        <f>Epoxy!I10</f>
        <v/>
      </c>
      <c r="J10" s="585">
        <f>Epoxy!J10</f>
        <v/>
      </c>
      <c r="K10" s="585">
        <f>Epoxy!K10</f>
        <v/>
      </c>
      <c r="M10" s="594" t="n"/>
      <c r="P10" s="864" t="n"/>
      <c r="Q10" s="866">
        <f>IF(F36="cream",Q14,IF(F36="S&amp;P",Q15,IF(F36="full",Q16,0)))</f>
        <v/>
      </c>
      <c r="R10" s="866">
        <f>IF(G36="traditional",IF(F36="S&amp;P",R19,IF(F36="full",R20)),IF(G36="hybrid",IF(F36="cream",R14,0)))</f>
        <v/>
      </c>
      <c r="S10" s="866">
        <f>IF(H36="yes dye",S14,0)</f>
        <v/>
      </c>
      <c r="T10" s="866">
        <f>IF(I36="yes grout",T14,0)</f>
        <v/>
      </c>
      <c r="U10" s="866">
        <f>IF(J36="yes demo glue",U14,0)</f>
        <v/>
      </c>
      <c r="V10" s="866">
        <f>IF(F36="cream",V13,IF(F36="S&amp;P",V14,IF(F36="full",V15,0.25)))</f>
        <v/>
      </c>
      <c r="W10" s="867">
        <f>IF(G36="traditional",V16,0)</f>
        <v/>
      </c>
    </row>
    <row r="11" customFormat="1" s="585">
      <c r="A11" s="1423" t="n"/>
      <c r="B11" s="603" t="n"/>
      <c r="C11" s="591" t="n"/>
      <c r="D11" s="591" t="n"/>
      <c r="E11" s="609" t="n"/>
      <c r="F11" s="593" t="n"/>
      <c r="G11" s="1935" t="n"/>
      <c r="H11" s="593" t="n"/>
      <c r="I11" s="1934" t="n"/>
      <c r="J11" s="1934" t="n"/>
      <c r="K11" s="1934" t="n"/>
      <c r="L11" s="1934" t="n"/>
      <c r="M11" s="594" t="n"/>
      <c r="P11" s="864" t="n"/>
      <c r="Q11" s="866" t="n"/>
      <c r="R11" s="866" t="n"/>
      <c r="S11" s="866" t="n"/>
      <c r="T11" s="866" t="n"/>
      <c r="U11" s="866" t="n"/>
      <c r="V11" s="866" t="n"/>
      <c r="W11" s="867" t="n"/>
    </row>
    <row r="12" customFormat="1" s="585">
      <c r="A12" s="608" t="inlineStr">
        <is>
          <t>Floor System-    Polish:</t>
        </is>
      </c>
      <c r="B12" s="600" t="n"/>
      <c r="C12" s="591" t="n"/>
      <c r="D12" s="591" t="n"/>
      <c r="E12" s="609" t="n"/>
      <c r="F12" s="593" t="n"/>
      <c r="G12" s="1935" t="n"/>
      <c r="H12" s="593" t="n"/>
      <c r="I12" s="1934" t="n"/>
      <c r="J12" s="1934" t="n"/>
      <c r="K12" s="1934" t="n"/>
      <c r="L12" s="1934" t="n"/>
      <c r="M12" s="594" t="n"/>
      <c r="P12" s="864" t="n"/>
      <c r="Q12" s="866" t="n"/>
      <c r="R12" s="866" t="n"/>
      <c r="S12" s="866" t="n"/>
      <c r="T12" s="866" t="n"/>
      <c r="U12" s="866" t="n"/>
      <c r="V12" s="866" t="n"/>
      <c r="W12" s="867" t="n"/>
    </row>
    <row r="13" customFormat="1" s="585">
      <c r="A13" s="608" t="n"/>
      <c r="B13" s="600" t="n"/>
      <c r="C13" s="591" t="n"/>
      <c r="D13" s="591" t="n"/>
      <c r="E13" s="609" t="n"/>
      <c r="F13" s="593" t="n"/>
      <c r="G13" s="1935" t="n"/>
      <c r="H13" s="593" t="n"/>
      <c r="I13" s="1934" t="n"/>
      <c r="J13" s="1934" t="n"/>
      <c r="K13" s="1934" t="n"/>
      <c r="L13" s="1934" t="n"/>
      <c r="M13" s="594" t="n"/>
      <c r="P13" s="864" t="n"/>
      <c r="Q13" s="584" t="n"/>
      <c r="R13" s="584" t="inlineStr">
        <is>
          <t>Hybrid</t>
        </is>
      </c>
      <c r="S13" s="584" t="n"/>
      <c r="T13" s="584" t="n"/>
      <c r="U13" s="584" t="n"/>
      <c r="V13" s="786">
        <f>IF($E$18&lt;=4000,validation!$E$32,IF($E$18&lt;7000,validation!$E$33,validation!$E$34))</f>
        <v/>
      </c>
      <c r="W13" s="868" t="inlineStr">
        <is>
          <t>Pads (Cream)</t>
        </is>
      </c>
      <c r="X13" s="858" t="inlineStr">
        <is>
          <t>data on "validation" tab</t>
        </is>
      </c>
    </row>
    <row r="14" ht="16.2" customFormat="1" customHeight="1" s="585" thickBot="1">
      <c r="A14" s="608" t="n"/>
      <c r="B14" s="600" t="n"/>
      <c r="C14" s="591" t="n"/>
      <c r="D14" s="591" t="n"/>
      <c r="E14" s="609" t="n"/>
      <c r="F14" s="593" t="n"/>
      <c r="G14" s="1935" t="n"/>
      <c r="H14" s="593" t="n"/>
      <c r="I14" s="1936" t="n"/>
      <c r="J14" s="1934" t="n"/>
      <c r="K14" s="1937" t="n"/>
      <c r="L14" s="1937" t="n"/>
      <c r="M14" s="869" t="n"/>
      <c r="P14" s="864" t="inlineStr">
        <is>
          <t>Cream</t>
        </is>
      </c>
      <c r="Q14" s="585" t="n">
        <v>3.5</v>
      </c>
      <c r="R14" s="600" t="n">
        <v>0</v>
      </c>
      <c r="S14" s="600" t="n">
        <v>0.5</v>
      </c>
      <c r="T14" s="600" t="n">
        <v>0.75</v>
      </c>
      <c r="U14" s="600" t="n">
        <v>1</v>
      </c>
      <c r="V14" s="786">
        <f>IF($E$18&lt;=4000,validation!$I$32,IF($E$18&lt;7000,validation!$I$33,validation!$I$34))</f>
        <v/>
      </c>
      <c r="W14" s="868" t="inlineStr">
        <is>
          <t>S&amp;P</t>
        </is>
      </c>
      <c r="X14" s="858" t="inlineStr">
        <is>
          <t>data on "validation" tab</t>
        </is>
      </c>
    </row>
    <row r="15" ht="16.2" customFormat="1" customHeight="1" s="585" thickBot="1">
      <c r="A15" s="612" t="inlineStr">
        <is>
          <t>Total Base Bid:</t>
        </is>
      </c>
      <c r="B15" s="1938">
        <f>D82</f>
        <v/>
      </c>
      <c r="C15" s="614" t="inlineStr">
        <is>
          <t>$ / SF:</t>
        </is>
      </c>
      <c r="D15" s="1939">
        <f>C82</f>
        <v/>
      </c>
      <c r="E15" s="609" t="n"/>
      <c r="F15" s="1729" t="n"/>
      <c r="G15" s="593" t="n"/>
      <c r="H15" s="593" t="n"/>
      <c r="I15" s="1936" t="n"/>
      <c r="J15" s="1934" t="n"/>
      <c r="K15" s="1937" t="n"/>
      <c r="L15" s="1934" t="n"/>
      <c r="M15" s="1934" t="n"/>
      <c r="P15" s="864" t="inlineStr">
        <is>
          <t>S&amp;P</t>
        </is>
      </c>
      <c r="Q15" s="585" t="n">
        <v>4.5</v>
      </c>
      <c r="R15" s="585" t="n">
        <v>0</v>
      </c>
      <c r="V15" s="786">
        <f>IF($E$18&lt;=4000,validation!$M$32,IF($E$18&lt;7000,validation!$M$33,validation!$M$34))</f>
        <v/>
      </c>
      <c r="W15" s="868" t="inlineStr">
        <is>
          <t>Full Aggregate</t>
        </is>
      </c>
      <c r="X15" s="858" t="inlineStr">
        <is>
          <t>data on "validation" tab</t>
        </is>
      </c>
    </row>
    <row r="16" ht="16.95" customFormat="1" customHeight="1" s="585">
      <c r="A16" s="621" t="inlineStr">
        <is>
          <t>MATERIAL - Patch</t>
        </is>
      </c>
      <c r="B16" s="622" t="inlineStr">
        <is>
          <t>Quantity</t>
        </is>
      </c>
      <c r="C16" s="622" t="inlineStr">
        <is>
          <t>Cost</t>
        </is>
      </c>
      <c r="D16" s="870" t="inlineStr">
        <is>
          <t>Total</t>
        </is>
      </c>
      <c r="E16" s="619" t="n"/>
      <c r="F16" s="1729" t="n"/>
      <c r="G16" s="593" t="n"/>
      <c r="H16" s="621" t="inlineStr">
        <is>
          <t>Standard  Add's</t>
        </is>
      </c>
      <c r="I16" s="622" t="inlineStr">
        <is>
          <t>Cost / Unit</t>
        </is>
      </c>
      <c r="J16" s="622" t="inlineStr">
        <is>
          <t>SF -or- LF</t>
        </is>
      </c>
      <c r="K16" s="1940" t="inlineStr">
        <is>
          <t xml:space="preserve">Total </t>
        </is>
      </c>
      <c r="L16" s="2014" t="n"/>
      <c r="P16" s="864" t="inlineStr">
        <is>
          <t>Full</t>
        </is>
      </c>
      <c r="Q16" s="585" t="n">
        <v>9</v>
      </c>
      <c r="R16" s="585" t="n">
        <v>0</v>
      </c>
      <c r="V16" s="585" t="n">
        <v>0.2</v>
      </c>
      <c r="W16" s="868" t="inlineStr">
        <is>
          <t>Traditoinal Tooling</t>
        </is>
      </c>
    </row>
    <row r="17" customFormat="1" s="585">
      <c r="A17" s="624" t="n"/>
      <c r="B17" s="1941">
        <f>E18</f>
        <v/>
      </c>
      <c r="C17" s="1942">
        <f>IF(B10="New",0.05,0.15)</f>
        <v/>
      </c>
      <c r="D17" s="1943">
        <f>B17*C17</f>
        <v/>
      </c>
      <c r="E17" s="600" t="n"/>
      <c r="F17" s="1729" t="n"/>
      <c r="G17" s="593" t="n"/>
      <c r="H17" s="628" t="inlineStr">
        <is>
          <t>Ram Board</t>
        </is>
      </c>
      <c r="I17" s="1944">
        <f>IF(J17&lt;=1000,validation!$R$4,IF(J17&lt;1500,validation!$R$6,IF(J17&lt;2000,validation!$R$8,IF(J17&lt;2500,validation!$R$10,IF(J17&lt;=3000,validation!$R$12,IF(J17&lt;3500,validation!$R$14,IF(J17&lt;4000,validation!$R$16,IF(J17&lt;5000,validation!$R$18,validation!$R$20))))))))</f>
        <v/>
      </c>
      <c r="J17" s="1945">
        <f>B35</f>
        <v/>
      </c>
      <c r="K17" s="1946">
        <f>ROUNDUP((I17*J17),0)</f>
        <v/>
      </c>
      <c r="L17" s="1947" t="inlineStr">
        <is>
          <t>LF</t>
        </is>
      </c>
      <c r="M17" s="633" t="inlineStr">
        <is>
          <t>$ / LF</t>
        </is>
      </c>
      <c r="P17" s="864" t="n"/>
      <c r="R17" s="584" t="inlineStr">
        <is>
          <t>Traditional</t>
        </is>
      </c>
      <c r="W17" s="868" t="n"/>
    </row>
    <row r="18" customFormat="1" s="585">
      <c r="A18" s="624" t="n"/>
      <c r="B18" s="1941" t="n"/>
      <c r="C18" s="1942" t="n"/>
      <c r="D18" s="1943">
        <f>B18*C18</f>
        <v/>
      </c>
      <c r="E18" s="1954" t="n">
        <v>0</v>
      </c>
      <c r="F18" s="646" t="inlineStr">
        <is>
          <t>SF</t>
        </is>
      </c>
      <c r="H18" s="635" t="inlineStr">
        <is>
          <t>Joint Filler</t>
        </is>
      </c>
      <c r="I18" s="1948">
        <f>IF(J18&lt;=1000,validation!$U$4,IF(J18&lt;1500,validation!$U$6,IF(J18&lt;2000,validation!$U$8,IF(J18&lt;2500,validation!$U$10,IF(J18&lt;=3000,validation!$U$12,IF(J18&lt;3500,validation!$U$14,IF(J18&lt;4000,validation!$U$16,IF(J18&lt;5000,validation!$U$18,validation!$U$20))))))))</f>
        <v/>
      </c>
      <c r="J18" s="1949">
        <f>B35</f>
        <v/>
      </c>
      <c r="K18" s="1950">
        <f>ROUNDUP((I18*J18),0)</f>
        <v/>
      </c>
      <c r="L18" s="1951">
        <f>0.2*J18</f>
        <v/>
      </c>
      <c r="M18" s="1952">
        <f>K18/L18</f>
        <v/>
      </c>
      <c r="N18" s="590" t="n"/>
      <c r="P18" s="864" t="inlineStr">
        <is>
          <t>Cream</t>
        </is>
      </c>
      <c r="R18" s="585" t="n">
        <v>0</v>
      </c>
      <c r="W18" s="868" t="n"/>
    </row>
    <row r="19" customFormat="1" s="585">
      <c r="A19" s="641" t="inlineStr">
        <is>
          <t>MATERIAL - Floor</t>
        </is>
      </c>
      <c r="B19" s="1953" t="n"/>
      <c r="C19" s="643" t="n"/>
      <c r="D19" s="644" t="n"/>
      <c r="E19" s="2159" t="n">
        <v>0</v>
      </c>
      <c r="F19" s="872" t="inlineStr">
        <is>
          <t>LF</t>
        </is>
      </c>
      <c r="H19" s="628" t="inlineStr">
        <is>
          <t>4" Rubber Cove    (/LF)</t>
        </is>
      </c>
      <c r="I19" s="1944">
        <f>IF(J19&lt;=100,validation!$R$24,IF(J19&lt;150,validation!$R$26,IF(J19&lt;200,validation!$R$28,IF(J19&lt;250,validation!$R$30,IF(J19&lt;=300,validation!$R$32,IF(J19&lt;350,validation!$R$34,IF(J19&lt;400,validation!$R$36,IF(J19&lt;500,validation!$R$38,validation!$R$40))))))))</f>
        <v/>
      </c>
      <c r="J19" s="1945">
        <f>E19</f>
        <v/>
      </c>
      <c r="K19" s="1946">
        <f>ROUNDUP((I19*J19),0)</f>
        <v/>
      </c>
      <c r="L19" s="1944" t="n"/>
      <c r="M19" s="590" t="inlineStr">
        <is>
          <t>*Double for removal of existing soft joints</t>
        </is>
      </c>
      <c r="P19" s="864" t="inlineStr">
        <is>
          <t>S&amp;P</t>
        </is>
      </c>
      <c r="R19" s="585" t="n">
        <v>2</v>
      </c>
      <c r="W19" s="868" t="n"/>
    </row>
    <row r="20" ht="16.2" customFormat="1" customHeight="1" s="585" thickBot="1">
      <c r="A20" s="647" t="inlineStr">
        <is>
          <t>Densifier</t>
        </is>
      </c>
      <c r="B20" s="1941">
        <f>E18</f>
        <v/>
      </c>
      <c r="C20" s="1944" t="n">
        <v>0.07000000000000001</v>
      </c>
      <c r="D20" s="1962">
        <f>B20*C20</f>
        <v/>
      </c>
      <c r="E20" s="600" t="n"/>
      <c r="F20" s="1729" t="n"/>
      <c r="G20" s="593" t="n"/>
      <c r="H20" s="635" t="inlineStr">
        <is>
          <t>6" Rubber Cove    (/LF)</t>
        </is>
      </c>
      <c r="I20" s="1948">
        <f>IF(J19&lt;=100,validation!$U$24,IF(J19&lt;150,validation!$U$26,IF(J19&lt;200,validation!$U$28,IF(J19&lt;250,validation!$U$30,IF(J19&lt;=300,validation!$U$32,IF(J19&lt;350,validation!$U$34,IF(J19&lt;400,validation!$U$36,IF(J19&lt;500,validation!$U$38,validation!$U$40))))))))</f>
        <v/>
      </c>
      <c r="J20" s="1949">
        <f>E19</f>
        <v/>
      </c>
      <c r="K20" s="1950">
        <f>ROUNDUP((I20*J20),0)</f>
        <v/>
      </c>
      <c r="L20" s="1944" t="n"/>
      <c r="P20" s="873" t="inlineStr">
        <is>
          <t>Full</t>
        </is>
      </c>
      <c r="Q20" s="874" t="n"/>
      <c r="R20" s="874" t="n">
        <v>2</v>
      </c>
      <c r="S20" s="874" t="n"/>
      <c r="T20" s="874" t="n"/>
      <c r="U20" s="874" t="n"/>
      <c r="V20" s="874" t="n"/>
      <c r="W20" s="875" t="n"/>
    </row>
    <row r="21" customFormat="1" s="585">
      <c r="A21" s="647" t="inlineStr">
        <is>
          <t>Sealer</t>
        </is>
      </c>
      <c r="B21" s="1941">
        <f>E18</f>
        <v/>
      </c>
      <c r="C21" s="1944" t="n">
        <v>0.1</v>
      </c>
      <c r="D21" s="1962">
        <f>B21*C21</f>
        <v/>
      </c>
      <c r="E21" s="600" t="n"/>
      <c r="F21" s="1729" t="n"/>
      <c r="G21" s="593" t="n"/>
      <c r="H21" s="653" t="inlineStr">
        <is>
          <t>4" Line Striping    (/LF)</t>
        </is>
      </c>
      <c r="I21" s="1959">
        <f>IF(J21&lt;=100,validation!$R$44,IF(J21&lt;150,validation!$R$46,IF(J21&lt;200,validation!$R$48,IF(J21&lt;250,validation!$R$50,IF(J21&lt;=300,validation!$R$52,IF(J21&lt;350,validation!$R$54,IF(J21&lt;400,validation!$R$56,IF(J21&lt;500,validation!$R$58,validation!$R$60))))))))</f>
        <v/>
      </c>
      <c r="J21" s="1960" t="n">
        <v>0</v>
      </c>
      <c r="K21" s="1961">
        <f>ROUNDUP((I21*J21),0)</f>
        <v/>
      </c>
      <c r="L21" s="1944" t="n"/>
      <c r="M21" s="876" t="inlineStr">
        <is>
          <t>Polish:</t>
        </is>
      </c>
      <c r="N21" s="1958">
        <f>'Stnd Alts'!E292</f>
        <v/>
      </c>
      <c r="O21" s="652" t="inlineStr">
        <is>
          <t>Mock-Up*</t>
        </is>
      </c>
      <c r="P21" s="600" t="n"/>
    </row>
    <row r="22" customFormat="1" s="585">
      <c r="A22" s="647" t="inlineStr">
        <is>
          <t>Grout Compound?</t>
        </is>
      </c>
      <c r="B22" s="1941">
        <f>IF(I36="Yes Grout",E18)</f>
        <v/>
      </c>
      <c r="C22" s="1944" t="n">
        <v>0.11</v>
      </c>
      <c r="D22" s="1962">
        <f>B22*C22</f>
        <v/>
      </c>
      <c r="E22" s="600" t="n"/>
      <c r="F22" s="1729" t="n"/>
      <c r="G22" s="593" t="n"/>
      <c r="H22" s="635" t="inlineStr">
        <is>
          <t>6" Line Striping    (/LF)</t>
        </is>
      </c>
      <c r="I22" s="1948">
        <f>IF(J21&lt;=100,validation!$U$44,IF(J21&lt;150,validation!$U$46,IF(J21&lt;200,validation!$U$48,IF(J21&lt;250,validation!$U$50,IF(J21&lt;=300,validation!$U$52,IF(J21&lt;350,validation!$U$54,IF(J21&lt;400,validation!$U$56,IF(J21&lt;500,validation!$U$58,validation!$U$60))))))))</f>
        <v/>
      </c>
      <c r="J22" s="1949" t="n">
        <v>0</v>
      </c>
      <c r="K22" s="1950">
        <f>ROUNDUP((I22*J22),0)</f>
        <v/>
      </c>
      <c r="L22" s="600" t="n"/>
      <c r="M22" s="657" t="inlineStr">
        <is>
          <t>**In Town**</t>
        </is>
      </c>
      <c r="N22" s="1958">
        <f>'Stnd Alts'!E194</f>
        <v/>
      </c>
      <c r="O22" s="652" t="inlineStr">
        <is>
          <t>Mob Fee*</t>
        </is>
      </c>
      <c r="P22" s="590" t="inlineStr">
        <is>
          <t>*see "Stnd Alts" tab</t>
        </is>
      </c>
      <c r="Q22" s="1942" t="n"/>
    </row>
    <row r="23" customFormat="1" s="585">
      <c r="A23" s="647" t="n"/>
      <c r="B23" s="1941" t="n"/>
      <c r="C23" s="1944" t="n"/>
      <c r="D23" s="1962">
        <f>B23*C23</f>
        <v/>
      </c>
      <c r="E23" s="600" t="n"/>
      <c r="F23" s="948" t="n"/>
      <c r="H23" s="600" t="n"/>
      <c r="L23" s="662" t="n"/>
      <c r="M23" s="600" t="n"/>
      <c r="N23" s="1944" t="n"/>
      <c r="O23" s="1945" t="n"/>
    </row>
    <row r="24" customFormat="1" s="585">
      <c r="A24" s="641" t="inlineStr">
        <is>
          <t>MATERIAL - Dye</t>
        </is>
      </c>
      <c r="B24" s="1976" t="n"/>
      <c r="C24" s="1977" t="n"/>
      <c r="D24" s="1978" t="n"/>
      <c r="E24" s="877" t="inlineStr">
        <is>
          <t>Dye?  'Yes' or 'No'</t>
        </is>
      </c>
      <c r="F24" s="600" t="n"/>
      <c r="H24" s="600" t="n"/>
      <c r="L24" s="662" t="n"/>
      <c r="M24" s="600" t="n"/>
      <c r="N24" s="600" t="n"/>
      <c r="O24" s="1945" t="n"/>
    </row>
    <row r="25" ht="16.2" customFormat="1" customHeight="1" s="585" thickBot="1">
      <c r="A25" s="647" t="inlineStr">
        <is>
          <t>Dye</t>
        </is>
      </c>
      <c r="B25" s="1941">
        <f>IF(E25="Yes",E18)</f>
        <v/>
      </c>
      <c r="C25" s="1944" t="n">
        <v>0.14</v>
      </c>
      <c r="D25" s="1962">
        <f>B25*C25</f>
        <v/>
      </c>
      <c r="E25" s="878" t="inlineStr">
        <is>
          <t>No</t>
        </is>
      </c>
      <c r="F25" s="600" t="n"/>
      <c r="G25" s="600" t="n"/>
      <c r="H25" s="600" t="n"/>
      <c r="I25" s="590" t="n"/>
      <c r="O25" s="663" t="inlineStr">
        <is>
          <t>Takeoff Tab</t>
        </is>
      </c>
      <c r="P25" s="633" t="inlineStr">
        <is>
          <t>sf</t>
        </is>
      </c>
      <c r="Q25" s="633" t="inlineStr">
        <is>
          <t>lf</t>
        </is>
      </c>
      <c r="R25" s="674" t="inlineStr">
        <is>
          <t>extra cell</t>
        </is>
      </c>
      <c r="S25" s="674" t="inlineStr">
        <is>
          <t>extra cell</t>
        </is>
      </c>
      <c r="T25" s="674" t="inlineStr">
        <is>
          <t>extra cell</t>
        </is>
      </c>
    </row>
    <row r="26" customFormat="1" s="585">
      <c r="A26" s="647" t="inlineStr">
        <is>
          <t>Dye</t>
        </is>
      </c>
      <c r="B26" s="1941">
        <f>IF(E25="Yes",E18)</f>
        <v/>
      </c>
      <c r="C26" s="1944" t="n">
        <v>0.14</v>
      </c>
      <c r="D26" s="1962">
        <f>B26*C26</f>
        <v/>
      </c>
      <c r="E26" s="600" t="n"/>
      <c r="F26" s="600" t="n"/>
      <c r="G26" s="600" t="n"/>
      <c r="H26" s="879" t="inlineStr">
        <is>
          <t>Potential Add Options (over &amp; above Low Sheen - Cream Hybrid)</t>
        </is>
      </c>
      <c r="I26" s="862" t="n"/>
      <c r="J26" s="863" t="n"/>
      <c r="K26" s="880" t="inlineStr">
        <is>
          <t>(could be more)</t>
        </is>
      </c>
      <c r="L26" s="881" t="inlineStr">
        <is>
          <t>(no joints)</t>
        </is>
      </c>
      <c r="M26" s="863" t="n"/>
      <c r="O26" s="675">
        <f>Takeoff!B14</f>
        <v/>
      </c>
      <c r="P26" s="1975">
        <f>Takeoff!C14</f>
        <v/>
      </c>
      <c r="Q26" s="1975">
        <f>Takeoff!D14</f>
        <v/>
      </c>
      <c r="R26" s="1975">
        <f>Takeoff!E14</f>
        <v/>
      </c>
      <c r="S26" s="1945">
        <f>Takeoff!F14</f>
        <v/>
      </c>
      <c r="T26" s="1945">
        <f>Takeoff!G14</f>
        <v/>
      </c>
    </row>
    <row r="27" customFormat="1" s="585">
      <c r="A27" s="647" t="n"/>
      <c r="B27" s="1941" t="n"/>
      <c r="C27" s="1944" t="n"/>
      <c r="D27" s="1962">
        <f>B27*C27</f>
        <v/>
      </c>
      <c r="E27" s="600" t="n"/>
      <c r="F27" s="600" t="n"/>
      <c r="G27" s="600" t="n"/>
      <c r="H27" s="2160">
        <f>E18</f>
        <v/>
      </c>
      <c r="I27" s="883" t="inlineStr">
        <is>
          <t>$/SF</t>
        </is>
      </c>
      <c r="J27" s="884" t="inlineStr">
        <is>
          <t>Total Add</t>
        </is>
      </c>
      <c r="K27" s="885" t="inlineStr">
        <is>
          <t>Typical Range</t>
        </is>
      </c>
      <c r="L27" s="617" t="inlineStr">
        <is>
          <t>Total w/ Opt.</t>
        </is>
      </c>
      <c r="M27" s="886" t="inlineStr">
        <is>
          <t>Total $/SF</t>
        </is>
      </c>
      <c r="O27" s="675">
        <f>Takeoff!I14</f>
        <v/>
      </c>
      <c r="P27" s="1975">
        <f>Takeoff!J14</f>
        <v/>
      </c>
      <c r="Q27" s="1975">
        <f>Takeoff!K14</f>
        <v/>
      </c>
      <c r="R27" s="1975">
        <f>Takeoff!L14</f>
        <v/>
      </c>
      <c r="S27" s="1945">
        <f>Takeoff!M14</f>
        <v/>
      </c>
      <c r="T27" s="1945">
        <f>Takeoff!N14</f>
        <v/>
      </c>
    </row>
    <row r="28" customFormat="1" s="585">
      <c r="A28" s="641" t="inlineStr">
        <is>
          <t>MATERIAL - Joint Filler</t>
        </is>
      </c>
      <c r="B28" s="1976" t="n"/>
      <c r="C28" s="1977" t="n"/>
      <c r="D28" s="1978" t="n"/>
      <c r="E28" s="877" t="inlineStr">
        <is>
          <t>Joint Filler? 'Yes' or 'No'</t>
        </is>
      </c>
      <c r="F28" s="887" t="inlineStr">
        <is>
          <t>Removal of Existing?</t>
        </is>
      </c>
      <c r="G28" s="600" t="n"/>
      <c r="H28" s="888" t="inlineStr">
        <is>
          <t>Salt &amp; Pepper</t>
        </is>
      </c>
      <c r="I28" s="2135" t="n">
        <v>1.2</v>
      </c>
      <c r="J28" s="2161">
        <f>ROUNDUP((I28*$H$27),0)</f>
        <v/>
      </c>
      <c r="K28" s="891" t="inlineStr">
        <is>
          <t>($0.75 - $1.90)</t>
        </is>
      </c>
      <c r="L28" s="1944">
        <f>J28+$D$82</f>
        <v/>
      </c>
      <c r="M28" s="2023">
        <f>L28/$H$27</f>
        <v/>
      </c>
      <c r="O28" s="675">
        <f>Takeoff!P14</f>
        <v/>
      </c>
      <c r="P28" s="1975">
        <f>Takeoff!Q14</f>
        <v/>
      </c>
      <c r="Q28" s="1975">
        <f>Takeoff!R14</f>
        <v/>
      </c>
      <c r="R28" s="1975">
        <f>Takeoff!S14</f>
        <v/>
      </c>
      <c r="S28" s="1945">
        <f>Takeoff!T14</f>
        <v/>
      </c>
      <c r="T28" s="1945">
        <f>Takeoff!U14</f>
        <v/>
      </c>
    </row>
    <row r="29" customFormat="1" s="585">
      <c r="A29" s="647" t="inlineStr">
        <is>
          <t>Joint Filler   (10 gal kit)</t>
        </is>
      </c>
      <c r="B29" s="1941">
        <f>ROUNDUP(IF(E29="yes",(E18/3500),0),0)</f>
        <v/>
      </c>
      <c r="C29" s="1944" t="n">
        <v>500</v>
      </c>
      <c r="D29" s="1962">
        <f>B29*C29</f>
        <v/>
      </c>
      <c r="E29" s="878" t="inlineStr">
        <is>
          <t>Yes</t>
        </is>
      </c>
      <c r="F29" s="878" t="inlineStr">
        <is>
          <t>No</t>
        </is>
      </c>
      <c r="G29" s="600" t="n"/>
      <c r="H29" s="888" t="inlineStr">
        <is>
          <t>Standard Sheen</t>
        </is>
      </c>
      <c r="I29" s="2135" t="n">
        <v>0.9</v>
      </c>
      <c r="J29" s="2161">
        <f>ROUNDUP((I29*$H$27),0)</f>
        <v/>
      </c>
      <c r="K29" s="891" t="inlineStr">
        <is>
          <t>($0.65 - $1.25)</t>
        </is>
      </c>
      <c r="L29" s="1944">
        <f>J29+$D$82</f>
        <v/>
      </c>
      <c r="M29" s="2023">
        <f>L29/$H$27</f>
        <v/>
      </c>
      <c r="O29" s="675">
        <f>Takeoff!I3</f>
        <v/>
      </c>
      <c r="P29" s="1975">
        <f>Takeoff!J3</f>
        <v/>
      </c>
      <c r="Q29" s="1979">
        <f>Takeoff!K3</f>
        <v/>
      </c>
      <c r="R29" s="1975">
        <f>Takeoff!L3</f>
        <v/>
      </c>
      <c r="S29" s="1945">
        <f>Takeoff!M3</f>
        <v/>
      </c>
      <c r="T29" s="1945">
        <f>Takeoff!N3</f>
        <v/>
      </c>
    </row>
    <row r="30" ht="16.2" customFormat="1" customHeight="1" s="585" thickBot="1">
      <c r="A30" s="688" t="n"/>
      <c r="B30" s="1984" t="n"/>
      <c r="C30" s="1985" t="n"/>
      <c r="D30" s="1986">
        <f>B30*C30</f>
        <v/>
      </c>
      <c r="E30" s="600" t="n"/>
      <c r="F30" s="600" t="n"/>
      <c r="G30" s="600" t="n"/>
      <c r="H30" s="893" t="inlineStr">
        <is>
          <t>Dye</t>
        </is>
      </c>
      <c r="I30" s="2162" t="n">
        <v>1.02</v>
      </c>
      <c r="J30" s="2163">
        <f>ROUNDUP((I30*$H$27),0)</f>
        <v/>
      </c>
      <c r="K30" s="896" t="inlineStr">
        <is>
          <t>($0.80 - $1.25)</t>
        </is>
      </c>
      <c r="L30" s="2164">
        <f>J30+$D$82</f>
        <v/>
      </c>
      <c r="M30" s="2165">
        <f>L30/$H$27</f>
        <v/>
      </c>
      <c r="P30" s="600" t="n"/>
      <c r="Q30" s="600" t="n"/>
    </row>
    <row r="31" customFormat="1" s="585">
      <c r="A31" s="1783" t="inlineStr">
        <is>
          <t>Material Sub Total</t>
        </is>
      </c>
      <c r="B31" s="1533" t="n"/>
      <c r="C31" s="2166" t="n"/>
      <c r="D31" s="1987">
        <f>ROUNDUP(SUM(D17:D30),0)</f>
        <v/>
      </c>
      <c r="E31" s="600" t="n"/>
      <c r="F31" s="600" t="n"/>
      <c r="G31" s="600" t="n"/>
      <c r="H31" s="600" t="n"/>
    </row>
    <row r="32" customFormat="1" s="585">
      <c r="A32" s="899" t="inlineStr">
        <is>
          <t>Shipping</t>
        </is>
      </c>
      <c r="B32" s="900" t="n">
        <v>0.02</v>
      </c>
      <c r="C32" s="2167" t="n"/>
      <c r="D32" s="2168">
        <f>ROUNDUP(D31*B32,0)</f>
        <v/>
      </c>
      <c r="E32" s="600" t="n"/>
      <c r="G32" s="705" t="n"/>
      <c r="H32" s="706" t="inlineStr">
        <is>
          <t>Material Budget</t>
        </is>
      </c>
      <c r="I32" s="600" t="n"/>
      <c r="J32" s="763" t="n"/>
      <c r="K32" s="1091" t="inlineStr">
        <is>
          <t>divided SF</t>
        </is>
      </c>
      <c r="L32" s="1982">
        <f>B35/M32</f>
        <v/>
      </c>
      <c r="M32" s="1983" t="n">
        <v>4</v>
      </c>
      <c r="N32" s="1094" t="inlineStr">
        <is>
          <t># divided by</t>
        </is>
      </c>
    </row>
    <row r="33" customFormat="1" s="585">
      <c r="A33" s="901" t="inlineStr">
        <is>
          <t>Material Total</t>
        </is>
      </c>
      <c r="B33" s="709" t="n"/>
      <c r="C33" s="1991" t="n"/>
      <c r="D33" s="2169">
        <f>SUM(D31:D32)</f>
        <v/>
      </c>
      <c r="E33" s="711">
        <f>D33/B35</f>
        <v/>
      </c>
      <c r="F33" s="712" t="inlineStr">
        <is>
          <t>Material $/SF</t>
        </is>
      </c>
      <c r="G33" s="1944" t="n"/>
      <c r="H33" s="2170">
        <f>D33</f>
        <v/>
      </c>
      <c r="I33" s="600" t="n"/>
      <c r="J33" s="763" t="n"/>
      <c r="K33" s="1091" t="inlineStr">
        <is>
          <t>divided SF</t>
        </is>
      </c>
      <c r="L33" s="1982">
        <f>B35/M33</f>
        <v/>
      </c>
      <c r="M33" s="1983" t="n">
        <v>3</v>
      </c>
      <c r="N33" s="1094" t="inlineStr">
        <is>
          <t># divided by</t>
        </is>
      </c>
    </row>
    <row r="34" customFormat="1" s="585">
      <c r="A34" s="834" t="n"/>
      <c r="B34" s="1877" t="n"/>
      <c r="C34" s="1944" t="n"/>
      <c r="D34" s="1944" t="n"/>
      <c r="E34" s="600" t="n"/>
      <c r="G34" s="2171" t="n"/>
      <c r="H34" s="600" t="n"/>
      <c r="I34" s="600" t="n"/>
      <c r="J34" s="600" t="n"/>
      <c r="K34" s="1091" t="inlineStr">
        <is>
          <t>divided SF</t>
        </is>
      </c>
      <c r="L34" s="1982">
        <f>B35/M34</f>
        <v/>
      </c>
      <c r="M34" s="1983" t="n">
        <v>2</v>
      </c>
      <c r="N34" s="1094" t="inlineStr">
        <is>
          <t># divided by</t>
        </is>
      </c>
    </row>
    <row r="35" customFormat="1" s="585">
      <c r="A35" s="905" t="inlineStr">
        <is>
          <t>Square Footage:</t>
        </is>
      </c>
      <c r="B35" s="2172">
        <f>E18</f>
        <v/>
      </c>
      <c r="C35" s="905" t="inlineStr">
        <is>
          <t>Linear Footage:</t>
        </is>
      </c>
      <c r="D35" s="2173">
        <f>E19</f>
        <v/>
      </c>
      <c r="E35" s="722" t="inlineStr">
        <is>
          <t>8 hour days</t>
        </is>
      </c>
      <c r="F35" s="908">
        <f>D35/B35</f>
        <v/>
      </c>
      <c r="G35" s="909" t="inlineStr">
        <is>
          <t>: Ratio of Cove-Floor</t>
        </is>
      </c>
      <c r="H35" s="910" t="inlineStr">
        <is>
          <t>10%-20% = Normal</t>
        </is>
      </c>
      <c r="I35" s="911" t="inlineStr">
        <is>
          <t>(Grout for Full Agg Only)</t>
        </is>
      </c>
      <c r="J35" s="763" t="n"/>
      <c r="K35" s="1453" t="inlineStr">
        <is>
          <t>TOTAL SF</t>
        </is>
      </c>
      <c r="L35" s="1993">
        <f>B35</f>
        <v/>
      </c>
      <c r="M35" s="763" t="n"/>
      <c r="N35" s="763" t="n"/>
    </row>
    <row r="36" customFormat="1" s="585">
      <c r="A36" s="730" t="inlineStr">
        <is>
          <t>Labor:              Guys</t>
        </is>
      </c>
      <c r="B36" s="731" t="inlineStr">
        <is>
          <t>Days</t>
        </is>
      </c>
      <c r="C36" s="731" t="inlineStr">
        <is>
          <t>Rate (PW?)</t>
        </is>
      </c>
      <c r="D36" s="732" t="inlineStr">
        <is>
          <t>Totals</t>
        </is>
      </c>
      <c r="E36" s="1540">
        <f>(IF(D5="Yes","PW","TOTAL DAYS"))</f>
        <v/>
      </c>
      <c r="F36" s="912" t="inlineStr">
        <is>
          <t>S&amp;P</t>
        </is>
      </c>
      <c r="G36" s="912" t="inlineStr">
        <is>
          <t>Hybrid</t>
        </is>
      </c>
      <c r="H36" s="912" t="inlineStr">
        <is>
          <t>Dye?</t>
        </is>
      </c>
      <c r="I36" s="912" t="inlineStr">
        <is>
          <t>Grout?</t>
        </is>
      </c>
      <c r="J36" s="913" t="inlineStr">
        <is>
          <t>Demo Glue?</t>
        </is>
      </c>
      <c r="K36" s="914" t="inlineStr">
        <is>
          <t>Estimated SF/MH</t>
        </is>
      </c>
      <c r="L36" s="915" t="inlineStr">
        <is>
          <t>SF/MH Benchmark</t>
        </is>
      </c>
      <c r="M36" s="763" t="n"/>
      <c r="N36" s="763" t="n"/>
    </row>
    <row r="37" customFormat="1" s="585">
      <c r="A37" s="739" t="n">
        <v>3</v>
      </c>
      <c r="B37" s="600">
        <f>E37</f>
        <v/>
      </c>
      <c r="C37" s="2174" t="n">
        <v>33</v>
      </c>
      <c r="D37" s="741">
        <f>(A37*B37*C37)*IF($E$35="8 hour days",8,10)</f>
        <v/>
      </c>
      <c r="E37" s="917">
        <f>ROUNDUP(SUM(F37:J37),0)</f>
        <v/>
      </c>
      <c r="F37" s="2175">
        <f>ROUNDUP(Q10*$P$5,1)</f>
        <v/>
      </c>
      <c r="G37" s="2175">
        <f>ROUNDUP(R10*$P$5,1)</f>
        <v/>
      </c>
      <c r="H37" s="2175">
        <f>ROUNDUP(S10*$P$5,1)</f>
        <v/>
      </c>
      <c r="I37" s="2175">
        <f>ROUNDUP(T10*$P$5,1)</f>
        <v/>
      </c>
      <c r="J37" s="2175">
        <f>ROUNDUP(U10*$P$5,1)</f>
        <v/>
      </c>
      <c r="K37" s="919">
        <f>B35/(D37/C37)</f>
        <v/>
      </c>
      <c r="L37" s="920" t="inlineStr">
        <is>
          <t>S&amp;P: 18-25</t>
        </is>
      </c>
      <c r="M37" s="763" t="n"/>
      <c r="N37" s="763" t="n"/>
    </row>
    <row r="38" customFormat="1" s="585">
      <c r="A38" s="739" t="n">
        <v>3</v>
      </c>
      <c r="B38" s="600">
        <f>E38</f>
        <v/>
      </c>
      <c r="C38" s="2176">
        <f>C37</f>
        <v/>
      </c>
      <c r="D38" s="741">
        <f>(A38*B38*C38)*IF($E$35="8 hour days",8,10)</f>
        <v/>
      </c>
      <c r="E38" s="917">
        <f>ROUNDUP(SUM(F38:J38),0)</f>
        <v/>
      </c>
      <c r="F38" s="2175">
        <f>ROUNDUP(Q11*$P$5,1)</f>
        <v/>
      </c>
      <c r="G38" s="2175">
        <f>ROUNDUP(R11*$P$5,1)</f>
        <v/>
      </c>
      <c r="H38" s="2175">
        <f>ROUNDUP(S11*$P$5,1)</f>
        <v/>
      </c>
      <c r="I38" s="2175">
        <f>ROUNDUP(T11*$P$5,1)</f>
        <v/>
      </c>
      <c r="J38" s="2175">
        <f>ROUNDUP(U11*$P$5,1)</f>
        <v/>
      </c>
      <c r="K38" s="919">
        <f>B34/(D38/C38)</f>
        <v/>
      </c>
      <c r="L38" s="920" t="inlineStr">
        <is>
          <t>Cream: 22-30</t>
        </is>
      </c>
      <c r="M38" s="763" t="n"/>
      <c r="N38" s="763" t="n"/>
    </row>
    <row r="39" customFormat="1" s="585">
      <c r="A39" s="750" t="inlineStr">
        <is>
          <t>Mock-Up:         Guys</t>
        </is>
      </c>
      <c r="B39" s="751" t="inlineStr">
        <is>
          <t>Days</t>
        </is>
      </c>
      <c r="C39" s="751" t="inlineStr">
        <is>
          <t>Rate</t>
        </is>
      </c>
      <c r="D39" s="752" t="n"/>
      <c r="E39" s="733" t="n"/>
      <c r="F39" s="922" t="inlineStr">
        <is>
          <t># of 10,000</t>
        </is>
      </c>
      <c r="G39" s="923" t="inlineStr">
        <is>
          <t>(5 passes)  S&amp;P</t>
        </is>
      </c>
      <c r="H39" s="924" t="inlineStr">
        <is>
          <t>5 - 7 days per 10k</t>
        </is>
      </c>
      <c r="I39" s="925" t="inlineStr">
        <is>
          <t>(3 passes)  Cream</t>
        </is>
      </c>
      <c r="J39" s="926" t="inlineStr">
        <is>
          <t>4 days per 10k</t>
        </is>
      </c>
      <c r="K39" s="600" t="n"/>
      <c r="L39" s="600" t="n"/>
      <c r="M39" s="600" t="n"/>
      <c r="N39" s="763" t="n"/>
    </row>
    <row r="40" customFormat="1" s="585">
      <c r="A40" s="739" t="n">
        <v>3</v>
      </c>
      <c r="B40" s="600" t="n">
        <v>0.5</v>
      </c>
      <c r="C40" s="2176">
        <f>C37</f>
        <v/>
      </c>
      <c r="D40" s="741">
        <f>(A40*B40*C40)*IF($E$35="8 hour days",8,10)</f>
        <v/>
      </c>
      <c r="E40" s="758" t="inlineStr">
        <is>
          <t>( = 1.5 guys  x 1 day)</t>
        </is>
      </c>
      <c r="F40" s="927">
        <f>B35/10000</f>
        <v/>
      </c>
      <c r="G40" s="928" t="inlineStr">
        <is>
          <t>Trowel Labor:</t>
        </is>
      </c>
      <c r="H40" s="929">
        <f>F40*6</f>
        <v/>
      </c>
      <c r="I40" s="930" t="inlineStr">
        <is>
          <t>Trowel Labor:</t>
        </is>
      </c>
      <c r="J40" s="931">
        <f>F40*4</f>
        <v/>
      </c>
      <c r="K40" s="932" t="inlineStr">
        <is>
          <t xml:space="preserve">   Polish Man Power: If &lt; 1k sf, 2 guys (except Full Agg.)</t>
        </is>
      </c>
      <c r="L40" s="933" t="n"/>
      <c r="M40" s="934" t="n"/>
      <c r="N40" s="935" t="n"/>
    </row>
    <row r="41" customFormat="1" s="585">
      <c r="A41" s="750" t="inlineStr">
        <is>
          <t>Joint Filler:         Guys</t>
        </is>
      </c>
      <c r="B41" s="751" t="inlineStr">
        <is>
          <t>Days</t>
        </is>
      </c>
      <c r="C41" s="751" t="inlineStr">
        <is>
          <t>Rate</t>
        </is>
      </c>
      <c r="D41" s="752" t="n"/>
      <c r="E41" s="733" t="n"/>
      <c r="F41" s="2177" t="inlineStr">
        <is>
          <t>Trowel Labor Based on 3 guys</t>
        </is>
      </c>
      <c r="G41" s="699" t="n"/>
      <c r="H41" s="936" t="inlineStr">
        <is>
          <t>Add Dye: (1 day/10k)</t>
        </is>
      </c>
      <c r="I41" s="937">
        <f>F40*1</f>
        <v/>
      </c>
      <c r="J41" s="2178" t="inlineStr">
        <is>
          <t>*Add Dumpster*</t>
        </is>
      </c>
      <c r="K41" s="600" t="n"/>
      <c r="L41" s="600" t="n"/>
      <c r="M41" s="600" t="n"/>
      <c r="N41" s="763" t="n"/>
    </row>
    <row r="42" customFormat="1" s="585">
      <c r="A42" s="739">
        <f>IF(F29="NO",3,4)</f>
        <v/>
      </c>
      <c r="B42" s="600">
        <f>(MROUND(IF(E29="no",0,IF(E18&lt;1000,0.75,IF(E18&lt;2500,1,IF(E18&lt;10000,2,IF(E18&lt;15000,3,E18/4500))))),0.5))/2</f>
        <v/>
      </c>
      <c r="C42" s="2176">
        <f>C37</f>
        <v/>
      </c>
      <c r="D42" s="741">
        <f>(A42*B42*C42)*IF($E$35="8 hour days",8,10)</f>
        <v/>
      </c>
      <c r="E42" s="733" t="n"/>
      <c r="H42" s="774" t="n"/>
      <c r="I42" s="939" t="n"/>
      <c r="J42" s="1944" t="n"/>
      <c r="K42" s="600" t="n"/>
      <c r="L42" s="600" t="n"/>
      <c r="M42" s="600" t="n"/>
      <c r="N42" s="842" t="inlineStr">
        <is>
          <t>Cream: (3 passes) 100 resin, 200 resin, 400 resin</t>
        </is>
      </c>
      <c r="O42" s="842" t="n"/>
      <c r="P42" s="842" t="n"/>
      <c r="Q42" s="842" t="n"/>
    </row>
    <row r="43" customFormat="1" s="585">
      <c r="A43" s="940" t="inlineStr">
        <is>
          <t>Travel:             Guys</t>
        </is>
      </c>
      <c r="B43" s="751" t="inlineStr">
        <is>
          <t>Hours</t>
        </is>
      </c>
      <c r="C43" s="751" t="n"/>
      <c r="D43" s="752" t="n"/>
      <c r="E43" s="733" t="n"/>
      <c r="H43" s="774" t="n"/>
      <c r="I43" s="941" t="n"/>
      <c r="J43" s="1944" t="n"/>
      <c r="K43" s="600" t="n"/>
      <c r="L43" s="600" t="n"/>
      <c r="M43" s="600" t="n"/>
      <c r="N43" s="943" t="inlineStr">
        <is>
          <t>S&amp;P: (5 passes) 60/80 metal, 50 resin, 100 resin, 200 resin, 400 resin</t>
        </is>
      </c>
      <c r="O43" s="943" t="n"/>
      <c r="P43" s="943" t="n"/>
      <c r="Q43" s="943" t="n"/>
      <c r="R43" s="943" t="n"/>
    </row>
    <row r="44" customFormat="1" s="585">
      <c r="A44" s="755">
        <f>(A37*B37)+(A38*B38)+(A40*B40)+(A42*B42)</f>
        <v/>
      </c>
      <c r="B44" s="934">
        <f>Epoxy!B52</f>
        <v/>
      </c>
      <c r="C44" s="2008" t="n">
        <v>33</v>
      </c>
      <c r="D44" s="741">
        <f>(A44*B44*C44)</f>
        <v/>
      </c>
      <c r="E44" s="758">
        <f>Epoxy!E52</f>
        <v/>
      </c>
      <c r="G44" s="705" t="n"/>
      <c r="H44" s="1143" t="n"/>
      <c r="I44" s="942">
        <f>(((D45-D44)/C37)/A37)/40</f>
        <v/>
      </c>
      <c r="J44" s="761" t="inlineStr">
        <is>
          <t># of 40 hour weeks</t>
        </is>
      </c>
      <c r="K44" s="801" t="n"/>
      <c r="N44" s="855" t="inlineStr">
        <is>
          <t>Full/Large: (9[+] passes) BushHammers, 16 metal, 30 metal, (grout) 60/80 metal,</t>
        </is>
      </c>
      <c r="O44" s="855" t="n"/>
      <c r="P44" s="855" t="n"/>
      <c r="Q44" s="855" t="n"/>
      <c r="R44" s="855" t="n"/>
    </row>
    <row r="45" customFormat="1" s="585">
      <c r="A45" s="771" t="inlineStr">
        <is>
          <t>Labor Total</t>
        </is>
      </c>
      <c r="B45" s="766" t="n"/>
      <c r="C45" s="766" t="n"/>
      <c r="D45" s="2016">
        <f>ROUNDUP(SUM(D37:D44),0)</f>
        <v/>
      </c>
      <c r="E45" s="711">
        <f>D45/B35</f>
        <v/>
      </c>
      <c r="F45" s="766" t="inlineStr">
        <is>
          <t>Labor $/SF</t>
        </is>
      </c>
      <c r="G45" s="2011" t="n"/>
      <c r="H45" s="2012" t="n"/>
      <c r="I45" s="768">
        <f>ROUNDUP(I44,0)</f>
        <v/>
      </c>
      <c r="J45" s="769" t="inlineStr">
        <is>
          <t># of weeks rounded up</t>
        </is>
      </c>
      <c r="K45" s="699" t="n"/>
      <c r="O45" s="855" t="inlineStr">
        <is>
          <t>50 resin, (grout) 100 resin, 200 resin, 400 resin, 800 resin, etc..?</t>
        </is>
      </c>
      <c r="P45" s="855" t="n"/>
      <c r="Q45" s="855" t="n"/>
      <c r="R45" s="855" t="n"/>
    </row>
    <row r="46" ht="16.2" customFormat="1" customHeight="1" s="585" thickBot="1">
      <c r="A46" s="1527" t="inlineStr">
        <is>
          <t>Labor Escalation</t>
        </is>
      </c>
      <c r="B46" s="1533" t="inlineStr">
        <is>
          <t>(rate esc. only)</t>
        </is>
      </c>
      <c r="C46" s="1557">
        <f>IF(D5="Yes",5%,0)</f>
        <v/>
      </c>
      <c r="D46" s="2013">
        <f>ROUNDUP((D45*C46),0)</f>
        <v/>
      </c>
      <c r="E46" s="1556" t="inlineStr">
        <is>
          <t>+5%IFPWorLong Lead Job (12+ months)</t>
        </is>
      </c>
      <c r="F46" s="1558" t="n"/>
      <c r="G46" s="2014" t="n"/>
      <c r="H46" s="2015" t="n"/>
      <c r="I46" s="1526" t="n"/>
      <c r="J46" s="1043" t="n"/>
    </row>
    <row r="47" customFormat="1" s="585">
      <c r="A47" s="771" t="inlineStr">
        <is>
          <t>Labor Burden</t>
        </is>
      </c>
      <c r="B47" s="766" t="n"/>
      <c r="C47" s="772" t="n">
        <v>0.12</v>
      </c>
      <c r="D47" s="2016">
        <f>ROUNDUP((D45+D46)*C47,0)</f>
        <v/>
      </c>
      <c r="E47" s="600" t="n"/>
      <c r="F47" s="600" t="n"/>
      <c r="G47" s="2017" t="n"/>
      <c r="H47" s="2017" t="n"/>
      <c r="I47" s="1585" t="inlineStr">
        <is>
          <t xml:space="preserve">               ** Cement Mason **              </t>
        </is>
      </c>
      <c r="J47" s="1586" t="n"/>
      <c r="K47" s="1587" t="inlineStr">
        <is>
          <t xml:space="preserve">                ** Painter **             </t>
        </is>
      </c>
      <c r="L47" s="1588" t="n"/>
      <c r="N47" s="1455" t="inlineStr">
        <is>
          <t>Holidays - Double Time</t>
        </is>
      </c>
    </row>
    <row r="48" customFormat="1" s="585">
      <c r="A48" s="600" t="n"/>
      <c r="B48" s="1877" t="n"/>
      <c r="C48" s="1944" t="n"/>
      <c r="D48" s="1944" t="n"/>
      <c r="E48" s="1944" t="n"/>
      <c r="F48" s="600" t="n"/>
      <c r="H48" s="834" t="n"/>
      <c r="I48" s="1576" t="inlineStr">
        <is>
          <t>Prevailing Wage Rate:</t>
        </is>
      </c>
      <c r="J48" s="2018">
        <f>SUM(J49:J50)</f>
        <v/>
      </c>
      <c r="K48" s="1576" t="inlineStr">
        <is>
          <t>P. Wage Rate:</t>
        </is>
      </c>
      <c r="L48" s="2018">
        <f>SUM(L49:L50)</f>
        <v/>
      </c>
      <c r="N48" s="763" t="inlineStr">
        <is>
          <t>New Year's Day</t>
        </is>
      </c>
    </row>
    <row r="49" customFormat="1" s="585">
      <c r="A49" s="621" t="inlineStr">
        <is>
          <t>TOOLING &amp; CONSUMABLES</t>
        </is>
      </c>
      <c r="B49" s="622" t="inlineStr">
        <is>
          <t>Quantity</t>
        </is>
      </c>
      <c r="C49" s="778" t="inlineStr">
        <is>
          <t>Cost</t>
        </is>
      </c>
      <c r="D49" s="2019" t="inlineStr">
        <is>
          <t>Totals</t>
        </is>
      </c>
      <c r="E49" s="600" t="n"/>
      <c r="F49" s="600" t="n"/>
      <c r="G49" s="780" t="n"/>
      <c r="H49" s="834" t="n"/>
      <c r="I49" s="1578" t="inlineStr">
        <is>
          <t>rate =</t>
        </is>
      </c>
      <c r="J49" s="2020" t="n">
        <v>0</v>
      </c>
      <c r="K49" s="1578" t="inlineStr">
        <is>
          <t>rate =</t>
        </is>
      </c>
      <c r="L49" s="2020" t="n">
        <v>0</v>
      </c>
      <c r="N49" s="763" t="inlineStr">
        <is>
          <t>Memorial Day</t>
        </is>
      </c>
    </row>
    <row r="50" customFormat="1" s="585">
      <c r="A50" s="628" t="n"/>
      <c r="B50" s="774" t="n"/>
      <c r="C50" s="1944" t="n"/>
      <c r="D50" s="1962" t="n"/>
      <c r="E50" s="600" t="n"/>
      <c r="F50" s="600" t="n"/>
      <c r="G50" s="2021" t="n"/>
      <c r="H50" s="782" t="n"/>
      <c r="I50" s="1580" t="inlineStr">
        <is>
          <t>+ fringes =</t>
        </is>
      </c>
      <c r="J50" s="2022" t="n">
        <v>0</v>
      </c>
      <c r="K50" s="1580" t="inlineStr">
        <is>
          <t>+ fringes =</t>
        </is>
      </c>
      <c r="L50" s="2022" t="n">
        <v>0</v>
      </c>
      <c r="N50" s="763" t="inlineStr">
        <is>
          <t>July 4th</t>
        </is>
      </c>
    </row>
    <row r="51" customFormat="1" s="585">
      <c r="A51" s="628" t="inlineStr">
        <is>
          <t>Tooling &amp; Consumables</t>
        </is>
      </c>
      <c r="B51" s="774">
        <f>B35</f>
        <v/>
      </c>
      <c r="C51" s="2179">
        <f>(SUM(V10:W10))*1.08</f>
        <v/>
      </c>
      <c r="D51" s="1962">
        <f>ROUNDUP(IF((B51*C51)&gt;150,(B51*C51),150),0)</f>
        <v/>
      </c>
      <c r="E51" s="945" t="inlineStr">
        <is>
          <t>*data pulled from calculator (+8%) ---&gt;</t>
        </is>
      </c>
      <c r="F51" s="946" t="n"/>
      <c r="G51" s="600" t="n"/>
      <c r="H51" s="947" t="n"/>
      <c r="I51" s="864" t="inlineStr">
        <is>
          <t xml:space="preserve">    Foreman *min. $32 Cement Mason</t>
        </is>
      </c>
      <c r="J51" s="2023" t="n"/>
      <c r="K51" s="864" t="inlineStr">
        <is>
          <t xml:space="preserve">  Foreman *min. $32 Painter</t>
        </is>
      </c>
      <c r="L51" s="2023" t="n"/>
      <c r="N51" s="763" t="inlineStr">
        <is>
          <t>Labor Day</t>
        </is>
      </c>
    </row>
    <row r="52" ht="16.2" customFormat="1" customHeight="1" s="585" thickBot="1">
      <c r="A52" s="628" t="inlineStr">
        <is>
          <t>Demo Tooling (/sf)</t>
        </is>
      </c>
      <c r="B52" s="774" t="n"/>
      <c r="C52" s="1944" t="n">
        <v>0.33</v>
      </c>
      <c r="D52" s="1962">
        <f>ROUNDUP(B52*C52,0)</f>
        <v/>
      </c>
      <c r="E52" s="787" t="inlineStr">
        <is>
          <t>($0.17 glue/VCT/carpet or $0.33 demo tile)</t>
        </is>
      </c>
      <c r="F52" s="600" t="n"/>
      <c r="G52" s="600" t="n"/>
      <c r="H52" s="947" t="n"/>
      <c r="I52" s="1583" t="inlineStr">
        <is>
          <t xml:space="preserve">    (Entry *min. $23 Cement Mason)</t>
        </is>
      </c>
      <c r="J52" s="2024" t="n"/>
      <c r="K52" s="1583" t="inlineStr">
        <is>
          <t xml:space="preserve">  (Entry *min. $23 Painter)</t>
        </is>
      </c>
      <c r="L52" s="2024" t="n"/>
      <c r="N52" s="763" t="inlineStr">
        <is>
          <t>Thanksgiving</t>
        </is>
      </c>
    </row>
    <row r="53" ht="16.2" customFormat="1" customHeight="1" s="585" thickBot="1">
      <c r="A53" s="628" t="inlineStr">
        <is>
          <t>Slurry Hardener</t>
        </is>
      </c>
      <c r="B53" s="774">
        <f>ROUNDUP(B35/5000,0)</f>
        <v/>
      </c>
      <c r="C53" s="1944" t="n">
        <v>210</v>
      </c>
      <c r="D53" s="1962">
        <f>ROUNDUP(B53*C53,0)</f>
        <v/>
      </c>
      <c r="E53" s="600" t="inlineStr">
        <is>
          <t>(at min. 1 bag per 5,000sf)</t>
        </is>
      </c>
      <c r="F53" s="600" t="n"/>
      <c r="G53" s="600" t="n"/>
      <c r="H53" s="774" t="n"/>
      <c r="I53" s="2025" t="inlineStr">
        <is>
          <t>1:1 "Entry" Half Wage</t>
        </is>
      </c>
      <c r="J53" s="2026">
        <f>IF((J48/2)&lt;23,23,(J48/2))</f>
        <v/>
      </c>
      <c r="K53" s="2180" t="inlineStr">
        <is>
          <t>1:1 "Entry" Half Wage</t>
        </is>
      </c>
      <c r="L53" s="2026">
        <f>IF((L48/2)&lt;23,23,(L48/2))</f>
        <v/>
      </c>
      <c r="N53" s="763" t="inlineStr">
        <is>
          <t>Christmas</t>
        </is>
      </c>
    </row>
    <row r="54" ht="16.2" customFormat="1" customHeight="1" s="585" thickBot="1">
      <c r="A54" s="628" t="inlineStr">
        <is>
          <t>Plastic (per LF)</t>
        </is>
      </c>
      <c r="B54" s="774">
        <f>IF(E25="yes",D35,IF(B35&gt;4999,IF(B10="reno",D35)))</f>
        <v/>
      </c>
      <c r="C54" s="1944" t="n">
        <v>0.25</v>
      </c>
      <c r="D54" s="1962">
        <f>ROUNDUP(B54*C54,0)</f>
        <v/>
      </c>
      <c r="E54" s="600" t="inlineStr">
        <is>
          <t>Dye or Reno 5k sf+?</t>
        </is>
      </c>
      <c r="F54" s="600" t="n"/>
      <c r="G54" s="600" t="n"/>
      <c r="H54" s="774" t="n"/>
      <c r="I54" s="1600" t="n"/>
      <c r="J54" s="1600" t="inlineStr">
        <is>
          <t>"Entry" Laborer for MO "State" Wage ONLY</t>
        </is>
      </c>
      <c r="K54" s="1594" t="n"/>
      <c r="L54" s="1072" t="inlineStr">
        <is>
          <t>NOT davis-bacon</t>
        </is>
      </c>
    </row>
    <row r="55" customFormat="1" s="585">
      <c r="A55" s="1565" t="inlineStr">
        <is>
          <t>Tooling and Consumables Total</t>
        </is>
      </c>
      <c r="B55" s="1566" t="n"/>
      <c r="C55" s="2028" t="n"/>
      <c r="D55" s="2029">
        <f>SUM(D50:D54)</f>
        <v/>
      </c>
      <c r="E55" s="600" t="n"/>
      <c r="F55" s="600" t="n"/>
      <c r="G55" s="662" t="n"/>
      <c r="H55" s="1046">
        <f>E35</f>
        <v/>
      </c>
      <c r="I55" s="714" t="n"/>
      <c r="J55" s="2031" t="n"/>
      <c r="L55" s="600" t="n"/>
    </row>
    <row r="56" customFormat="1" s="585">
      <c r="A56" s="600" t="n"/>
      <c r="B56" s="1877" t="n"/>
      <c r="C56" s="1944" t="n"/>
      <c r="D56" s="1944" t="n"/>
      <c r="E56" s="600" t="n"/>
      <c r="F56" s="600" t="n"/>
      <c r="G56" s="1409" t="inlineStr">
        <is>
          <t xml:space="preserve">Total Man Hours </t>
        </is>
      </c>
      <c r="H56" s="1410">
        <f>(((A37*B37)+(A38*B38)+(A40*B40)+(A42*B42))*IF($E$35="8 hour days",8,10))+(A44*B44)</f>
        <v/>
      </c>
      <c r="I56" s="600" t="n"/>
      <c r="J56" s="1936" t="n"/>
      <c r="K56" s="1936" t="n"/>
    </row>
    <row r="57" customFormat="1" s="585">
      <c r="A57" s="621" t="inlineStr">
        <is>
          <t>TRAVEL</t>
        </is>
      </c>
      <c r="B57" s="622" t="inlineStr">
        <is>
          <t>Quantity</t>
        </is>
      </c>
      <c r="C57" s="778" t="inlineStr">
        <is>
          <t>Cost</t>
        </is>
      </c>
      <c r="D57" s="2019" t="inlineStr">
        <is>
          <t>Totals</t>
        </is>
      </c>
      <c r="E57" s="600" t="n"/>
      <c r="F57" s="600" t="n"/>
      <c r="G57" s="1048" t="inlineStr">
        <is>
          <t xml:space="preserve">Total Days </t>
        </is>
      </c>
      <c r="H57" s="1389">
        <f>H56/IF($E$35="8 hour days",8,10)/H58</f>
        <v/>
      </c>
      <c r="I57" s="1944" t="n"/>
      <c r="J57" s="1928" t="n"/>
    </row>
    <row r="58" customFormat="1" s="585">
      <c r="A58" s="628" t="inlineStr">
        <is>
          <t>Travel - Lodging</t>
        </is>
      </c>
      <c r="B58" s="774">
        <f>IF(B4="No",((D45-D44)/C37)/8)</f>
        <v/>
      </c>
      <c r="C58" s="1944" t="n">
        <v>70</v>
      </c>
      <c r="D58" s="1962">
        <f>ROUNDUP(B58*C58,0)</f>
        <v/>
      </c>
      <c r="E58" s="600" t="n"/>
      <c r="F58" s="600" t="n"/>
      <c r="G58" s="1444" t="inlineStr">
        <is>
          <t>^based on X crew size:</t>
        </is>
      </c>
      <c r="H58" s="2030">
        <f>A37</f>
        <v/>
      </c>
      <c r="I58" s="662" t="n"/>
      <c r="J58" s="1928" t="n"/>
      <c r="R58" s="633" t="inlineStr">
        <is>
          <t xml:space="preserve">Will's orig Joint Filler Labor Formula: </t>
        </is>
      </c>
      <c r="S58" s="948" t="inlineStr">
        <is>
          <t>=(MROUND(IF(E29="no",0,IF(E18&lt;1000,0.75,IF(E18&lt;2500,1,IF(E18&lt;10000,2,IF(E18&lt;15000,3,E18/3750))))),0.5))</t>
        </is>
      </c>
    </row>
    <row r="59" customFormat="1" s="585">
      <c r="A59" s="628" t="inlineStr">
        <is>
          <t>Travel - Food</t>
        </is>
      </c>
      <c r="B59" s="774">
        <f>B58</f>
        <v/>
      </c>
      <c r="C59" s="1944" t="n">
        <v>45</v>
      </c>
      <c r="D59" s="1962">
        <f>ROUNDUP(B59*C59,0)</f>
        <v/>
      </c>
      <c r="E59" s="795" t="n"/>
      <c r="F59" s="600" t="n"/>
      <c r="G59" s="600" t="n"/>
      <c r="H59" s="782" t="n"/>
      <c r="I59" s="1944" t="n"/>
      <c r="J59" s="1928" t="n"/>
      <c r="S59" s="590" t="inlineStr">
        <is>
          <t>NOTE: **3750** above end of formula</t>
        </is>
      </c>
    </row>
    <row r="60" customFormat="1" s="585">
      <c r="A60" s="628" t="n"/>
      <c r="B60" s="774" t="n"/>
      <c r="C60" s="1944" t="n"/>
      <c r="D60" s="1962">
        <f>ROUNDUP(B60*C60,0)</f>
        <v/>
      </c>
      <c r="E60" s="600" t="n"/>
      <c r="F60" s="600" t="n"/>
      <c r="G60" s="600" t="n"/>
      <c r="H60" s="774" t="n"/>
      <c r="I60" s="714" t="n"/>
      <c r="J60" s="2031" t="n"/>
    </row>
    <row r="61" customFormat="1" s="585">
      <c r="A61" s="1565" t="inlineStr">
        <is>
          <t>Travel Costs Total</t>
        </is>
      </c>
      <c r="B61" s="1566" t="n"/>
      <c r="C61" s="2028" t="n"/>
      <c r="D61" s="2029">
        <f>SUM(D58:D60)</f>
        <v/>
      </c>
      <c r="E61" s="600" t="n"/>
      <c r="F61" s="600" t="n"/>
      <c r="G61" s="662" t="n"/>
      <c r="H61" s="793" t="n"/>
      <c r="I61" s="714" t="n"/>
      <c r="J61" s="2031" t="n"/>
    </row>
    <row r="62" customFormat="1" s="585">
      <c r="A62" s="600" t="n"/>
      <c r="B62" s="1877" t="n"/>
      <c r="C62" s="1944" t="n"/>
      <c r="D62" s="1944" t="n"/>
      <c r="E62" s="600" t="n"/>
      <c r="F62" s="600" t="n"/>
      <c r="G62" s="600" t="n"/>
    </row>
    <row r="63" customFormat="1" s="585">
      <c r="A63" s="600" t="n"/>
      <c r="B63" s="1877" t="n"/>
      <c r="C63" s="1944" t="n"/>
      <c r="D63" s="1944" t="n"/>
      <c r="E63" s="600" t="n"/>
      <c r="F63" s="600" t="n"/>
      <c r="G63" s="600" t="n"/>
    </row>
    <row r="64" customFormat="1" s="585">
      <c r="A64" s="796" t="inlineStr">
        <is>
          <t>SUB-TOTAL COSTS</t>
        </is>
      </c>
      <c r="B64" s="797" t="n"/>
      <c r="C64" s="2032" t="n"/>
      <c r="D64" s="2033">
        <f>ROUNDUP(SUM(D33,D45:D47,D55,D61),0)</f>
        <v/>
      </c>
      <c r="E64" s="2034">
        <f>D64/B35</f>
        <v/>
      </c>
      <c r="F64" s="801" t="inlineStr">
        <is>
          <t>Sub-Total $/SF</t>
        </is>
      </c>
      <c r="G64" s="600" t="n"/>
    </row>
    <row r="65" customFormat="1" s="585">
      <c r="A65" s="600" t="n"/>
      <c r="B65" s="1877" t="n"/>
      <c r="C65" s="1944" t="n"/>
      <c r="D65" s="1944" t="n"/>
      <c r="E65" s="600" t="n"/>
      <c r="F65" s="600" t="n"/>
      <c r="G65" s="600" t="n"/>
    </row>
    <row r="66" customFormat="1" s="585">
      <c r="A66" s="621" t="inlineStr">
        <is>
          <t>MARKUP</t>
        </is>
      </c>
      <c r="B66" s="622" t="inlineStr">
        <is>
          <t>%</t>
        </is>
      </c>
      <c r="C66" s="2035" t="n"/>
      <c r="D66" s="2019" t="inlineStr">
        <is>
          <t>Totals</t>
        </is>
      </c>
      <c r="E66" s="600" t="n"/>
      <c r="F66" s="2036">
        <f>SUM(D64,D76,D79)</f>
        <v/>
      </c>
      <c r="G66" s="811" t="inlineStr">
        <is>
          <t>Total "Estimated Costs" w/taxes + fees + bond</t>
        </is>
      </c>
      <c r="H66" s="812" t="n"/>
      <c r="I66" s="2037">
        <f>F66/C81</f>
        <v/>
      </c>
    </row>
    <row r="67" customFormat="1" s="585">
      <c r="A67" s="817" t="inlineStr">
        <is>
          <t>GP (before lines below)</t>
        </is>
      </c>
      <c r="B67" s="122">
        <f>IF(D64&lt;6500,0.52,IF(D64&lt;15000,0.45,IF(D64&lt;22500,0.35,IF(D64&lt;32500,0.32,0.3))))</f>
        <v/>
      </c>
      <c r="C67" s="1944" t="n"/>
      <c r="D67" s="2038">
        <f>ROUNDUP(SUM(D64,D74,D77)/(1-B67),0)-ROUNDUP(SUM(D64,D74,D77),0)</f>
        <v/>
      </c>
      <c r="E67" s="600" t="n"/>
      <c r="F67" s="2039">
        <f>(((A37*B37)+(A38*B38)+(A40*B40)+(A42*B42))*IF($E$35="8 hour days",8,10))+(A44*B44)</f>
        <v/>
      </c>
      <c r="G67" s="815" t="inlineStr">
        <is>
          <t>Man Hour Budget (Raken)</t>
        </is>
      </c>
      <c r="H67" s="815" t="n"/>
    </row>
    <row r="68" customFormat="1" s="585">
      <c r="A68" s="817" t="inlineStr">
        <is>
          <t>Hard Bid Discount</t>
        </is>
      </c>
      <c r="B68" s="2040">
        <f>IF(B5="yes",IF(D64&gt;=60000,-0.04,IF(B4="yes",IF(D64&gt;=13000,-0.025,0))))</f>
        <v/>
      </c>
      <c r="C68" s="1944" t="n"/>
      <c r="D68" s="1962">
        <f>ROUNDUP(SUM(D64,D67)*B68,0)</f>
        <v/>
      </c>
      <c r="E68" s="600" t="n"/>
      <c r="F68" s="2041">
        <f>F81/H57</f>
        <v/>
      </c>
      <c r="G68" s="1447" t="inlineStr">
        <is>
          <t>GP per Day</t>
        </is>
      </c>
      <c r="H68" s="809">
        <f>E35</f>
        <v/>
      </c>
    </row>
    <row r="69" customFormat="1" s="585">
      <c r="A69" s="628" t="inlineStr">
        <is>
          <t>Superintendent &amp; PTO</t>
        </is>
      </c>
      <c r="B69" s="819" t="n">
        <v>0.027</v>
      </c>
      <c r="C69" s="2042" t="n"/>
      <c r="D69" s="1962">
        <f>ROUNDUP(SUM(D64:D68,D71,D74,D77)*B69,0)</f>
        <v/>
      </c>
      <c r="E69" s="600" t="n"/>
    </row>
    <row r="70" customFormat="1" s="585">
      <c r="A70" s="628" t="inlineStr">
        <is>
          <t>Soft Costs</t>
        </is>
      </c>
      <c r="B70" s="819" t="n">
        <v>0.16</v>
      </c>
      <c r="C70" s="2042" t="n"/>
      <c r="D70" s="1962">
        <f>(ROUNDUP(SUM(D64:D69,D71,D74,D77)*B70,0))+0</f>
        <v/>
      </c>
      <c r="E70" s="600" t="n"/>
      <c r="F70" s="600" t="n"/>
      <c r="G70" s="1877" t="n"/>
    </row>
    <row r="71" customFormat="1" s="585">
      <c r="A71" s="820" t="inlineStr">
        <is>
          <t>Contingency</t>
        </is>
      </c>
      <c r="B71" s="1575" t="inlineStr">
        <is>
          <t>-- ?? --&gt;</t>
        </is>
      </c>
      <c r="C71" s="2044" t="n"/>
      <c r="D71" s="2045" t="n">
        <v>0</v>
      </c>
      <c r="E71" s="600" t="n"/>
      <c r="I71" s="2043" t="n"/>
      <c r="J71" s="809" t="n"/>
    </row>
    <row r="72" customFormat="1" s="585">
      <c r="A72" s="600" t="n"/>
      <c r="B72" s="1877" t="n"/>
      <c r="C72" s="1944" t="n"/>
      <c r="D72" s="1944" t="n"/>
      <c r="E72" s="600" t="n"/>
      <c r="I72" s="2043" t="n"/>
    </row>
    <row r="73" customFormat="1" s="585">
      <c r="A73" s="621" t="inlineStr">
        <is>
          <t>TAXES &amp; FEES</t>
        </is>
      </c>
      <c r="B73" s="622" t="inlineStr">
        <is>
          <t>%</t>
        </is>
      </c>
      <c r="C73" s="778" t="n"/>
      <c r="D73" s="2019" t="inlineStr">
        <is>
          <t>Totals</t>
        </is>
      </c>
      <c r="E73" s="600" t="n"/>
      <c r="J73" s="2046">
        <f>(J76-J74-J75)</f>
        <v/>
      </c>
      <c r="K73" s="590" t="n"/>
    </row>
    <row r="74" customFormat="1" s="585">
      <c r="A74" s="628" t="inlineStr">
        <is>
          <t>Sales Tax</t>
        </is>
      </c>
      <c r="B74" s="2047">
        <f>IF($B$6="no",0,0.09475)</f>
        <v/>
      </c>
      <c r="C74" s="2042" t="n"/>
      <c r="D74" s="1962">
        <f>ROUNDUP(SUM(D33)*B74,0)</f>
        <v/>
      </c>
      <c r="E74" s="600" t="n"/>
      <c r="J74" s="2046" t="n"/>
      <c r="K74" s="585" t="inlineStr">
        <is>
          <t>sales tax (enter rounded)</t>
        </is>
      </c>
    </row>
    <row r="75" customFormat="1" s="585">
      <c r="A75" s="804" t="inlineStr">
        <is>
          <t>Kansas Remodel Tax</t>
        </is>
      </c>
      <c r="B75" s="2048">
        <f>IF(D6="yes",0.1,0)</f>
        <v/>
      </c>
      <c r="C75" s="1944" t="n"/>
      <c r="D75" s="1962">
        <f>ROUNDUP(SUM(D45:D47,D55,D61,D67:D71,D77)*B75,0)</f>
        <v/>
      </c>
      <c r="E75" s="758">
        <f>IF(D6="yes","*10% is placeholder. Adjust to actual if project awarded"," ")</f>
        <v/>
      </c>
      <c r="J75" s="2049" t="n"/>
      <c r="K75" s="784" t="inlineStr">
        <is>
          <t>ks remodel (enter rounded)</t>
        </is>
      </c>
    </row>
    <row r="76" customFormat="1" s="585">
      <c r="A76" s="1565" t="inlineStr">
        <is>
          <t>Total Taxes</t>
        </is>
      </c>
      <c r="B76" s="1566" t="n"/>
      <c r="C76" s="2028" t="n"/>
      <c r="D76" s="2029">
        <f>SUM(D74:D75)</f>
        <v/>
      </c>
      <c r="E76" s="758" t="n"/>
      <c r="J76" s="2046">
        <f>D82</f>
        <v/>
      </c>
      <c r="K76" s="590" t="inlineStr">
        <is>
          <t>total</t>
        </is>
      </c>
    </row>
    <row r="77" customFormat="1" s="585">
      <c r="A77" s="628" t="inlineStr">
        <is>
          <t>Fees + Textura + ?</t>
        </is>
      </c>
      <c r="B77" s="2047" t="n"/>
      <c r="C77" s="1944" t="n"/>
      <c r="D77" s="1962">
        <f>ROUNDUP(B77*C77,0)</f>
        <v/>
      </c>
      <c r="E77" s="600" t="n"/>
      <c r="F77" s="600" t="n"/>
      <c r="G77" s="600" t="n"/>
    </row>
    <row r="78" customFormat="1" s="585">
      <c r="A78" s="635" t="inlineStr">
        <is>
          <t>Bond</t>
        </is>
      </c>
      <c r="B78" s="806" t="n">
        <v>0</v>
      </c>
      <c r="C78" s="1948" t="n"/>
      <c r="D78" s="2050">
        <f>ROUNDUP(SUM(D64,D67,D68,D69:D71,D74,D75:D77)*B78,0)</f>
        <v/>
      </c>
      <c r="E78" s="600" t="n"/>
      <c r="F78" s="600" t="n"/>
      <c r="G78" s="600" t="n"/>
      <c r="I78" s="600" t="n"/>
      <c r="J78" s="2181">
        <f>C81*N78</f>
        <v/>
      </c>
      <c r="K78" s="950" t="inlineStr">
        <is>
          <t>Deduct VE for Grind &amp; Sealin lieu of S&amp;P ONLY</t>
        </is>
      </c>
      <c r="L78" s="951" t="n"/>
      <c r="M78" s="952" t="n"/>
      <c r="N78" s="2182" t="n">
        <v>-2</v>
      </c>
      <c r="O78" s="954" t="inlineStr">
        <is>
          <t>$ /sf deduct</t>
        </is>
      </c>
    </row>
    <row r="79" customFormat="1" s="585">
      <c r="A79" s="789" t="inlineStr">
        <is>
          <t>Total Fees + Bond</t>
        </is>
      </c>
      <c r="B79" s="790" t="n"/>
      <c r="C79" s="2051" t="n"/>
      <c r="D79" s="2052">
        <f>ROUNDUP(SUM(D77:D78),0)</f>
        <v/>
      </c>
      <c r="E79" s="600" t="n"/>
      <c r="F79" s="600" t="n"/>
      <c r="I79" s="823" t="n"/>
      <c r="J79" s="2183" t="n"/>
      <c r="K79" s="956" t="inlineStr">
        <is>
          <t>^^ new total would be: ---&gt;</t>
        </is>
      </c>
      <c r="L79" s="1989">
        <f>D82+J78</f>
        <v/>
      </c>
      <c r="M79" s="2168">
        <f>L79/C81</f>
        <v/>
      </c>
    </row>
    <row r="80" customFormat="1" s="585">
      <c r="A80" s="600" t="n"/>
      <c r="B80" s="821" t="n"/>
      <c r="C80" s="1944" t="n"/>
      <c r="D80" s="1944" t="n"/>
      <c r="E80" s="600" t="n"/>
      <c r="F80" s="759" t="inlineStr">
        <is>
          <t>Mark Up + Conting.</t>
        </is>
      </c>
      <c r="G80" s="822" t="inlineStr">
        <is>
          <t>GP / MH</t>
        </is>
      </c>
      <c r="H80" s="1618" t="inlineStr">
        <is>
          <t>MarkUp + Soft Costs</t>
        </is>
      </c>
      <c r="I80" s="823" t="n"/>
      <c r="J80" s="1465" t="n"/>
      <c r="K80" s="1433" t="inlineStr">
        <is>
          <t>For PM's Reference</t>
        </is>
      </c>
      <c r="L80" s="1167" t="n"/>
    </row>
    <row r="81" ht="16.2" customFormat="1" customHeight="1" s="585" thickBot="1">
      <c r="A81" s="600" t="n"/>
      <c r="B81" s="825" t="inlineStr">
        <is>
          <t>Square Footage:</t>
        </is>
      </c>
      <c r="C81" s="2053">
        <f>B35</f>
        <v/>
      </c>
      <c r="D81" s="1944" t="n"/>
      <c r="E81" s="705" t="inlineStr">
        <is>
          <t>Less Sales Tax</t>
        </is>
      </c>
      <c r="F81" s="2054">
        <f>SUM(D67:D68,D71)</f>
        <v/>
      </c>
      <c r="G81" s="2055">
        <f>F81/F67</f>
        <v/>
      </c>
      <c r="H81" s="2056">
        <f>SUM(D67:D71)</f>
        <v/>
      </c>
      <c r="J81" s="824" t="inlineStr">
        <is>
          <t>Material + Tooling %</t>
        </is>
      </c>
      <c r="K81" s="822" t="inlineStr">
        <is>
          <t>Labor %</t>
        </is>
      </c>
      <c r="L81" s="822" t="inlineStr">
        <is>
          <t>Travel %</t>
        </is>
      </c>
      <c r="M81" s="600" t="n"/>
      <c r="N81" s="600" t="n"/>
    </row>
    <row r="82" ht="16.2" customFormat="1" customHeight="1" s="585" thickBot="1">
      <c r="A82" s="829" t="inlineStr">
        <is>
          <t>TOTAL</t>
        </is>
      </c>
      <c r="B82" s="830" t="n"/>
      <c r="C82" s="2057">
        <f>D82/C81</f>
        <v/>
      </c>
      <c r="D82" s="2058">
        <f>SUM(D64,D67:D71,D76,D79)</f>
        <v/>
      </c>
      <c r="E82" s="1944">
        <f>D82-(D74+D75)</f>
        <v/>
      </c>
      <c r="F82" s="2059">
        <f>F81/(D82)</f>
        <v/>
      </c>
      <c r="G82" s="2055">
        <f>C37</f>
        <v/>
      </c>
      <c r="H82" s="2060">
        <f>H81/D82</f>
        <v/>
      </c>
      <c r="I82" s="1625" t="inlineStr">
        <is>
          <t>45% = Polish Goal</t>
        </is>
      </c>
      <c r="J82" s="828">
        <f>(H33+D55)/D82</f>
        <v/>
      </c>
      <c r="K82" s="828">
        <f>(SUM(D45:D47)/D82)</f>
        <v/>
      </c>
      <c r="L82" s="828">
        <f>D61/D82</f>
        <v/>
      </c>
      <c r="M82" s="600" t="n"/>
      <c r="N82" s="600" t="n"/>
      <c r="O82" s="600" t="n"/>
    </row>
    <row r="83" customFormat="1" s="585">
      <c r="A83" s="834" t="n"/>
      <c r="B83" s="600" t="n"/>
      <c r="C83" s="1944">
        <f>D83/C81</f>
        <v/>
      </c>
      <c r="D83" s="1944">
        <f>D82-D75</f>
        <v/>
      </c>
      <c r="E83" s="753" t="inlineStr">
        <is>
          <t>(less ks remodel tax, no joints)</t>
        </is>
      </c>
      <c r="G83" s="1621" t="inlineStr">
        <is>
          <t>LaborRate from Above</t>
        </is>
      </c>
      <c r="H83" s="590" t="n"/>
      <c r="I83" s="1632" t="inlineStr">
        <is>
          <t>(epx: 42% &amp; pol: 45%)</t>
        </is>
      </c>
      <c r="J83" s="590" t="n"/>
      <c r="L83" s="600" t="n"/>
      <c r="M83" s="600" t="n"/>
      <c r="N83" s="600" t="n"/>
      <c r="O83" s="600" t="n"/>
    </row>
    <row r="84" customFormat="1" s="585">
      <c r="A84" s="834" t="n"/>
      <c r="B84" s="600" t="n"/>
      <c r="C84" s="2062" t="n"/>
      <c r="D84" s="957" t="n"/>
      <c r="E84" s="753" t="n"/>
      <c r="J84" s="2061">
        <f>SUM(D33,D55)</f>
        <v/>
      </c>
      <c r="K84" s="1099">
        <f>J84/J87</f>
        <v/>
      </c>
      <c r="L84" s="1100" t="inlineStr">
        <is>
          <t>Material+Tooling</t>
        </is>
      </c>
      <c r="M84" s="759" t="inlineStr">
        <is>
          <t>% Breakdown</t>
        </is>
      </c>
      <c r="N84" s="600" t="n"/>
      <c r="O84" s="600" t="n"/>
    </row>
    <row r="85" customFormat="1" s="585">
      <c r="A85" s="834" t="n"/>
      <c r="B85" s="600" t="inlineStr">
        <is>
          <t>Add for additional phase</t>
        </is>
      </c>
      <c r="C85" s="2062" t="n">
        <v>4500</v>
      </c>
      <c r="D85" s="957" t="n"/>
      <c r="E85" s="753" t="n"/>
      <c r="J85" s="2063">
        <f>SUM(D45:D47,D61)</f>
        <v/>
      </c>
      <c r="K85" s="1102">
        <f>J85/J87</f>
        <v/>
      </c>
      <c r="L85" s="1103" t="inlineStr">
        <is>
          <t>Labor + Travel</t>
        </is>
      </c>
      <c r="M85" s="600" t="n"/>
      <c r="N85" s="600" t="n"/>
      <c r="O85" s="600" t="n"/>
      <c r="P85" s="600" t="n"/>
      <c r="Q85" s="600" t="n"/>
    </row>
    <row r="86" customFormat="1" s="585">
      <c r="A86" s="600" t="n"/>
      <c r="B86" s="600" t="n"/>
      <c r="C86" s="2031" t="n"/>
      <c r="D86" s="2031" t="n"/>
      <c r="E86" s="753" t="n"/>
      <c r="J86" s="2064">
        <f>SUM(D67:D71,D76,D79)</f>
        <v/>
      </c>
      <c r="K86" s="1105">
        <f>J86/J87</f>
        <v/>
      </c>
      <c r="L86" s="1106" t="inlineStr">
        <is>
          <t>Mark-Up+Tax</t>
        </is>
      </c>
      <c r="M86" s="600" t="n"/>
      <c r="N86" s="600" t="n"/>
      <c r="O86" s="600" t="n"/>
      <c r="P86" s="600" t="n"/>
      <c r="Q86" s="600" t="n"/>
    </row>
    <row r="87" customFormat="1" s="585">
      <c r="A87" s="600" t="n"/>
      <c r="B87" s="600" t="n"/>
      <c r="C87" s="2031" t="n"/>
      <c r="D87" s="2031" t="n"/>
      <c r="E87" s="753" t="n"/>
      <c r="I87" s="593" t="n"/>
      <c r="J87" s="2064">
        <f>SUM(J84:J86)</f>
        <v/>
      </c>
      <c r="K87" s="1107">
        <f>SUM(K84:K86)</f>
        <v/>
      </c>
      <c r="L87" s="1106" t="inlineStr">
        <is>
          <t>Total</t>
        </is>
      </c>
      <c r="N87" s="594" t="n"/>
      <c r="O87" s="594" t="n"/>
      <c r="P87" s="600" t="n"/>
      <c r="Q87" s="600" t="n"/>
    </row>
    <row r="88" customFormat="1" s="585">
      <c r="A88" s="959" t="n"/>
      <c r="B88" s="959" t="n"/>
      <c r="C88" s="2184" t="n"/>
      <c r="D88" s="2184" t="n"/>
      <c r="E88" s="593" t="n"/>
      <c r="F88" s="593" t="n"/>
      <c r="G88" s="593" t="n"/>
      <c r="H88" s="593" t="n"/>
      <c r="I88" s="593" t="n"/>
      <c r="J88" s="962" t="n"/>
      <c r="K88" s="962" t="n"/>
      <c r="L88" s="962" t="n"/>
      <c r="M88" s="594" t="n"/>
      <c r="N88" s="594" t="n"/>
      <c r="O88" s="594" t="n"/>
      <c r="P88" s="600" t="n"/>
      <c r="Q88" s="600" t="n"/>
    </row>
    <row r="89" customFormat="1" s="585">
      <c r="A89" s="959" t="n"/>
      <c r="B89" s="961" t="n"/>
      <c r="C89" s="2184" t="n"/>
      <c r="D89" s="2184" t="n"/>
      <c r="E89" s="593" t="n"/>
      <c r="F89" s="593" t="n"/>
      <c r="G89" s="593" t="n"/>
      <c r="H89" s="593" t="n"/>
      <c r="I89" s="593" t="n"/>
      <c r="J89" s="593" t="n"/>
      <c r="K89" s="593" t="n"/>
      <c r="L89" s="593" t="n"/>
      <c r="M89" s="594" t="n"/>
      <c r="N89" s="594" t="n"/>
      <c r="O89" s="594" t="n"/>
      <c r="P89" s="600" t="n"/>
      <c r="Q89" s="600" t="n"/>
    </row>
    <row r="90" customFormat="1" s="585">
      <c r="A90" s="593" t="n"/>
      <c r="B90" s="593" t="n"/>
      <c r="C90" s="1936" t="n"/>
      <c r="D90" s="1936" t="n"/>
      <c r="E90" s="593" t="n"/>
      <c r="F90" s="593" t="n"/>
      <c r="G90" s="2185" t="n"/>
      <c r="H90" s="593" t="n"/>
      <c r="I90" s="593" t="n"/>
      <c r="J90" s="962" t="n"/>
      <c r="K90" s="962" t="n"/>
      <c r="L90" s="962" t="n"/>
      <c r="M90" s="594" t="n"/>
      <c r="N90" s="594" t="n"/>
      <c r="O90" s="594" t="n"/>
      <c r="P90" s="600" t="n"/>
      <c r="Q90" s="600" t="n"/>
      <c r="AA90" s="594" t="n"/>
      <c r="AB90" s="594" t="n"/>
    </row>
    <row r="91" customFormat="1" s="585">
      <c r="A91" s="603" t="n"/>
      <c r="B91" s="2186" t="n"/>
      <c r="C91" s="603" t="n"/>
      <c r="D91" s="2186" t="n"/>
      <c r="E91" s="594" t="n"/>
      <c r="F91" s="594" t="n"/>
      <c r="G91" s="593" t="n"/>
      <c r="H91" s="964" t="n"/>
      <c r="I91" s="593" t="n"/>
      <c r="J91" s="1936" t="n"/>
      <c r="K91" s="593" t="n"/>
      <c r="L91" s="593" t="n"/>
      <c r="M91" s="594" t="n"/>
      <c r="N91" s="594" t="n"/>
      <c r="O91" s="594" t="n"/>
      <c r="P91" s="600" t="n"/>
      <c r="Q91" s="600" t="n"/>
      <c r="AA91" s="594" t="n"/>
      <c r="AB91" s="594" t="n"/>
    </row>
    <row r="92" customFormat="1" s="585">
      <c r="A92" s="593" t="n"/>
      <c r="B92" s="593" t="n"/>
      <c r="C92" s="593" t="n"/>
      <c r="D92" s="593" t="n"/>
      <c r="E92" s="962" t="n"/>
      <c r="F92" s="594" t="n"/>
      <c r="G92" s="593" t="n"/>
      <c r="H92" s="593" t="n"/>
      <c r="I92" s="1936" t="n"/>
      <c r="J92" s="1936" t="n"/>
      <c r="K92" s="593" t="n"/>
      <c r="L92" s="593" t="n"/>
      <c r="M92" s="594" t="n"/>
      <c r="N92" s="594" t="n"/>
      <c r="O92" s="594" t="n"/>
      <c r="P92" s="600" t="n"/>
      <c r="Q92" s="600" t="n"/>
      <c r="AA92" s="594" t="n"/>
      <c r="AB92" s="594" t="n"/>
    </row>
    <row r="93" customFormat="1" s="594">
      <c r="A93" s="593" t="n"/>
      <c r="B93" s="593" t="n"/>
      <c r="C93" s="2187" t="n"/>
      <c r="D93" s="962" t="n"/>
      <c r="E93" s="962" t="n"/>
      <c r="G93" s="593" t="n"/>
      <c r="H93" s="782" t="n"/>
      <c r="I93" s="1936" t="n"/>
      <c r="J93" s="1936" t="n"/>
      <c r="K93" s="593" t="n"/>
      <c r="L93" s="593" t="n"/>
      <c r="P93" s="593" t="n"/>
      <c r="Q93" s="593" t="n"/>
    </row>
    <row r="94" customFormat="1" s="594">
      <c r="A94" s="593" t="n"/>
      <c r="B94" s="593" t="n"/>
      <c r="C94" s="593" t="n"/>
      <c r="D94" s="593" t="n"/>
      <c r="E94" s="593" t="n"/>
      <c r="G94" s="593" t="n"/>
      <c r="H94" s="782" t="n"/>
      <c r="I94" s="1936" t="n"/>
      <c r="J94" s="1936" t="n"/>
      <c r="K94" s="593" t="n"/>
      <c r="L94" s="593" t="n"/>
    </row>
    <row r="95" customFormat="1" s="594">
      <c r="A95" s="593" t="n"/>
      <c r="B95" s="593" t="n"/>
      <c r="C95" s="2187" t="n"/>
      <c r="D95" s="962" t="n"/>
      <c r="E95" s="962" t="n"/>
      <c r="G95" s="593" t="n"/>
      <c r="H95" s="782" t="n"/>
      <c r="I95" s="1936" t="n"/>
      <c r="J95" s="1936" t="n"/>
      <c r="K95" s="593" t="n"/>
      <c r="L95" s="593" t="n"/>
    </row>
    <row r="96" customFormat="1" s="594">
      <c r="A96" s="856" t="n"/>
      <c r="B96" s="593" t="n"/>
      <c r="C96" s="593" t="n"/>
      <c r="D96" s="593" t="n"/>
      <c r="E96" s="593" t="n"/>
      <c r="G96" s="593" t="n"/>
      <c r="H96" s="782" t="n"/>
      <c r="I96" s="1936" t="n"/>
      <c r="J96" s="1936" t="n"/>
      <c r="K96" s="593" t="n"/>
      <c r="L96" s="593" t="n"/>
    </row>
    <row r="97" customFormat="1" s="594">
      <c r="A97" s="593" t="n"/>
      <c r="B97" s="593" t="n"/>
      <c r="C97" s="2187" t="n"/>
      <c r="D97" s="962" t="n"/>
      <c r="E97" s="962" t="n"/>
      <c r="G97" s="593" t="n"/>
      <c r="H97" s="782" t="n"/>
      <c r="I97" s="2184" t="n"/>
      <c r="J97" s="2184" t="n"/>
    </row>
    <row r="98" customFormat="1" s="594">
      <c r="A98" s="839" t="n"/>
      <c r="B98" s="593" t="n"/>
      <c r="C98" s="593" t="n"/>
      <c r="D98" s="2188" t="n"/>
      <c r="E98" s="2188" t="n"/>
      <c r="F98" s="593" t="n"/>
      <c r="G98" s="959" t="n"/>
      <c r="H98" s="959" t="n"/>
    </row>
    <row r="99" customFormat="1" s="594">
      <c r="A99" s="840" t="n"/>
      <c r="B99" s="593" t="n"/>
      <c r="C99" s="1936" t="n"/>
      <c r="D99" s="1936" t="n"/>
      <c r="E99" s="1936" t="n"/>
      <c r="F99" s="593" t="n"/>
      <c r="G99" s="593" t="n"/>
      <c r="H99" s="593" t="n"/>
      <c r="K99" s="593" t="n"/>
      <c r="L99" s="593" t="n"/>
    </row>
    <row r="100" customFormat="1" s="594">
      <c r="A100" s="842" t="n"/>
      <c r="B100" s="593" t="n"/>
      <c r="C100" s="593" t="n"/>
      <c r="D100" s="1936" t="n"/>
      <c r="E100" s="593" t="n"/>
      <c r="F100" s="593" t="n"/>
      <c r="G100" s="593" t="n"/>
      <c r="H100" s="593" t="n"/>
      <c r="I100" s="593" t="n"/>
      <c r="J100" s="1936" t="n"/>
      <c r="K100" s="593" t="n"/>
      <c r="L100" s="593" t="n"/>
    </row>
    <row r="101" customFormat="1" s="594">
      <c r="A101" s="844" t="n"/>
      <c r="B101" s="782" t="n"/>
      <c r="C101" s="1936" t="n"/>
      <c r="D101" s="1936" t="n"/>
      <c r="E101" s="593" t="n"/>
      <c r="F101" s="593" t="n"/>
      <c r="G101" s="2186" t="n"/>
      <c r="H101" s="782" t="n"/>
      <c r="I101" s="1936" t="n"/>
      <c r="J101" s="1936" t="n"/>
      <c r="K101" s="593" t="n"/>
      <c r="L101" s="593" t="n"/>
    </row>
    <row r="102" customFormat="1" s="594">
      <c r="A102" s="845" t="n"/>
      <c r="B102" s="782" t="n"/>
      <c r="C102" s="1936" t="n"/>
      <c r="D102" s="1936" t="n"/>
      <c r="E102" s="593" t="n"/>
      <c r="F102" s="593" t="n"/>
      <c r="G102" s="593" t="n"/>
      <c r="H102" s="782" t="n"/>
      <c r="I102" s="1936" t="n"/>
      <c r="J102" s="1936" t="n"/>
      <c r="K102" s="593" t="n"/>
      <c r="L102" s="593" t="n"/>
    </row>
    <row r="103" customFormat="1" s="594">
      <c r="A103" s="846" t="n"/>
      <c r="B103" s="782" t="n"/>
      <c r="C103" s="1936" t="n"/>
      <c r="D103" s="1936" t="n"/>
      <c r="E103" s="593" t="n"/>
      <c r="F103" s="593" t="n"/>
      <c r="G103" s="593" t="n"/>
      <c r="H103" s="782" t="n"/>
      <c r="I103" s="1936" t="n"/>
      <c r="J103" s="1936" t="n"/>
      <c r="K103" s="593" t="n"/>
      <c r="L103" s="593" t="n"/>
    </row>
    <row r="104" customFormat="1" s="594">
      <c r="A104" s="967" t="n"/>
      <c r="B104" s="782" t="n"/>
      <c r="C104" s="1936" t="n"/>
      <c r="D104" s="1936" t="n"/>
      <c r="E104" s="856" t="n"/>
      <c r="F104" s="593" t="n"/>
      <c r="G104" s="593" t="n"/>
      <c r="H104" s="782" t="n"/>
      <c r="I104" s="1936" t="n"/>
      <c r="J104" s="1936" t="n"/>
      <c r="K104" s="593" t="n"/>
      <c r="L104" s="593" t="n"/>
    </row>
    <row r="105" customFormat="1" s="1916">
      <c r="A105" s="968" t="n"/>
      <c r="B105" s="782" t="n"/>
      <c r="C105" s="1936" t="n"/>
      <c r="D105" s="1936" t="n"/>
      <c r="E105" s="856" t="n"/>
      <c r="F105" s="593" t="n"/>
      <c r="G105" s="593" t="n"/>
      <c r="H105" s="782" t="n"/>
      <c r="I105" s="2145" t="n"/>
      <c r="J105" s="2145" t="n"/>
      <c r="K105" s="53" t="n"/>
      <c r="L105" s="53" t="n"/>
    </row>
    <row r="106" customFormat="1" s="1916">
      <c r="A106" s="53" t="n"/>
      <c r="B106" s="93" t="n"/>
      <c r="C106" s="2145" t="n"/>
      <c r="D106" s="2145" t="n"/>
      <c r="E106" s="53" t="n"/>
      <c r="F106" s="53" t="n"/>
      <c r="G106" s="53" t="n"/>
      <c r="H106" s="93" t="n"/>
      <c r="I106" s="2145" t="n"/>
      <c r="J106" s="2145" t="n"/>
      <c r="K106" s="53" t="n"/>
      <c r="L106" s="53" t="n"/>
    </row>
    <row r="107" customFormat="1" s="1916">
      <c r="A107" s="53" t="n"/>
      <c r="B107" s="93" t="n"/>
      <c r="C107" s="2145" t="n"/>
      <c r="D107" s="2145" t="n"/>
      <c r="E107" s="53" t="n"/>
      <c r="F107" s="53" t="n"/>
      <c r="G107" s="53" t="n"/>
      <c r="H107" s="93" t="n"/>
      <c r="I107" s="2145" t="n"/>
      <c r="J107" s="2145" t="n"/>
      <c r="K107" s="53" t="n"/>
      <c r="L107" s="53" t="n"/>
    </row>
    <row r="108" customFormat="1" s="1916">
      <c r="A108" s="53" t="n"/>
      <c r="B108" s="93" t="n"/>
      <c r="C108" s="2145" t="n"/>
      <c r="D108" s="2145" t="n"/>
      <c r="E108" s="53" t="n"/>
      <c r="F108" s="53" t="n"/>
      <c r="G108" s="53" t="n"/>
      <c r="H108" s="93" t="n"/>
      <c r="I108" s="2145" t="n"/>
      <c r="J108" s="2145" t="n"/>
      <c r="K108" s="53" t="n"/>
      <c r="L108" s="53" t="n"/>
    </row>
    <row r="109" customFormat="1" s="1916">
      <c r="A109" s="53" t="n"/>
      <c r="B109" s="93" t="n"/>
      <c r="C109" s="2145" t="n"/>
      <c r="D109" s="2145" t="n"/>
      <c r="E109" s="53" t="n"/>
      <c r="F109" s="53" t="n"/>
      <c r="G109" s="53" t="n"/>
      <c r="H109" s="93" t="n"/>
      <c r="I109" s="2147" t="n"/>
      <c r="J109" s="2147" t="n"/>
      <c r="K109" s="53" t="n"/>
      <c r="L109" s="53" t="n"/>
    </row>
    <row r="110" customFormat="1" s="1916">
      <c r="A110" s="103" t="n"/>
      <c r="B110" s="103" t="n"/>
      <c r="C110" s="2147" t="n"/>
      <c r="D110" s="2147" t="n"/>
      <c r="E110" s="53" t="n"/>
      <c r="F110" s="53" t="n"/>
      <c r="G110" s="103" t="n"/>
      <c r="H110" s="103" t="n"/>
      <c r="I110" s="53" t="n"/>
      <c r="K110" s="106" t="n"/>
      <c r="L110" s="106" t="n"/>
    </row>
    <row r="111" customFormat="1" s="1916">
      <c r="A111" s="53" t="n"/>
      <c r="B111" s="53" t="n"/>
      <c r="C111" s="2145" t="n"/>
      <c r="D111" s="2145" t="n"/>
      <c r="E111" s="53" t="n"/>
      <c r="F111" s="53" t="n"/>
      <c r="G111" s="53" t="n"/>
      <c r="H111" s="53" t="n"/>
    </row>
    <row r="112" customFormat="1" s="1916">
      <c r="A112" s="53" t="n"/>
      <c r="B112" s="53" t="n"/>
      <c r="C112" s="2145" t="n"/>
      <c r="D112" s="2145" t="n"/>
      <c r="E112" s="53" t="n"/>
      <c r="F112" s="53" t="n"/>
    </row>
    <row r="113" customFormat="1" s="1916">
      <c r="A113" s="53" t="n"/>
      <c r="B113" s="53" t="n"/>
      <c r="C113" s="2145" t="n"/>
      <c r="D113" s="2147" t="n"/>
      <c r="E113" s="53" t="n"/>
      <c r="F113" s="53" t="n"/>
    </row>
    <row r="114" customFormat="1" s="1916">
      <c r="A114" s="53" t="n"/>
      <c r="B114" s="53" t="n"/>
      <c r="C114" s="2145" t="n"/>
      <c r="D114" s="2145" t="n"/>
      <c r="E114" s="53" t="n"/>
      <c r="F114" s="53" t="n"/>
    </row>
    <row r="115" customFormat="1" s="1916">
      <c r="A115" s="53" t="n"/>
      <c r="B115" s="53" t="n"/>
      <c r="C115" s="2145" t="n"/>
      <c r="D115" s="2145" t="n"/>
      <c r="E115" s="53" t="n"/>
      <c r="F115" s="53" t="n"/>
    </row>
    <row r="116" customFormat="1" s="1916">
      <c r="A116" s="53" t="n"/>
      <c r="B116" s="112" t="n"/>
      <c r="C116" s="2145" t="n"/>
      <c r="D116" s="2145" t="n"/>
      <c r="E116" s="53" t="n"/>
      <c r="F116" s="53" t="n"/>
    </row>
    <row r="117" customFormat="1" s="1916">
      <c r="A117" s="53" t="n"/>
      <c r="B117" s="112" t="n"/>
      <c r="C117" s="2145" t="n"/>
      <c r="D117" s="2145" t="n"/>
      <c r="E117" s="53" t="n"/>
      <c r="F117" s="53" t="n"/>
    </row>
    <row r="118" customFormat="1" s="1916">
      <c r="A118" s="53" t="n"/>
      <c r="B118" s="113" t="n"/>
      <c r="C118" s="2145" t="n"/>
      <c r="D118" s="2145" t="n"/>
      <c r="E118" s="53" t="n"/>
      <c r="F118" s="53" t="n"/>
    </row>
    <row r="119" customFormat="1" s="1916">
      <c r="A119" s="53" t="n"/>
      <c r="B119" s="113" t="n"/>
      <c r="C119" s="2145" t="n"/>
      <c r="D119" s="2145" t="n"/>
      <c r="E119" s="53" t="n"/>
      <c r="F119" s="53" t="n"/>
    </row>
    <row r="120" customFormat="1" s="1916">
      <c r="A120" s="53" t="n"/>
      <c r="B120" s="113" t="n"/>
      <c r="C120" s="2145" t="n"/>
      <c r="D120" s="2145" t="n"/>
      <c r="E120" s="53" t="n"/>
      <c r="F120" s="53" t="n"/>
    </row>
    <row r="121" customFormat="1" s="1916">
      <c r="A121" s="53" t="n"/>
      <c r="B121" s="2189" t="n"/>
      <c r="C121" s="2145" t="n"/>
      <c r="D121" s="2145" t="n"/>
      <c r="E121" s="53" t="n"/>
      <c r="F121" s="53" t="n"/>
    </row>
    <row r="122" customFormat="1" s="1916">
      <c r="A122" s="53" t="n"/>
      <c r="B122" s="112" t="n"/>
      <c r="C122" s="2145" t="n"/>
      <c r="D122" s="2145" t="n"/>
      <c r="E122" s="53" t="n"/>
      <c r="F122" s="53" t="n"/>
    </row>
    <row r="123" customFormat="1" s="1916">
      <c r="A123" s="53" t="n"/>
      <c r="B123" s="112" t="n"/>
      <c r="C123" s="2145" t="n"/>
      <c r="D123" s="2149" t="n"/>
      <c r="E123" s="53" t="n"/>
      <c r="F123" s="53" t="n"/>
      <c r="I123" s="2154" t="n"/>
    </row>
    <row r="124" customFormat="1" s="1916">
      <c r="A124" s="53" t="n"/>
      <c r="B124" s="113" t="n"/>
      <c r="C124" s="2145" t="n"/>
      <c r="D124" s="2145" t="n"/>
      <c r="E124" s="53" t="n"/>
      <c r="F124" s="53" t="n"/>
      <c r="G124" s="53" t="n"/>
    </row>
    <row r="125" customFormat="1" s="1916">
      <c r="A125" s="53" t="n"/>
      <c r="B125" s="53" t="n"/>
      <c r="C125" s="2156" t="n"/>
      <c r="D125" s="2145" t="n"/>
      <c r="E125" s="2145" t="n"/>
      <c r="F125" s="2145" t="n"/>
    </row>
    <row r="126" customFormat="1" s="1916">
      <c r="A126" s="53" t="n"/>
      <c r="B126" s="53" t="n"/>
      <c r="C126" s="2145" t="n"/>
      <c r="D126" s="2145" t="n"/>
      <c r="F126" s="108" t="n"/>
    </row>
    <row r="127" customFormat="1" s="1916">
      <c r="D127" s="2145" t="n"/>
    </row>
    <row r="128" customFormat="1" s="1916"/>
    <row r="129" customFormat="1" s="1916">
      <c r="I129" s="53" t="n"/>
      <c r="J129" s="2149" t="n"/>
      <c r="K129" s="2149" t="n"/>
      <c r="L129" s="2149" t="n"/>
      <c r="M129" s="53" t="n"/>
      <c r="N129" s="53" t="n"/>
    </row>
    <row r="130" customFormat="1" s="1916">
      <c r="A130" s="53" t="n"/>
      <c r="B130" s="53" t="n"/>
      <c r="C130" s="53" t="n"/>
      <c r="D130" s="53" t="n"/>
      <c r="G130" s="53" t="n"/>
      <c r="H130" s="53" t="n"/>
      <c r="I130" s="2149" t="n"/>
      <c r="J130" s="2149" t="n"/>
      <c r="K130" s="2149" t="n"/>
      <c r="L130" s="2149" t="n"/>
      <c r="M130" s="53" t="n"/>
      <c r="N130" s="53" t="n"/>
      <c r="O130" s="53" t="n"/>
    </row>
    <row r="131" customFormat="1" s="1916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2190" t="n"/>
      <c r="J131" s="2149" t="n"/>
      <c r="K131" s="2149" t="n"/>
      <c r="L131" s="2149" t="n"/>
      <c r="M131" s="53" t="n"/>
      <c r="N131" s="2145" t="n"/>
      <c r="O131" s="2145" t="n"/>
    </row>
    <row r="132" customFormat="1" s="1916">
      <c r="A132" s="53" t="n"/>
      <c r="B132" s="2155" t="n"/>
      <c r="C132" s="2145" t="n"/>
      <c r="D132" s="2145" t="n"/>
      <c r="E132" s="2156" t="n"/>
      <c r="F132" s="53" t="n"/>
      <c r="G132" s="53" t="n"/>
      <c r="H132" s="2145" t="n"/>
      <c r="I132" s="2190" t="n"/>
      <c r="J132" s="2149" t="n"/>
      <c r="L132" s="2149" t="n"/>
      <c r="M132" s="53" t="n"/>
      <c r="N132" s="2156" t="n"/>
      <c r="O132" s="2145" t="n"/>
    </row>
    <row r="133" customFormat="1" s="1916">
      <c r="A133" s="53" t="n"/>
      <c r="B133" s="53" t="n"/>
      <c r="C133" s="2145" t="n"/>
      <c r="D133" s="2145" t="n"/>
      <c r="E133" s="2190" t="n"/>
      <c r="G133" s="53" t="n"/>
      <c r="H133" s="2145" t="n"/>
      <c r="L133" s="53" t="n"/>
      <c r="M133" s="53" t="n"/>
      <c r="N133" s="2156" t="n"/>
      <c r="O133" s="2145" t="n"/>
    </row>
    <row r="134" customFormat="1" s="1916">
      <c r="A134" s="53" t="n"/>
      <c r="B134" s="53" t="n"/>
      <c r="C134" s="2145" t="n"/>
      <c r="D134" s="2145" t="n"/>
      <c r="E134" s="53" t="n"/>
      <c r="F134" s="53" t="n"/>
      <c r="L134" s="53" t="n"/>
      <c r="M134" s="2145" t="n"/>
      <c r="N134" s="53" t="n"/>
      <c r="O134" s="2145" t="n"/>
    </row>
    <row r="135" customFormat="1" s="1916">
      <c r="A135" s="53" t="n"/>
      <c r="B135" s="53" t="n"/>
      <c r="C135" s="2145" t="n"/>
      <c r="D135" s="2145" t="n"/>
      <c r="E135" s="53" t="n"/>
      <c r="F135" s="53" t="n"/>
      <c r="L135" s="53" t="n"/>
      <c r="M135" s="53" t="n"/>
      <c r="N135" s="53" t="n"/>
      <c r="O135" s="53" t="n"/>
    </row>
    <row r="136" customFormat="1" s="1916">
      <c r="A136" s="53" t="n"/>
      <c r="B136" s="53" t="n"/>
      <c r="C136" s="2145" t="n"/>
      <c r="D136" s="2145" t="n"/>
      <c r="E136" s="53" t="n"/>
      <c r="F136" s="53" t="n"/>
      <c r="L136" s="53" t="n"/>
      <c r="M136" s="53" t="n"/>
      <c r="N136" s="53" t="n"/>
      <c r="O136" s="53" t="n"/>
    </row>
    <row r="137" customFormat="1" s="1916">
      <c r="A137" s="53" t="n"/>
      <c r="B137" s="53" t="n"/>
      <c r="C137" s="2145" t="n"/>
      <c r="D137" s="2145" t="n"/>
      <c r="E137" s="53" t="n"/>
      <c r="F137" s="53" t="n"/>
      <c r="L137" s="53" t="n"/>
      <c r="M137" s="53" t="n"/>
      <c r="N137" s="53" t="n"/>
      <c r="O137" s="53" t="n"/>
      <c r="P137" s="53" t="n"/>
      <c r="Q137" s="53" t="n"/>
    </row>
    <row r="138" customFormat="1" s="1916">
      <c r="A138" s="53" t="n"/>
      <c r="B138" s="53" t="n"/>
      <c r="C138" s="2145" t="n"/>
      <c r="D138" s="2145" t="n"/>
      <c r="E138" s="53" t="n"/>
      <c r="F138" s="53" t="n"/>
      <c r="L138" s="53" t="n"/>
      <c r="M138" s="53" t="n"/>
      <c r="N138" s="53" t="n"/>
      <c r="O138" s="53" t="n"/>
      <c r="P138" s="2145" t="n"/>
      <c r="Q138" s="2145" t="n"/>
    </row>
    <row r="139" customFormat="1" s="1916">
      <c r="A139" s="53" t="n"/>
      <c r="B139" s="53" t="n"/>
      <c r="C139" s="2145" t="n"/>
      <c r="D139" s="2145" t="n"/>
      <c r="E139" s="53" t="n"/>
      <c r="F139" s="53" t="n"/>
      <c r="L139" s="53" t="n"/>
      <c r="M139" s="53" t="n"/>
      <c r="N139" s="53" t="n"/>
      <c r="O139" s="53" t="n"/>
      <c r="P139" s="2145" t="n"/>
      <c r="Q139" s="2145" t="n"/>
    </row>
    <row r="140" customFormat="1" s="1916">
      <c r="A140" s="53" t="n"/>
      <c r="B140" s="53" t="n"/>
      <c r="C140" s="2145" t="n"/>
      <c r="D140" s="2145" t="n"/>
      <c r="E140" s="53" t="n"/>
      <c r="F140" s="53" t="n"/>
      <c r="L140" s="53" t="n"/>
      <c r="M140" s="53" t="n"/>
      <c r="N140" s="53" t="n"/>
      <c r="O140" s="53" t="n"/>
      <c r="P140" s="2145" t="n"/>
      <c r="Q140" s="2145" t="n"/>
    </row>
    <row r="141" customFormat="1" s="1916">
      <c r="A141" s="53" t="n"/>
      <c r="B141" s="53" t="n"/>
      <c r="C141" s="2145" t="n"/>
      <c r="D141" s="2145" t="n"/>
      <c r="E141" s="53" t="n"/>
      <c r="F141" s="53" t="n"/>
      <c r="O141" s="53" t="n"/>
      <c r="P141" s="2145" t="n"/>
      <c r="Q141" s="2145" t="n"/>
    </row>
    <row r="142" customFormat="1" s="1916">
      <c r="A142" s="103" t="n"/>
      <c r="B142" s="103" t="n"/>
      <c r="C142" s="2147" t="n"/>
      <c r="D142" s="2147" t="n"/>
      <c r="E142" s="53" t="n"/>
      <c r="F142" s="53" t="n"/>
      <c r="I142" s="53" t="n"/>
      <c r="J142" s="53" t="n"/>
      <c r="K142" s="53" t="n"/>
      <c r="L142" s="53" t="n"/>
      <c r="P142" s="53" t="n"/>
      <c r="Q142" s="53" t="n"/>
    </row>
    <row r="143" customFormat="1" s="1916">
      <c r="A143" s="103" t="n"/>
      <c r="B143" s="103" t="n"/>
      <c r="C143" s="2147" t="n"/>
      <c r="D143" s="2147" t="n"/>
      <c r="E143" s="53" t="n"/>
      <c r="F143" s="53" t="n"/>
      <c r="G143" s="53" t="n"/>
      <c r="H143" s="53" t="n"/>
      <c r="I143" s="53" t="n"/>
      <c r="J143" s="106" t="n"/>
      <c r="K143" s="106" t="n"/>
      <c r="L143" s="106" t="n"/>
      <c r="P143" s="53" t="n"/>
      <c r="Q143" s="53" t="n"/>
    </row>
    <row r="144" customFormat="1" s="1916">
      <c r="A144" s="103" t="n"/>
      <c r="B144" s="105" t="n"/>
      <c r="C144" s="2147" t="n"/>
      <c r="D144" s="2147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P144" s="53" t="n"/>
      <c r="Q144" s="53" t="n"/>
    </row>
    <row r="145" customFormat="1" s="1916">
      <c r="A145" s="53" t="n"/>
      <c r="B145" s="53" t="n"/>
      <c r="C145" s="2145" t="n"/>
      <c r="D145" s="2145" t="n"/>
      <c r="E145" s="53" t="n"/>
      <c r="F145" s="53" t="n"/>
      <c r="G145" s="2191" t="n"/>
      <c r="H145" s="53" t="n"/>
      <c r="I145" s="53" t="n"/>
      <c r="J145" s="106" t="n"/>
      <c r="K145" s="106" t="n"/>
      <c r="L145" s="106" t="n"/>
      <c r="P145" s="53" t="n"/>
      <c r="Q145" s="53" t="n"/>
    </row>
    <row r="146" customFormat="1" s="1916">
      <c r="A146" s="3" t="n"/>
      <c r="B146" s="2156" t="n"/>
      <c r="C146" s="3" t="n"/>
      <c r="D146" s="2156" t="n"/>
      <c r="G146" s="53" t="n"/>
      <c r="H146" s="108" t="n"/>
      <c r="I146" s="53" t="n"/>
      <c r="J146" s="2145" t="n"/>
      <c r="K146" s="53" t="n"/>
      <c r="L146" s="53" t="n"/>
      <c r="P146" s="53" t="n"/>
      <c r="Q146" s="53" t="n"/>
    </row>
    <row r="147" customFormat="1" s="1916">
      <c r="A147" s="53" t="n"/>
      <c r="B147" s="53" t="n"/>
      <c r="C147" s="53" t="n"/>
      <c r="D147" s="53" t="n"/>
      <c r="E147" s="106" t="n"/>
      <c r="G147" s="53" t="n"/>
      <c r="H147" s="53" t="n"/>
      <c r="I147" s="2145" t="n"/>
      <c r="J147" s="2145" t="n"/>
      <c r="K147" s="53" t="n"/>
      <c r="L147" s="53" t="n"/>
      <c r="P147" s="53" t="n"/>
      <c r="Q147" s="53" t="n"/>
    </row>
    <row r="148" customFormat="1" s="1916">
      <c r="A148" s="53" t="n"/>
      <c r="B148" s="53" t="n"/>
      <c r="C148" s="2192" t="n"/>
      <c r="D148" s="106" t="n"/>
      <c r="E148" s="106" t="n"/>
      <c r="G148" s="53" t="n"/>
      <c r="H148" s="93" t="n"/>
      <c r="I148" s="2145" t="n"/>
      <c r="J148" s="2145" t="n"/>
      <c r="K148" s="53" t="n"/>
      <c r="L148" s="53" t="n"/>
      <c r="P148" s="53" t="n"/>
      <c r="Q148" s="53" t="n"/>
    </row>
    <row r="149" customFormat="1" s="1916">
      <c r="A149" s="53" t="n"/>
      <c r="B149" s="53" t="n"/>
      <c r="C149" s="53" t="n"/>
      <c r="D149" s="53" t="n"/>
      <c r="E149" s="53" t="n"/>
      <c r="G149" s="53" t="n"/>
      <c r="H149" s="93" t="n"/>
      <c r="I149" s="2145" t="n"/>
      <c r="J149" s="2145" t="n"/>
      <c r="K149" s="53" t="n"/>
      <c r="L149" s="53" t="n"/>
    </row>
    <row r="150" customFormat="1" s="1916">
      <c r="A150" s="53" t="n"/>
      <c r="B150" s="53" t="n"/>
      <c r="C150" s="2192" t="n"/>
      <c r="D150" s="106" t="n"/>
      <c r="E150" s="106" t="n"/>
      <c r="G150" s="53" t="n"/>
      <c r="H150" s="93" t="n"/>
      <c r="I150" s="2145" t="n"/>
      <c r="J150" s="2145" t="n"/>
      <c r="K150" s="53" t="n"/>
      <c r="L150" s="53" t="n"/>
    </row>
    <row r="151" customFormat="1" s="1916">
      <c r="A151" s="111" t="n"/>
      <c r="B151" s="53" t="n"/>
      <c r="C151" s="53" t="n"/>
      <c r="D151" s="53" t="n"/>
      <c r="E151" s="53" t="n"/>
      <c r="G151" s="53" t="n"/>
      <c r="H151" s="93" t="n"/>
      <c r="I151" s="2145" t="n"/>
      <c r="J151" s="2145" t="n"/>
      <c r="K151" s="53" t="n"/>
      <c r="L151" s="53" t="n"/>
    </row>
    <row r="152" customFormat="1" s="1916">
      <c r="A152" s="53" t="n"/>
      <c r="B152" s="53" t="n"/>
      <c r="C152" s="2192" t="n"/>
      <c r="D152" s="106" t="n"/>
      <c r="E152" s="106" t="n"/>
      <c r="G152" s="53" t="n"/>
      <c r="H152" s="93" t="n"/>
      <c r="I152" s="2147" t="n"/>
      <c r="J152" s="2147" t="n"/>
    </row>
    <row r="153" customFormat="1" s="1916">
      <c r="A153" s="53" t="n"/>
      <c r="B153" s="53" t="n"/>
      <c r="C153" s="53" t="n"/>
      <c r="D153" s="2157" t="n"/>
      <c r="E153" s="2157" t="n"/>
      <c r="F153" s="53" t="n"/>
      <c r="G153" s="103" t="n"/>
      <c r="H153" s="103" t="n"/>
    </row>
    <row r="154" customFormat="1" s="1916">
      <c r="A154" s="53" t="n"/>
      <c r="B154" s="53" t="n"/>
      <c r="C154" s="2145" t="n"/>
      <c r="D154" s="2145" t="n"/>
      <c r="E154" s="2145" t="n"/>
      <c r="F154" s="53" t="n"/>
      <c r="G154" s="53" t="n"/>
      <c r="H154" s="53" t="n"/>
      <c r="K154" s="53" t="n"/>
      <c r="L154" s="53" t="n"/>
    </row>
    <row r="155" customFormat="1" s="1916">
      <c r="A155" s="53" t="n"/>
      <c r="B155" s="53" t="n"/>
      <c r="C155" s="53" t="n"/>
      <c r="D155" s="2145" t="n"/>
      <c r="E155" s="53" t="n"/>
      <c r="F155" s="53" t="n"/>
      <c r="G155" s="53" t="n"/>
      <c r="H155" s="53" t="n"/>
      <c r="I155" s="53" t="n"/>
      <c r="J155" s="2145" t="n"/>
      <c r="K155" s="53" t="n"/>
      <c r="L155" s="53" t="n"/>
    </row>
    <row r="156" customFormat="1" s="1916">
      <c r="A156" s="53" t="n"/>
      <c r="B156" s="93" t="n"/>
      <c r="C156" s="2145" t="n"/>
      <c r="D156" s="2145" t="n"/>
      <c r="E156" s="53" t="n"/>
      <c r="F156" s="53" t="n"/>
      <c r="G156" s="2156" t="n"/>
      <c r="H156" s="93" t="n"/>
      <c r="I156" s="2145" t="n"/>
      <c r="J156" s="2145" t="n"/>
      <c r="K156" s="53" t="n"/>
      <c r="L156" s="53" t="n"/>
    </row>
    <row r="157" customFormat="1" s="1916">
      <c r="A157" s="111" t="n"/>
      <c r="B157" s="93" t="n"/>
      <c r="C157" s="2145" t="n"/>
      <c r="D157" s="2145" t="n"/>
      <c r="E157" s="53" t="n"/>
      <c r="F157" s="53" t="n"/>
      <c r="G157" s="53" t="n"/>
      <c r="H157" s="93" t="n"/>
      <c r="I157" s="2145" t="n"/>
      <c r="J157" s="2145" t="n"/>
      <c r="K157" s="53" t="n"/>
      <c r="L157" s="53" t="n"/>
    </row>
    <row r="158" customFormat="1" s="1916">
      <c r="A158" s="53" t="n"/>
      <c r="B158" s="93" t="n"/>
      <c r="C158" s="2145" t="n"/>
      <c r="D158" s="2145" t="n"/>
      <c r="E158" s="53" t="n"/>
      <c r="F158" s="53" t="n"/>
      <c r="G158" s="53" t="n"/>
      <c r="H158" s="93" t="n"/>
      <c r="I158" s="2145" t="n"/>
      <c r="J158" s="2145" t="n"/>
      <c r="K158" s="53" t="n"/>
      <c r="L158" s="53" t="n"/>
    </row>
    <row r="159" customFormat="1" s="1916">
      <c r="A159" s="53" t="n"/>
      <c r="B159" s="93" t="n"/>
      <c r="C159" s="2145" t="n"/>
      <c r="D159" s="2145" t="n"/>
      <c r="E159" s="111" t="n"/>
      <c r="F159" s="53" t="n"/>
      <c r="G159" s="53" t="n"/>
      <c r="H159" s="93" t="n"/>
      <c r="I159" s="2145" t="n"/>
      <c r="J159" s="2145" t="n"/>
      <c r="K159" s="53" t="n"/>
      <c r="L159" s="53" t="n"/>
    </row>
    <row r="160" customFormat="1" s="1916">
      <c r="A160" s="53" t="n"/>
      <c r="B160" s="93" t="n"/>
      <c r="C160" s="2145" t="n"/>
      <c r="D160" s="2145" t="n"/>
      <c r="E160" s="111" t="n"/>
      <c r="F160" s="53" t="n"/>
      <c r="G160" s="53" t="n"/>
      <c r="H160" s="93" t="n"/>
      <c r="I160" s="2145" t="n"/>
      <c r="J160" s="2145" t="n"/>
      <c r="K160" s="53" t="n"/>
      <c r="L160" s="53" t="n"/>
    </row>
    <row r="161" customFormat="1" s="1916">
      <c r="A161" s="53" t="n"/>
      <c r="B161" s="93" t="n"/>
      <c r="C161" s="2145" t="n"/>
      <c r="D161" s="2145" t="n"/>
      <c r="E161" s="53" t="n"/>
      <c r="F161" s="53" t="n"/>
      <c r="G161" s="53" t="n"/>
      <c r="H161" s="93" t="n"/>
      <c r="I161" s="2145" t="n"/>
      <c r="J161" s="2145" t="n"/>
      <c r="K161" s="53" t="n"/>
      <c r="L161" s="53" t="n"/>
    </row>
    <row r="162" customFormat="1" s="1916">
      <c r="A162" s="53" t="n"/>
      <c r="B162" s="93" t="n"/>
      <c r="C162" s="2145" t="n"/>
      <c r="D162" s="2145" t="n"/>
      <c r="E162" s="53" t="n"/>
      <c r="F162" s="53" t="n"/>
      <c r="G162" s="53" t="n"/>
      <c r="H162" s="93" t="n"/>
      <c r="I162" s="2145" t="n"/>
      <c r="J162" s="2145" t="n"/>
      <c r="K162" s="53" t="n"/>
      <c r="L162" s="53" t="n"/>
    </row>
    <row r="163" customFormat="1" s="1916">
      <c r="A163" s="53" t="n"/>
      <c r="B163" s="93" t="n"/>
      <c r="C163" s="2145" t="n"/>
      <c r="D163" s="2145" t="n"/>
      <c r="E163" s="53" t="n"/>
      <c r="F163" s="53" t="n"/>
      <c r="G163" s="53" t="n"/>
      <c r="H163" s="93" t="n"/>
      <c r="I163" s="2145" t="n"/>
      <c r="J163" s="2145" t="n"/>
      <c r="K163" s="53" t="n"/>
      <c r="L163" s="53" t="n"/>
    </row>
    <row r="164" customFormat="1" s="1916">
      <c r="A164" s="53" t="n"/>
      <c r="B164" s="93" t="n"/>
      <c r="C164" s="2145" t="n"/>
      <c r="D164" s="2145" t="n"/>
      <c r="E164" s="53" t="n"/>
      <c r="F164" s="53" t="n"/>
      <c r="G164" s="53" t="n"/>
      <c r="H164" s="93" t="n"/>
      <c r="I164" s="2147" t="n"/>
      <c r="J164" s="2147" t="n"/>
      <c r="K164" s="53" t="n"/>
      <c r="L164" s="53" t="n"/>
    </row>
    <row r="165" customFormat="1" s="1916">
      <c r="A165" s="103" t="n"/>
      <c r="B165" s="103" t="n"/>
      <c r="C165" s="2147" t="n"/>
      <c r="D165" s="2147" t="n"/>
      <c r="E165" s="53" t="n"/>
      <c r="F165" s="53" t="n"/>
      <c r="G165" s="103" t="n"/>
      <c r="H165" s="103" t="n"/>
      <c r="I165" s="53" t="n"/>
      <c r="K165" s="106" t="n"/>
      <c r="L165" s="106" t="n"/>
    </row>
    <row r="166" customFormat="1" s="1916">
      <c r="A166" s="53" t="n"/>
      <c r="B166" s="53" t="n"/>
      <c r="C166" s="2145" t="n"/>
      <c r="D166" s="2145" t="n"/>
      <c r="E166" s="53" t="n"/>
      <c r="F166" s="53" t="n"/>
      <c r="G166" s="53" t="n"/>
      <c r="H166" s="53" t="n"/>
    </row>
    <row r="167" customFormat="1" s="1916">
      <c r="A167" s="53" t="n"/>
      <c r="B167" s="53" t="n"/>
      <c r="C167" s="2145" t="n"/>
      <c r="D167" s="2145" t="n"/>
      <c r="E167" s="53" t="n"/>
      <c r="F167" s="53" t="n"/>
    </row>
    <row r="168" customFormat="1" s="1916">
      <c r="A168" s="53" t="n"/>
      <c r="B168" s="53" t="n"/>
      <c r="C168" s="2145" t="n"/>
      <c r="D168" s="2147" t="n"/>
      <c r="E168" s="53" t="n"/>
      <c r="F168" s="53" t="n"/>
    </row>
    <row r="169" customFormat="1" s="1916">
      <c r="A169" s="53" t="n"/>
      <c r="B169" s="53" t="n"/>
      <c r="C169" s="2145" t="n"/>
      <c r="D169" s="2145" t="n"/>
      <c r="E169" s="53" t="n"/>
      <c r="F169" s="53" t="n"/>
    </row>
    <row r="170" customFormat="1" s="1916">
      <c r="A170" s="53" t="n"/>
      <c r="B170" s="53" t="n"/>
      <c r="C170" s="2145" t="n"/>
      <c r="D170" s="2145" t="n"/>
      <c r="E170" s="53" t="n"/>
      <c r="F170" s="53" t="n"/>
    </row>
    <row r="171" customFormat="1" s="1916">
      <c r="A171" s="53" t="n"/>
      <c r="B171" s="112" t="n"/>
      <c r="C171" s="2145" t="n"/>
      <c r="D171" s="2145" t="n"/>
      <c r="E171" s="53" t="n"/>
      <c r="F171" s="53" t="n"/>
    </row>
    <row r="172" customFormat="1" s="1916">
      <c r="A172" s="53" t="n"/>
      <c r="B172" s="112" t="n"/>
      <c r="C172" s="2145" t="n"/>
      <c r="D172" s="2145" t="n"/>
      <c r="E172" s="53" t="n"/>
      <c r="F172" s="53" t="n"/>
    </row>
    <row r="173" customFormat="1" s="1916">
      <c r="A173" s="53" t="n"/>
      <c r="B173" s="113" t="n"/>
      <c r="C173" s="2145" t="n"/>
      <c r="D173" s="2145" t="n"/>
      <c r="E173" s="53" t="n"/>
      <c r="F173" s="53" t="n"/>
    </row>
    <row r="174" customFormat="1" s="1916">
      <c r="A174" s="53" t="n"/>
      <c r="B174" s="113" t="n"/>
      <c r="C174" s="2145" t="n"/>
      <c r="D174" s="2145" t="n"/>
      <c r="E174" s="53" t="n"/>
      <c r="F174" s="53" t="n"/>
    </row>
    <row r="175" customFormat="1" s="1916">
      <c r="A175" s="53" t="n"/>
      <c r="B175" s="113" t="n"/>
      <c r="C175" s="2145" t="n"/>
      <c r="D175" s="2145" t="n"/>
      <c r="E175" s="53" t="n"/>
      <c r="F175" s="53" t="n"/>
    </row>
    <row r="176" customFormat="1" s="1916">
      <c r="A176" s="53" t="n"/>
      <c r="B176" s="113" t="n"/>
      <c r="C176" s="2145" t="n"/>
      <c r="D176" s="2145" t="n"/>
      <c r="E176" s="53" t="n"/>
      <c r="F176" s="53" t="n"/>
    </row>
    <row r="177" customFormat="1" s="1916">
      <c r="A177" s="53" t="n"/>
      <c r="B177" s="112" t="n"/>
      <c r="C177" s="2145" t="n"/>
      <c r="D177" s="2145" t="n"/>
      <c r="E177" s="53" t="n"/>
      <c r="F177" s="53" t="n"/>
    </row>
    <row r="178" customFormat="1" s="1916">
      <c r="A178" s="53" t="n"/>
      <c r="B178" s="112" t="n"/>
      <c r="C178" s="2145" t="n"/>
      <c r="D178" s="2145" t="n"/>
      <c r="E178" s="53" t="n"/>
      <c r="F178" s="53" t="n"/>
    </row>
    <row r="179" customFormat="1" s="1916">
      <c r="A179" s="53" t="n"/>
      <c r="B179" s="112" t="n"/>
      <c r="C179" s="2145" t="n"/>
      <c r="D179" s="2149" t="n"/>
      <c r="E179" s="53" t="n"/>
      <c r="F179" s="53" t="n"/>
      <c r="I179" s="2154" t="n"/>
    </row>
    <row r="180" customFormat="1" s="1916">
      <c r="A180" s="53" t="n"/>
      <c r="B180" s="113" t="n"/>
      <c r="C180" s="2145" t="n"/>
      <c r="D180" s="2145" t="n"/>
      <c r="E180" s="53" t="n"/>
      <c r="F180" s="53" t="n"/>
      <c r="G180" s="53" t="n"/>
    </row>
    <row r="181" customFormat="1" s="1916">
      <c r="A181" s="53" t="n"/>
      <c r="B181" s="53" t="n"/>
      <c r="C181" s="2145" t="n"/>
      <c r="D181" s="2145" t="n"/>
      <c r="E181" s="2145" t="n"/>
      <c r="F181" s="2145" t="n"/>
    </row>
    <row r="182" customFormat="1" s="1916">
      <c r="A182" s="53" t="n"/>
      <c r="B182" s="53" t="n"/>
      <c r="C182" s="2145" t="n"/>
      <c r="D182" s="2145" t="n"/>
      <c r="F182" s="108" t="n"/>
    </row>
    <row r="183" customFormat="1" s="1916">
      <c r="A183" s="103" t="n"/>
      <c r="B183" s="103" t="n"/>
      <c r="C183" s="2147" t="n"/>
      <c r="D183" s="2145" t="n"/>
      <c r="F183" s="53" t="n"/>
    </row>
    <row r="184" customFormat="1" s="1916">
      <c r="A184" s="103" t="n"/>
      <c r="B184" s="103" t="n"/>
      <c r="C184" s="2147" t="n"/>
      <c r="D184" s="2147" t="n"/>
      <c r="E184" s="53" t="n"/>
      <c r="F184" s="53" t="n"/>
    </row>
    <row r="185" customFormat="1" s="1916">
      <c r="I185" s="53" t="n"/>
      <c r="J185" s="2149" t="n"/>
      <c r="K185" s="2149" t="n"/>
      <c r="L185" s="2149" t="n"/>
      <c r="M185" s="53" t="n"/>
      <c r="N185" s="53" t="n"/>
    </row>
    <row r="186" customFormat="1" s="1916">
      <c r="A186" s="53" t="n"/>
      <c r="B186" s="53" t="n"/>
      <c r="C186" s="53" t="n"/>
      <c r="D186" s="53" t="n"/>
      <c r="G186" s="53" t="n"/>
      <c r="H186" s="53" t="n"/>
      <c r="I186" s="2149" t="n"/>
      <c r="J186" s="2149" t="n"/>
      <c r="K186" s="2149" t="n"/>
      <c r="L186" s="2149" t="n"/>
      <c r="M186" s="53" t="n"/>
      <c r="N186" s="53" t="n"/>
      <c r="O186" s="53" t="n"/>
    </row>
    <row r="187" customFormat="1" s="1916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2190" t="n"/>
      <c r="J187" s="2149" t="n"/>
      <c r="K187" s="2149" t="n"/>
      <c r="L187" s="2149" t="n"/>
      <c r="M187" s="53" t="n"/>
      <c r="N187" s="2145" t="n"/>
      <c r="O187" s="2145" t="n"/>
    </row>
    <row r="188" customFormat="1" s="1916">
      <c r="A188" s="53" t="n"/>
      <c r="B188" s="2155" t="n"/>
      <c r="C188" s="2145" t="n"/>
      <c r="D188" s="2145" t="n"/>
      <c r="E188" s="2156" t="n"/>
      <c r="F188" s="53" t="n"/>
      <c r="G188" s="53" t="n"/>
      <c r="H188" s="2145" t="n"/>
      <c r="I188" s="2190" t="n"/>
      <c r="J188" s="2149" t="n"/>
      <c r="L188" s="2149" t="n"/>
      <c r="M188" s="53" t="n"/>
      <c r="N188" s="2156" t="n"/>
      <c r="O188" s="2145" t="n"/>
    </row>
    <row r="189" customFormat="1" s="1916">
      <c r="A189" s="53" t="n"/>
      <c r="B189" s="53" t="n"/>
      <c r="C189" s="2145" t="n"/>
      <c r="D189" s="2145" t="n"/>
      <c r="E189" s="2190" t="n"/>
      <c r="G189" s="53" t="n"/>
      <c r="H189" s="2145" t="n"/>
      <c r="L189" s="53" t="n"/>
      <c r="M189" s="53" t="n"/>
      <c r="N189" s="2156" t="n"/>
      <c r="O189" s="2145" t="n"/>
    </row>
    <row r="190" customFormat="1" s="1916">
      <c r="A190" s="53" t="n"/>
      <c r="B190" s="53" t="n"/>
      <c r="C190" s="2145" t="n"/>
      <c r="D190" s="2145" t="n"/>
      <c r="E190" s="53" t="n"/>
      <c r="F190" s="53" t="n"/>
      <c r="L190" s="53" t="n"/>
      <c r="M190" s="2145" t="n"/>
      <c r="N190" s="53" t="n"/>
      <c r="O190" s="2145" t="n"/>
    </row>
    <row r="191" customFormat="1" s="1916">
      <c r="A191" s="53" t="n"/>
      <c r="B191" s="53" t="n"/>
      <c r="C191" s="2145" t="n"/>
      <c r="D191" s="2145" t="n"/>
      <c r="E191" s="53" t="n"/>
      <c r="F191" s="53" t="n"/>
      <c r="L191" s="53" t="n"/>
      <c r="M191" s="53" t="n"/>
      <c r="N191" s="53" t="n"/>
      <c r="O191" s="53" t="n"/>
    </row>
    <row r="192" customFormat="1" s="1916">
      <c r="A192" s="53" t="n"/>
      <c r="B192" s="53" t="n"/>
      <c r="C192" s="2145" t="n"/>
      <c r="D192" s="2145" t="n"/>
      <c r="E192" s="53" t="n"/>
      <c r="F192" s="53" t="n"/>
      <c r="L192" s="53" t="n"/>
      <c r="M192" s="53" t="n"/>
      <c r="N192" s="53" t="n"/>
      <c r="O192" s="53" t="n"/>
    </row>
    <row r="193" customFormat="1" s="1916">
      <c r="A193" s="53" t="n"/>
      <c r="B193" s="53" t="n"/>
      <c r="C193" s="2145" t="n"/>
      <c r="D193" s="2145" t="n"/>
      <c r="E193" s="53" t="n"/>
      <c r="F193" s="53" t="n"/>
      <c r="L193" s="53" t="n"/>
      <c r="M193" s="53" t="n"/>
      <c r="N193" s="53" t="n"/>
      <c r="O193" s="53" t="n"/>
      <c r="P193" s="53" t="n"/>
      <c r="Q193" s="53" t="n"/>
    </row>
    <row r="194" customFormat="1" s="1916">
      <c r="A194" s="53" t="n"/>
      <c r="B194" s="53" t="n"/>
      <c r="C194" s="2145" t="n"/>
      <c r="D194" s="2145" t="n"/>
      <c r="E194" s="53" t="n"/>
      <c r="F194" s="53" t="n"/>
      <c r="L194" s="53" t="n"/>
      <c r="M194" s="53" t="n"/>
      <c r="N194" s="53" t="n"/>
      <c r="O194" s="53" t="n"/>
      <c r="P194" s="2145" t="n"/>
      <c r="Q194" s="2145" t="n"/>
    </row>
    <row r="195" customFormat="1" s="1916">
      <c r="A195" s="53" t="n"/>
      <c r="B195" s="53" t="n"/>
      <c r="C195" s="2145" t="n"/>
      <c r="D195" s="2145" t="n"/>
      <c r="E195" s="53" t="n"/>
      <c r="F195" s="53" t="n"/>
      <c r="L195" s="53" t="n"/>
      <c r="M195" s="53" t="n"/>
      <c r="N195" s="53" t="n"/>
      <c r="O195" s="53" t="n"/>
      <c r="P195" s="2145" t="n"/>
      <c r="Q195" s="2145" t="n"/>
    </row>
    <row r="196" customFormat="1" s="1916">
      <c r="A196" s="53" t="n"/>
      <c r="B196" s="53" t="n"/>
      <c r="C196" s="2145" t="n"/>
      <c r="D196" s="2145" t="n"/>
      <c r="E196" s="53" t="n"/>
      <c r="F196" s="53" t="n"/>
      <c r="L196" s="53" t="n"/>
      <c r="M196" s="53" t="n"/>
      <c r="N196" s="53" t="n"/>
      <c r="O196" s="53" t="n"/>
      <c r="P196" s="2145" t="n"/>
      <c r="Q196" s="2145" t="n"/>
    </row>
    <row r="197" customFormat="1" s="1916">
      <c r="A197" s="53" t="n"/>
      <c r="B197" s="53" t="n"/>
      <c r="C197" s="2145" t="n"/>
      <c r="D197" s="2145" t="n"/>
      <c r="E197" s="53" t="n"/>
      <c r="F197" s="53" t="n"/>
      <c r="O197" s="53" t="n"/>
      <c r="P197" s="2145" t="n"/>
      <c r="Q197" s="2145" t="n"/>
    </row>
    <row r="198" customFormat="1" s="1916">
      <c r="A198" s="103" t="n"/>
      <c r="B198" s="103" t="n"/>
      <c r="C198" s="2147" t="n"/>
      <c r="D198" s="2147" t="n"/>
      <c r="E198" s="53" t="n"/>
      <c r="F198" s="53" t="n"/>
      <c r="I198" s="53" t="n"/>
      <c r="J198" s="53" t="n"/>
      <c r="K198" s="53" t="n"/>
      <c r="L198" s="53" t="n"/>
      <c r="P198" s="53" t="n"/>
      <c r="Q198" s="53" t="n"/>
    </row>
    <row r="199" customFormat="1" s="1916">
      <c r="A199" s="103" t="n"/>
      <c r="B199" s="103" t="n"/>
      <c r="C199" s="2147" t="n"/>
      <c r="D199" s="2147" t="n"/>
      <c r="E199" s="53" t="n"/>
      <c r="F199" s="53" t="n"/>
      <c r="G199" s="53" t="n"/>
      <c r="H199" s="53" t="n"/>
      <c r="I199" s="53" t="n"/>
      <c r="J199" s="106" t="n"/>
      <c r="K199" s="106" t="n"/>
      <c r="L199" s="106" t="n"/>
      <c r="P199" s="53" t="n"/>
      <c r="Q199" s="53" t="n"/>
    </row>
    <row r="200" customFormat="1" s="1916">
      <c r="A200" s="103" t="n"/>
      <c r="B200" s="105" t="n"/>
      <c r="C200" s="2147" t="n"/>
      <c r="D200" s="2147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P200" s="53" t="n"/>
      <c r="Q200" s="53" t="n"/>
    </row>
    <row r="201" customFormat="1" s="1916">
      <c r="A201" s="53" t="n"/>
      <c r="B201" s="53" t="n"/>
      <c r="C201" s="2145" t="n"/>
      <c r="D201" s="2145" t="n"/>
      <c r="E201" s="53" t="n"/>
      <c r="F201" s="53" t="n"/>
      <c r="G201" s="2191" t="n"/>
      <c r="H201" s="53" t="n"/>
      <c r="I201" s="53" t="n"/>
      <c r="J201" s="106" t="n"/>
      <c r="K201" s="106" t="n"/>
      <c r="L201" s="106" t="n"/>
      <c r="P201" s="53" t="n"/>
      <c r="Q201" s="53" t="n"/>
    </row>
    <row r="202" customFormat="1" s="1916">
      <c r="A202" s="3" t="n"/>
      <c r="B202" s="2156" t="n"/>
      <c r="C202" s="3" t="n"/>
      <c r="D202" s="2156" t="n"/>
      <c r="G202" s="53" t="n"/>
      <c r="H202" s="108" t="n"/>
      <c r="I202" s="53" t="n"/>
      <c r="J202" s="2145" t="n"/>
      <c r="K202" s="53" t="n"/>
      <c r="L202" s="53" t="n"/>
      <c r="P202" s="53" t="n"/>
      <c r="Q202" s="53" t="n"/>
    </row>
    <row r="203" customFormat="1" s="1916">
      <c r="A203" s="53" t="n"/>
      <c r="B203" s="53" t="n"/>
      <c r="C203" s="53" t="n"/>
      <c r="D203" s="53" t="n"/>
      <c r="E203" s="106" t="n"/>
      <c r="G203" s="53" t="n"/>
      <c r="H203" s="53" t="n"/>
      <c r="I203" s="2145" t="n"/>
      <c r="J203" s="2145" t="n"/>
      <c r="K203" s="53" t="n"/>
      <c r="L203" s="53" t="n"/>
      <c r="P203" s="53" t="n"/>
      <c r="Q203" s="53" t="n"/>
    </row>
    <row r="204" customFormat="1" s="1916">
      <c r="A204" s="53" t="n"/>
      <c r="B204" s="53" t="n"/>
      <c r="C204" s="2192" t="n"/>
      <c r="D204" s="106" t="n"/>
      <c r="E204" s="106" t="n"/>
      <c r="G204" s="53" t="n"/>
      <c r="H204" s="93" t="n"/>
      <c r="I204" s="2145" t="n"/>
      <c r="J204" s="2145" t="n"/>
      <c r="K204" s="53" t="n"/>
      <c r="L204" s="53" t="n"/>
      <c r="P204" s="53" t="n"/>
      <c r="Q204" s="53" t="n"/>
    </row>
    <row r="205" customFormat="1" s="1916">
      <c r="A205" s="53" t="n"/>
      <c r="B205" s="53" t="n"/>
      <c r="C205" s="53" t="n"/>
      <c r="D205" s="53" t="n"/>
      <c r="E205" s="53" t="n"/>
      <c r="G205" s="53" t="n"/>
      <c r="H205" s="93" t="n"/>
      <c r="I205" s="2145" t="n"/>
      <c r="J205" s="2145" t="n"/>
      <c r="K205" s="53" t="n"/>
      <c r="L205" s="53" t="n"/>
    </row>
    <row r="206" customFormat="1" s="1916">
      <c r="A206" s="53" t="n"/>
      <c r="B206" s="53" t="n"/>
      <c r="C206" s="2192" t="n"/>
      <c r="D206" s="106" t="n"/>
      <c r="E206" s="106" t="n"/>
      <c r="G206" s="53" t="n"/>
      <c r="H206" s="93" t="n"/>
      <c r="I206" s="2145" t="n"/>
      <c r="J206" s="2145" t="n"/>
      <c r="K206" s="53" t="n"/>
      <c r="L206" s="53" t="n"/>
    </row>
    <row r="207" customFormat="1" s="1916">
      <c r="A207" s="111" t="n"/>
      <c r="B207" s="53" t="n"/>
      <c r="C207" s="53" t="n"/>
      <c r="D207" s="53" t="n"/>
      <c r="E207" s="53" t="n"/>
      <c r="G207" s="53" t="n"/>
      <c r="H207" s="93" t="n"/>
      <c r="I207" s="2145" t="n"/>
      <c r="J207" s="2145" t="n"/>
      <c r="K207" s="53" t="n"/>
      <c r="L207" s="53" t="n"/>
    </row>
    <row r="208" customFormat="1" s="1916">
      <c r="A208" s="53" t="n"/>
      <c r="B208" s="53" t="n"/>
      <c r="C208" s="2192" t="n"/>
      <c r="D208" s="106" t="n"/>
      <c r="E208" s="106" t="n"/>
      <c r="G208" s="53" t="n"/>
      <c r="H208" s="93" t="n"/>
      <c r="I208" s="2147" t="n"/>
      <c r="J208" s="2147" t="n"/>
    </row>
    <row r="209" customFormat="1" s="1916">
      <c r="A209" s="53" t="n"/>
      <c r="B209" s="53" t="n"/>
      <c r="C209" s="53" t="n"/>
      <c r="D209" s="2157" t="n"/>
      <c r="E209" s="2157" t="n"/>
      <c r="F209" s="53" t="n"/>
      <c r="G209" s="103" t="n"/>
      <c r="H209" s="103" t="n"/>
    </row>
    <row r="210" customFormat="1" s="1916">
      <c r="A210" s="53" t="n"/>
      <c r="B210" s="53" t="n"/>
      <c r="C210" s="2145" t="n"/>
      <c r="D210" s="2145" t="n"/>
      <c r="E210" s="2145" t="n"/>
      <c r="F210" s="53" t="n"/>
      <c r="G210" s="53" t="n"/>
      <c r="H210" s="53" t="n"/>
      <c r="K210" s="53" t="n"/>
      <c r="L210" s="53" t="n"/>
    </row>
    <row r="211" customFormat="1" s="1916">
      <c r="A211" s="53" t="n"/>
      <c r="B211" s="53" t="n"/>
      <c r="C211" s="53" t="n"/>
      <c r="D211" s="2145" t="n"/>
      <c r="E211" s="53" t="n"/>
      <c r="F211" s="53" t="n"/>
      <c r="G211" s="53" t="n"/>
      <c r="H211" s="53" t="n"/>
      <c r="I211" s="53" t="n"/>
      <c r="J211" s="2145" t="n"/>
      <c r="K211" s="53" t="n"/>
      <c r="L211" s="53" t="n"/>
    </row>
    <row r="212" customFormat="1" s="1916">
      <c r="A212" s="53" t="n"/>
      <c r="B212" s="93" t="n"/>
      <c r="C212" s="2145" t="n"/>
      <c r="D212" s="2145" t="n"/>
      <c r="E212" s="53" t="n"/>
      <c r="F212" s="53" t="n"/>
      <c r="G212" s="2156" t="n"/>
      <c r="H212" s="93" t="n"/>
      <c r="I212" s="2145" t="n"/>
      <c r="J212" s="2145" t="n"/>
      <c r="K212" s="53" t="n"/>
      <c r="L212" s="53" t="n"/>
    </row>
    <row r="213" customFormat="1" s="1916">
      <c r="A213" s="111" t="n"/>
      <c r="B213" s="93" t="n"/>
      <c r="C213" s="2145" t="n"/>
      <c r="D213" s="2145" t="n"/>
      <c r="E213" s="53" t="n"/>
      <c r="F213" s="53" t="n"/>
      <c r="G213" s="53" t="n"/>
      <c r="H213" s="93" t="n"/>
      <c r="I213" s="2145" t="n"/>
      <c r="J213" s="2145" t="n"/>
      <c r="K213" s="53" t="n"/>
      <c r="L213" s="53" t="n"/>
    </row>
    <row r="214" customFormat="1" s="1916">
      <c r="A214" s="53" t="n"/>
      <c r="B214" s="93" t="n"/>
      <c r="C214" s="2145" t="n"/>
      <c r="D214" s="2145" t="n"/>
      <c r="E214" s="53" t="n"/>
      <c r="F214" s="53" t="n"/>
      <c r="G214" s="53" t="n"/>
      <c r="H214" s="93" t="n"/>
      <c r="I214" s="2145" t="n"/>
      <c r="J214" s="2145" t="n"/>
      <c r="K214" s="53" t="n"/>
      <c r="L214" s="53" t="n"/>
    </row>
    <row r="215" customFormat="1" s="1916">
      <c r="A215" s="53" t="n"/>
      <c r="B215" s="93" t="n"/>
      <c r="C215" s="2145" t="n"/>
      <c r="D215" s="2145" t="n"/>
      <c r="E215" s="111" t="n"/>
      <c r="F215" s="53" t="n"/>
      <c r="G215" s="53" t="n"/>
      <c r="H215" s="93" t="n"/>
      <c r="I215" s="2145" t="n"/>
      <c r="J215" s="2145" t="n"/>
      <c r="K215" s="53" t="n"/>
      <c r="L215" s="53" t="n"/>
    </row>
    <row r="216" customFormat="1" s="1916">
      <c r="A216" s="53" t="n"/>
      <c r="B216" s="93" t="n"/>
      <c r="C216" s="2145" t="n"/>
      <c r="D216" s="2145" t="n"/>
      <c r="E216" s="111" t="n"/>
      <c r="F216" s="53" t="n"/>
      <c r="G216" s="53" t="n"/>
      <c r="H216" s="93" t="n"/>
      <c r="I216" s="2145" t="n"/>
      <c r="J216" s="2145" t="n"/>
      <c r="K216" s="53" t="n"/>
      <c r="L216" s="53" t="n"/>
    </row>
    <row r="217" customFormat="1" s="1916">
      <c r="A217" s="53" t="n"/>
      <c r="B217" s="93" t="n"/>
      <c r="C217" s="2145" t="n"/>
      <c r="D217" s="2145" t="n"/>
      <c r="E217" s="53" t="n"/>
      <c r="F217" s="53" t="n"/>
      <c r="G217" s="53" t="n"/>
      <c r="H217" s="93" t="n"/>
      <c r="I217" s="2145" t="n"/>
      <c r="J217" s="2145" t="n"/>
      <c r="K217" s="53" t="n"/>
      <c r="L217" s="53" t="n"/>
    </row>
    <row r="218" customFormat="1" s="1916">
      <c r="A218" s="53" t="n"/>
      <c r="B218" s="93" t="n"/>
      <c r="C218" s="2145" t="n"/>
      <c r="D218" s="2145" t="n"/>
      <c r="E218" s="53" t="n"/>
      <c r="F218" s="53" t="n"/>
      <c r="G218" s="53" t="n"/>
      <c r="H218" s="93" t="n"/>
      <c r="I218" s="2145" t="n"/>
      <c r="J218" s="2145" t="n"/>
      <c r="K218" s="53" t="n"/>
      <c r="L218" s="53" t="n"/>
    </row>
    <row r="219" customFormat="1" s="1916">
      <c r="A219" s="53" t="n"/>
      <c r="B219" s="93" t="n"/>
      <c r="C219" s="2145" t="n"/>
      <c r="D219" s="2145" t="n"/>
      <c r="E219" s="53" t="n"/>
      <c r="F219" s="53" t="n"/>
      <c r="G219" s="53" t="n"/>
      <c r="H219" s="93" t="n"/>
      <c r="I219" s="2145" t="n"/>
      <c r="J219" s="2145" t="n"/>
      <c r="K219" s="53" t="n"/>
      <c r="L219" s="53" t="n"/>
    </row>
    <row r="220" customFormat="1" s="1916">
      <c r="A220" s="53" t="n"/>
      <c r="B220" s="93" t="n"/>
      <c r="C220" s="2145" t="n"/>
      <c r="D220" s="2145" t="n"/>
      <c r="E220" s="53" t="n"/>
      <c r="F220" s="53" t="n"/>
      <c r="G220" s="53" t="n"/>
      <c r="H220" s="93" t="n"/>
      <c r="I220" s="2147" t="n"/>
      <c r="J220" s="2147" t="n"/>
      <c r="K220" s="53" t="n"/>
      <c r="L220" s="53" t="n"/>
    </row>
    <row r="221" customFormat="1" s="1916">
      <c r="A221" s="103" t="n"/>
      <c r="B221" s="103" t="n"/>
      <c r="C221" s="2147" t="n"/>
      <c r="D221" s="2147" t="n"/>
      <c r="E221" s="53" t="n"/>
      <c r="F221" s="53" t="n"/>
      <c r="G221" s="103" t="n"/>
      <c r="H221" s="103" t="n"/>
      <c r="I221" s="53" t="n"/>
      <c r="K221" s="106" t="n"/>
      <c r="L221" s="106" t="n"/>
    </row>
    <row r="222" customFormat="1" s="1916">
      <c r="A222" s="53" t="n"/>
      <c r="B222" s="53" t="n"/>
      <c r="C222" s="2145" t="n"/>
      <c r="D222" s="2145" t="n"/>
      <c r="E222" s="53" t="n"/>
      <c r="F222" s="53" t="n"/>
      <c r="G222" s="53" t="n"/>
      <c r="H222" s="53" t="n"/>
    </row>
    <row r="223" customFormat="1" s="1916">
      <c r="A223" s="53" t="n"/>
      <c r="B223" s="53" t="n"/>
      <c r="C223" s="2145" t="n"/>
      <c r="D223" s="2145" t="n"/>
      <c r="E223" s="53" t="n"/>
      <c r="F223" s="53" t="n"/>
    </row>
    <row r="224" customFormat="1" s="1916">
      <c r="A224" s="53" t="n"/>
      <c r="B224" s="53" t="n"/>
      <c r="C224" s="2145" t="n"/>
      <c r="D224" s="2147" t="n"/>
      <c r="E224" s="53" t="n"/>
      <c r="F224" s="53" t="n"/>
    </row>
    <row r="225" customFormat="1" s="1916">
      <c r="A225" s="53" t="n"/>
      <c r="B225" s="53" t="n"/>
      <c r="C225" s="2145" t="n"/>
      <c r="D225" s="2145" t="n"/>
      <c r="E225" s="53" t="n"/>
      <c r="F225" s="53" t="n"/>
    </row>
    <row r="226" customFormat="1" s="1916">
      <c r="A226" s="53" t="n"/>
      <c r="B226" s="53" t="n"/>
      <c r="C226" s="2145" t="n"/>
      <c r="D226" s="2145" t="n"/>
      <c r="E226" s="53" t="n"/>
      <c r="F226" s="53" t="n"/>
    </row>
    <row r="227" customFormat="1" s="1916">
      <c r="A227" s="53" t="n"/>
      <c r="B227" s="112" t="n"/>
      <c r="C227" s="2145" t="n"/>
      <c r="D227" s="2145" t="n"/>
      <c r="E227" s="53" t="n"/>
      <c r="F227" s="53" t="n"/>
    </row>
    <row r="228" customFormat="1" s="1916">
      <c r="A228" s="53" t="n"/>
      <c r="B228" s="112" t="n"/>
      <c r="C228" s="2145" t="n"/>
      <c r="D228" s="2145" t="n"/>
      <c r="E228" s="53" t="n"/>
      <c r="F228" s="53" t="n"/>
    </row>
    <row r="229" customFormat="1" s="1916">
      <c r="A229" s="53" t="n"/>
      <c r="B229" s="113" t="n"/>
      <c r="C229" s="2145" t="n"/>
      <c r="D229" s="2145" t="n"/>
      <c r="E229" s="53" t="n"/>
      <c r="F229" s="53" t="n"/>
    </row>
    <row r="230" customFormat="1" s="1916">
      <c r="A230" s="53" t="n"/>
      <c r="B230" s="113" t="n"/>
      <c r="C230" s="2145" t="n"/>
      <c r="D230" s="2145" t="n"/>
      <c r="E230" s="53" t="n"/>
      <c r="F230" s="53" t="n"/>
    </row>
    <row r="231" customFormat="1" s="1916">
      <c r="A231" s="53" t="n"/>
      <c r="B231" s="113" t="n"/>
      <c r="C231" s="2145" t="n"/>
      <c r="D231" s="2145" t="n"/>
      <c r="E231" s="53" t="n"/>
      <c r="F231" s="53" t="n"/>
    </row>
    <row r="232" customFormat="1" s="1916">
      <c r="A232" s="53" t="n"/>
      <c r="B232" s="113" t="n"/>
      <c r="C232" s="2145" t="n"/>
      <c r="D232" s="2145" t="n"/>
      <c r="E232" s="53" t="n"/>
      <c r="F232" s="53" t="n"/>
    </row>
    <row r="233" customFormat="1" s="1916">
      <c r="A233" s="53" t="n"/>
      <c r="B233" s="112" t="n"/>
      <c r="C233" s="2145" t="n"/>
      <c r="D233" s="2145" t="n"/>
      <c r="E233" s="53" t="n"/>
      <c r="F233" s="53" t="n"/>
    </row>
    <row r="234" customFormat="1" s="1916">
      <c r="A234" s="53" t="n"/>
      <c r="B234" s="112" t="n"/>
      <c r="C234" s="2145" t="n"/>
      <c r="D234" s="2145" t="n"/>
      <c r="E234" s="53" t="n"/>
      <c r="F234" s="53" t="n"/>
    </row>
    <row r="235" customFormat="1" s="1916">
      <c r="A235" s="53" t="n"/>
      <c r="B235" s="112" t="n"/>
      <c r="C235" s="2145" t="n"/>
      <c r="D235" s="2149" t="n"/>
      <c r="E235" s="53" t="n"/>
      <c r="F235" s="53" t="n"/>
      <c r="I235" s="2154" t="n"/>
    </row>
    <row r="236" customFormat="1" s="1916">
      <c r="A236" s="53" t="n"/>
      <c r="B236" s="113" t="n"/>
      <c r="C236" s="2145" t="n"/>
      <c r="D236" s="2145" t="n"/>
      <c r="E236" s="53" t="n"/>
      <c r="F236" s="53" t="n"/>
      <c r="G236" s="53" t="n"/>
    </row>
    <row r="237" customFormat="1" s="1916">
      <c r="A237" s="53" t="n"/>
      <c r="B237" s="53" t="n"/>
      <c r="C237" s="2145" t="n"/>
      <c r="D237" s="2145" t="n"/>
      <c r="E237" s="2145" t="n"/>
      <c r="F237" s="2145" t="n"/>
    </row>
    <row r="238" customFormat="1" s="1916">
      <c r="A238" s="53" t="n"/>
      <c r="B238" s="53" t="n"/>
      <c r="C238" s="2145" t="n"/>
      <c r="D238" s="2145" t="n"/>
      <c r="F238" s="108" t="n"/>
    </row>
    <row r="239" customFormat="1" s="1916">
      <c r="A239" s="103" t="n"/>
      <c r="B239" s="103" t="n"/>
      <c r="C239" s="2147" t="n"/>
      <c r="D239" s="2145" t="n"/>
      <c r="F239" s="53" t="n"/>
    </row>
    <row r="240" customFormat="1" s="1916">
      <c r="A240" s="103" t="n"/>
      <c r="B240" s="103" t="n"/>
      <c r="C240" s="2147" t="n"/>
      <c r="D240" s="2147" t="n"/>
      <c r="E240" s="53" t="n"/>
      <c r="F240" s="53" t="n"/>
    </row>
    <row r="241" customFormat="1" s="1916">
      <c r="A241" s="116" t="n"/>
      <c r="I241" s="53" t="n"/>
      <c r="J241" s="2149" t="n"/>
      <c r="K241" s="2149" t="n"/>
      <c r="L241" s="2149" t="n"/>
      <c r="M241" s="53" t="n"/>
      <c r="N241" s="53" t="n"/>
    </row>
    <row r="242" customFormat="1" s="1916">
      <c r="A242" s="53" t="n"/>
      <c r="B242" s="53" t="n"/>
      <c r="C242" s="53" t="n"/>
      <c r="D242" s="53" t="n"/>
      <c r="G242" s="53" t="n"/>
      <c r="H242" s="53" t="n"/>
      <c r="I242" s="2149" t="n"/>
      <c r="J242" s="2149" t="n"/>
      <c r="K242" s="2149" t="n"/>
      <c r="L242" s="2149" t="n"/>
      <c r="M242" s="53" t="n"/>
      <c r="N242" s="53" t="n"/>
      <c r="O242" s="53" t="n"/>
    </row>
    <row r="243" customFormat="1" s="1916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2190" t="n"/>
      <c r="J243" s="2149" t="n"/>
      <c r="K243" s="2149" t="n"/>
      <c r="L243" s="2149" t="n"/>
      <c r="M243" s="53" t="n"/>
      <c r="N243" s="2145" t="n"/>
      <c r="O243" s="2145" t="n"/>
    </row>
    <row r="244" customFormat="1" s="1916">
      <c r="A244" s="53" t="n"/>
      <c r="B244" s="2155" t="n"/>
      <c r="C244" s="2145" t="n"/>
      <c r="D244" s="2145" t="n"/>
      <c r="E244" s="2156" t="n"/>
      <c r="F244" s="53" t="n"/>
      <c r="G244" s="53" t="n"/>
      <c r="H244" s="2145" t="n"/>
      <c r="I244" s="2190" t="n"/>
      <c r="J244" s="2149" t="n"/>
      <c r="L244" s="2149" t="n"/>
      <c r="M244" s="53" t="n"/>
      <c r="N244" s="2156" t="n"/>
      <c r="O244" s="2145" t="n"/>
    </row>
    <row r="245" customFormat="1" s="1916">
      <c r="A245" s="53" t="n"/>
      <c r="B245" s="53" t="n"/>
      <c r="C245" s="2145" t="n"/>
      <c r="D245" s="2145" t="n"/>
      <c r="E245" s="2190" t="n"/>
      <c r="G245" s="53" t="n"/>
      <c r="H245" s="2145" t="n"/>
      <c r="L245" s="53" t="n"/>
      <c r="M245" s="53" t="n"/>
      <c r="N245" s="2156" t="n"/>
      <c r="O245" s="2145" t="n"/>
    </row>
    <row r="246" customFormat="1" s="1916">
      <c r="A246" s="53" t="n"/>
      <c r="B246" s="53" t="n"/>
      <c r="C246" s="2145" t="n"/>
      <c r="D246" s="2145" t="n"/>
      <c r="E246" s="53" t="n"/>
      <c r="F246" s="53" t="n"/>
      <c r="L246" s="53" t="n"/>
      <c r="M246" s="2145" t="n"/>
      <c r="N246" s="53" t="n"/>
      <c r="O246" s="2145" t="n"/>
    </row>
    <row r="247" customFormat="1" s="1916">
      <c r="A247" s="53" t="n"/>
      <c r="B247" s="53" t="n"/>
      <c r="C247" s="2145" t="n"/>
      <c r="D247" s="2145" t="n"/>
      <c r="E247" s="53" t="n"/>
      <c r="F247" s="53" t="n"/>
      <c r="L247" s="53" t="n"/>
      <c r="M247" s="53" t="n"/>
      <c r="N247" s="53" t="n"/>
      <c r="O247" s="53" t="n"/>
    </row>
    <row r="248" customFormat="1" s="1916">
      <c r="A248" s="53" t="n"/>
      <c r="B248" s="53" t="n"/>
      <c r="C248" s="2145" t="n"/>
      <c r="D248" s="2145" t="n"/>
      <c r="E248" s="53" t="n"/>
      <c r="F248" s="53" t="n"/>
      <c r="L248" s="53" t="n"/>
      <c r="M248" s="53" t="n"/>
      <c r="N248" s="53" t="n"/>
      <c r="O248" s="53" t="n"/>
    </row>
    <row r="249" customFormat="1" s="1916">
      <c r="A249" s="53" t="n"/>
      <c r="B249" s="53" t="n"/>
      <c r="C249" s="2145" t="n"/>
      <c r="D249" s="2145" t="n"/>
      <c r="E249" s="53" t="n"/>
      <c r="F249" s="53" t="n"/>
      <c r="L249" s="53" t="n"/>
      <c r="M249" s="53" t="n"/>
      <c r="N249" s="53" t="n"/>
      <c r="O249" s="53" t="n"/>
      <c r="P249" s="53" t="n"/>
      <c r="Q249" s="53" t="n"/>
    </row>
    <row r="250" customFormat="1" s="1916">
      <c r="A250" s="53" t="n"/>
      <c r="B250" s="53" t="n"/>
      <c r="C250" s="2145" t="n"/>
      <c r="D250" s="2145" t="n"/>
      <c r="E250" s="53" t="n"/>
      <c r="F250" s="53" t="n"/>
      <c r="L250" s="53" t="n"/>
      <c r="M250" s="53" t="n"/>
      <c r="N250" s="53" t="n"/>
      <c r="O250" s="53" t="n"/>
      <c r="P250" s="2145" t="n"/>
      <c r="Q250" s="2145" t="n"/>
    </row>
    <row r="251" customFormat="1" s="1916">
      <c r="A251" s="53" t="n"/>
      <c r="B251" s="53" t="n"/>
      <c r="C251" s="2145" t="n"/>
      <c r="D251" s="2145" t="n"/>
      <c r="E251" s="53" t="n"/>
      <c r="F251" s="53" t="n"/>
      <c r="L251" s="53" t="n"/>
      <c r="M251" s="53" t="n"/>
      <c r="N251" s="53" t="n"/>
      <c r="O251" s="53" t="n"/>
      <c r="P251" s="2145" t="n"/>
      <c r="Q251" s="2145" t="n"/>
    </row>
    <row r="252" customFormat="1" s="1916">
      <c r="A252" s="53" t="n"/>
      <c r="B252" s="53" t="n"/>
      <c r="C252" s="2145" t="n"/>
      <c r="D252" s="2145" t="n"/>
      <c r="E252" s="53" t="n"/>
      <c r="F252" s="53" t="n"/>
      <c r="L252" s="53" t="n"/>
      <c r="M252" s="53" t="n"/>
      <c r="N252" s="53" t="n"/>
      <c r="O252" s="53" t="n"/>
      <c r="P252" s="2145" t="n"/>
      <c r="Q252" s="2145" t="n"/>
    </row>
    <row r="253" customFormat="1" s="1916">
      <c r="A253" s="53" t="n"/>
      <c r="B253" s="53" t="n"/>
      <c r="C253" s="2145" t="n"/>
      <c r="D253" s="2145" t="n"/>
      <c r="E253" s="53" t="n"/>
      <c r="F253" s="53" t="n"/>
      <c r="O253" s="53" t="n"/>
      <c r="P253" s="2145" t="n"/>
      <c r="Q253" s="2145" t="n"/>
    </row>
    <row r="254" customFormat="1" s="1916">
      <c r="A254" s="103" t="n"/>
      <c r="B254" s="103" t="n"/>
      <c r="C254" s="2147" t="n"/>
      <c r="D254" s="2147" t="n"/>
      <c r="E254" s="53" t="n"/>
      <c r="F254" s="53" t="n"/>
      <c r="I254" s="53" t="n"/>
      <c r="J254" s="53" t="n"/>
      <c r="K254" s="53" t="n"/>
      <c r="L254" s="53" t="n"/>
      <c r="P254" s="53" t="n"/>
      <c r="Q254" s="53" t="n"/>
    </row>
    <row r="255" customFormat="1" s="1916">
      <c r="A255" s="103" t="n"/>
      <c r="B255" s="103" t="n"/>
      <c r="C255" s="2147" t="n"/>
      <c r="D255" s="2147" t="n"/>
      <c r="E255" s="53" t="n"/>
      <c r="F255" s="53" t="n"/>
      <c r="G255" s="53" t="n"/>
      <c r="H255" s="53" t="n"/>
      <c r="I255" s="53" t="n"/>
      <c r="J255" s="106" t="n"/>
      <c r="K255" s="106" t="n"/>
      <c r="L255" s="106" t="n"/>
      <c r="P255" s="53" t="n"/>
      <c r="Q255" s="53" t="n"/>
    </row>
    <row r="256" customFormat="1" s="1916">
      <c r="A256" s="103" t="n"/>
      <c r="B256" s="105" t="n"/>
      <c r="C256" s="2147" t="n"/>
      <c r="D256" s="2147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P256" s="53" t="n"/>
      <c r="Q256" s="53" t="n"/>
    </row>
    <row r="257" customFormat="1" s="1916">
      <c r="A257" s="53" t="n"/>
      <c r="B257" s="53" t="n"/>
      <c r="C257" s="2145" t="n"/>
      <c r="D257" s="2145" t="n"/>
      <c r="E257" s="53" t="n"/>
      <c r="F257" s="53" t="n"/>
      <c r="G257" s="2191" t="n"/>
      <c r="H257" s="53" t="n"/>
      <c r="I257" s="53" t="n"/>
      <c r="J257" s="106" t="n"/>
      <c r="K257" s="106" t="n"/>
      <c r="L257" s="106" t="n"/>
      <c r="P257" s="53" t="n"/>
      <c r="Q257" s="53" t="n"/>
    </row>
    <row r="258" customFormat="1" s="1916">
      <c r="A258" s="3" t="n"/>
      <c r="B258" s="2156" t="n"/>
      <c r="C258" s="3" t="n"/>
      <c r="D258" s="2156" t="n"/>
      <c r="G258" s="53" t="n"/>
      <c r="H258" s="108" t="n"/>
      <c r="I258" s="53" t="n"/>
      <c r="J258" s="2145" t="n"/>
      <c r="K258" s="53" t="n"/>
      <c r="L258" s="53" t="n"/>
      <c r="P258" s="53" t="n"/>
      <c r="Q258" s="53" t="n"/>
    </row>
    <row r="259" customFormat="1" s="1916">
      <c r="A259" s="53" t="n"/>
      <c r="B259" s="53" t="n"/>
      <c r="C259" s="53" t="n"/>
      <c r="D259" s="53" t="n"/>
      <c r="E259" s="106" t="n"/>
      <c r="G259" s="53" t="n"/>
      <c r="H259" s="53" t="n"/>
      <c r="I259" s="2145" t="n"/>
      <c r="J259" s="2145" t="n"/>
      <c r="K259" s="53" t="n"/>
      <c r="L259" s="53" t="n"/>
      <c r="P259" s="53" t="n"/>
      <c r="Q259" s="53" t="n"/>
    </row>
    <row r="260" customFormat="1" s="1916">
      <c r="A260" s="53" t="n"/>
      <c r="B260" s="53" t="n"/>
      <c r="C260" s="2192" t="n"/>
      <c r="D260" s="106" t="n"/>
      <c r="E260" s="106" t="n"/>
      <c r="G260" s="53" t="n"/>
      <c r="H260" s="93" t="n"/>
      <c r="I260" s="2145" t="n"/>
      <c r="J260" s="2145" t="n"/>
      <c r="K260" s="53" t="n"/>
      <c r="L260" s="53" t="n"/>
      <c r="P260" s="53" t="n"/>
      <c r="Q260" s="53" t="n"/>
    </row>
    <row r="261" customFormat="1" s="1916">
      <c r="A261" s="53" t="n"/>
      <c r="B261" s="53" t="n"/>
      <c r="C261" s="53" t="n"/>
      <c r="D261" s="53" t="n"/>
      <c r="E261" s="53" t="n"/>
      <c r="G261" s="53" t="n"/>
      <c r="H261" s="93" t="n"/>
      <c r="I261" s="2145" t="n"/>
      <c r="J261" s="2145" t="n"/>
      <c r="K261" s="53" t="n"/>
      <c r="L261" s="53" t="n"/>
    </row>
    <row r="262" customFormat="1" s="1916">
      <c r="A262" s="53" t="n"/>
      <c r="B262" s="53" t="n"/>
      <c r="C262" s="2192" t="n"/>
      <c r="D262" s="106" t="n"/>
      <c r="E262" s="106" t="n"/>
      <c r="G262" s="53" t="n"/>
      <c r="H262" s="93" t="n"/>
      <c r="I262" s="2145" t="n"/>
      <c r="J262" s="2145" t="n"/>
      <c r="K262" s="53" t="n"/>
      <c r="L262" s="53" t="n"/>
    </row>
    <row r="263" customFormat="1" s="1916">
      <c r="A263" s="111" t="n"/>
      <c r="B263" s="53" t="n"/>
      <c r="C263" s="53" t="n"/>
      <c r="D263" s="53" t="n"/>
      <c r="E263" s="53" t="n"/>
      <c r="G263" s="53" t="n"/>
      <c r="H263" s="93" t="n"/>
      <c r="I263" s="2145" t="n"/>
      <c r="J263" s="2145" t="n"/>
      <c r="K263" s="53" t="n"/>
      <c r="L263" s="53" t="n"/>
    </row>
    <row r="264" customFormat="1" s="1916">
      <c r="A264" s="53" t="n"/>
      <c r="B264" s="53" t="n"/>
      <c r="C264" s="2192" t="n"/>
      <c r="D264" s="106" t="n"/>
      <c r="E264" s="106" t="n"/>
      <c r="G264" s="53" t="n"/>
      <c r="H264" s="93" t="n"/>
      <c r="I264" s="2147" t="n"/>
      <c r="J264" s="2147" t="n"/>
    </row>
    <row r="265" customFormat="1" s="1916">
      <c r="A265" s="53" t="n"/>
      <c r="B265" s="53" t="n"/>
      <c r="C265" s="53" t="n"/>
      <c r="D265" s="2157" t="n"/>
      <c r="E265" s="2157" t="n"/>
      <c r="F265" s="53" t="n"/>
      <c r="G265" s="103" t="n"/>
      <c r="H265" s="103" t="n"/>
    </row>
    <row r="266" customFormat="1" s="1916">
      <c r="A266" s="53" t="n"/>
      <c r="B266" s="53" t="n"/>
      <c r="C266" s="2145" t="n"/>
      <c r="D266" s="2145" t="n"/>
      <c r="E266" s="2145" t="n"/>
      <c r="F266" s="53" t="n"/>
      <c r="G266" s="53" t="n"/>
      <c r="H266" s="53" t="n"/>
      <c r="K266" s="53" t="n"/>
      <c r="L266" s="53" t="n"/>
    </row>
    <row r="267" customFormat="1" s="1916">
      <c r="A267" s="53" t="n"/>
      <c r="B267" s="53" t="n"/>
      <c r="C267" s="53" t="n"/>
      <c r="D267" s="2145" t="n"/>
      <c r="E267" s="53" t="n"/>
      <c r="F267" s="53" t="n"/>
      <c r="G267" s="53" t="n"/>
      <c r="H267" s="53" t="n"/>
      <c r="I267" s="53" t="n"/>
      <c r="J267" s="2145" t="n"/>
      <c r="K267" s="53" t="n"/>
      <c r="L267" s="53" t="n"/>
    </row>
    <row r="268" customFormat="1" s="1916">
      <c r="A268" s="53" t="n"/>
      <c r="B268" s="93" t="n"/>
      <c r="C268" s="2145" t="n"/>
      <c r="D268" s="2145" t="n"/>
      <c r="E268" s="53" t="n"/>
      <c r="F268" s="53" t="n"/>
      <c r="G268" s="2156" t="n"/>
      <c r="H268" s="93" t="n"/>
      <c r="I268" s="2145" t="n"/>
      <c r="J268" s="2145" t="n"/>
      <c r="K268" s="53" t="n"/>
      <c r="L268" s="53" t="n"/>
    </row>
    <row r="269" customFormat="1" s="1916">
      <c r="A269" s="111" t="n"/>
      <c r="B269" s="93" t="n"/>
      <c r="C269" s="2145" t="n"/>
      <c r="D269" s="2145" t="n"/>
      <c r="E269" s="53" t="n"/>
      <c r="F269" s="53" t="n"/>
      <c r="G269" s="53" t="n"/>
      <c r="H269" s="93" t="n"/>
      <c r="I269" s="2145" t="n"/>
      <c r="J269" s="2145" t="n"/>
      <c r="K269" s="53" t="n"/>
      <c r="L269" s="53" t="n"/>
    </row>
    <row r="270" customFormat="1" s="1916">
      <c r="A270" s="53" t="n"/>
      <c r="B270" s="93" t="n"/>
      <c r="C270" s="2145" t="n"/>
      <c r="D270" s="2145" t="n"/>
      <c r="E270" s="53" t="n"/>
      <c r="F270" s="53" t="n"/>
      <c r="G270" s="53" t="n"/>
      <c r="H270" s="93" t="n"/>
      <c r="I270" s="2145" t="n"/>
      <c r="J270" s="2145" t="n"/>
      <c r="K270" s="53" t="n"/>
      <c r="L270" s="53" t="n"/>
    </row>
    <row r="271" customFormat="1" s="1916">
      <c r="A271" s="53" t="n"/>
      <c r="B271" s="93" t="n"/>
      <c r="C271" s="2145" t="n"/>
      <c r="D271" s="2145" t="n"/>
      <c r="E271" s="111" t="n"/>
      <c r="F271" s="53" t="n"/>
      <c r="G271" s="53" t="n"/>
      <c r="H271" s="93" t="n"/>
      <c r="I271" s="2145" t="n"/>
      <c r="J271" s="2145" t="n"/>
      <c r="K271" s="53" t="n"/>
      <c r="L271" s="53" t="n"/>
    </row>
    <row r="272" customFormat="1" s="1916">
      <c r="A272" s="53" t="n"/>
      <c r="B272" s="93" t="n"/>
      <c r="C272" s="2145" t="n"/>
      <c r="D272" s="2145" t="n"/>
      <c r="E272" s="111" t="n"/>
      <c r="F272" s="53" t="n"/>
      <c r="G272" s="53" t="n"/>
      <c r="H272" s="93" t="n"/>
      <c r="I272" s="2145" t="n"/>
      <c r="J272" s="2145" t="n"/>
      <c r="K272" s="53" t="n"/>
      <c r="L272" s="53" t="n"/>
    </row>
    <row r="273" customFormat="1" s="1916">
      <c r="A273" s="53" t="n"/>
      <c r="B273" s="93" t="n"/>
      <c r="C273" s="2145" t="n"/>
      <c r="D273" s="2145" t="n"/>
      <c r="E273" s="53" t="n"/>
      <c r="F273" s="53" t="n"/>
      <c r="G273" s="53" t="n"/>
      <c r="H273" s="93" t="n"/>
      <c r="I273" s="2145" t="n"/>
      <c r="J273" s="2145" t="n"/>
      <c r="K273" s="53" t="n"/>
      <c r="L273" s="53" t="n"/>
    </row>
    <row r="274" customFormat="1" s="1916">
      <c r="A274" s="53" t="n"/>
      <c r="B274" s="93" t="n"/>
      <c r="C274" s="2145" t="n"/>
      <c r="D274" s="2145" t="n"/>
      <c r="E274" s="53" t="n"/>
      <c r="F274" s="53" t="n"/>
      <c r="G274" s="53" t="n"/>
      <c r="H274" s="93" t="n"/>
      <c r="I274" s="2145" t="n"/>
      <c r="J274" s="2145" t="n"/>
      <c r="K274" s="53" t="n"/>
      <c r="L274" s="53" t="n"/>
    </row>
    <row r="275" customFormat="1" s="1916">
      <c r="A275" s="53" t="n"/>
      <c r="B275" s="93" t="n"/>
      <c r="C275" s="2145" t="n"/>
      <c r="D275" s="2145" t="n"/>
      <c r="E275" s="53" t="n"/>
      <c r="F275" s="53" t="n"/>
      <c r="G275" s="53" t="n"/>
      <c r="H275" s="93" t="n"/>
      <c r="I275" s="2145" t="n"/>
      <c r="J275" s="2145" t="n"/>
      <c r="K275" s="53" t="n"/>
      <c r="L275" s="53" t="n"/>
    </row>
    <row r="276" customFormat="1" s="1916">
      <c r="A276" s="53" t="n"/>
      <c r="B276" s="93" t="n"/>
      <c r="C276" s="2145" t="n"/>
      <c r="D276" s="2145" t="n"/>
      <c r="E276" s="53" t="n"/>
      <c r="F276" s="53" t="n"/>
      <c r="G276" s="53" t="n"/>
      <c r="H276" s="93" t="n"/>
      <c r="I276" s="2147" t="n"/>
      <c r="J276" s="2147" t="n"/>
      <c r="K276" s="53" t="n"/>
      <c r="L276" s="53" t="n"/>
    </row>
    <row r="277" customFormat="1" s="1916">
      <c r="A277" s="103" t="n"/>
      <c r="B277" s="103" t="n"/>
      <c r="C277" s="2147" t="n"/>
      <c r="D277" s="2147" t="n"/>
      <c r="E277" s="53" t="n"/>
      <c r="F277" s="53" t="n"/>
      <c r="G277" s="103" t="n"/>
      <c r="H277" s="103" t="n"/>
      <c r="I277" s="53" t="n"/>
      <c r="K277" s="106" t="n"/>
      <c r="L277" s="106" t="n"/>
    </row>
    <row r="278" customFormat="1" s="1916">
      <c r="A278" s="53" t="n"/>
      <c r="B278" s="53" t="n"/>
      <c r="C278" s="2145" t="n"/>
      <c r="D278" s="2145" t="n"/>
      <c r="E278" s="53" t="n"/>
      <c r="F278" s="53" t="n"/>
      <c r="G278" s="53" t="n"/>
      <c r="H278" s="53" t="n"/>
    </row>
    <row r="279" customFormat="1" s="1916">
      <c r="A279" s="53" t="n"/>
      <c r="B279" s="53" t="n"/>
      <c r="C279" s="2145" t="n"/>
      <c r="D279" s="2145" t="n"/>
      <c r="E279" s="53" t="n"/>
      <c r="F279" s="53" t="n"/>
    </row>
    <row r="280" customFormat="1" s="1916">
      <c r="A280" s="53" t="n"/>
      <c r="B280" s="53" t="n"/>
      <c r="C280" s="2145" t="n"/>
      <c r="D280" s="2147" t="n"/>
      <c r="E280" s="53" t="n"/>
      <c r="F280" s="53" t="n"/>
    </row>
    <row r="281" customFormat="1" s="1916">
      <c r="A281" s="53" t="n"/>
      <c r="B281" s="53" t="n"/>
      <c r="C281" s="2145" t="n"/>
      <c r="D281" s="2145" t="n"/>
      <c r="E281" s="53" t="n"/>
      <c r="F281" s="53" t="n"/>
    </row>
    <row r="282" customFormat="1" s="1916">
      <c r="A282" s="53" t="n"/>
      <c r="B282" s="53" t="n"/>
      <c r="C282" s="2145" t="n"/>
      <c r="D282" s="2145" t="n"/>
      <c r="E282" s="53" t="n"/>
      <c r="F282" s="53" t="n"/>
    </row>
    <row r="283" customFormat="1" s="1916">
      <c r="A283" s="53" t="n"/>
      <c r="B283" s="112" t="n"/>
      <c r="C283" s="2145" t="n"/>
      <c r="D283" s="2145" t="n"/>
      <c r="E283" s="53" t="n"/>
      <c r="F283" s="53" t="n"/>
    </row>
    <row r="284" customFormat="1" s="1916">
      <c r="A284" s="53" t="n"/>
      <c r="B284" s="112" t="n"/>
      <c r="C284" s="2145" t="n"/>
      <c r="D284" s="2145" t="n"/>
      <c r="E284" s="53" t="n"/>
      <c r="F284" s="53" t="n"/>
    </row>
    <row r="285" customFormat="1" s="1916">
      <c r="A285" s="53" t="n"/>
      <c r="B285" s="113" t="n"/>
      <c r="C285" s="2145" t="n"/>
      <c r="D285" s="2145" t="n"/>
      <c r="E285" s="53" t="n"/>
      <c r="F285" s="53" t="n"/>
    </row>
    <row r="286" customFormat="1" s="1916">
      <c r="A286" s="53" t="n"/>
      <c r="B286" s="113" t="n"/>
      <c r="C286" s="2145" t="n"/>
      <c r="D286" s="2145" t="n"/>
      <c r="E286" s="53" t="n"/>
      <c r="F286" s="53" t="n"/>
    </row>
    <row r="287" customFormat="1" s="1916">
      <c r="A287" s="53" t="n"/>
      <c r="B287" s="113" t="n"/>
      <c r="C287" s="2145" t="n"/>
      <c r="D287" s="2145" t="n"/>
      <c r="E287" s="53" t="n"/>
      <c r="F287" s="53" t="n"/>
    </row>
    <row r="288" customFormat="1" s="1916">
      <c r="A288" s="53" t="n"/>
      <c r="B288" s="113" t="n"/>
      <c r="C288" s="2145" t="n"/>
      <c r="D288" s="2145" t="n"/>
      <c r="E288" s="53" t="n"/>
      <c r="F288" s="53" t="n"/>
    </row>
    <row r="289" customFormat="1" s="1916">
      <c r="A289" s="53" t="n"/>
      <c r="B289" s="112" t="n"/>
      <c r="C289" s="2145" t="n"/>
      <c r="D289" s="2145" t="n"/>
      <c r="E289" s="53" t="n"/>
      <c r="F289" s="53" t="n"/>
    </row>
    <row r="290" customFormat="1" s="1916">
      <c r="A290" s="53" t="n"/>
      <c r="B290" s="112" t="n"/>
      <c r="C290" s="2145" t="n"/>
      <c r="D290" s="2145" t="n"/>
      <c r="E290" s="53" t="n"/>
      <c r="F290" s="53" t="n"/>
    </row>
    <row r="291" customFormat="1" s="1916">
      <c r="A291" s="53" t="n"/>
      <c r="B291" s="112" t="n"/>
      <c r="C291" s="2145" t="n"/>
      <c r="D291" s="2149" t="n"/>
      <c r="E291" s="53" t="n"/>
      <c r="F291" s="53" t="n"/>
      <c r="I291" s="2154" t="n"/>
    </row>
    <row r="292" customFormat="1" s="1916">
      <c r="A292" s="53" t="n"/>
      <c r="B292" s="113" t="n"/>
      <c r="C292" s="2145" t="n"/>
      <c r="D292" s="2145" t="n"/>
      <c r="E292" s="53" t="n"/>
      <c r="F292" s="53" t="n"/>
      <c r="G292" s="53" t="n"/>
    </row>
    <row r="293" customFormat="1" s="1916">
      <c r="A293" s="53" t="n"/>
      <c r="B293" s="53" t="n"/>
      <c r="C293" s="2145" t="n"/>
      <c r="D293" s="2145" t="n"/>
      <c r="E293" s="2145" t="n"/>
      <c r="F293" s="2145" t="n"/>
    </row>
    <row r="294" customFormat="1" s="1916">
      <c r="A294" s="53" t="n"/>
      <c r="B294" s="53" t="n"/>
      <c r="C294" s="2145" t="n"/>
      <c r="D294" s="2145" t="n"/>
      <c r="F294" s="108" t="n"/>
    </row>
    <row r="295" customFormat="1" s="1916">
      <c r="A295" s="115" t="n"/>
      <c r="D295" s="2145" t="n"/>
    </row>
    <row r="296" customFormat="1" s="1916"/>
    <row r="297" customFormat="1" s="1916">
      <c r="A297" s="116" t="n"/>
      <c r="I297" s="53" t="n"/>
      <c r="J297" s="2149" t="n"/>
      <c r="K297" s="2149" t="n"/>
      <c r="L297" s="2149" t="n"/>
      <c r="M297" s="53" t="n"/>
      <c r="N297" s="53" t="n"/>
    </row>
    <row r="298" customFormat="1" s="1916">
      <c r="A298" s="53" t="n"/>
      <c r="B298" s="53" t="n"/>
      <c r="C298" s="53" t="n"/>
      <c r="D298" s="53" t="n"/>
      <c r="G298" s="53" t="n"/>
      <c r="H298" s="53" t="n"/>
      <c r="I298" s="2149" t="n"/>
      <c r="J298" s="2149" t="n"/>
      <c r="K298" s="2149" t="n"/>
      <c r="L298" s="2149" t="n"/>
      <c r="M298" s="53" t="n"/>
      <c r="N298" s="53" t="n"/>
      <c r="O298" s="53" t="n"/>
    </row>
    <row r="299" customFormat="1" s="1916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2190" t="n"/>
      <c r="J299" s="2149" t="n"/>
      <c r="K299" s="2149" t="n"/>
      <c r="L299" s="2149" t="n"/>
      <c r="M299" s="53" t="n"/>
      <c r="N299" s="2145" t="n"/>
      <c r="O299" s="2145" t="n"/>
    </row>
    <row r="300" customFormat="1" s="1916">
      <c r="A300" s="53" t="n"/>
      <c r="B300" s="2155" t="n"/>
      <c r="C300" s="2145" t="n"/>
      <c r="D300" s="2145" t="n"/>
      <c r="E300" s="2156" t="n"/>
      <c r="F300" s="53" t="n"/>
      <c r="G300" s="53" t="n"/>
      <c r="H300" s="2145" t="n"/>
      <c r="I300" s="2190" t="n"/>
      <c r="J300" s="2149" t="n"/>
      <c r="L300" s="2149" t="n"/>
      <c r="M300" s="53" t="n"/>
      <c r="N300" s="2156" t="n"/>
      <c r="O300" s="2145" t="n"/>
    </row>
    <row r="301" customFormat="1" s="1916">
      <c r="A301" s="53" t="n"/>
      <c r="B301" s="53" t="n"/>
      <c r="C301" s="2145" t="n"/>
      <c r="D301" s="2145" t="n"/>
      <c r="E301" s="2190" t="n"/>
      <c r="G301" s="53" t="n"/>
      <c r="H301" s="2145" t="n"/>
      <c r="L301" s="53" t="n"/>
      <c r="M301" s="53" t="n"/>
      <c r="N301" s="2156" t="n"/>
      <c r="O301" s="2145" t="n"/>
    </row>
    <row r="302" customFormat="1" s="1916">
      <c r="A302" s="53" t="n"/>
      <c r="B302" s="53" t="n"/>
      <c r="C302" s="2145" t="n"/>
      <c r="D302" s="2145" t="n"/>
      <c r="E302" s="53" t="n"/>
      <c r="F302" s="53" t="n"/>
      <c r="L302" s="53" t="n"/>
      <c r="M302" s="2145" t="n"/>
      <c r="N302" s="53" t="n"/>
      <c r="O302" s="2145" t="n"/>
    </row>
    <row r="303" customFormat="1" s="1916">
      <c r="A303" s="53" t="n"/>
      <c r="B303" s="53" t="n"/>
      <c r="C303" s="2145" t="n"/>
      <c r="D303" s="2145" t="n"/>
      <c r="E303" s="53" t="n"/>
      <c r="F303" s="53" t="n"/>
      <c r="L303" s="53" t="n"/>
      <c r="M303" s="53" t="n"/>
      <c r="N303" s="53" t="n"/>
      <c r="O303" s="53" t="n"/>
    </row>
    <row r="304" customFormat="1" s="1916">
      <c r="A304" s="53" t="n"/>
      <c r="B304" s="53" t="n"/>
      <c r="C304" s="2145" t="n"/>
      <c r="D304" s="2145" t="n"/>
      <c r="E304" s="53" t="n"/>
      <c r="F304" s="53" t="n"/>
      <c r="L304" s="53" t="n"/>
      <c r="M304" s="53" t="n"/>
      <c r="N304" s="53" t="n"/>
      <c r="O304" s="53" t="n"/>
    </row>
    <row r="305" customFormat="1" s="1916">
      <c r="A305" s="53" t="n"/>
      <c r="B305" s="53" t="n"/>
      <c r="C305" s="2145" t="n"/>
      <c r="D305" s="2145" t="n"/>
      <c r="E305" s="53" t="n"/>
      <c r="F305" s="53" t="n"/>
      <c r="L305" s="53" t="n"/>
      <c r="M305" s="53" t="n"/>
      <c r="N305" s="53" t="n"/>
      <c r="O305" s="53" t="n"/>
      <c r="P305" s="53" t="n"/>
      <c r="Q305" s="53" t="n"/>
    </row>
    <row r="306" customFormat="1" s="1916">
      <c r="A306" s="53" t="n"/>
      <c r="B306" s="53" t="n"/>
      <c r="C306" s="2145" t="n"/>
      <c r="D306" s="2145" t="n"/>
      <c r="E306" s="53" t="n"/>
      <c r="F306" s="53" t="n"/>
      <c r="L306" s="53" t="n"/>
      <c r="M306" s="53" t="n"/>
      <c r="N306" s="53" t="n"/>
      <c r="O306" s="53" t="n"/>
      <c r="P306" s="2145" t="n"/>
      <c r="Q306" s="2145" t="n"/>
    </row>
    <row r="307" customFormat="1" s="1916">
      <c r="A307" s="53" t="n"/>
      <c r="B307" s="53" t="n"/>
      <c r="C307" s="2145" t="n"/>
      <c r="D307" s="2145" t="n"/>
      <c r="E307" s="53" t="n"/>
      <c r="F307" s="53" t="n"/>
      <c r="L307" s="53" t="n"/>
      <c r="M307" s="53" t="n"/>
      <c r="N307" s="53" t="n"/>
      <c r="O307" s="53" t="n"/>
      <c r="P307" s="2145" t="n"/>
      <c r="Q307" s="2145" t="n"/>
    </row>
    <row r="308" customFormat="1" s="1916">
      <c r="A308" s="53" t="n"/>
      <c r="B308" s="53" t="n"/>
      <c r="C308" s="2145" t="n"/>
      <c r="D308" s="2145" t="n"/>
      <c r="E308" s="53" t="n"/>
      <c r="F308" s="53" t="n"/>
      <c r="L308" s="53" t="n"/>
      <c r="M308" s="53" t="n"/>
      <c r="N308" s="53" t="n"/>
      <c r="O308" s="53" t="n"/>
      <c r="P308" s="2145" t="n"/>
      <c r="Q308" s="2145" t="n"/>
    </row>
    <row r="309" customFormat="1" s="1916">
      <c r="A309" s="53" t="n"/>
      <c r="B309" s="53" t="n"/>
      <c r="C309" s="2145" t="n"/>
      <c r="D309" s="2145" t="n"/>
      <c r="E309" s="53" t="n"/>
      <c r="F309" s="53" t="n"/>
      <c r="O309" s="53" t="n"/>
      <c r="P309" s="2145" t="n"/>
      <c r="Q309" s="2145" t="n"/>
    </row>
    <row r="310" customFormat="1" s="1916">
      <c r="A310" s="103" t="n"/>
      <c r="B310" s="103" t="n"/>
      <c r="C310" s="2147" t="n"/>
      <c r="D310" s="2147" t="n"/>
      <c r="E310" s="53" t="n"/>
      <c r="F310" s="53" t="n"/>
      <c r="I310" s="53" t="n"/>
      <c r="J310" s="53" t="n"/>
      <c r="K310" s="53" t="n"/>
      <c r="L310" s="53" t="n"/>
      <c r="P310" s="53" t="n"/>
      <c r="Q310" s="53" t="n"/>
    </row>
    <row r="311" customFormat="1" s="1916">
      <c r="A311" s="103" t="n"/>
      <c r="B311" s="103" t="n"/>
      <c r="C311" s="2147" t="n"/>
      <c r="D311" s="2147" t="n"/>
      <c r="E311" s="53" t="n"/>
      <c r="F311" s="53" t="n"/>
      <c r="G311" s="53" t="n"/>
      <c r="H311" s="53" t="n"/>
      <c r="I311" s="53" t="n"/>
      <c r="J311" s="106" t="n"/>
      <c r="K311" s="106" t="n"/>
      <c r="L311" s="106" t="n"/>
      <c r="P311" s="53" t="n"/>
      <c r="Q311" s="53" t="n"/>
    </row>
    <row r="312" customFormat="1" s="1916">
      <c r="A312" s="103" t="n"/>
      <c r="B312" s="105" t="n"/>
      <c r="C312" s="2147" t="n"/>
      <c r="D312" s="2147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P312" s="53" t="n"/>
      <c r="Q312" s="53" t="n"/>
    </row>
    <row r="313" customFormat="1" s="1916">
      <c r="A313" s="53" t="n"/>
      <c r="B313" s="53" t="n"/>
      <c r="C313" s="2145" t="n"/>
      <c r="D313" s="2145" t="n"/>
      <c r="E313" s="53" t="n"/>
      <c r="F313" s="53" t="n"/>
      <c r="G313" s="2191" t="n"/>
      <c r="H313" s="53" t="n"/>
      <c r="I313" s="53" t="n"/>
      <c r="J313" s="106" t="n"/>
      <c r="K313" s="106" t="n"/>
      <c r="L313" s="106" t="n"/>
      <c r="P313" s="53" t="n"/>
      <c r="Q313" s="53" t="n"/>
    </row>
    <row r="314" customFormat="1" s="1916">
      <c r="A314" s="3" t="n"/>
      <c r="B314" s="2156" t="n"/>
      <c r="C314" s="3" t="n"/>
      <c r="D314" s="2156" t="n"/>
      <c r="G314" s="53" t="n"/>
      <c r="H314" s="108" t="n"/>
      <c r="I314" s="53" t="n"/>
      <c r="J314" s="2145" t="n"/>
      <c r="K314" s="53" t="n"/>
      <c r="L314" s="53" t="n"/>
      <c r="P314" s="53" t="n"/>
      <c r="Q314" s="53" t="n"/>
    </row>
    <row r="315" customFormat="1" s="1916">
      <c r="A315" s="53" t="n"/>
      <c r="B315" s="53" t="n"/>
      <c r="C315" s="53" t="n"/>
      <c r="D315" s="53" t="n"/>
      <c r="E315" s="106" t="n"/>
      <c r="G315" s="53" t="n"/>
      <c r="H315" s="53" t="n"/>
      <c r="I315" s="2145" t="n"/>
      <c r="J315" s="2145" t="n"/>
      <c r="K315" s="53" t="n"/>
      <c r="L315" s="53" t="n"/>
      <c r="P315" s="53" t="n"/>
      <c r="Q315" s="53" t="n"/>
    </row>
    <row r="316" customFormat="1" s="1916">
      <c r="A316" s="53" t="n"/>
      <c r="B316" s="53" t="n"/>
      <c r="C316" s="2192" t="n"/>
      <c r="D316" s="106" t="n"/>
      <c r="E316" s="106" t="n"/>
      <c r="G316" s="53" t="n"/>
      <c r="H316" s="93" t="n"/>
      <c r="I316" s="2145" t="n"/>
      <c r="J316" s="2145" t="n"/>
      <c r="K316" s="53" t="n"/>
      <c r="L316" s="53" t="n"/>
      <c r="P316" s="53" t="n"/>
      <c r="Q316" s="53" t="n"/>
    </row>
    <row r="317" customFormat="1" s="1916">
      <c r="A317" s="53" t="n"/>
      <c r="B317" s="53" t="n"/>
      <c r="C317" s="53" t="n"/>
      <c r="D317" s="53" t="n"/>
      <c r="E317" s="53" t="n"/>
      <c r="G317" s="53" t="n"/>
      <c r="H317" s="93" t="n"/>
      <c r="I317" s="2145" t="n"/>
      <c r="J317" s="2145" t="n"/>
      <c r="K317" s="53" t="n"/>
      <c r="L317" s="53" t="n"/>
    </row>
    <row r="318" customFormat="1" s="1916">
      <c r="A318" s="53" t="n"/>
      <c r="B318" s="53" t="n"/>
      <c r="C318" s="2192" t="n"/>
      <c r="D318" s="106" t="n"/>
      <c r="E318" s="106" t="n"/>
      <c r="G318" s="53" t="n"/>
      <c r="H318" s="93" t="n"/>
      <c r="I318" s="2145" t="n"/>
      <c r="J318" s="2145" t="n"/>
      <c r="K318" s="53" t="n"/>
      <c r="L318" s="53" t="n"/>
    </row>
    <row r="319" customFormat="1" s="1916">
      <c r="A319" s="111" t="n"/>
      <c r="B319" s="53" t="n"/>
      <c r="C319" s="53" t="n"/>
      <c r="D319" s="53" t="n"/>
      <c r="E319" s="53" t="n"/>
      <c r="G319" s="53" t="n"/>
      <c r="H319" s="93" t="n"/>
      <c r="I319" s="2145" t="n"/>
      <c r="J319" s="2145" t="n"/>
      <c r="K319" s="53" t="n"/>
      <c r="L319" s="53" t="n"/>
    </row>
    <row r="320" customFormat="1" s="1916">
      <c r="A320" s="53" t="n"/>
      <c r="B320" s="53" t="n"/>
      <c r="C320" s="2192" t="n"/>
      <c r="D320" s="106" t="n"/>
      <c r="E320" s="106" t="n"/>
      <c r="G320" s="53" t="n"/>
      <c r="H320" s="93" t="n"/>
      <c r="I320" s="2147" t="n"/>
      <c r="J320" s="2147" t="n"/>
    </row>
    <row r="321" customFormat="1" s="1916">
      <c r="A321" s="53" t="n"/>
      <c r="B321" s="53" t="n"/>
      <c r="C321" s="53" t="n"/>
      <c r="D321" s="2157" t="n"/>
      <c r="E321" s="2157" t="n"/>
      <c r="F321" s="53" t="n"/>
      <c r="G321" s="103" t="n"/>
      <c r="H321" s="103" t="n"/>
    </row>
    <row r="322" customFormat="1" s="1916">
      <c r="A322" s="53" t="n"/>
      <c r="B322" s="53" t="n"/>
      <c r="C322" s="2145" t="n"/>
      <c r="D322" s="2145" t="n"/>
      <c r="E322" s="2145" t="n"/>
      <c r="F322" s="111" t="n"/>
      <c r="G322" s="53" t="n"/>
      <c r="H322" s="53" t="n"/>
      <c r="K322" s="53" t="n"/>
      <c r="L322" s="53" t="n"/>
    </row>
    <row r="323" customFormat="1" s="1916">
      <c r="A323" s="53" t="n"/>
      <c r="B323" s="53" t="n"/>
      <c r="C323" s="53" t="n"/>
      <c r="D323" s="2145" t="n"/>
      <c r="E323" s="53" t="n"/>
      <c r="F323" s="53" t="n"/>
      <c r="G323" s="53" t="n"/>
      <c r="H323" s="53" t="n"/>
      <c r="I323" s="53" t="n"/>
      <c r="J323" s="2145" t="n"/>
      <c r="K323" s="53" t="n"/>
      <c r="L323" s="53" t="n"/>
    </row>
    <row r="324" customFormat="1" s="1916">
      <c r="A324" s="53" t="n"/>
      <c r="B324" s="93" t="n"/>
      <c r="C324" s="2145" t="n"/>
      <c r="D324" s="2145" t="n"/>
      <c r="E324" s="53" t="n"/>
      <c r="F324" s="53" t="n"/>
      <c r="G324" s="2156" t="n"/>
      <c r="H324" s="93" t="n"/>
      <c r="I324" s="2145" t="n"/>
      <c r="J324" s="2145" t="n"/>
      <c r="K324" s="53" t="n"/>
      <c r="L324" s="53" t="n"/>
    </row>
    <row r="325" customFormat="1" s="1916">
      <c r="A325" s="111" t="n"/>
      <c r="B325" s="93" t="n"/>
      <c r="C325" s="2145" t="n"/>
      <c r="D325" s="2145" t="n"/>
      <c r="E325" s="53" t="n"/>
      <c r="F325" s="53" t="n"/>
      <c r="G325" s="53" t="n"/>
      <c r="H325" s="93" t="n"/>
      <c r="I325" s="2145" t="n"/>
      <c r="J325" s="2145" t="n"/>
      <c r="K325" s="53" t="n"/>
      <c r="L325" s="53" t="n"/>
    </row>
    <row r="326" customFormat="1" s="1916">
      <c r="A326" s="53" t="n"/>
      <c r="B326" s="93" t="n"/>
      <c r="C326" s="2145" t="n"/>
      <c r="D326" s="2145" t="n"/>
      <c r="E326" s="53" t="n"/>
      <c r="F326" s="53" t="n"/>
      <c r="G326" s="53" t="n"/>
      <c r="H326" s="93" t="n"/>
      <c r="I326" s="2145" t="n"/>
      <c r="J326" s="2145" t="n"/>
      <c r="K326" s="53" t="n"/>
      <c r="L326" s="53" t="n"/>
    </row>
    <row r="327" customFormat="1" s="1916">
      <c r="A327" s="53" t="n"/>
      <c r="B327" s="93" t="n"/>
      <c r="C327" s="2145" t="n"/>
      <c r="D327" s="2145" t="n"/>
      <c r="E327" s="111" t="n"/>
      <c r="F327" s="53" t="n"/>
      <c r="G327" s="53" t="n"/>
      <c r="H327" s="93" t="n"/>
      <c r="I327" s="2145" t="n"/>
      <c r="J327" s="2145" t="n"/>
      <c r="K327" s="53" t="n"/>
      <c r="L327" s="53" t="n"/>
    </row>
    <row r="328" customFormat="1" s="1916">
      <c r="A328" s="53" t="n"/>
      <c r="B328" s="93" t="n"/>
      <c r="C328" s="2145" t="n"/>
      <c r="D328" s="2145" t="n"/>
      <c r="E328" s="111" t="n"/>
      <c r="F328" s="53" t="n"/>
      <c r="G328" s="53" t="n"/>
      <c r="H328" s="93" t="n"/>
      <c r="I328" s="2145" t="n"/>
      <c r="J328" s="2145" t="n"/>
      <c r="K328" s="53" t="n"/>
      <c r="L328" s="53" t="n"/>
    </row>
    <row r="329" customFormat="1" s="1916">
      <c r="A329" s="53" t="n"/>
      <c r="B329" s="93" t="n"/>
      <c r="C329" s="2145" t="n"/>
      <c r="D329" s="2145" t="n"/>
      <c r="E329" s="53" t="n"/>
      <c r="F329" s="53" t="n"/>
      <c r="G329" s="53" t="n"/>
      <c r="H329" s="93" t="n"/>
      <c r="I329" s="2145" t="n"/>
      <c r="J329" s="2145" t="n"/>
      <c r="K329" s="53" t="n"/>
      <c r="L329" s="53" t="n"/>
    </row>
    <row r="330" customFormat="1" s="1916">
      <c r="A330" s="53" t="n"/>
      <c r="B330" s="93" t="n"/>
      <c r="C330" s="2145" t="n"/>
      <c r="D330" s="2145" t="n"/>
      <c r="E330" s="53" t="n"/>
      <c r="F330" s="53" t="n"/>
      <c r="G330" s="53" t="n"/>
      <c r="H330" s="93" t="n"/>
      <c r="I330" s="2145" t="n"/>
      <c r="J330" s="2145" t="n"/>
      <c r="K330" s="53" t="n"/>
      <c r="L330" s="53" t="n"/>
    </row>
    <row r="331" customFormat="1" s="1916">
      <c r="A331" s="53" t="n"/>
      <c r="B331" s="93" t="n"/>
      <c r="C331" s="2145" t="n"/>
      <c r="D331" s="2145" t="n"/>
      <c r="E331" s="53" t="n"/>
      <c r="F331" s="53" t="n"/>
      <c r="G331" s="53" t="n"/>
      <c r="H331" s="93" t="n"/>
      <c r="I331" s="2145" t="n"/>
      <c r="J331" s="2145" t="n"/>
      <c r="K331" s="53" t="n"/>
      <c r="L331" s="53" t="n"/>
    </row>
    <row r="332" customFormat="1" s="1916">
      <c r="A332" s="53" t="n"/>
      <c r="B332" s="93" t="n"/>
      <c r="C332" s="2145" t="n"/>
      <c r="D332" s="2145" t="n"/>
      <c r="E332" s="53" t="n"/>
      <c r="F332" s="53" t="n"/>
      <c r="G332" s="53" t="n"/>
      <c r="H332" s="93" t="n"/>
      <c r="I332" s="2147" t="n"/>
      <c r="J332" s="2147" t="n"/>
      <c r="K332" s="53" t="n"/>
      <c r="L332" s="53" t="n"/>
    </row>
    <row r="333" customFormat="1" s="1916">
      <c r="A333" s="103" t="n"/>
      <c r="B333" s="103" t="n"/>
      <c r="C333" s="2147" t="n"/>
      <c r="D333" s="2147" t="n"/>
      <c r="E333" s="53" t="n"/>
      <c r="F333" s="53" t="n"/>
      <c r="G333" s="103" t="n"/>
      <c r="H333" s="103" t="n"/>
      <c r="I333" s="53" t="n"/>
      <c r="K333" s="106" t="n"/>
      <c r="L333" s="106" t="n"/>
    </row>
    <row r="334" customFormat="1" s="1916">
      <c r="A334" s="53" t="n"/>
      <c r="B334" s="53" t="n"/>
      <c r="C334" s="2145" t="n"/>
      <c r="D334" s="2145" t="n"/>
      <c r="E334" s="53" t="n"/>
      <c r="F334" s="53" t="n"/>
      <c r="G334" s="53" t="n"/>
      <c r="H334" s="53" t="n"/>
    </row>
    <row r="335" customFormat="1" s="1916">
      <c r="A335" s="53" t="n"/>
      <c r="B335" s="53" t="n"/>
      <c r="C335" s="2145" t="n"/>
      <c r="D335" s="2145" t="n"/>
      <c r="E335" s="53" t="n"/>
      <c r="F335" s="53" t="n"/>
    </row>
    <row r="336" customFormat="1" s="1916">
      <c r="A336" s="53" t="n"/>
      <c r="B336" s="53" t="n"/>
      <c r="C336" s="2145" t="n"/>
      <c r="D336" s="2147" t="n"/>
      <c r="E336" s="53" t="n"/>
      <c r="F336" s="53" t="n"/>
    </row>
    <row r="337" customFormat="1" s="1916">
      <c r="A337" s="53" t="n"/>
      <c r="B337" s="53" t="n"/>
      <c r="C337" s="2145" t="n"/>
      <c r="D337" s="2145" t="n"/>
      <c r="E337" s="53" t="n"/>
      <c r="F337" s="53" t="n"/>
    </row>
    <row r="338" customFormat="1" s="1916">
      <c r="A338" s="53" t="n"/>
      <c r="B338" s="53" t="n"/>
      <c r="C338" s="2145" t="n"/>
      <c r="D338" s="2145" t="n"/>
      <c r="E338" s="53" t="n"/>
      <c r="F338" s="53" t="n"/>
    </row>
    <row r="339" customFormat="1" s="1916">
      <c r="A339" s="53" t="n"/>
      <c r="B339" s="112" t="n"/>
      <c r="C339" s="2145" t="n"/>
      <c r="D339" s="2145" t="n"/>
      <c r="E339" s="53" t="n"/>
      <c r="F339" s="53" t="n"/>
    </row>
    <row r="340" customFormat="1" s="1916">
      <c r="A340" s="53" t="n"/>
      <c r="B340" s="112" t="n"/>
      <c r="C340" s="2145" t="n"/>
      <c r="D340" s="2145" t="n"/>
      <c r="E340" s="53" t="n"/>
      <c r="F340" s="53" t="n"/>
    </row>
    <row r="341" customFormat="1" s="1916">
      <c r="A341" s="53" t="n"/>
      <c r="B341" s="113" t="n"/>
      <c r="C341" s="2145" t="n"/>
      <c r="D341" s="2145" t="n"/>
      <c r="E341" s="53" t="n"/>
      <c r="F341" s="53" t="n"/>
    </row>
    <row r="342" customFormat="1" s="1916">
      <c r="A342" s="53" t="n"/>
      <c r="B342" s="113" t="n"/>
      <c r="C342" s="2145" t="n"/>
      <c r="D342" s="2145" t="n"/>
      <c r="E342" s="53" t="n"/>
      <c r="F342" s="53" t="n"/>
    </row>
    <row r="343" customFormat="1" s="1916">
      <c r="A343" s="53" t="n"/>
      <c r="B343" s="113" t="n"/>
      <c r="C343" s="2145" t="n"/>
      <c r="D343" s="2145" t="n"/>
      <c r="E343" s="53" t="n"/>
      <c r="F343" s="53" t="n"/>
    </row>
    <row r="344" customFormat="1" s="1916">
      <c r="A344" s="53" t="n"/>
      <c r="B344" s="113" t="n"/>
      <c r="C344" s="2145" t="n"/>
      <c r="D344" s="2145" t="n"/>
      <c r="E344" s="53" t="n"/>
      <c r="F344" s="53" t="n"/>
    </row>
    <row r="345" customFormat="1" s="1916">
      <c r="A345" s="53" t="n"/>
      <c r="B345" s="112" t="n"/>
      <c r="C345" s="2145" t="n"/>
      <c r="D345" s="2145" t="n"/>
      <c r="E345" s="53" t="n"/>
      <c r="F345" s="53" t="n"/>
    </row>
    <row r="346" customFormat="1" s="1916">
      <c r="A346" s="53" t="n"/>
      <c r="B346" s="112" t="n"/>
      <c r="C346" s="2145" t="n"/>
      <c r="D346" s="2145" t="n"/>
      <c r="E346" s="53" t="n"/>
      <c r="F346" s="53" t="n"/>
    </row>
    <row r="347" customFormat="1" s="1916">
      <c r="A347" s="53" t="n"/>
      <c r="B347" s="112" t="n"/>
      <c r="C347" s="2145" t="n"/>
      <c r="D347" s="2149" t="n"/>
      <c r="E347" s="53" t="n"/>
      <c r="F347" s="53" t="n"/>
      <c r="I347" s="2154" t="n"/>
    </row>
    <row r="348" customFormat="1" s="1916">
      <c r="A348" s="53" t="n"/>
      <c r="B348" s="113" t="n"/>
      <c r="C348" s="2145" t="n"/>
      <c r="D348" s="2145" t="n"/>
      <c r="E348" s="53" t="n"/>
      <c r="F348" s="53" t="n"/>
      <c r="G348" s="53" t="n"/>
    </row>
    <row r="349" customFormat="1" s="1916">
      <c r="A349" s="53" t="n"/>
      <c r="B349" s="53" t="n"/>
      <c r="C349" s="2145" t="n"/>
      <c r="D349" s="2145" t="n"/>
      <c r="E349" s="2145" t="n"/>
      <c r="F349" s="2145" t="n"/>
    </row>
    <row r="350" customFormat="1" s="1916">
      <c r="A350" s="53" t="n"/>
      <c r="B350" s="53" t="n"/>
      <c r="C350" s="2145" t="n"/>
      <c r="D350" s="2145" t="n"/>
      <c r="F350" s="108" t="n"/>
    </row>
    <row r="351" customFormat="1" s="1916">
      <c r="A351" s="116" t="n"/>
      <c r="D351" s="2145" t="n"/>
    </row>
    <row r="352" customFormat="1" s="1916"/>
    <row r="353" customFormat="1" s="1916">
      <c r="A353" s="115" t="n"/>
      <c r="I353" s="53" t="n"/>
      <c r="J353" s="2149" t="n"/>
      <c r="K353" s="2149" t="n"/>
      <c r="L353" s="2149" t="n"/>
      <c r="M353" s="53" t="n"/>
      <c r="N353" s="53" t="n"/>
    </row>
    <row r="354" customFormat="1" s="1916">
      <c r="A354" s="53" t="n"/>
      <c r="B354" s="53" t="n"/>
      <c r="C354" s="53" t="n"/>
      <c r="D354" s="53" t="n"/>
      <c r="G354" s="53" t="n"/>
      <c r="H354" s="53" t="n"/>
      <c r="I354" s="2149" t="n"/>
      <c r="J354" s="2149" t="n"/>
      <c r="K354" s="2149" t="n"/>
      <c r="L354" s="2149" t="n"/>
      <c r="M354" s="53" t="n"/>
      <c r="N354" s="53" t="n"/>
      <c r="O354" s="53" t="n"/>
    </row>
    <row r="355" customFormat="1" s="1916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2190" t="n"/>
      <c r="J355" s="2149" t="n"/>
      <c r="K355" s="2149" t="n"/>
      <c r="L355" s="2149" t="n"/>
      <c r="M355" s="53" t="n"/>
      <c r="N355" s="2145" t="n"/>
      <c r="O355" s="2145" t="n"/>
    </row>
    <row r="356" customFormat="1" s="1916">
      <c r="A356" s="53" t="n"/>
      <c r="B356" s="2155" t="n"/>
      <c r="C356" s="2145" t="n"/>
      <c r="D356" s="2145" t="n"/>
      <c r="E356" s="2156" t="n"/>
      <c r="F356" s="53" t="n"/>
      <c r="G356" s="53" t="n"/>
      <c r="H356" s="2145" t="n"/>
      <c r="I356" s="2190" t="n"/>
      <c r="J356" s="2149" t="n"/>
      <c r="L356" s="2149" t="n"/>
      <c r="M356" s="53" t="n"/>
      <c r="N356" s="2156" t="n"/>
      <c r="O356" s="2145" t="n"/>
    </row>
    <row r="357" customFormat="1" s="1916">
      <c r="A357" s="53" t="n"/>
      <c r="B357" s="53" t="n"/>
      <c r="C357" s="2145" t="n"/>
      <c r="D357" s="2145" t="n"/>
      <c r="E357" s="2190" t="n"/>
      <c r="G357" s="53" t="n"/>
      <c r="H357" s="2145" t="n"/>
      <c r="L357" s="53" t="n"/>
      <c r="M357" s="53" t="n"/>
      <c r="N357" s="2156" t="n"/>
      <c r="O357" s="2145" t="n"/>
    </row>
    <row r="358" customFormat="1" s="1916">
      <c r="A358" s="53" t="n"/>
      <c r="B358" s="53" t="n"/>
      <c r="C358" s="2145" t="n"/>
      <c r="D358" s="2145" t="n"/>
      <c r="E358" s="53" t="n"/>
      <c r="F358" s="53" t="n"/>
      <c r="L358" s="53" t="n"/>
      <c r="M358" s="2145" t="n"/>
      <c r="N358" s="53" t="n"/>
      <c r="O358" s="2145" t="n"/>
    </row>
    <row r="359" customFormat="1" s="1916">
      <c r="A359" s="53" t="n"/>
      <c r="B359" s="53" t="n"/>
      <c r="C359" s="2145" t="n"/>
      <c r="D359" s="2145" t="n"/>
      <c r="E359" s="53" t="n"/>
      <c r="F359" s="53" t="n"/>
      <c r="L359" s="53" t="n"/>
      <c r="M359" s="53" t="n"/>
      <c r="N359" s="53" t="n"/>
      <c r="O359" s="53" t="n"/>
    </row>
    <row r="360" customFormat="1" s="1916">
      <c r="A360" s="53" t="n"/>
      <c r="B360" s="53" t="n"/>
      <c r="C360" s="2145" t="n"/>
      <c r="D360" s="2145" t="n"/>
      <c r="E360" s="53" t="n"/>
      <c r="F360" s="53" t="n"/>
      <c r="L360" s="53" t="n"/>
      <c r="M360" s="53" t="n"/>
      <c r="N360" s="53" t="n"/>
      <c r="O360" s="53" t="n"/>
    </row>
    <row r="361" customFormat="1" s="1916">
      <c r="A361" s="53" t="n"/>
      <c r="B361" s="53" t="n"/>
      <c r="C361" s="2145" t="n"/>
      <c r="D361" s="2145" t="n"/>
      <c r="E361" s="53" t="n"/>
      <c r="F361" s="53" t="n"/>
      <c r="L361" s="53" t="n"/>
      <c r="M361" s="53" t="n"/>
      <c r="N361" s="53" t="n"/>
      <c r="O361" s="53" t="n"/>
      <c r="P361" s="53" t="n"/>
      <c r="Q361" s="53" t="n"/>
    </row>
    <row r="362" customFormat="1" s="1916">
      <c r="A362" s="53" t="n"/>
      <c r="B362" s="53" t="n"/>
      <c r="C362" s="2145" t="n"/>
      <c r="D362" s="2145" t="n"/>
      <c r="E362" s="53" t="n"/>
      <c r="F362" s="53" t="n"/>
      <c r="L362" s="53" t="n"/>
      <c r="M362" s="53" t="n"/>
      <c r="N362" s="53" t="n"/>
      <c r="O362" s="53" t="n"/>
      <c r="P362" s="2145" t="n"/>
      <c r="Q362" s="2145" t="n"/>
    </row>
    <row r="363" customFormat="1" s="1916">
      <c r="A363" s="53" t="n"/>
      <c r="B363" s="53" t="n"/>
      <c r="C363" s="2145" t="n"/>
      <c r="D363" s="2145" t="n"/>
      <c r="E363" s="53" t="n"/>
      <c r="F363" s="53" t="n"/>
      <c r="L363" s="53" t="n"/>
      <c r="M363" s="53" t="n"/>
      <c r="N363" s="53" t="n"/>
      <c r="O363" s="53" t="n"/>
      <c r="P363" s="2145" t="n"/>
      <c r="Q363" s="2145" t="n"/>
    </row>
    <row r="364" customFormat="1" s="1916">
      <c r="A364" s="53" t="n"/>
      <c r="B364" s="53" t="n"/>
      <c r="C364" s="2145" t="n"/>
      <c r="D364" s="2145" t="n"/>
      <c r="E364" s="53" t="n"/>
      <c r="F364" s="53" t="n"/>
      <c r="L364" s="53" t="n"/>
      <c r="M364" s="53" t="n"/>
      <c r="N364" s="53" t="n"/>
      <c r="O364" s="53" t="n"/>
      <c r="P364" s="2145" t="n"/>
      <c r="Q364" s="2145" t="n"/>
    </row>
    <row r="365" customFormat="1" s="1916">
      <c r="A365" s="53" t="n"/>
      <c r="B365" s="53" t="n"/>
      <c r="C365" s="2145" t="n"/>
      <c r="D365" s="2145" t="n"/>
      <c r="E365" s="53" t="n"/>
      <c r="F365" s="53" t="n"/>
      <c r="O365" s="53" t="n"/>
      <c r="P365" s="2145" t="n"/>
      <c r="Q365" s="2145" t="n"/>
    </row>
    <row r="366" customFormat="1" s="1916">
      <c r="A366" s="103" t="n"/>
      <c r="B366" s="103" t="n"/>
      <c r="C366" s="2147" t="n"/>
      <c r="D366" s="2147" t="n"/>
      <c r="E366" s="53" t="n"/>
      <c r="F366" s="53" t="n"/>
      <c r="I366" s="53" t="n"/>
      <c r="J366" s="53" t="n"/>
      <c r="K366" s="53" t="n"/>
      <c r="L366" s="53" t="n"/>
      <c r="P366" s="53" t="n"/>
      <c r="Q366" s="53" t="n"/>
    </row>
    <row r="367" customFormat="1" s="1916">
      <c r="A367" s="103" t="n"/>
      <c r="B367" s="103" t="n"/>
      <c r="C367" s="2147" t="n"/>
      <c r="D367" s="2147" t="n"/>
      <c r="E367" s="53" t="n"/>
      <c r="F367" s="53" t="n"/>
      <c r="G367" s="53" t="n"/>
      <c r="H367" s="53" t="n"/>
      <c r="I367" s="53" t="n"/>
      <c r="J367" s="106" t="n"/>
      <c r="K367" s="106" t="n"/>
      <c r="L367" s="106" t="n"/>
      <c r="P367" s="53" t="n"/>
      <c r="Q367" s="53" t="n"/>
    </row>
    <row r="368" customFormat="1" s="1916">
      <c r="A368" s="103" t="n"/>
      <c r="B368" s="105" t="n"/>
      <c r="C368" s="2147" t="n"/>
      <c r="D368" s="2147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P368" s="53" t="n"/>
      <c r="Q368" s="53" t="n"/>
    </row>
    <row r="369" customFormat="1" s="1916">
      <c r="A369" s="53" t="n"/>
      <c r="B369" s="53" t="n"/>
      <c r="C369" s="2145" t="n"/>
      <c r="D369" s="2145" t="n"/>
      <c r="E369" s="53" t="n"/>
      <c r="F369" s="53" t="n"/>
      <c r="G369" s="2191" t="n"/>
      <c r="H369" s="53" t="n"/>
      <c r="I369" s="53" t="n"/>
      <c r="J369" s="106" t="n"/>
      <c r="K369" s="106" t="n"/>
      <c r="L369" s="106" t="n"/>
      <c r="P369" s="53" t="n"/>
      <c r="Q369" s="53" t="n"/>
    </row>
    <row r="370" customFormat="1" s="1916">
      <c r="A370" s="3" t="n"/>
      <c r="B370" s="2156" t="n"/>
      <c r="C370" s="3" t="n"/>
      <c r="D370" s="2156" t="n"/>
      <c r="G370" s="53" t="n"/>
      <c r="H370" s="108" t="n"/>
      <c r="I370" s="53" t="n"/>
      <c r="J370" s="2145" t="n"/>
      <c r="K370" s="53" t="n"/>
      <c r="L370" s="53" t="n"/>
      <c r="P370" s="53" t="n"/>
      <c r="Q370" s="53" t="n"/>
    </row>
    <row r="371" customFormat="1" s="1916">
      <c r="A371" s="53" t="n"/>
      <c r="B371" s="53" t="n"/>
      <c r="C371" s="53" t="n"/>
      <c r="D371" s="53" t="n"/>
      <c r="E371" s="106" t="n"/>
      <c r="G371" s="53" t="n"/>
      <c r="H371" s="53" t="n"/>
      <c r="I371" s="2145" t="n"/>
      <c r="J371" s="2145" t="n"/>
      <c r="K371" s="53" t="n"/>
      <c r="L371" s="53" t="n"/>
      <c r="P371" s="53" t="n"/>
      <c r="Q371" s="53" t="n"/>
    </row>
    <row r="372" customFormat="1" s="1916">
      <c r="A372" s="53" t="n"/>
      <c r="B372" s="53" t="n"/>
      <c r="C372" s="2192" t="n"/>
      <c r="D372" s="106" t="n"/>
      <c r="E372" s="106" t="n"/>
      <c r="G372" s="53" t="n"/>
      <c r="H372" s="93" t="n"/>
      <c r="I372" s="2145" t="n"/>
      <c r="J372" s="2145" t="n"/>
      <c r="K372" s="53" t="n"/>
      <c r="L372" s="53" t="n"/>
      <c r="P372" s="53" t="n"/>
      <c r="Q372" s="53" t="n"/>
    </row>
    <row r="373" customFormat="1" s="1916">
      <c r="A373" s="53" t="n"/>
      <c r="B373" s="53" t="n"/>
      <c r="C373" s="53" t="n"/>
      <c r="D373" s="53" t="n"/>
      <c r="E373" s="53" t="n"/>
      <c r="G373" s="53" t="n"/>
      <c r="H373" s="93" t="n"/>
      <c r="I373" s="2145" t="n"/>
      <c r="J373" s="2145" t="n"/>
      <c r="K373" s="53" t="n"/>
      <c r="L373" s="53" t="n"/>
    </row>
    <row r="374" customFormat="1" s="1916">
      <c r="A374" s="53" t="n"/>
      <c r="B374" s="53" t="n"/>
      <c r="C374" s="2192" t="n"/>
      <c r="D374" s="106" t="n"/>
      <c r="E374" s="106" t="n"/>
      <c r="G374" s="53" t="n"/>
      <c r="H374" s="93" t="n"/>
      <c r="I374" s="2145" t="n"/>
      <c r="J374" s="2145" t="n"/>
      <c r="K374" s="53" t="n"/>
      <c r="L374" s="53" t="n"/>
    </row>
    <row r="375" customFormat="1" s="1916">
      <c r="A375" s="111" t="n"/>
      <c r="B375" s="53" t="n"/>
      <c r="C375" s="53" t="n"/>
      <c r="D375" s="53" t="n"/>
      <c r="E375" s="53" t="n"/>
      <c r="G375" s="53" t="n"/>
      <c r="H375" s="93" t="n"/>
      <c r="I375" s="2145" t="n"/>
      <c r="J375" s="2145" t="n"/>
      <c r="K375" s="53" t="n"/>
      <c r="L375" s="53" t="n"/>
    </row>
    <row r="376" customFormat="1" s="1916">
      <c r="A376" s="53" t="n"/>
      <c r="B376" s="53" t="n"/>
      <c r="C376" s="2192" t="n"/>
      <c r="D376" s="106" t="n"/>
      <c r="E376" s="106" t="n"/>
      <c r="G376" s="53" t="n"/>
      <c r="H376" s="93" t="n"/>
      <c r="I376" s="2147" t="n"/>
      <c r="J376" s="2147" t="n"/>
    </row>
    <row r="377" customFormat="1" s="1916">
      <c r="A377" s="53" t="n"/>
      <c r="B377" s="53" t="n"/>
      <c r="C377" s="53" t="n"/>
      <c r="D377" s="2157" t="n"/>
      <c r="E377" s="2157" t="n"/>
      <c r="F377" s="53" t="n"/>
      <c r="G377" s="103" t="n"/>
      <c r="H377" s="103" t="n"/>
    </row>
    <row r="378" customFormat="1" s="1916">
      <c r="A378" s="53" t="n"/>
      <c r="B378" s="53" t="n"/>
      <c r="C378" s="2145" t="n"/>
      <c r="D378" s="2145" t="n"/>
      <c r="E378" s="2145" t="n"/>
      <c r="F378" s="111" t="n"/>
      <c r="G378" s="53" t="n"/>
      <c r="H378" s="53" t="n"/>
      <c r="K378" s="53" t="n"/>
      <c r="L378" s="53" t="n"/>
    </row>
    <row r="379" customFormat="1" s="1916">
      <c r="A379" s="53" t="n"/>
      <c r="B379" s="53" t="n"/>
      <c r="C379" s="53" t="n"/>
      <c r="D379" s="2145" t="n"/>
      <c r="E379" s="53" t="n"/>
      <c r="F379" s="53" t="n"/>
      <c r="G379" s="53" t="n"/>
      <c r="H379" s="53" t="n"/>
      <c r="I379" s="53" t="n"/>
      <c r="J379" s="2145" t="n"/>
      <c r="K379" s="53" t="n"/>
      <c r="L379" s="53" t="n"/>
    </row>
    <row r="380" customFormat="1" s="1916">
      <c r="A380" s="53" t="n"/>
      <c r="B380" s="93" t="n"/>
      <c r="C380" s="2145" t="n"/>
      <c r="D380" s="2145" t="n"/>
      <c r="E380" s="53" t="n"/>
      <c r="F380" s="53" t="n"/>
      <c r="G380" s="2156" t="n"/>
      <c r="H380" s="93" t="n"/>
      <c r="I380" s="2145" t="n"/>
      <c r="J380" s="2145" t="n"/>
      <c r="K380" s="53" t="n"/>
      <c r="L380" s="53" t="n"/>
    </row>
    <row r="381" customFormat="1" s="1916">
      <c r="A381" s="111" t="n"/>
      <c r="B381" s="93" t="n"/>
      <c r="C381" s="2145" t="n"/>
      <c r="D381" s="2145" t="n"/>
      <c r="E381" s="53" t="n"/>
      <c r="F381" s="53" t="n"/>
      <c r="G381" s="53" t="n"/>
      <c r="H381" s="93" t="n"/>
      <c r="I381" s="2145" t="n"/>
      <c r="J381" s="2145" t="n"/>
      <c r="K381" s="53" t="n"/>
      <c r="L381" s="53" t="n"/>
    </row>
    <row r="382" customFormat="1" s="1916">
      <c r="A382" s="53" t="n"/>
      <c r="B382" s="93" t="n"/>
      <c r="C382" s="2145" t="n"/>
      <c r="D382" s="2145" t="n"/>
      <c r="E382" s="53" t="n"/>
      <c r="F382" s="53" t="n"/>
      <c r="G382" s="53" t="n"/>
      <c r="H382" s="93" t="n"/>
      <c r="I382" s="2145" t="n"/>
      <c r="J382" s="2145" t="n"/>
      <c r="K382" s="53" t="n"/>
      <c r="L382" s="53" t="n"/>
    </row>
    <row r="383" customFormat="1" s="1916">
      <c r="A383" s="53" t="n"/>
      <c r="B383" s="93" t="n"/>
      <c r="C383" s="2145" t="n"/>
      <c r="D383" s="2145" t="n"/>
      <c r="E383" s="111" t="n"/>
      <c r="F383" s="53" t="n"/>
      <c r="G383" s="53" t="n"/>
      <c r="H383" s="93" t="n"/>
      <c r="I383" s="2145" t="n"/>
      <c r="J383" s="2145" t="n"/>
      <c r="K383" s="53" t="n"/>
      <c r="L383" s="53" t="n"/>
    </row>
    <row r="384" customFormat="1" s="1916">
      <c r="A384" s="53" t="n"/>
      <c r="B384" s="93" t="n"/>
      <c r="C384" s="2145" t="n"/>
      <c r="D384" s="2145" t="n"/>
      <c r="E384" s="111" t="n"/>
      <c r="F384" s="53" t="n"/>
      <c r="G384" s="53" t="n"/>
      <c r="H384" s="93" t="n"/>
      <c r="I384" s="2145" t="n"/>
      <c r="J384" s="2145" t="n"/>
      <c r="K384" s="53" t="n"/>
      <c r="L384" s="53" t="n"/>
    </row>
    <row r="385" customFormat="1" s="1916">
      <c r="A385" s="53" t="n"/>
      <c r="B385" s="93" t="n"/>
      <c r="C385" s="2145" t="n"/>
      <c r="D385" s="2145" t="n"/>
      <c r="E385" s="53" t="n"/>
      <c r="F385" s="53" t="n"/>
      <c r="G385" s="53" t="n"/>
      <c r="H385" s="93" t="n"/>
      <c r="I385" s="2145" t="n"/>
      <c r="J385" s="2145" t="n"/>
      <c r="K385" s="53" t="n"/>
      <c r="L385" s="53" t="n"/>
    </row>
    <row r="386" customFormat="1" s="1916">
      <c r="A386" s="53" t="n"/>
      <c r="B386" s="93" t="n"/>
      <c r="C386" s="2145" t="n"/>
      <c r="D386" s="2145" t="n"/>
      <c r="E386" s="53" t="n"/>
      <c r="F386" s="53" t="n"/>
      <c r="G386" s="53" t="n"/>
      <c r="H386" s="93" t="n"/>
      <c r="I386" s="2145" t="n"/>
      <c r="J386" s="2145" t="n"/>
      <c r="K386" s="53" t="n"/>
      <c r="L386" s="53" t="n"/>
    </row>
    <row r="387" customFormat="1" s="1916">
      <c r="A387" s="53" t="n"/>
      <c r="B387" s="93" t="n"/>
      <c r="C387" s="2145" t="n"/>
      <c r="D387" s="2145" t="n"/>
      <c r="E387" s="53" t="n"/>
      <c r="F387" s="53" t="n"/>
      <c r="G387" s="53" t="n"/>
      <c r="H387" s="93" t="n"/>
      <c r="I387" s="2145" t="n"/>
      <c r="J387" s="2145" t="n"/>
      <c r="K387" s="53" t="n"/>
      <c r="L387" s="53" t="n"/>
    </row>
    <row r="388" customFormat="1" s="1916">
      <c r="A388" s="53" t="n"/>
      <c r="B388" s="93" t="n"/>
      <c r="C388" s="2145" t="n"/>
      <c r="D388" s="2145" t="n"/>
      <c r="E388" s="53" t="n"/>
      <c r="F388" s="53" t="n"/>
      <c r="G388" s="53" t="n"/>
      <c r="H388" s="93" t="n"/>
      <c r="I388" s="2147" t="n"/>
      <c r="J388" s="2147" t="n"/>
      <c r="K388" s="53" t="n"/>
      <c r="L388" s="53" t="n"/>
    </row>
    <row r="389" customFormat="1" s="1916">
      <c r="A389" s="103" t="n"/>
      <c r="B389" s="103" t="n"/>
      <c r="C389" s="2147" t="n"/>
      <c r="D389" s="2147" t="n"/>
      <c r="E389" s="53" t="n"/>
      <c r="F389" s="53" t="n"/>
      <c r="G389" s="103" t="n"/>
      <c r="H389" s="103" t="n"/>
      <c r="I389" s="53" t="n"/>
      <c r="K389" s="106" t="n"/>
      <c r="L389" s="106" t="n"/>
    </row>
    <row r="390" customFormat="1" s="1916">
      <c r="A390" s="53" t="n"/>
      <c r="B390" s="53" t="n"/>
      <c r="C390" s="2145" t="n"/>
      <c r="D390" s="2145" t="n"/>
      <c r="E390" s="53" t="n"/>
      <c r="F390" s="53" t="n"/>
      <c r="G390" s="53" t="n"/>
      <c r="H390" s="53" t="n"/>
    </row>
    <row r="391" customFormat="1" s="1916">
      <c r="A391" s="53" t="n"/>
      <c r="B391" s="53" t="n"/>
      <c r="C391" s="2145" t="n"/>
      <c r="D391" s="2145" t="n"/>
      <c r="E391" s="53" t="n"/>
      <c r="F391" s="53" t="n"/>
    </row>
    <row r="392" customFormat="1" s="1916">
      <c r="A392" s="53" t="n"/>
      <c r="B392" s="53" t="n"/>
      <c r="C392" s="2145" t="n"/>
      <c r="D392" s="2147" t="n"/>
      <c r="E392" s="53" t="n"/>
      <c r="F392" s="53" t="n"/>
    </row>
    <row r="393" customFormat="1" s="1916">
      <c r="A393" s="53" t="n"/>
      <c r="B393" s="53" t="n"/>
      <c r="C393" s="2145" t="n"/>
      <c r="D393" s="2145" t="n"/>
      <c r="E393" s="53" t="n"/>
      <c r="F393" s="53" t="n"/>
    </row>
    <row r="394" customFormat="1" s="1916">
      <c r="A394" s="53" t="n"/>
      <c r="B394" s="53" t="n"/>
      <c r="C394" s="2145" t="n"/>
      <c r="D394" s="2145" t="n"/>
      <c r="E394" s="53" t="n"/>
      <c r="F394" s="53" t="n"/>
    </row>
    <row r="395" customFormat="1" s="1916">
      <c r="A395" s="53" t="n"/>
      <c r="B395" s="112" t="n"/>
      <c r="C395" s="2145" t="n"/>
      <c r="D395" s="2145" t="n"/>
      <c r="E395" s="53" t="n"/>
      <c r="F395" s="53" t="n"/>
    </row>
    <row r="396" customFormat="1" s="1916">
      <c r="A396" s="53" t="n"/>
      <c r="B396" s="112" t="n"/>
      <c r="C396" s="2145" t="n"/>
      <c r="D396" s="2145" t="n"/>
      <c r="E396" s="53" t="n"/>
      <c r="F396" s="53" t="n"/>
    </row>
    <row r="397" customFormat="1" s="1916">
      <c r="A397" s="53" t="n"/>
      <c r="B397" s="113" t="n"/>
      <c r="C397" s="2145" t="n"/>
      <c r="D397" s="2145" t="n"/>
      <c r="E397" s="53" t="n"/>
      <c r="F397" s="53" t="n"/>
    </row>
    <row r="398" customFormat="1" s="1916">
      <c r="A398" s="53" t="n"/>
      <c r="B398" s="113" t="n"/>
      <c r="C398" s="2145" t="n"/>
      <c r="D398" s="2145" t="n"/>
      <c r="E398" s="53" t="n"/>
      <c r="F398" s="53" t="n"/>
    </row>
    <row r="399" customFormat="1" s="1916">
      <c r="A399" s="53" t="n"/>
      <c r="B399" s="113" t="n"/>
      <c r="C399" s="2145" t="n"/>
      <c r="D399" s="2145" t="n"/>
      <c r="E399" s="53" t="n"/>
      <c r="F399" s="53" t="n"/>
    </row>
    <row r="400" customFormat="1" s="1916">
      <c r="A400" s="53" t="n"/>
      <c r="B400" s="113" t="n"/>
      <c r="C400" s="2145" t="n"/>
      <c r="D400" s="2145" t="n"/>
      <c r="E400" s="53" t="n"/>
      <c r="F400" s="53" t="n"/>
    </row>
    <row r="401" customFormat="1" s="1916">
      <c r="A401" s="53" t="n"/>
      <c r="B401" s="112" t="n"/>
      <c r="C401" s="2145" t="n"/>
      <c r="D401" s="2145" t="n"/>
      <c r="E401" s="53" t="n"/>
      <c r="F401" s="53" t="n"/>
    </row>
    <row r="402" customFormat="1" s="1916">
      <c r="A402" s="53" t="n"/>
      <c r="B402" s="112" t="n"/>
      <c r="C402" s="2145" t="n"/>
      <c r="D402" s="2145" t="n"/>
      <c r="E402" s="53" t="n"/>
      <c r="F402" s="53" t="n"/>
    </row>
    <row r="403" customFormat="1" s="1916">
      <c r="A403" s="53" t="n"/>
      <c r="B403" s="112" t="n"/>
      <c r="C403" s="2145" t="n"/>
      <c r="D403" s="2149" t="n"/>
      <c r="E403" s="53" t="n"/>
      <c r="F403" s="53" t="n"/>
      <c r="I403" s="2154" t="n"/>
    </row>
    <row r="404" customFormat="1" s="1916">
      <c r="A404" s="53" t="n"/>
      <c r="B404" s="113" t="n"/>
      <c r="C404" s="2145" t="n"/>
      <c r="D404" s="2145" t="n"/>
      <c r="E404" s="53" t="n"/>
      <c r="F404" s="53" t="n"/>
      <c r="G404" s="53" t="n"/>
    </row>
    <row r="405" customFormat="1" s="1916">
      <c r="A405" s="53" t="n"/>
      <c r="B405" s="53" t="n"/>
      <c r="C405" s="2145" t="n"/>
      <c r="D405" s="2145" t="n"/>
      <c r="E405" s="2145" t="n"/>
      <c r="F405" s="2145" t="n"/>
    </row>
    <row r="406" customFormat="1" s="1916">
      <c r="A406" s="53" t="n"/>
      <c r="B406" s="53" t="n"/>
      <c r="C406" s="2145" t="n"/>
      <c r="D406" s="2145" t="n"/>
      <c r="F406" s="108" t="n"/>
    </row>
    <row r="407" customFormat="1" s="1916">
      <c r="D407" s="2145" t="n"/>
    </row>
    <row r="408" customFormat="1" s="1916"/>
    <row r="409" customFormat="1" s="1916"/>
    <row r="410" customFormat="1" s="1916"/>
    <row r="411" customFormat="1" s="1916"/>
    <row r="412" customFormat="1" s="1916"/>
    <row r="413" customFormat="1" s="1916"/>
    <row r="414" customFormat="1" s="1916"/>
    <row r="415">
      <c r="P415" s="1916" t="n"/>
      <c r="Q415" s="1916" t="n"/>
      <c r="R415" s="1916" t="n"/>
      <c r="S415" s="1916" t="n"/>
      <c r="T415" s="1916" t="n"/>
      <c r="U415" s="1916" t="n"/>
      <c r="V415" s="1916" t="n"/>
      <c r="AA415" s="1916" t="n"/>
      <c r="AB415" s="1916" t="n"/>
    </row>
    <row r="416">
      <c r="P416" s="1916" t="n"/>
      <c r="Q416" s="1916" t="n"/>
      <c r="R416" s="1916" t="n"/>
      <c r="S416" s="1916" t="n"/>
      <c r="T416" s="1916" t="n"/>
      <c r="U416" s="1916" t="n"/>
      <c r="V416" s="1916" t="n"/>
      <c r="AA416" s="1916" t="n"/>
      <c r="AB416" s="1916" t="n"/>
    </row>
    <row r="417">
      <c r="AA417" s="1916" t="n"/>
      <c r="AB417" s="1916" t="n"/>
    </row>
    <row r="418">
      <c r="AA418" s="1916" t="n"/>
      <c r="AB418" s="1916" t="n"/>
    </row>
    <row r="419">
      <c r="AA419" s="1916" t="n"/>
      <c r="AB419" s="1916" t="n"/>
    </row>
    <row r="420">
      <c r="AA420" s="1916" t="n"/>
      <c r="AB420" s="1916" t="n"/>
    </row>
    <row r="421">
      <c r="AA421" s="1916" t="n"/>
      <c r="AB421" s="1916" t="n"/>
    </row>
    <row r="422">
      <c r="AA422" s="1916" t="n"/>
      <c r="AB422" s="1916" t="n"/>
    </row>
    <row r="423">
      <c r="AA423" s="1916" t="n"/>
      <c r="AB423" s="1916" t="n"/>
    </row>
    <row r="424">
      <c r="AA424" s="1916" t="n"/>
      <c r="AB424" s="1916" t="n"/>
    </row>
    <row r="425">
      <c r="AA425" s="1916" t="n"/>
      <c r="AB425" s="1916" t="n"/>
    </row>
    <row r="426">
      <c r="AA426" s="1916" t="n"/>
      <c r="AB426" s="1916" t="n"/>
    </row>
    <row r="427">
      <c r="AA427" s="1916" t="n"/>
      <c r="AB427" s="1916" t="n"/>
    </row>
    <row r="428">
      <c r="AA428" s="1916" t="n"/>
      <c r="AB428" s="1916" t="n"/>
    </row>
    <row r="429">
      <c r="AA429" s="1916" t="n"/>
      <c r="AB429" s="1916" t="n"/>
    </row>
    <row r="430">
      <c r="AA430" s="1916" t="n"/>
      <c r="AB430" s="1916" t="n"/>
    </row>
    <row r="431">
      <c r="AA431" s="1916" t="n"/>
      <c r="AB431" s="1916" t="n"/>
    </row>
    <row r="432">
      <c r="AA432" s="1916" t="n"/>
      <c r="AB432" s="1916" t="n"/>
    </row>
    <row r="433">
      <c r="AA433" s="1916" t="n"/>
      <c r="AB433" s="1916" t="n"/>
    </row>
    <row r="434">
      <c r="AA434" s="1916" t="n"/>
      <c r="AB434" s="1916" t="n"/>
    </row>
    <row r="435">
      <c r="AA435" s="1916" t="n"/>
      <c r="AB435" s="1916" t="n"/>
    </row>
    <row r="436">
      <c r="AA436" s="1916" t="n"/>
      <c r="AB436" s="1916" t="n"/>
    </row>
    <row r="437">
      <c r="AA437" s="1916" t="n"/>
      <c r="AB437" s="1916" t="n"/>
    </row>
    <row r="438">
      <c r="AA438" s="1916" t="n"/>
      <c r="AB438" s="1916" t="n"/>
    </row>
    <row r="439">
      <c r="AA439" s="1916" t="n"/>
      <c r="AB439" s="1916" t="n"/>
    </row>
    <row r="440">
      <c r="AA440" s="1916" t="n"/>
      <c r="AB440" s="1916" t="n"/>
    </row>
    <row r="441">
      <c r="AA441" s="1916" t="n"/>
      <c r="AB441" s="1916" t="n"/>
    </row>
    <row r="442">
      <c r="AA442" s="1916" t="n"/>
      <c r="AB442" s="1916" t="n"/>
    </row>
    <row r="443">
      <c r="AA443" s="1916" t="n"/>
      <c r="AB443" s="1916" t="n"/>
    </row>
    <row r="444">
      <c r="AA444" s="1916" t="n"/>
      <c r="AB444" s="1916" t="n"/>
    </row>
    <row r="445">
      <c r="AA445" s="1916" t="n"/>
      <c r="AB445" s="1916" t="n"/>
    </row>
    <row r="446">
      <c r="AA446" s="1916" t="n"/>
      <c r="AB446" s="1916" t="n"/>
    </row>
    <row r="447">
      <c r="AA447" s="1916" t="n"/>
      <c r="AB447" s="1916" t="n"/>
    </row>
    <row r="448">
      <c r="AA448" s="1916" t="n"/>
      <c r="AB448" s="1916" t="n"/>
    </row>
    <row r="449">
      <c r="AA449" s="1916" t="n"/>
      <c r="AB449" s="1916" t="n"/>
    </row>
    <row r="450">
      <c r="AA450" s="1916" t="n"/>
      <c r="AB450" s="1916" t="n"/>
    </row>
    <row r="451">
      <c r="AA451" s="1916" t="n"/>
      <c r="AB451" s="1916" t="n"/>
    </row>
    <row r="452">
      <c r="AA452" s="1916" t="n"/>
      <c r="AB452" s="1916" t="n"/>
    </row>
    <row r="453">
      <c r="AA453" s="1916" t="n"/>
      <c r="AB453" s="1916" t="n"/>
    </row>
    <row r="454">
      <c r="AA454" s="1916" t="n"/>
      <c r="AB454" s="1916" t="n"/>
    </row>
    <row r="455">
      <c r="AA455" s="1916" t="n"/>
      <c r="AB455" s="1916" t="n"/>
    </row>
    <row r="456">
      <c r="AA456" s="1916" t="n"/>
      <c r="AB456" s="1916" t="n"/>
    </row>
    <row r="457">
      <c r="AA457" s="1916" t="n"/>
      <c r="AB457" s="1916" t="n"/>
    </row>
    <row r="458">
      <c r="AA458" s="1916" t="n"/>
      <c r="AB458" s="1916" t="n"/>
    </row>
    <row r="459">
      <c r="AA459" s="1916" t="n"/>
      <c r="AB459" s="1916" t="n"/>
    </row>
    <row r="460">
      <c r="AA460" s="1916" t="n"/>
      <c r="AB460" s="1916" t="n"/>
    </row>
    <row r="461">
      <c r="AA461" s="1916" t="n"/>
      <c r="AB461" s="1916" t="n"/>
    </row>
    <row r="462">
      <c r="AA462" s="1916" t="n"/>
      <c r="AB462" s="1916" t="n"/>
    </row>
    <row r="463">
      <c r="AA463" s="1916" t="n"/>
      <c r="AB463" s="1916" t="n"/>
    </row>
    <row r="464">
      <c r="AA464" s="1916" t="n"/>
      <c r="AB464" s="1916" t="n"/>
    </row>
    <row r="465">
      <c r="AA465" s="1916" t="n"/>
      <c r="AB465" s="1916" t="n"/>
    </row>
    <row r="466">
      <c r="AA466" s="1916" t="n"/>
      <c r="AB466" s="1916" t="n"/>
    </row>
    <row r="467">
      <c r="AA467" s="1916" t="n"/>
      <c r="AB467" s="1916" t="n"/>
    </row>
    <row r="468">
      <c r="AA468" s="1916" t="n"/>
      <c r="AB468" s="1916" t="n"/>
    </row>
    <row r="469">
      <c r="AA469" s="1916" t="n"/>
      <c r="AB469" s="1916" t="n"/>
    </row>
    <row r="470">
      <c r="AA470" s="1916" t="n"/>
      <c r="AB470" s="1916" t="n"/>
    </row>
    <row r="471">
      <c r="AA471" s="1916" t="n"/>
      <c r="AB471" s="1916" t="n"/>
    </row>
    <row r="472">
      <c r="AA472" s="1916" t="n"/>
      <c r="AB472" s="1916" t="n"/>
    </row>
    <row r="473">
      <c r="AA473" s="1916" t="n"/>
      <c r="AB473" s="1916" t="n"/>
    </row>
    <row r="474">
      <c r="AA474" s="1916" t="n"/>
      <c r="AB474" s="1916" t="n"/>
    </row>
    <row r="475">
      <c r="AA475" s="1916" t="n"/>
      <c r="AB475" s="1916" t="n"/>
    </row>
    <row r="476">
      <c r="AA476" s="1916" t="n"/>
      <c r="AB476" s="1916" t="n"/>
    </row>
    <row r="477">
      <c r="AA477" s="1916" t="n"/>
      <c r="AB477" s="1916" t="n"/>
    </row>
    <row r="478">
      <c r="AA478" s="1916" t="n"/>
      <c r="AB478" s="1916" t="n"/>
    </row>
    <row r="479">
      <c r="AA479" s="1916" t="n"/>
      <c r="AB479" s="1916" t="n"/>
    </row>
    <row r="480">
      <c r="AA480" s="1916" t="n"/>
      <c r="AB480" s="1916" t="n"/>
    </row>
    <row r="481">
      <c r="AA481" s="1916" t="n"/>
      <c r="AB481" s="1916" t="n"/>
    </row>
    <row r="482">
      <c r="AA482" s="1916" t="n"/>
      <c r="AB482" s="1916" t="n"/>
    </row>
    <row r="483">
      <c r="AA483" s="1916" t="n"/>
      <c r="AB483" s="1916" t="n"/>
    </row>
    <row r="484">
      <c r="AA484" s="1916" t="n"/>
      <c r="AB484" s="1916" t="n"/>
    </row>
    <row r="485">
      <c r="AA485" s="1916" t="n"/>
      <c r="AB485" s="1916" t="n"/>
    </row>
    <row r="486">
      <c r="AA486" s="1916" t="n"/>
      <c r="AB486" s="1916" t="n"/>
    </row>
    <row r="487">
      <c r="AA487" s="1916" t="n"/>
      <c r="AB487" s="1916" t="n"/>
    </row>
    <row r="488">
      <c r="AA488" s="1916" t="n"/>
      <c r="AB488" s="1916" t="n"/>
    </row>
    <row r="489">
      <c r="AA489" s="1916" t="n"/>
      <c r="AB489" s="1916" t="n"/>
    </row>
    <row r="490">
      <c r="AA490" s="1916" t="n"/>
      <c r="AB490" s="1916" t="n"/>
    </row>
    <row r="491">
      <c r="AA491" s="1916" t="n"/>
      <c r="AB491" s="1916" t="n"/>
    </row>
    <row r="492">
      <c r="AA492" s="1916" t="n"/>
      <c r="AB492" s="1916" t="n"/>
    </row>
    <row r="493">
      <c r="AA493" s="1916" t="n"/>
      <c r="AB493" s="1916" t="n"/>
    </row>
    <row r="494">
      <c r="AA494" s="1916" t="n"/>
      <c r="AB494" s="1916" t="n"/>
    </row>
    <row r="495">
      <c r="AA495" s="1916" t="n"/>
      <c r="AB495" s="1916" t="n"/>
    </row>
    <row r="496">
      <c r="AA496" s="1916" t="n"/>
      <c r="AB496" s="1916" t="n"/>
    </row>
    <row r="497">
      <c r="AA497" s="1916" t="n"/>
      <c r="AB497" s="1916" t="n"/>
    </row>
    <row r="498">
      <c r="AA498" s="1916" t="n"/>
      <c r="AB498" s="191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3">
    <mergeCell ref="P4:V4"/>
    <mergeCell ref="F41:G41"/>
    <mergeCell ref="V6:W6"/>
  </mergeCells>
  <conditionalFormatting sqref="A75:B75">
    <cfRule type="expression" priority="1" dxfId="4">
      <formula>$D$6="yes"</formula>
    </cfRule>
  </conditionalFormatting>
  <conditionalFormatting sqref="D5">
    <cfRule type="cellIs" priority="4" operator="equal" dxfId="2">
      <formula>"Yes"</formula>
    </cfRule>
  </conditionalFormatting>
  <conditionalFormatting sqref="D6">
    <cfRule type="containsText" priority="68" operator="containsText" dxfId="10" text="Yes">
      <formula>NOT(ISERROR(SEARCH("Yes",D6)))</formula>
    </cfRule>
  </conditionalFormatting>
  <conditionalFormatting sqref="D14">
    <cfRule type="containsText" priority="117" operator="containsText" dxfId="2" text="owner">
      <formula>NOT(ISERROR(SEARCH("owner",D14)))</formula>
    </cfRule>
  </conditionalFormatting>
  <conditionalFormatting sqref="D75">
    <cfRule type="expression" priority="2" dxfId="4">
      <formula>$D$6="yes"</formula>
    </cfRule>
  </conditionalFormatting>
  <conditionalFormatting sqref="E35">
    <cfRule type="containsText" priority="6" operator="containsText" dxfId="2" text="10 hour days">
      <formula>NOT(ISERROR(SEARCH("10 hour days",E35)))</formula>
    </cfRule>
    <cfRule type="containsText" priority="7" operator="containsText" dxfId="4" text="8 hour days">
      <formula>NOT(ISERROR(SEARCH("8 hour days",E35)))</formula>
    </cfRule>
  </conditionalFormatting>
  <conditionalFormatting sqref="E36">
    <cfRule type="cellIs" priority="3" operator="equal" dxfId="9" stopIfTrue="1">
      <formula>"PW"</formula>
    </cfRule>
  </conditionalFormatting>
  <conditionalFormatting sqref="F35">
    <cfRule type="cellIs" priority="99" operator="lessThan" dxfId="1">
      <formula>0.1</formula>
    </cfRule>
    <cfRule type="cellIs" priority="100" operator="greaterThan" dxfId="2">
      <formula>0.2</formula>
    </cfRule>
    <cfRule type="cellIs" priority="115" operator="greaterThan" dxfId="2">
      <formula>0.25</formula>
    </cfRule>
    <cfRule type="cellIs" priority="116" operator="lessThan" dxfId="1">
      <formula>0.15</formula>
    </cfRule>
  </conditionalFormatting>
  <hyperlinks>
    <hyperlink xmlns:r="http://schemas.openxmlformats.org/officeDocument/2006/relationships" ref="A75" r:id="rId1"/>
  </hyperlinks>
  <pageMargins left="0.75" right="0.75" top="0.5" bottom="0.25" header="0.5" footer="0.5"/>
  <pageSetup orientation="portrait" scale="68" horizontalDpi="4294967292" verticalDpi="4294967292"/>
  <colBreaks count="1" manualBreakCount="1">
    <brk id="6" min="0" max="1048575" man="1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O584"/>
  <sheetViews>
    <sheetView zoomScaleNormal="100" workbookViewId="0">
      <selection activeCell="B2" sqref="B2"/>
    </sheetView>
  </sheetViews>
  <sheetFormatPr baseColWidth="8" defaultColWidth="11" defaultRowHeight="15.6"/>
  <cols>
    <col width="20.296875" customWidth="1" min="1" max="1"/>
    <col width="13.796875" customWidth="1" min="2" max="2"/>
    <col width="13.296875" customWidth="1" min="3" max="4"/>
    <col width="14.296875" customWidth="1" min="5" max="5"/>
    <col width="32.296875" customWidth="1" min="6" max="6"/>
    <col width="18" customWidth="1" min="7" max="7"/>
    <col width="17.796875" customWidth="1" min="8" max="8"/>
    <col width="19.5" customWidth="1" min="9" max="9"/>
    <col width="21.5" customWidth="1" min="10" max="10"/>
    <col width="19.296875" customWidth="1" min="11" max="12"/>
    <col width="12.69921875" customWidth="1" min="13" max="14"/>
    <col width="17.69921875" customWidth="1" min="15" max="15"/>
    <col width="16.69921875" customWidth="1" min="16" max="18"/>
    <col width="15.69921875" bestFit="1" customWidth="1" min="19" max="19"/>
    <col width="12" customWidth="1" min="20" max="20"/>
    <col width="13.796875" customWidth="1" min="21" max="23"/>
    <col width="19" bestFit="1" customWidth="1" min="24" max="24"/>
    <col width="2.69921875" customWidth="1" min="25" max="25"/>
    <col width="13.69921875" bestFit="1" customWidth="1" min="26" max="26"/>
    <col width="22.5" bestFit="1" customWidth="1" min="27" max="27"/>
    <col width="3.296875" customWidth="1" min="28" max="28"/>
    <col width="15.69921875" bestFit="1" customWidth="1" min="29" max="29"/>
    <col width="22.5" bestFit="1" customWidth="1" min="30" max="30"/>
    <col width="11.5" bestFit="1" customWidth="1" min="31" max="31"/>
    <col width="21.69921875" bestFit="1" customWidth="1" min="39" max="39"/>
    <col width="19" bestFit="1" customWidth="1" min="42" max="42"/>
    <col width="22.5" bestFit="1" customWidth="1" min="45" max="45"/>
    <col width="22.5" bestFit="1" customWidth="1" min="48" max="48"/>
    <col width="11.69921875" bestFit="1" customWidth="1" min="51" max="51"/>
    <col width="2.296875" customWidth="1" min="52" max="52"/>
    <col width="2.796875" customWidth="1" min="53" max="53"/>
    <col width="11.69921875" bestFit="1" customWidth="1" min="54" max="54"/>
    <col width="3" customWidth="1" min="55" max="55"/>
    <col width="3.296875" customWidth="1" min="56" max="56"/>
    <col width="11.69921875" bestFit="1" customWidth="1" min="57" max="57"/>
    <col width="2.19921875" customWidth="1" min="58" max="59"/>
    <col width="9" bestFit="1" customWidth="1" min="60" max="60"/>
    <col width="14.796875" bestFit="1" customWidth="1" min="61" max="61"/>
    <col width="9" bestFit="1" customWidth="1" min="62" max="62"/>
    <col width="2.796875" customWidth="1" min="63" max="63"/>
    <col width="12.5" bestFit="1" customWidth="1" min="64" max="64"/>
    <col width="7.69921875" bestFit="1" customWidth="1" min="65" max="65"/>
    <col width="3.296875" customWidth="1" min="66" max="66"/>
    <col width="13.69921875" bestFit="1" customWidth="1" min="67" max="67"/>
    <col width="9" bestFit="1" customWidth="1" min="68" max="68"/>
    <col width="3.296875" customWidth="1" min="69" max="69"/>
    <col width="15.69921875" bestFit="1" customWidth="1" min="70" max="70"/>
    <col width="21.69921875" bestFit="1" customWidth="1" min="81" max="81"/>
    <col width="19" bestFit="1" customWidth="1" min="84" max="84"/>
    <col width="22.5" bestFit="1" customWidth="1" min="87" max="87"/>
    <col width="22.5" bestFit="1" customWidth="1" min="90" max="90"/>
    <col width="11.69921875" bestFit="1" customWidth="1" min="93" max="93"/>
    <col width="2.296875" customWidth="1" min="94" max="94"/>
    <col width="2.796875" customWidth="1" min="95" max="95"/>
    <col width="11.69921875" bestFit="1" customWidth="1" min="96" max="96"/>
    <col width="3" customWidth="1" min="97" max="97"/>
    <col width="3.296875" customWidth="1" min="98" max="98"/>
    <col width="11.69921875" bestFit="1" customWidth="1" min="99" max="99"/>
    <col width="2.19921875" customWidth="1" min="100" max="101"/>
    <col width="9" bestFit="1" customWidth="1" min="102" max="102"/>
    <col width="14.796875" bestFit="1" customWidth="1" min="103" max="103"/>
    <col width="9" bestFit="1" customWidth="1" min="104" max="104"/>
    <col width="2.796875" customWidth="1" min="105" max="105"/>
    <col width="12.5" bestFit="1" customWidth="1" min="106" max="106"/>
    <col width="7.69921875" bestFit="1" customWidth="1" min="107" max="107"/>
    <col width="3.296875" customWidth="1" min="108" max="108"/>
    <col width="13.69921875" bestFit="1" customWidth="1" min="109" max="109"/>
    <col width="9" bestFit="1" customWidth="1" min="110" max="110"/>
    <col width="3.296875" customWidth="1" min="111" max="111"/>
    <col width="15.69921875" bestFit="1" customWidth="1" min="112" max="112"/>
  </cols>
  <sheetData>
    <row r="1" customFormat="1" s="585">
      <c r="A1" s="1477">
        <f>B16</f>
        <v/>
      </c>
      <c r="B1" s="1711" t="inlineStr">
        <is>
          <t>: Base Bid</t>
        </is>
      </c>
      <c r="G1" s="586" t="inlineStr">
        <is>
          <t>Bidding Contacts:</t>
        </is>
      </c>
      <c r="M1" s="823" t="inlineStr">
        <is>
          <t xml:space="preserve">Layout </t>
        </is>
      </c>
      <c r="N1" s="823" t="inlineStr">
        <is>
          <t xml:space="preserve">Layout </t>
        </is>
      </c>
      <c r="O1" s="584" t="n"/>
      <c r="P1" s="584" t="n"/>
      <c r="Q1" s="584" t="n"/>
      <c r="R1" s="584" t="n"/>
    </row>
    <row r="2" ht="16.2" customFormat="1" customHeight="1" s="585" thickBot="1">
      <c r="A2" s="584" t="inlineStr">
        <is>
          <t>Project</t>
        </is>
      </c>
      <c r="G2" s="588" t="n"/>
      <c r="M2" s="969" t="inlineStr">
        <is>
          <t xml:space="preserve">Building # </t>
        </is>
      </c>
      <c r="N2" s="969" t="inlineStr">
        <is>
          <t xml:space="preserve">Floor # </t>
        </is>
      </c>
      <c r="O2" s="969" t="inlineStr">
        <is>
          <t>Total SF per Floor</t>
        </is>
      </c>
      <c r="P2" s="1289" t="inlineStr">
        <is>
          <t xml:space="preserve">SF-Soft Surfaces </t>
        </is>
      </c>
      <c r="Q2" s="1290" t="inlineStr">
        <is>
          <t xml:space="preserve">SF-Hard Surfaces </t>
        </is>
      </c>
      <c r="R2" s="1291" t="inlineStr">
        <is>
          <t>SF-Corridors</t>
        </is>
      </c>
      <c r="S2" s="969" t="inlineStr">
        <is>
          <t>Bags</t>
        </is>
      </c>
      <c r="T2" s="969" t="inlineStr">
        <is>
          <t>Mobilizations</t>
        </is>
      </c>
      <c r="U2" s="969" t="inlineStr">
        <is>
          <t xml:space="preserve">Alt Mobs. </t>
        </is>
      </c>
      <c r="V2" s="969" t="inlineStr">
        <is>
          <t>Days per Area</t>
        </is>
      </c>
      <c r="W2" s="1331" t="inlineStr">
        <is>
          <t>Mat Totals</t>
        </is>
      </c>
      <c r="X2" s="1331" t="inlineStr">
        <is>
          <t>Bag Totals</t>
        </is>
      </c>
    </row>
    <row r="3" customFormat="1" s="585">
      <c r="A3" s="584" t="inlineStr">
        <is>
          <t>Bid Date</t>
        </is>
      </c>
      <c r="B3" s="587" t="n"/>
      <c r="G3" s="588" t="n"/>
      <c r="L3" s="633" t="n"/>
      <c r="N3" s="1292" t="n"/>
      <c r="O3" s="1393">
        <f>SUM(P3:R3)</f>
        <v/>
      </c>
      <c r="P3" s="1394" t="n"/>
      <c r="Q3" s="1395" t="n"/>
      <c r="R3" s="1396" t="n"/>
      <c r="S3" s="1337">
        <f>((P3+Q3+R3)/F22)*H33</f>
        <v/>
      </c>
      <c r="T3" s="970" t="n"/>
      <c r="U3" s="633" t="n"/>
    </row>
    <row r="4" customFormat="1" s="585">
      <c r="A4" s="584" t="inlineStr">
        <is>
          <t>Address</t>
        </is>
      </c>
      <c r="G4" s="588" t="n"/>
      <c r="H4" s="593" t="n"/>
      <c r="I4" s="594" t="n"/>
      <c r="J4" s="594" t="n"/>
      <c r="L4" s="633" t="n"/>
      <c r="N4" s="1292" t="n"/>
      <c r="O4" s="1393">
        <f>SUM(P4:R4)</f>
        <v/>
      </c>
      <c r="P4" s="1394" t="n"/>
      <c r="Q4" s="1395" t="n"/>
      <c r="R4" s="1396" t="n"/>
      <c r="S4" s="1337">
        <f>((P4+Q4+R4)/F22)*H33</f>
        <v/>
      </c>
      <c r="T4" s="970" t="n"/>
      <c r="U4" s="633" t="n"/>
    </row>
    <row r="5" customFormat="1" s="585">
      <c r="A5" s="1637" t="inlineStr">
        <is>
          <t>Local?</t>
        </is>
      </c>
      <c r="B5" s="585" t="inlineStr">
        <is>
          <t>Yes</t>
        </is>
      </c>
      <c r="C5" s="590" t="inlineStr">
        <is>
          <t>&lt; 70 miles?</t>
        </is>
      </c>
      <c r="D5" s="1412" t="inlineStr">
        <is>
          <t xml:space="preserve">     Look-Up on Google Earth</t>
        </is>
      </c>
      <c r="E5" s="1413" t="n"/>
      <c r="G5" s="588" t="n"/>
      <c r="H5" s="593" t="n"/>
      <c r="I5" s="594" t="n"/>
      <c r="J5" s="594" t="n"/>
      <c r="L5" s="633" t="n"/>
      <c r="N5" s="1292" t="n"/>
      <c r="O5" s="1393">
        <f>SUM(P5:R5)</f>
        <v/>
      </c>
      <c r="P5" s="1394" t="n"/>
      <c r="Q5" s="1395" t="n"/>
      <c r="R5" s="1396" t="n"/>
      <c r="S5" s="1337">
        <f>((P5+Q5+R5)/F22)*H33</f>
        <v/>
      </c>
      <c r="T5" s="970" t="n"/>
      <c r="U5" s="633" t="n"/>
    </row>
    <row r="6" ht="16.2" customFormat="1" customHeight="1" s="585" thickBot="1">
      <c r="A6" s="584" t="inlineStr">
        <is>
          <t xml:space="preserve">Miles Away </t>
        </is>
      </c>
      <c r="B6" s="840" t="n">
        <v>0</v>
      </c>
      <c r="G6" s="588" t="n"/>
      <c r="H6" s="593" t="n"/>
      <c r="I6" s="594" t="n"/>
      <c r="J6" s="594" t="n"/>
      <c r="L6" s="633" t="n"/>
      <c r="N6" s="1292" t="n"/>
      <c r="O6" s="1393">
        <f>SUM(P6:R6)</f>
        <v/>
      </c>
      <c r="P6" s="1394" t="n"/>
      <c r="Q6" s="1395" t="n"/>
      <c r="R6" s="1396" t="n"/>
      <c r="S6" s="1337">
        <f>((P6+Q6+R6)/F22)*H33</f>
        <v/>
      </c>
      <c r="T6" s="970" t="n"/>
      <c r="U6" s="633" t="n"/>
      <c r="AM6" s="2193" t="n">
        <v>1000</v>
      </c>
      <c r="AN6" s="2193" t="n"/>
      <c r="AO6" s="2193" t="n"/>
      <c r="AP6" s="2193">
        <f>AM6</f>
        <v/>
      </c>
      <c r="AQ6" s="2193" t="n"/>
      <c r="AR6" s="2193" t="n"/>
      <c r="AS6" s="2193">
        <f>AM6+AP6</f>
        <v/>
      </c>
      <c r="AT6" s="2193" t="n"/>
      <c r="AU6" s="2193" t="n"/>
      <c r="AV6" s="2193">
        <f>AS6</f>
        <v/>
      </c>
      <c r="AW6" s="1051">
        <f>IF(AM6&lt;=#REF!,#REF!,IF(AM6&lt;=#REF!,#REF!,IF(AM6&lt;=#REF!,#REF!,IF(AM6&lt;=#REF!,#REF!,IF(AM6&lt;=#REF!,#REF!,IF(AM6&lt;=#REF!,#REF!,IF(AM6&lt;=#REF!,#REF!,0.05)))))))</f>
        <v/>
      </c>
      <c r="AX6" s="2193">
        <f>AW6*AM6</f>
        <v/>
      </c>
      <c r="AY6" s="1051" t="n"/>
      <c r="AZ6" s="1051">
        <f>IF(AP6&lt;=#REF!,#REF!,IF(AP6&lt;=#REF!,#REF!,IF(AP6&lt;=#REF!,#REF!,IF(AP6&lt;=#REF!,#REF!,IF(AP6&lt;=#REF!,#REF!,IF(AP6&lt;=#REF!,#REF!,IF(AP6&lt;=#REF!,#REF!,0.05)))))))</f>
        <v/>
      </c>
      <c r="BA6" s="2193">
        <f>AZ6*AP6</f>
        <v/>
      </c>
      <c r="BB6" s="1051" t="n"/>
      <c r="BC6" s="1051">
        <f>IF(AS6&lt;=#REF!,#REF!,IF(AS6&lt;=#REF!,#REF!,IF(AS6&lt;=#REF!,#REF!,IF(AS6&lt;=#REF!,#REF!,IF(AS6&lt;=#REF!,#REF!,IF(AS6&lt;=#REF!,#REF!,IF(AS6&lt;=#REF!,#REF!,0.05)))))))</f>
        <v/>
      </c>
      <c r="BD6" s="2193">
        <f>BC6*SUM(BA6,AX6,AS6)</f>
        <v/>
      </c>
      <c r="BE6" s="1051" t="n"/>
      <c r="BF6" s="2194">
        <f>IF(AV6&lt;=#REF!,#REF!,IF(AV6&lt;=#REF!,#REF!,IF(AV6&lt;=#REF!,#REF!,IF(AV6&lt;=#REF!,#REF!,IF(AV6&lt;=#REF!,#REF!,IF(AV6&lt;=#REF!,#REF!,IF(AV6&lt;=#REF!,#REF!,0.05)))))))</f>
        <v/>
      </c>
      <c r="BG6" s="2193">
        <f>BF6*AV6</f>
        <v/>
      </c>
      <c r="BI6" s="1932">
        <f>0.07*SUM(AS6,AX6,BA6,BD6,BG6)</f>
        <v/>
      </c>
      <c r="BK6" s="1932">
        <f>SUM(BI6,BG6,BD6,BA6,AX6,AS6)</f>
        <v/>
      </c>
      <c r="BL6" s="1933">
        <f>SUM(BG6,BD6,BA6,AX6)</f>
        <v/>
      </c>
      <c r="BM6" s="1051">
        <f>BL6/BK6</f>
        <v/>
      </c>
      <c r="BP6" s="1051" t="n">
        <v>0.1</v>
      </c>
      <c r="BQ6" s="2193" t="n">
        <v>5000</v>
      </c>
      <c r="BS6" s="1051" t="n">
        <v>0.35</v>
      </c>
      <c r="BT6" s="2193" t="n">
        <v>2000</v>
      </c>
      <c r="BU6" s="2193" t="n"/>
      <c r="BV6" s="1051" t="n">
        <v>0.28</v>
      </c>
      <c r="BW6" s="2193" t="n">
        <v>9000</v>
      </c>
      <c r="BY6" s="2194" t="n">
        <v>0</v>
      </c>
      <c r="BZ6" s="2193" t="n">
        <v>9000</v>
      </c>
      <c r="CC6" s="2193" t="n">
        <v>1000</v>
      </c>
      <c r="CD6" s="2193" t="n"/>
      <c r="CE6" s="2193" t="n"/>
      <c r="CF6" s="2193">
        <f>CC6</f>
        <v/>
      </c>
      <c r="CG6" s="2193" t="n"/>
      <c r="CH6" s="2193" t="n"/>
      <c r="CI6" s="2193">
        <f>CC6+CF6</f>
        <v/>
      </c>
      <c r="CJ6" s="2193" t="n"/>
      <c r="CK6" s="2193" t="n"/>
      <c r="CL6" s="2193">
        <f>CI6</f>
        <v/>
      </c>
      <c r="CM6" s="1051">
        <f>IF(CC6&lt;=BQ$6,BP$6,IF(CC6&lt;=BQ$7,BP$7,IF(CC6&lt;=BQ$8,BP$8,IF(CC6&lt;=BQ$9,BP$9,IF(CC6&lt;=BQ$14,BP$14,IF(CC6&lt;=BQ$15,BP$15,IF(CC6&lt;=BQ$16,BP$16,0.05)))))))</f>
        <v/>
      </c>
      <c r="CN6" s="2193">
        <f>CM6*CC6</f>
        <v/>
      </c>
      <c r="CO6" s="1051" t="n"/>
      <c r="CP6" s="1051">
        <f>IF(CF6&lt;=BT$6,BS$6,IF(CF6&lt;=BT$7,BS$7,IF(CF6&lt;=BT$8,BS$8,IF(CF6&lt;=BT$9,BS$9,IF(CF6&lt;=BT$14,BS$14,IF(CF6&lt;=BT$15,BS$15,IF(CF6&lt;=BT$16,BS$16,0.05)))))))</f>
        <v/>
      </c>
      <c r="CQ6" s="2193">
        <f>CP6*CF6</f>
        <v/>
      </c>
      <c r="CR6" s="1051" t="n"/>
      <c r="CS6" s="1051">
        <f>IF(CI6&lt;=BW$6,BV$6,IF(CI6&lt;=BW$7,BV$7,IF(CI6&lt;=BW$8,BV$8,IF(CI6&lt;=BW$9,BV$9,IF(CI6&lt;=BW$14,BV$14,IF(CI6&lt;=BW$15,BV$15,IF(CI6&lt;=BW$16,BV$16,0.05)))))))</f>
        <v/>
      </c>
      <c r="CT6" s="2193">
        <f>CS6*SUM(CQ6,CN6,CI6)</f>
        <v/>
      </c>
      <c r="CU6" s="1051" t="n"/>
      <c r="CV6" s="2194">
        <f>IF(CL6&lt;=BZ$6,BY$6,IF(CL6&lt;=BZ$7,BY$7,IF(CL6&lt;=BZ$8,BY$8,IF(CL6&lt;=BZ$9,BY$9,IF(CL6&lt;=BZ$14,BY$14,IF(CL6&lt;=BZ$15,BY$15,IF(CL6&lt;=BZ$16,BY$16,0.05)))))))</f>
        <v/>
      </c>
      <c r="CW6" s="2193">
        <f>CV6*CL6</f>
        <v/>
      </c>
      <c r="CY6" s="1932">
        <f>0.07*SUM(CI6,CN6,CQ6,CT6,CW6)</f>
        <v/>
      </c>
      <c r="DA6" s="1932">
        <f>SUM(CY6,CW6,CT6,CQ6,CN6,CI6)</f>
        <v/>
      </c>
      <c r="DB6" s="1933">
        <f>SUM(CW6,CT6,CQ6,CN6)</f>
        <v/>
      </c>
      <c r="DC6" s="1051">
        <f>DB6/DA6</f>
        <v/>
      </c>
    </row>
    <row r="7" ht="16.2" customFormat="1" customHeight="1" s="585" thickBot="1">
      <c r="A7" s="589" t="inlineStr">
        <is>
          <t>Hard Bid?</t>
        </is>
      </c>
      <c r="B7" s="585" t="inlineStr">
        <is>
          <t>No</t>
        </is>
      </c>
      <c r="C7" s="1010" t="inlineStr">
        <is>
          <t>PrevailingWage?</t>
        </is>
      </c>
      <c r="D7" s="591">
        <f>Epoxy!D5</f>
        <v/>
      </c>
      <c r="E7" s="1728">
        <f>Epoxy!E5</f>
        <v/>
      </c>
      <c r="F7" s="974" t="inlineStr">
        <is>
          <t>Total SF:</t>
        </is>
      </c>
      <c r="G7" s="1283">
        <f>G9+I9+K9</f>
        <v/>
      </c>
      <c r="H7" s="593" t="n"/>
      <c r="I7" s="594" t="n"/>
      <c r="J7" s="594" t="n"/>
      <c r="K7" s="594" t="n"/>
      <c r="L7" s="633" t="n"/>
      <c r="N7" s="1292" t="n"/>
      <c r="O7" s="1393">
        <f>SUM(P7:R7)</f>
        <v/>
      </c>
      <c r="P7" s="1394" t="n"/>
      <c r="Q7" s="1395" t="n"/>
      <c r="R7" s="1396" t="n"/>
      <c r="S7" s="1337">
        <f>((P7+Q7+R7)/F22)*H33</f>
        <v/>
      </c>
      <c r="T7" s="970" t="n"/>
      <c r="AM7" s="2193" t="n">
        <v>2000</v>
      </c>
      <c r="AN7" s="2193" t="n"/>
      <c r="AO7" s="2193" t="n"/>
      <c r="AP7" s="2193">
        <f>AM7</f>
        <v/>
      </c>
      <c r="AQ7" s="2193" t="n"/>
      <c r="AR7" s="2193" t="n"/>
      <c r="AS7" s="2193">
        <f>AM7+AP7</f>
        <v/>
      </c>
      <c r="AT7" s="2193" t="n"/>
      <c r="AU7" s="2193" t="n"/>
      <c r="AV7" s="2193">
        <f>AS7</f>
        <v/>
      </c>
      <c r="AW7" s="1051">
        <f>IF(AM7&lt;=#REF!,#REF!,IF(AM7&lt;=#REF!,#REF!,IF(AM7&lt;=#REF!,#REF!,IF(AM7&lt;=#REF!,#REF!,IF(AM7&lt;=#REF!,#REF!,IF(AM7&lt;=#REF!,#REF!,IF(AM7&lt;=#REF!,#REF!,0.05)))))))</f>
        <v/>
      </c>
      <c r="AX7" s="2193">
        <f>AW7*AM7</f>
        <v/>
      </c>
      <c r="AY7" s="1051" t="n"/>
      <c r="AZ7" s="1051">
        <f>IF(AP7&lt;=#REF!,#REF!,IF(AP7&lt;=#REF!,#REF!,IF(AP7&lt;=#REF!,#REF!,IF(AP7&lt;=#REF!,#REF!,IF(AP7&lt;=#REF!,#REF!,IF(AP7&lt;=#REF!,#REF!,IF(AP7&lt;=#REF!,#REF!,0.05)))))))</f>
        <v/>
      </c>
      <c r="BA7" s="2193">
        <f>AZ7*AP7</f>
        <v/>
      </c>
      <c r="BB7" s="1051" t="n"/>
      <c r="BC7" s="1051">
        <f>IF(AS7&lt;=#REF!,#REF!,IF(AS7&lt;=#REF!,#REF!,IF(AS7&lt;=#REF!,#REF!,IF(AS7&lt;=#REF!,#REF!,IF(AS7&lt;=#REF!,#REF!,IF(AS7&lt;=#REF!,#REF!,IF(AS7&lt;=#REF!,#REF!,0.05)))))))</f>
        <v/>
      </c>
      <c r="BD7" s="2193">
        <f>BC7*SUM(BA7,AX7,AS7)</f>
        <v/>
      </c>
      <c r="BE7" s="1051" t="n"/>
      <c r="BF7" s="2194">
        <f>IF(AV7&lt;=#REF!,#REF!,IF(AV7&lt;=#REF!,#REF!,IF(AV7&lt;=#REF!,#REF!,IF(AV7&lt;=#REF!,#REF!,IF(AV7&lt;=#REF!,#REF!,IF(AV7&lt;=#REF!,#REF!,IF(AV7&lt;=#REF!,#REF!,0.05)))))))</f>
        <v/>
      </c>
      <c r="BG7" s="2193">
        <f>BF7*AV7</f>
        <v/>
      </c>
      <c r="BI7" s="1932">
        <f>0.07*SUM(AS7,AX7,BA7,BD7,BG7)</f>
        <v/>
      </c>
      <c r="BK7" s="1932">
        <f>SUM(BI7,BG7,BD7,BA7,AX7,AS7)</f>
        <v/>
      </c>
      <c r="BL7" s="1933">
        <f>SUM(BG7,BD7,BA7,AX7)</f>
        <v/>
      </c>
      <c r="BM7" s="1051">
        <f>BL7/BK7</f>
        <v/>
      </c>
      <c r="BP7" s="1051" t="n">
        <v>0.05</v>
      </c>
      <c r="BQ7" s="2193" t="n">
        <v>1000000000</v>
      </c>
      <c r="BS7" s="1051" t="n">
        <v>0.3</v>
      </c>
      <c r="BT7" s="2193" t="n">
        <v>3000</v>
      </c>
      <c r="BU7" s="2193" t="n"/>
      <c r="BV7" s="1051" t="n">
        <v>0.24</v>
      </c>
      <c r="BW7" s="2193" t="n">
        <v>14000</v>
      </c>
      <c r="BY7" s="2194" t="n">
        <v>-0.04</v>
      </c>
      <c r="BZ7" s="2193" t="n">
        <v>14000</v>
      </c>
      <c r="CC7" s="2193" t="n">
        <v>2000</v>
      </c>
      <c r="CD7" s="2193" t="n"/>
      <c r="CE7" s="2193" t="n"/>
      <c r="CF7" s="2193">
        <f>CC7</f>
        <v/>
      </c>
      <c r="CG7" s="2193" t="n"/>
      <c r="CH7" s="2193" t="n"/>
      <c r="CI7" s="2193">
        <f>CC7+CF7</f>
        <v/>
      </c>
      <c r="CJ7" s="2193" t="n"/>
      <c r="CK7" s="2193" t="n"/>
      <c r="CL7" s="2193">
        <f>CI7</f>
        <v/>
      </c>
      <c r="CM7" s="1051">
        <f>IF(CC7&lt;=BQ$6,BP$6,IF(CC7&lt;=BQ$7,BP$7,IF(CC7&lt;=BQ$8,BP$8,IF(CC7&lt;=BQ$9,BP$9,IF(CC7&lt;=BQ$14,BP$14,IF(CC7&lt;=BQ$15,BP$15,IF(CC7&lt;=BQ$16,BP$16,0.05)))))))</f>
        <v/>
      </c>
      <c r="CN7" s="2193">
        <f>CM7*CC7</f>
        <v/>
      </c>
      <c r="CO7" s="1051" t="n"/>
      <c r="CP7" s="1051">
        <f>IF(CF7&lt;=BT$6,BS$6,IF(CF7&lt;=BT$7,BS$7,IF(CF7&lt;=BT$8,BS$8,IF(CF7&lt;=BT$9,BS$9,IF(CF7&lt;=BT$14,BS$14,IF(CF7&lt;=BT$15,BS$15,IF(CF7&lt;=BT$16,BS$16,0.05)))))))</f>
        <v/>
      </c>
      <c r="CQ7" s="2193">
        <f>CP7*CF7</f>
        <v/>
      </c>
      <c r="CR7" s="1051" t="n"/>
      <c r="CS7" s="1051">
        <f>IF(CI7&lt;=BW$6,BV$6,IF(CI7&lt;=BW$7,BV$7,IF(CI7&lt;=BW$8,BV$8,IF(CI7&lt;=BW$9,BV$9,IF(CI7&lt;=BW$14,BV$14,IF(CI7&lt;=BW$15,BV$15,IF(CI7&lt;=BW$16,BV$16,0.05)))))))</f>
        <v/>
      </c>
      <c r="CT7" s="2193">
        <f>CS7*SUM(CQ7,CN7,CI7)</f>
        <v/>
      </c>
      <c r="CU7" s="1051" t="n"/>
      <c r="CV7" s="2194">
        <f>IF(CL7&lt;=BZ$6,BY$6,IF(CL7&lt;=BZ$7,BY$7,IF(CL7&lt;=BZ$8,BY$8,IF(CL7&lt;=BZ$9,BY$9,IF(CL7&lt;=BZ$14,BY$14,IF(CL7&lt;=BZ$15,BY$15,IF(CL7&lt;=BZ$16,BY$16,0.05)))))))</f>
        <v/>
      </c>
      <c r="CW7" s="2193">
        <f>CV7*CL7</f>
        <v/>
      </c>
      <c r="CY7" s="1932">
        <f>0.07*SUM(CI7,CN7,CQ7,CT7,CW7)</f>
        <v/>
      </c>
      <c r="DA7" s="1932">
        <f>SUM(CY7,CW7,CT7,CQ7,CN7,CI7)</f>
        <v/>
      </c>
      <c r="DB7" s="1933">
        <f>SUM(CW7,CT7,CQ7,CN7)</f>
        <v/>
      </c>
      <c r="DC7" s="1051">
        <f>DB7/DA7</f>
        <v/>
      </c>
    </row>
    <row r="8" ht="16.2" customFormat="1" customHeight="1" s="585" thickBot="1">
      <c r="A8" s="589" t="inlineStr">
        <is>
          <t>Taxable?</t>
        </is>
      </c>
      <c r="B8" s="585" t="inlineStr">
        <is>
          <t>Yes</t>
        </is>
      </c>
      <c r="C8" s="1539" t="inlineStr">
        <is>
          <t>Remodel Tax?</t>
        </is>
      </c>
      <c r="D8" s="591">
        <f>Epoxy!D6</f>
        <v/>
      </c>
      <c r="E8" s="1728">
        <f>Epoxy!E6</f>
        <v/>
      </c>
      <c r="F8" s="2195" t="inlineStr">
        <is>
          <t>Unit</t>
        </is>
      </c>
      <c r="G8" s="2126" t="n"/>
      <c r="H8" s="2196" t="inlineStr">
        <is>
          <t>Unit</t>
        </is>
      </c>
      <c r="I8" s="2126" t="n"/>
      <c r="J8" s="2197" t="inlineStr">
        <is>
          <t>Corridor</t>
        </is>
      </c>
      <c r="K8" s="2126" t="n"/>
      <c r="L8" s="633" t="n"/>
      <c r="N8" s="1292" t="n"/>
      <c r="O8" s="1393">
        <f>SUM(P8:R8)</f>
        <v/>
      </c>
      <c r="P8" s="1394" t="n"/>
      <c r="Q8" s="1395" t="n"/>
      <c r="R8" s="1396" t="n"/>
      <c r="S8" s="1337">
        <f>((P8+Q8+R8)/F22)*H33</f>
        <v/>
      </c>
      <c r="T8" s="970" t="n"/>
      <c r="AM8" s="2193" t="n">
        <v>3000</v>
      </c>
      <c r="AN8" s="2193" t="n"/>
      <c r="AO8" s="2193" t="n"/>
      <c r="AP8" s="2193">
        <f>AM8</f>
        <v/>
      </c>
      <c r="AQ8" s="2193" t="n"/>
      <c r="AR8" s="2193" t="n"/>
      <c r="AS8" s="2193">
        <f>AM8+AP8</f>
        <v/>
      </c>
      <c r="AT8" s="2193" t="n"/>
      <c r="AU8" s="2193" t="n"/>
      <c r="AV8" s="2193">
        <f>AS8</f>
        <v/>
      </c>
      <c r="AW8" s="1051">
        <f>IF(AM8&lt;=#REF!,#REF!,IF(AM8&lt;=#REF!,#REF!,IF(AM8&lt;=#REF!,#REF!,IF(AM8&lt;=#REF!,#REF!,IF(AM8&lt;=#REF!,#REF!,IF(AM8&lt;=#REF!,#REF!,IF(AM8&lt;=#REF!,#REF!,0.05)))))))</f>
        <v/>
      </c>
      <c r="AX8" s="2193">
        <f>AW8*AM8</f>
        <v/>
      </c>
      <c r="AY8" s="1051" t="n"/>
      <c r="AZ8" s="1051">
        <f>IF(AP8&lt;=#REF!,#REF!,IF(AP8&lt;=#REF!,#REF!,IF(AP8&lt;=#REF!,#REF!,IF(AP8&lt;=#REF!,#REF!,IF(AP8&lt;=#REF!,#REF!,IF(AP8&lt;=#REF!,#REF!,IF(AP8&lt;=#REF!,#REF!,0.05)))))))</f>
        <v/>
      </c>
      <c r="BA8" s="2193">
        <f>AZ8*AP8</f>
        <v/>
      </c>
      <c r="BB8" s="1051" t="n"/>
      <c r="BC8" s="1051">
        <f>IF(AS8&lt;=#REF!,#REF!,IF(AS8&lt;=#REF!,#REF!,IF(AS8&lt;=#REF!,#REF!,IF(AS8&lt;=#REF!,#REF!,IF(AS8&lt;=#REF!,#REF!,IF(AS8&lt;=#REF!,#REF!,IF(AS8&lt;=#REF!,#REF!,0.05)))))))</f>
        <v/>
      </c>
      <c r="BD8" s="2193">
        <f>BC8*SUM(BA8,AX8,AS8)</f>
        <v/>
      </c>
      <c r="BE8" s="1051" t="n"/>
      <c r="BF8" s="2194">
        <f>IF(AV8&lt;=#REF!,#REF!,IF(AV8&lt;=#REF!,#REF!,IF(AV8&lt;=#REF!,#REF!,IF(AV8&lt;=#REF!,#REF!,IF(AV8&lt;=#REF!,#REF!,IF(AV8&lt;=#REF!,#REF!,IF(AV8&lt;=#REF!,#REF!,0.05)))))))</f>
        <v/>
      </c>
      <c r="BG8" s="2193">
        <f>BF8*AV8</f>
        <v/>
      </c>
      <c r="BI8" s="1932">
        <f>0.07*SUM(AS8,AX8,BA8,BD8,BG8)</f>
        <v/>
      </c>
      <c r="BK8" s="1932">
        <f>SUM(BI8,BG8,BD8,BA8,AX8,AS8)</f>
        <v/>
      </c>
      <c r="BL8" s="1933">
        <f>SUM(BG8,BD8,BA8,AX8)</f>
        <v/>
      </c>
      <c r="BM8" s="1051">
        <f>BL8/BK8</f>
        <v/>
      </c>
      <c r="BP8" s="1051" t="n">
        <v>0.05</v>
      </c>
      <c r="BQ8" s="2193" t="n">
        <v>1000000000</v>
      </c>
      <c r="BS8" s="1051" t="n">
        <v>0.2</v>
      </c>
      <c r="BT8" s="2193" t="n">
        <v>4000</v>
      </c>
      <c r="BU8" s="2193" t="n"/>
      <c r="BV8" s="1051" t="n">
        <v>0.22</v>
      </c>
      <c r="BW8" s="2193" t="n">
        <v>19000</v>
      </c>
      <c r="BY8" s="2194" t="n">
        <v>-0.05</v>
      </c>
      <c r="BZ8" s="2193" t="n">
        <v>19000</v>
      </c>
      <c r="CC8" s="2193" t="n">
        <v>3000</v>
      </c>
      <c r="CD8" s="2193" t="n"/>
      <c r="CE8" s="2193" t="n"/>
      <c r="CF8" s="2193">
        <f>CC8</f>
        <v/>
      </c>
      <c r="CG8" s="2193" t="n"/>
      <c r="CH8" s="2193" t="n"/>
      <c r="CI8" s="2193">
        <f>CC8+CF8</f>
        <v/>
      </c>
      <c r="CJ8" s="2193" t="n"/>
      <c r="CK8" s="2193" t="n"/>
      <c r="CL8" s="2193">
        <f>CI8</f>
        <v/>
      </c>
      <c r="CM8" s="1051">
        <f>IF(CC8&lt;=BQ$6,BP$6,IF(CC8&lt;=BQ$7,BP$7,IF(CC8&lt;=BQ$8,BP$8,IF(CC8&lt;=BQ$9,BP$9,IF(CC8&lt;=BQ$14,BP$14,IF(CC8&lt;=BQ$15,BP$15,IF(CC8&lt;=BQ$16,BP$16,0.05)))))))</f>
        <v/>
      </c>
      <c r="CN8" s="2193">
        <f>CM8*CC8</f>
        <v/>
      </c>
      <c r="CO8" s="1051" t="n"/>
      <c r="CP8" s="1051">
        <f>IF(CF8&lt;=BT$6,BS$6,IF(CF8&lt;=BT$7,BS$7,IF(CF8&lt;=BT$8,BS$8,IF(CF8&lt;=BT$9,BS$9,IF(CF8&lt;=BT$14,BS$14,IF(CF8&lt;=BT$15,BS$15,IF(CF8&lt;=BT$16,BS$16,0.05)))))))</f>
        <v/>
      </c>
      <c r="CQ8" s="2193">
        <f>CP8*CF8</f>
        <v/>
      </c>
      <c r="CR8" s="1051" t="n"/>
      <c r="CS8" s="1051">
        <f>IF(CI8&lt;=BW$6,BV$6,IF(CI8&lt;=BW$7,BV$7,IF(CI8&lt;=BW$8,BV$8,IF(CI8&lt;=BW$9,BV$9,IF(CI8&lt;=BW$14,BV$14,IF(CI8&lt;=BW$15,BV$15,IF(CI8&lt;=BW$16,BV$16,0.05)))))))</f>
        <v/>
      </c>
      <c r="CT8" s="2193">
        <f>CS8*SUM(CQ8,CN8,CI8)</f>
        <v/>
      </c>
      <c r="CU8" s="1051" t="n"/>
      <c r="CV8" s="2194">
        <f>IF(CL8&lt;=BZ$6,BY$6,IF(CL8&lt;=BZ$7,BY$7,IF(CL8&lt;=BZ$8,BY$8,IF(CL8&lt;=BZ$9,BY$9,IF(CL8&lt;=BZ$14,BY$14,IF(CL8&lt;=BZ$15,BY$15,IF(CL8&lt;=BZ$16,BY$16,0.05)))))))</f>
        <v/>
      </c>
      <c r="CW8" s="2193">
        <f>CV8*CL8</f>
        <v/>
      </c>
      <c r="CY8" s="1932">
        <f>0.07*SUM(CI8,CN8,CQ8,CT8,CW8)</f>
        <v/>
      </c>
      <c r="DA8" s="1932">
        <f>SUM(CY8,CW8,CT8,CQ8,CN8,CI8)</f>
        <v/>
      </c>
      <c r="DB8" s="1933">
        <f>SUM(CW8,CT8,CQ8,CN8)</f>
        <v/>
      </c>
      <c r="DC8" s="1051">
        <f>DB8/DA8</f>
        <v/>
      </c>
    </row>
    <row r="9" customFormat="1" s="585">
      <c r="A9" s="589" t="inlineStr">
        <is>
          <t>Approx Start Date</t>
        </is>
      </c>
      <c r="B9" s="587" t="n"/>
      <c r="C9" s="591" t="n"/>
      <c r="D9" s="591" t="n"/>
      <c r="E9" s="600" t="n"/>
      <c r="F9" s="975" t="inlineStr">
        <is>
          <t xml:space="preserve">SF - Soft Surfaces: </t>
        </is>
      </c>
      <c r="G9" s="1352">
        <f>P28</f>
        <v/>
      </c>
      <c r="H9" s="976" t="inlineStr">
        <is>
          <t>SF - Hard Surfaces:</t>
        </is>
      </c>
      <c r="I9" s="1353">
        <f>Q28</f>
        <v/>
      </c>
      <c r="J9" s="977" t="inlineStr">
        <is>
          <t>SF - Corridors:</t>
        </is>
      </c>
      <c r="K9" s="1354">
        <f>R28</f>
        <v/>
      </c>
      <c r="L9" s="633" t="n"/>
      <c r="N9" s="1292" t="n"/>
      <c r="O9" s="1393">
        <f>SUM(P9:R9)</f>
        <v/>
      </c>
      <c r="P9" s="1394" t="n"/>
      <c r="Q9" s="1395" t="n"/>
      <c r="R9" s="1396" t="n"/>
      <c r="S9" s="1337">
        <f>((P9+Q9+R9)/F22)*H33</f>
        <v/>
      </c>
      <c r="T9" s="970" t="n"/>
      <c r="AM9" s="2193" t="n">
        <v>4000</v>
      </c>
      <c r="AN9" s="2193" t="n"/>
      <c r="AO9" s="2193" t="n"/>
      <c r="AP9" s="2193">
        <f>AM9</f>
        <v/>
      </c>
      <c r="AQ9" s="2193" t="n"/>
      <c r="AR9" s="2193" t="n"/>
      <c r="AS9" s="2193">
        <f>AM9+AP9</f>
        <v/>
      </c>
      <c r="AT9" s="2193" t="n"/>
      <c r="AU9" s="2193" t="n"/>
      <c r="AV9" s="2193">
        <f>AS9</f>
        <v/>
      </c>
      <c r="AW9" s="1051">
        <f>IF(AM9&lt;=#REF!,#REF!,IF(AM9&lt;=#REF!,#REF!,IF(AM9&lt;=#REF!,#REF!,IF(AM9&lt;=#REF!,#REF!,IF(AM9&lt;=#REF!,#REF!,IF(AM9&lt;=#REF!,#REF!,IF(AM9&lt;=#REF!,#REF!,0.05)))))))</f>
        <v/>
      </c>
      <c r="AX9" s="2193">
        <f>AW9*AM9</f>
        <v/>
      </c>
      <c r="AY9" s="1051" t="n"/>
      <c r="AZ9" s="1051">
        <f>IF(AP9&lt;=#REF!,#REF!,IF(AP9&lt;=#REF!,#REF!,IF(AP9&lt;=#REF!,#REF!,IF(AP9&lt;=#REF!,#REF!,IF(AP9&lt;=#REF!,#REF!,IF(AP9&lt;=#REF!,#REF!,IF(AP9&lt;=#REF!,#REF!,0.05)))))))</f>
        <v/>
      </c>
      <c r="BA9" s="2193">
        <f>AZ9*AP9</f>
        <v/>
      </c>
      <c r="BB9" s="1051" t="n"/>
      <c r="BC9" s="1051">
        <f>IF(AS9&lt;=#REF!,#REF!,IF(AS9&lt;=#REF!,#REF!,IF(AS9&lt;=#REF!,#REF!,IF(AS9&lt;=#REF!,#REF!,IF(AS9&lt;=#REF!,#REF!,IF(AS9&lt;=#REF!,#REF!,IF(AS9&lt;=#REF!,#REF!,0.05)))))))</f>
        <v/>
      </c>
      <c r="BD9" s="2193">
        <f>BC9*SUM(BA9,AX9,AS9)</f>
        <v/>
      </c>
      <c r="BE9" s="1051" t="n"/>
      <c r="BF9" s="2194">
        <f>IF(AV9&lt;=#REF!,#REF!,IF(AV9&lt;=#REF!,#REF!,IF(AV9&lt;=#REF!,#REF!,IF(AV9&lt;=#REF!,#REF!,IF(AV9&lt;=#REF!,#REF!,IF(AV9&lt;=#REF!,#REF!,IF(AV9&lt;=#REF!,#REF!,0.05)))))))</f>
        <v/>
      </c>
      <c r="BG9" s="2193">
        <f>BF9*AV9</f>
        <v/>
      </c>
      <c r="BI9" s="1932">
        <f>0.07*SUM(AS9,AX9,BA9,BD9,BG9)</f>
        <v/>
      </c>
      <c r="BK9" s="1932">
        <f>SUM(BI9,BG9,BD9,BA9,AX9,AS9)</f>
        <v/>
      </c>
      <c r="BL9" s="1933">
        <f>SUM(BG9,BD9,BA9,AX9)</f>
        <v/>
      </c>
      <c r="BM9" s="1051">
        <f>BL9/BK9</f>
        <v/>
      </c>
      <c r="BP9" s="1051" t="n">
        <v>0.05</v>
      </c>
      <c r="BQ9" s="2193" t="n">
        <v>1000000000</v>
      </c>
      <c r="BS9" s="1051" t="n">
        <v>0.1</v>
      </c>
      <c r="BT9" s="2193" t="n">
        <v>7000</v>
      </c>
      <c r="BU9" s="2193" t="n"/>
      <c r="BV9" s="1051" t="n">
        <v>0.2</v>
      </c>
      <c r="BW9" s="2193" t="n">
        <v>24000</v>
      </c>
      <c r="BY9" s="2194" t="n">
        <v>-0.05</v>
      </c>
      <c r="BZ9" s="2193" t="n">
        <v>34000</v>
      </c>
      <c r="CC9" s="2193" t="n">
        <v>4000</v>
      </c>
      <c r="CD9" s="2193" t="n"/>
      <c r="CE9" s="2193" t="n"/>
      <c r="CF9" s="2193">
        <f>CC9</f>
        <v/>
      </c>
      <c r="CG9" s="2193" t="n"/>
      <c r="CH9" s="2193" t="n"/>
      <c r="CI9" s="2193">
        <f>CC9+CF9</f>
        <v/>
      </c>
      <c r="CJ9" s="2193" t="n"/>
      <c r="CK9" s="2193" t="n"/>
      <c r="CL9" s="2193">
        <f>CI9</f>
        <v/>
      </c>
      <c r="CM9" s="1051">
        <f>IF(CC9&lt;=BQ$6,BP$6,IF(CC9&lt;=BQ$7,BP$7,IF(CC9&lt;=BQ$8,BP$8,IF(CC9&lt;=BQ$9,BP$9,IF(CC9&lt;=BQ$14,BP$14,IF(CC9&lt;=BQ$15,BP$15,IF(CC9&lt;=BQ$16,BP$16,0.05)))))))</f>
        <v/>
      </c>
      <c r="CN9" s="2193">
        <f>CM9*CC9</f>
        <v/>
      </c>
      <c r="CO9" s="1051" t="n"/>
      <c r="CP9" s="1051">
        <f>IF(CF9&lt;=BT$6,BS$6,IF(CF9&lt;=BT$7,BS$7,IF(CF9&lt;=BT$8,BS$8,IF(CF9&lt;=BT$9,BS$9,IF(CF9&lt;=BT$14,BS$14,IF(CF9&lt;=BT$15,BS$15,IF(CF9&lt;=BT$16,BS$16,0.05)))))))</f>
        <v/>
      </c>
      <c r="CQ9" s="2193">
        <f>CP9*CF9</f>
        <v/>
      </c>
      <c r="CR9" s="1051" t="n"/>
      <c r="CS9" s="1051">
        <f>IF(CI9&lt;=BW$6,BV$6,IF(CI9&lt;=BW$7,BV$7,IF(CI9&lt;=BW$8,BV$8,IF(CI9&lt;=BW$9,BV$9,IF(CI9&lt;=BW$14,BV$14,IF(CI9&lt;=BW$15,BV$15,IF(CI9&lt;=BW$16,BV$16,0.05)))))))</f>
        <v/>
      </c>
      <c r="CT9" s="2193">
        <f>CS9*SUM(CQ9,CN9,CI9)</f>
        <v/>
      </c>
      <c r="CU9" s="1051" t="n"/>
      <c r="CV9" s="2194">
        <f>IF(CL9&lt;=BZ$6,BY$6,IF(CL9&lt;=BZ$7,BY$7,IF(CL9&lt;=BZ$8,BY$8,IF(CL9&lt;=BZ$9,BY$9,IF(CL9&lt;=BZ$14,BY$14,IF(CL9&lt;=BZ$15,BY$15,IF(CL9&lt;=BZ$16,BY$16,0.05)))))))</f>
        <v/>
      </c>
      <c r="CW9" s="2193">
        <f>CV9*CL9</f>
        <v/>
      </c>
      <c r="CY9" s="1932">
        <f>0.07*SUM(CI9,CN9,CQ9,CT9,CW9)</f>
        <v/>
      </c>
      <c r="DA9" s="1932">
        <f>SUM(CY9,CW9,CT9,CQ9,CN9,CI9)</f>
        <v/>
      </c>
      <c r="DB9" s="1933">
        <f>SUM(CW9,CT9,CQ9,CN9)</f>
        <v/>
      </c>
      <c r="DC9" s="1051">
        <f>DB9/DA9</f>
        <v/>
      </c>
    </row>
    <row r="10" customFormat="1" s="585">
      <c r="A10" s="602" t="inlineStr">
        <is>
          <t>Architect</t>
        </is>
      </c>
      <c r="B10" s="603" t="n"/>
      <c r="C10" s="591" t="n"/>
      <c r="D10" s="591" t="n"/>
      <c r="E10" s="600" t="n"/>
      <c r="F10" s="978" t="inlineStr">
        <is>
          <t xml:space="preserve">Ave Thickness: </t>
        </is>
      </c>
      <c r="G10" s="1158" t="n">
        <v>0.75</v>
      </c>
      <c r="H10" s="979" t="inlineStr">
        <is>
          <t>Ave Thickness:</t>
        </is>
      </c>
      <c r="I10" s="1158" t="n">
        <v>0.75</v>
      </c>
      <c r="J10" s="980" t="inlineStr">
        <is>
          <t>Ave Thickness:</t>
        </is>
      </c>
      <c r="K10" s="1158">
        <f>G10</f>
        <v/>
      </c>
      <c r="N10" s="1292" t="n"/>
      <c r="O10" s="1393">
        <f>SUM(P10:R10)</f>
        <v/>
      </c>
      <c r="P10" s="1394" t="n"/>
      <c r="Q10" s="1395" t="n"/>
      <c r="R10" s="1396" t="n"/>
      <c r="S10" s="1337">
        <f>((P10+Q10+R10)/F22)*H33</f>
        <v/>
      </c>
      <c r="T10" s="970" t="n"/>
      <c r="AM10" s="2193" t="n"/>
      <c r="AN10" s="2193" t="n"/>
      <c r="AO10" s="2193" t="n"/>
      <c r="AP10" s="2193" t="n"/>
      <c r="AQ10" s="2193" t="n"/>
      <c r="AR10" s="2193" t="n"/>
      <c r="AS10" s="2193" t="n"/>
      <c r="AT10" s="2193" t="n"/>
      <c r="AU10" s="2193" t="n"/>
      <c r="AV10" s="2193" t="n"/>
      <c r="AW10" s="1051" t="n"/>
      <c r="AX10" s="2193" t="n"/>
      <c r="AY10" s="1051" t="n"/>
      <c r="AZ10" s="1051" t="n"/>
      <c r="BA10" s="2193" t="n"/>
      <c r="BB10" s="1051" t="n"/>
      <c r="BC10" s="1051" t="n"/>
      <c r="BD10" s="2193" t="n"/>
      <c r="BE10" s="1051" t="n"/>
      <c r="BF10" s="2194" t="n"/>
      <c r="BG10" s="2193" t="n"/>
      <c r="BI10" s="1932" t="n"/>
      <c r="BK10" s="1932" t="n"/>
      <c r="BL10" s="1933" t="n"/>
      <c r="BM10" s="1051" t="n"/>
      <c r="BP10" s="1051" t="n"/>
      <c r="BQ10" s="2193" t="n"/>
      <c r="BS10" s="1051" t="n"/>
      <c r="BT10" s="2193" t="n"/>
      <c r="BU10" s="2193" t="n"/>
      <c r="BV10" s="1051" t="n"/>
      <c r="BW10" s="2193" t="n"/>
      <c r="BY10" s="2194" t="n"/>
      <c r="BZ10" s="2193" t="n"/>
      <c r="CC10" s="2193" t="n"/>
      <c r="CD10" s="2193" t="n"/>
      <c r="CE10" s="2193" t="n"/>
      <c r="CF10" s="2193" t="n"/>
      <c r="CG10" s="2193" t="n"/>
      <c r="CH10" s="2193" t="n"/>
      <c r="CI10" s="2193" t="n"/>
      <c r="CJ10" s="2193" t="n"/>
      <c r="CK10" s="2193" t="n"/>
      <c r="CL10" s="2193" t="n"/>
      <c r="CM10" s="1051" t="n"/>
      <c r="CN10" s="2193" t="n"/>
      <c r="CO10" s="1051" t="n"/>
      <c r="CP10" s="1051" t="n"/>
      <c r="CQ10" s="2193" t="n"/>
      <c r="CR10" s="1051" t="n"/>
      <c r="CS10" s="1051" t="n"/>
      <c r="CT10" s="2193" t="n"/>
      <c r="CU10" s="1051" t="n"/>
      <c r="CV10" s="2194" t="n"/>
      <c r="CW10" s="2193" t="n"/>
      <c r="CY10" s="1932" t="n"/>
      <c r="DA10" s="1932" t="n"/>
      <c r="DB10" s="1933" t="n"/>
      <c r="DC10" s="1051" t="n"/>
    </row>
    <row r="11" customFormat="1" s="585">
      <c r="A11" s="602" t="inlineStr">
        <is>
          <t>Drawings Dated</t>
        </is>
      </c>
      <c r="B11" s="587" t="n"/>
      <c r="C11" s="591" t="n"/>
      <c r="D11" s="591" t="n"/>
      <c r="E11" s="600" t="n"/>
      <c r="F11" s="978" t="inlineStr">
        <is>
          <t>Mix Design: (default= 2500psi @1.8)</t>
        </is>
      </c>
      <c r="G11" s="1110" t="n">
        <v>1.8</v>
      </c>
      <c r="H11" s="979" t="inlineStr">
        <is>
          <t xml:space="preserve">Mix Design: </t>
        </is>
      </c>
      <c r="I11" s="1110">
        <f>G11</f>
        <v/>
      </c>
      <c r="J11" s="980" t="inlineStr">
        <is>
          <t xml:space="preserve">Mix Design: </t>
        </is>
      </c>
      <c r="K11" s="1110">
        <f>G11</f>
        <v/>
      </c>
      <c r="N11" s="1292" t="n"/>
      <c r="O11" s="1393">
        <f>SUM(P11:R11)</f>
        <v/>
      </c>
      <c r="P11" s="1394" t="n"/>
      <c r="Q11" s="1395" t="n"/>
      <c r="R11" s="1396" t="n"/>
      <c r="S11" s="1337">
        <f>((P11+Q11+R11)/F22)*H33</f>
        <v/>
      </c>
      <c r="T11" s="970" t="n"/>
      <c r="AM11" s="2193" t="n"/>
      <c r="AN11" s="2193" t="n"/>
      <c r="AO11" s="2193" t="n"/>
      <c r="AP11" s="2193" t="n"/>
      <c r="AQ11" s="2193" t="n"/>
      <c r="AR11" s="2193" t="n"/>
      <c r="AS11" s="2193" t="n"/>
      <c r="AT11" s="2193" t="n"/>
      <c r="AU11" s="2193" t="n"/>
      <c r="AV11" s="2193" t="n"/>
      <c r="AW11" s="1051" t="n"/>
      <c r="AX11" s="2193" t="n"/>
      <c r="AY11" s="1051" t="n"/>
      <c r="AZ11" s="1051" t="n"/>
      <c r="BA11" s="2193" t="n"/>
      <c r="BB11" s="1051" t="n"/>
      <c r="BC11" s="1051" t="n"/>
      <c r="BD11" s="2193" t="n"/>
      <c r="BE11" s="1051" t="n"/>
      <c r="BF11" s="2194" t="n"/>
      <c r="BG11" s="2193" t="n"/>
      <c r="BI11" s="1932" t="n"/>
      <c r="BK11" s="1932" t="n"/>
      <c r="BL11" s="1933" t="n"/>
      <c r="BM11" s="1051" t="n"/>
      <c r="BP11" s="1051" t="n"/>
      <c r="BQ11" s="2193" t="n"/>
      <c r="BS11" s="1051" t="n"/>
      <c r="BT11" s="2193" t="n"/>
      <c r="BU11" s="2193" t="n"/>
      <c r="BV11" s="1051" t="n"/>
      <c r="BW11" s="2193" t="n"/>
      <c r="BY11" s="2194" t="n"/>
      <c r="BZ11" s="2193" t="n"/>
      <c r="CC11" s="2193" t="n"/>
      <c r="CD11" s="2193" t="n"/>
      <c r="CE11" s="2193" t="n"/>
      <c r="CF11" s="2193" t="n"/>
      <c r="CG11" s="2193" t="n"/>
      <c r="CH11" s="2193" t="n"/>
      <c r="CI11" s="2193" t="n"/>
      <c r="CJ11" s="2193" t="n"/>
      <c r="CK11" s="2193" t="n"/>
      <c r="CL11" s="2193" t="n"/>
      <c r="CM11" s="1051" t="n"/>
      <c r="CN11" s="2193" t="n"/>
      <c r="CO11" s="1051" t="n"/>
      <c r="CP11" s="1051" t="n"/>
      <c r="CQ11" s="2193" t="n"/>
      <c r="CR11" s="1051" t="n"/>
      <c r="CS11" s="1051" t="n"/>
      <c r="CT11" s="2193" t="n"/>
      <c r="CU11" s="1051" t="n"/>
      <c r="CV11" s="2194" t="n"/>
      <c r="CW11" s="2193" t="n"/>
      <c r="CY11" s="1932" t="n"/>
      <c r="DA11" s="1932" t="n"/>
      <c r="DB11" s="1933" t="n"/>
      <c r="DC11" s="1051" t="n"/>
    </row>
    <row r="12" customFormat="1" s="585">
      <c r="A12" s="606" t="inlineStr">
        <is>
          <t>New / Reno:</t>
        </is>
      </c>
      <c r="B12" s="603" t="inlineStr">
        <is>
          <t>New</t>
        </is>
      </c>
      <c r="C12" s="591" t="n"/>
      <c r="D12" s="591" t="n"/>
      <c r="E12" s="600" t="n"/>
      <c r="F12" s="978" t="inlineStr">
        <is>
          <t>Yield Per Bag (1/8")</t>
        </is>
      </c>
      <c r="G12" s="981" t="n">
        <v>254.52</v>
      </c>
      <c r="H12" s="979" t="inlineStr">
        <is>
          <t>Yield Per Bag (1/8")</t>
        </is>
      </c>
      <c r="I12" s="982" t="n">
        <v>254.52</v>
      </c>
      <c r="J12" s="980" t="inlineStr">
        <is>
          <t>Yield Per Bag (1/8")</t>
        </is>
      </c>
      <c r="K12" s="983" t="n">
        <v>254.52</v>
      </c>
      <c r="L12" s="633" t="n"/>
      <c r="N12" s="1292" t="n"/>
      <c r="O12" s="1393">
        <f>SUM(P12:R12)</f>
        <v/>
      </c>
      <c r="P12" s="1394" t="n"/>
      <c r="Q12" s="1395" t="n"/>
      <c r="R12" s="1396" t="n"/>
      <c r="S12" s="1337">
        <f>((P12+Q12+R12)/F22)*H33</f>
        <v/>
      </c>
      <c r="T12" s="970" t="n"/>
      <c r="AM12" s="2193" t="n"/>
      <c r="AN12" s="2193" t="n"/>
      <c r="AO12" s="2193" t="n"/>
      <c r="AP12" s="2193" t="n"/>
      <c r="AQ12" s="2193" t="n"/>
      <c r="AR12" s="2193" t="n"/>
      <c r="AS12" s="2193" t="n"/>
      <c r="AT12" s="2193" t="n"/>
      <c r="AU12" s="2193" t="n"/>
      <c r="AV12" s="2193" t="n"/>
      <c r="AW12" s="1051" t="n"/>
      <c r="AX12" s="2193" t="n"/>
      <c r="AY12" s="1051" t="n"/>
      <c r="AZ12" s="1051" t="n"/>
      <c r="BA12" s="2193" t="n"/>
      <c r="BB12" s="1051" t="n"/>
      <c r="BC12" s="1051" t="n"/>
      <c r="BD12" s="2193" t="n"/>
      <c r="BE12" s="1051" t="n"/>
      <c r="BF12" s="2194" t="n"/>
      <c r="BG12" s="2193" t="n"/>
      <c r="BI12" s="1932" t="n"/>
      <c r="BK12" s="1932" t="n"/>
      <c r="BL12" s="1933" t="n"/>
      <c r="BM12" s="1051" t="n"/>
      <c r="BP12" s="1051" t="n"/>
      <c r="BQ12" s="2193" t="n"/>
      <c r="BS12" s="1051" t="n"/>
      <c r="BT12" s="2193" t="n"/>
      <c r="BU12" s="2193" t="n"/>
      <c r="BV12" s="1051" t="n"/>
      <c r="BW12" s="2193" t="n"/>
      <c r="BY12" s="2194" t="n"/>
      <c r="BZ12" s="2193" t="n"/>
      <c r="CC12" s="2193" t="n"/>
      <c r="CD12" s="2193" t="n"/>
      <c r="CE12" s="2193" t="n"/>
      <c r="CF12" s="2193" t="n"/>
      <c r="CG12" s="2193" t="n"/>
      <c r="CH12" s="2193" t="n"/>
      <c r="CI12" s="2193" t="n"/>
      <c r="CJ12" s="2193" t="n"/>
      <c r="CK12" s="2193" t="n"/>
      <c r="CL12" s="2193" t="n"/>
      <c r="CM12" s="1051" t="n"/>
      <c r="CN12" s="2193" t="n"/>
      <c r="CO12" s="1051" t="n"/>
      <c r="CP12" s="1051" t="n"/>
      <c r="CQ12" s="2193" t="n"/>
      <c r="CR12" s="1051" t="n"/>
      <c r="CS12" s="1051" t="n"/>
      <c r="CT12" s="2193" t="n"/>
      <c r="CU12" s="1051" t="n"/>
      <c r="CV12" s="2194" t="n"/>
      <c r="CW12" s="2193" t="n"/>
      <c r="CY12" s="1932" t="n"/>
      <c r="DA12" s="1932" t="n"/>
      <c r="DB12" s="1933" t="n"/>
      <c r="DC12" s="1051" t="n"/>
    </row>
    <row r="13" ht="16.2" customFormat="1" customHeight="1" s="585" thickBot="1">
      <c r="A13" s="606" t="inlineStr">
        <is>
          <t>Hallow Plank Subfloor:</t>
        </is>
      </c>
      <c r="B13" s="585" t="inlineStr">
        <is>
          <t>No</t>
        </is>
      </c>
      <c r="C13" s="591" t="n"/>
      <c r="D13" s="591" t="n"/>
      <c r="E13" s="600" t="n"/>
      <c r="F13" s="978" t="inlineStr">
        <is>
          <t xml:space="preserve">Bag Type: </t>
        </is>
      </c>
      <c r="G13" s="2198" t="inlineStr">
        <is>
          <t>Levelrock 2500</t>
        </is>
      </c>
      <c r="H13" s="2199" t="inlineStr">
        <is>
          <t xml:space="preserve">Bag Type: </t>
        </is>
      </c>
      <c r="I13" s="2200">
        <f>G13</f>
        <v/>
      </c>
      <c r="J13" s="2201" t="inlineStr">
        <is>
          <t xml:space="preserve">Bag Type: </t>
        </is>
      </c>
      <c r="K13" s="2202">
        <f>G13</f>
        <v/>
      </c>
      <c r="L13" s="633" t="n"/>
      <c r="N13" s="1293" t="n"/>
      <c r="O13" s="1393">
        <f>SUM(P13:R13)</f>
        <v/>
      </c>
      <c r="P13" s="1394" t="n"/>
      <c r="Q13" s="1395" t="n"/>
      <c r="R13" s="1396" t="n"/>
      <c r="S13" s="1337">
        <f>((P13+Q13+R13)/F22)*H33</f>
        <v/>
      </c>
      <c r="T13" s="970" t="n"/>
      <c r="AM13" s="2193" t="n"/>
      <c r="AN13" s="2193" t="n"/>
      <c r="AO13" s="2193" t="n"/>
      <c r="AP13" s="2193" t="n"/>
      <c r="AQ13" s="2193" t="n"/>
      <c r="AR13" s="2193" t="n"/>
      <c r="AS13" s="2193" t="n"/>
      <c r="AT13" s="2193" t="n"/>
      <c r="AU13" s="2193" t="n"/>
      <c r="AV13" s="2193" t="n"/>
      <c r="AW13" s="1051" t="n"/>
      <c r="AX13" s="2193" t="n"/>
      <c r="AY13" s="1051" t="n"/>
      <c r="AZ13" s="1051" t="n"/>
      <c r="BA13" s="2193" t="n"/>
      <c r="BB13" s="1051" t="n"/>
      <c r="BC13" s="1051" t="n"/>
      <c r="BD13" s="2193" t="n"/>
      <c r="BE13" s="1051" t="n"/>
      <c r="BF13" s="2194" t="n"/>
      <c r="BG13" s="2193" t="n"/>
      <c r="BI13" s="1932" t="n"/>
      <c r="BK13" s="1932" t="n"/>
      <c r="BL13" s="1933" t="n"/>
      <c r="BM13" s="1051" t="n"/>
      <c r="BP13" s="1051" t="n"/>
      <c r="BQ13" s="2193" t="n"/>
      <c r="BS13" s="1051" t="n"/>
      <c r="BT13" s="2193" t="n"/>
      <c r="BU13" s="2193" t="n"/>
      <c r="BV13" s="1051" t="n"/>
      <c r="BW13" s="2193" t="n"/>
      <c r="BY13" s="2194" t="n"/>
      <c r="BZ13" s="2193" t="n"/>
      <c r="CC13" s="2193" t="n"/>
      <c r="CD13" s="2193" t="n"/>
      <c r="CE13" s="2193" t="n"/>
      <c r="CF13" s="2193" t="n"/>
      <c r="CG13" s="2193" t="n"/>
      <c r="CH13" s="2193" t="n"/>
      <c r="CI13" s="2193" t="n"/>
      <c r="CJ13" s="2193" t="n"/>
      <c r="CK13" s="2193" t="n"/>
      <c r="CL13" s="2193" t="n"/>
      <c r="CM13" s="1051" t="n"/>
      <c r="CN13" s="2193" t="n"/>
      <c r="CO13" s="1051" t="n"/>
      <c r="CP13" s="1051" t="n"/>
      <c r="CQ13" s="2193" t="n"/>
      <c r="CR13" s="1051" t="n"/>
      <c r="CS13" s="1051" t="n"/>
      <c r="CT13" s="2193" t="n"/>
      <c r="CU13" s="1051" t="n"/>
      <c r="CV13" s="2194" t="n"/>
      <c r="CW13" s="2193" t="n"/>
      <c r="CY13" s="1932" t="n"/>
      <c r="DA13" s="1932" t="n"/>
      <c r="DB13" s="1933" t="n"/>
      <c r="DC13" s="1051" t="n"/>
    </row>
    <row r="14" customFormat="1" s="585">
      <c r="A14" s="606" t="inlineStr">
        <is>
          <t>ISO Strip at All Areas:</t>
        </is>
      </c>
      <c r="B14" s="585" t="inlineStr">
        <is>
          <t>No</t>
        </is>
      </c>
      <c r="C14" s="591" t="n"/>
      <c r="D14" s="591" t="n"/>
      <c r="E14" s="600" t="n"/>
      <c r="F14" s="989" t="inlineStr">
        <is>
          <t xml:space="preserve">Yield at 3/4" </t>
        </is>
      </c>
      <c r="G14" s="862" t="n">
        <v>40</v>
      </c>
      <c r="H14" s="1112" t="inlineStr">
        <is>
          <t>42 more realistic</t>
        </is>
      </c>
      <c r="I14" s="863" t="n"/>
      <c r="K14" s="1934" t="n"/>
      <c r="L14" s="633" t="n"/>
      <c r="N14" s="1292" t="n"/>
      <c r="O14" s="1393">
        <f>SUM(P14:R14)</f>
        <v/>
      </c>
      <c r="P14" s="1394" t="n"/>
      <c r="Q14" s="1395" t="n"/>
      <c r="R14" s="1396" t="n"/>
      <c r="S14" s="1337">
        <f>((P14+Q14+R14)/F22)*H33</f>
        <v/>
      </c>
      <c r="T14" s="970" t="n"/>
      <c r="AM14" s="2193" t="n">
        <v>5000</v>
      </c>
      <c r="AN14" s="2193" t="n"/>
      <c r="AO14" s="2193" t="n"/>
      <c r="AP14" s="2193">
        <f>AM14</f>
        <v/>
      </c>
      <c r="AQ14" s="2193" t="n"/>
      <c r="AR14" s="2193" t="n"/>
      <c r="AS14" s="2193">
        <f>AM14+AP14</f>
        <v/>
      </c>
      <c r="AT14" s="2193" t="n"/>
      <c r="AU14" s="2193" t="n"/>
      <c r="AV14" s="2193">
        <f>AS14</f>
        <v/>
      </c>
      <c r="AW14" s="1051">
        <f>IF(AM14&lt;=#REF!,#REF!,IF(AM14&lt;=#REF!,#REF!,IF(AM14&lt;=#REF!,#REF!,IF(AM14&lt;=#REF!,#REF!,IF(AM14&lt;=#REF!,#REF!,IF(AM14&lt;=#REF!,#REF!,IF(AM14&lt;=#REF!,#REF!,0.05)))))))</f>
        <v/>
      </c>
      <c r="AX14" s="2193">
        <f>AW14*AM14</f>
        <v/>
      </c>
      <c r="AY14" s="1051" t="n"/>
      <c r="AZ14" s="1051">
        <f>IF(AP14&lt;=#REF!,#REF!,IF(AP14&lt;=#REF!,#REF!,IF(AP14&lt;=#REF!,#REF!,IF(AP14&lt;=#REF!,#REF!,IF(AP14&lt;=#REF!,#REF!,IF(AP14&lt;=#REF!,#REF!,IF(AP14&lt;=#REF!,#REF!,0.05)))))))</f>
        <v/>
      </c>
      <c r="BA14" s="2193">
        <f>AZ14*AP14</f>
        <v/>
      </c>
      <c r="BB14" s="1051" t="n"/>
      <c r="BC14" s="1051">
        <f>IF(AS14&lt;=#REF!,#REF!,IF(AS14&lt;=#REF!,#REF!,IF(AS14&lt;=#REF!,#REF!,IF(AS14&lt;=#REF!,#REF!,IF(AS14&lt;=#REF!,#REF!,IF(AS14&lt;=#REF!,#REF!,IF(AS14&lt;=#REF!,#REF!,0.05)))))))</f>
        <v/>
      </c>
      <c r="BD14" s="2193">
        <f>BC14*SUM(BA14,AX14,AS14)</f>
        <v/>
      </c>
      <c r="BE14" s="1051" t="n"/>
      <c r="BF14" s="2194">
        <f>IF(AV14&lt;=#REF!,#REF!,IF(AV14&lt;=#REF!,#REF!,IF(AV14&lt;=#REF!,#REF!,IF(AV14&lt;=#REF!,#REF!,IF(AV14&lt;=#REF!,#REF!,IF(AV14&lt;=#REF!,#REF!,IF(AV14&lt;=#REF!,#REF!,0.05)))))))</f>
        <v/>
      </c>
      <c r="BG14" s="2193">
        <f>BF14*AV14</f>
        <v/>
      </c>
      <c r="BI14" s="1932">
        <f>0.07*SUM(AS14,AX14,BA14,BD14,BG14)</f>
        <v/>
      </c>
      <c r="BK14" s="1932">
        <f>SUM(BI14,BG14,BD14,BA14,AX14,AS14)</f>
        <v/>
      </c>
      <c r="BL14" s="1933">
        <f>SUM(BG14,BD14,BA14,AX14)</f>
        <v/>
      </c>
      <c r="BM14" s="1051">
        <f>BL14/BK14</f>
        <v/>
      </c>
      <c r="BP14" s="1051" t="n">
        <v>0.05</v>
      </c>
      <c r="BQ14" s="2193" t="n">
        <v>1000000000</v>
      </c>
      <c r="BS14" s="1051" t="n">
        <v>0.05</v>
      </c>
      <c r="BT14" s="2193" t="n">
        <v>10000</v>
      </c>
      <c r="BU14" s="2193" t="n"/>
      <c r="BV14" s="1051" t="n">
        <v>0.18</v>
      </c>
      <c r="BW14" s="2193" t="n">
        <v>1000000000</v>
      </c>
      <c r="BY14" s="2194" t="n">
        <v>-0.055</v>
      </c>
      <c r="BZ14" s="2193" t="n">
        <v>44000</v>
      </c>
      <c r="CC14" s="2193" t="n">
        <v>5000</v>
      </c>
      <c r="CD14" s="2193" t="n"/>
      <c r="CE14" s="2193" t="n"/>
      <c r="CF14" s="2193">
        <f>CC14</f>
        <v/>
      </c>
      <c r="CG14" s="2193" t="n"/>
      <c r="CH14" s="2193" t="n"/>
      <c r="CI14" s="2193">
        <f>CC14+CF14</f>
        <v/>
      </c>
      <c r="CJ14" s="2193" t="n"/>
      <c r="CK14" s="2193" t="n"/>
      <c r="CL14" s="2193">
        <f>CI14</f>
        <v/>
      </c>
      <c r="CM14" s="1051">
        <f>IF(CC14&lt;=BQ$6,BP$6,IF(CC14&lt;=BQ$7,BP$7,IF(CC14&lt;=BQ$8,BP$8,IF(CC14&lt;=BQ$9,BP$9,IF(CC14&lt;=BQ$14,BP$14,IF(CC14&lt;=BQ$15,BP$15,IF(CC14&lt;=BQ$16,BP$16,0.05)))))))</f>
        <v/>
      </c>
      <c r="CN14" s="2193">
        <f>CM14*CC14</f>
        <v/>
      </c>
      <c r="CO14" s="1051" t="n"/>
      <c r="CP14" s="1051">
        <f>IF(CF14&lt;=BT$6,BS$6,IF(CF14&lt;=BT$7,BS$7,IF(CF14&lt;=BT$8,BS$8,IF(CF14&lt;=BT$9,BS$9,IF(CF14&lt;=BT$14,BS$14,IF(CF14&lt;=BT$15,BS$15,IF(CF14&lt;=BT$16,BS$16,0.05)))))))</f>
        <v/>
      </c>
      <c r="CQ14" s="2193">
        <f>CP14*CF14</f>
        <v/>
      </c>
      <c r="CR14" s="1051" t="n"/>
      <c r="CS14" s="1051">
        <f>IF(CI14&lt;=BW$6,BV$6,IF(CI14&lt;=BW$7,BV$7,IF(CI14&lt;=BW$8,BV$8,IF(CI14&lt;=BW$9,BV$9,IF(CI14&lt;=BW$14,BV$14,IF(CI14&lt;=BW$15,BV$15,IF(CI14&lt;=BW$16,BV$16,0.05)))))))</f>
        <v/>
      </c>
      <c r="CT14" s="2193">
        <f>CS14*SUM(CQ14,CN14,CI14)</f>
        <v/>
      </c>
      <c r="CU14" s="1051" t="n"/>
      <c r="CV14" s="2194">
        <f>IF(CL14&lt;=BZ$6,BY$6,IF(CL14&lt;=BZ$7,BY$7,IF(CL14&lt;=BZ$8,BY$8,IF(CL14&lt;=BZ$9,BY$9,IF(CL14&lt;=BZ$14,BY$14,IF(CL14&lt;=BZ$15,BY$15,IF(CL14&lt;=BZ$16,BY$16,0.05)))))))</f>
        <v/>
      </c>
      <c r="CW14" s="2193">
        <f>CV14*CL14</f>
        <v/>
      </c>
      <c r="CY14" s="1932">
        <f>0.07*SUM(CI14,CN14,CQ14,CT14,CW14)</f>
        <v/>
      </c>
      <c r="DA14" s="1932">
        <f>SUM(CY14,CW14,CT14,CQ14,CN14,CI14)</f>
        <v/>
      </c>
      <c r="DB14" s="1933">
        <f>SUM(CW14,CT14,CQ14,CN14)</f>
        <v/>
      </c>
      <c r="DC14" s="1051">
        <f>DB14/DA14</f>
        <v/>
      </c>
    </row>
    <row r="15" customFormat="1" s="585">
      <c r="A15" s="606" t="inlineStr">
        <is>
          <t>Metal Lath Reinfrcmnt:</t>
        </is>
      </c>
      <c r="B15" s="585" t="inlineStr">
        <is>
          <t>No</t>
        </is>
      </c>
      <c r="C15" s="591" t="n"/>
      <c r="D15" s="591" t="n"/>
      <c r="E15" s="591" t="n"/>
      <c r="F15" s="864" t="inlineStr">
        <is>
          <t xml:space="preserve">Yield per 1/8" </t>
        </is>
      </c>
      <c r="G15" s="585">
        <f>G14*6</f>
        <v/>
      </c>
      <c r="I15" s="868" t="n"/>
      <c r="K15" s="1934" t="n"/>
      <c r="L15" s="633" t="n"/>
      <c r="N15" s="1292" t="n"/>
      <c r="O15" s="1393">
        <f>SUM(P15:R15)</f>
        <v/>
      </c>
      <c r="P15" s="1394" t="n"/>
      <c r="Q15" s="1395" t="n"/>
      <c r="R15" s="1396" t="n"/>
      <c r="S15" s="1337">
        <f>((P15+Q15+R15)/F22)*H33</f>
        <v/>
      </c>
      <c r="T15" s="970" t="n"/>
      <c r="AM15" s="2193" t="n">
        <v>6000</v>
      </c>
      <c r="AN15" s="2193" t="n"/>
      <c r="AO15" s="2193" t="n"/>
      <c r="AP15" s="2193">
        <f>AM15</f>
        <v/>
      </c>
      <c r="AQ15" s="2193" t="n"/>
      <c r="AR15" s="2193" t="n"/>
      <c r="AS15" s="2193">
        <f>AM15+AP15</f>
        <v/>
      </c>
      <c r="AT15" s="2193" t="n"/>
      <c r="AU15" s="2193" t="n"/>
      <c r="AV15" s="2193">
        <f>AS15</f>
        <v/>
      </c>
      <c r="AW15" s="1051">
        <f>IF(AM15&lt;=#REF!,#REF!,IF(AM15&lt;=#REF!,#REF!,IF(AM15&lt;=#REF!,#REF!,IF(AM15&lt;=#REF!,#REF!,IF(AM15&lt;=#REF!,#REF!,IF(AM15&lt;=#REF!,#REF!,IF(AM15&lt;=#REF!,#REF!,0.05)))))))</f>
        <v/>
      </c>
      <c r="AX15" s="2193">
        <f>AW15*AM15</f>
        <v/>
      </c>
      <c r="AY15" s="1051" t="n"/>
      <c r="AZ15" s="1051">
        <f>IF(AP15&lt;=#REF!,#REF!,IF(AP15&lt;=#REF!,#REF!,IF(AP15&lt;=#REF!,#REF!,IF(AP15&lt;=#REF!,#REF!,IF(AP15&lt;=#REF!,#REF!,IF(AP15&lt;=#REF!,#REF!,IF(AP15&lt;=#REF!,#REF!,0.05)))))))</f>
        <v/>
      </c>
      <c r="BA15" s="2193">
        <f>AZ15*AP15</f>
        <v/>
      </c>
      <c r="BB15" s="1051" t="n"/>
      <c r="BC15" s="1051">
        <f>IF(AS15&lt;=#REF!,#REF!,IF(AS15&lt;=#REF!,#REF!,IF(AS15&lt;=#REF!,#REF!,IF(AS15&lt;=#REF!,#REF!,IF(AS15&lt;=#REF!,#REF!,IF(AS15&lt;=#REF!,#REF!,IF(AS15&lt;=#REF!,#REF!,0.05)))))))</f>
        <v/>
      </c>
      <c r="BD15" s="2193">
        <f>BC15*SUM(BA15,AX15,AS15)</f>
        <v/>
      </c>
      <c r="BE15" s="1051" t="n"/>
      <c r="BF15" s="2194">
        <f>IF(AV15&lt;=#REF!,#REF!,IF(AV15&lt;=#REF!,#REF!,IF(AV15&lt;=#REF!,#REF!,IF(AV15&lt;=#REF!,#REF!,IF(AV15&lt;=#REF!,#REF!,IF(AV15&lt;=#REF!,#REF!,IF(AV15&lt;=#REF!,#REF!,0.05)))))))</f>
        <v/>
      </c>
      <c r="BG15" s="2193">
        <f>BF15*AV15</f>
        <v/>
      </c>
      <c r="BI15" s="1932">
        <f>0.07*SUM(AS15,AX15,BA15,BD15,BG15)</f>
        <v/>
      </c>
      <c r="BK15" s="1932">
        <f>SUM(BI15,BG15,BD15,BA15,AX15,AS15)</f>
        <v/>
      </c>
      <c r="BL15" s="1933">
        <f>SUM(BG15,BD15,BA15,AX15)</f>
        <v/>
      </c>
      <c r="BM15" s="1051">
        <f>BL15/BK15</f>
        <v/>
      </c>
      <c r="BP15" s="1051" t="n">
        <v>0.05</v>
      </c>
      <c r="BQ15" s="2193" t="n">
        <v>1000000000</v>
      </c>
      <c r="BS15" s="1051" t="n">
        <v>0.03</v>
      </c>
      <c r="BT15" s="2193" t="n">
        <v>1000000000</v>
      </c>
      <c r="BU15" s="2193" t="n"/>
      <c r="BV15" s="1051" t="n">
        <v>0.18</v>
      </c>
      <c r="BW15" s="2193" t="n">
        <v>1000000000</v>
      </c>
      <c r="BY15" s="2194" t="n">
        <v>-0.06</v>
      </c>
      <c r="BZ15" s="2193" t="n">
        <v>1000000000</v>
      </c>
      <c r="CC15" s="2193" t="n">
        <v>6000</v>
      </c>
      <c r="CD15" s="2193" t="n"/>
      <c r="CE15" s="2193" t="n"/>
      <c r="CF15" s="2193">
        <f>CC15</f>
        <v/>
      </c>
      <c r="CG15" s="2193" t="n"/>
      <c r="CH15" s="2193" t="n"/>
      <c r="CI15" s="2193">
        <f>CC15+CF15</f>
        <v/>
      </c>
      <c r="CJ15" s="2193" t="n"/>
      <c r="CK15" s="2193" t="n"/>
      <c r="CL15" s="2193">
        <f>CI15</f>
        <v/>
      </c>
      <c r="CM15" s="1051">
        <f>IF(CC15&lt;=BQ$6,BP$6,IF(CC15&lt;=BQ$7,BP$7,IF(CC15&lt;=BQ$8,BP$8,IF(CC15&lt;=BQ$9,BP$9,IF(CC15&lt;=BQ$14,BP$14,IF(CC15&lt;=BQ$15,BP$15,IF(CC15&lt;=BQ$16,BP$16,0.05)))))))</f>
        <v/>
      </c>
      <c r="CN15" s="2193">
        <f>CM15*CC15</f>
        <v/>
      </c>
      <c r="CO15" s="1051" t="n"/>
      <c r="CP15" s="1051">
        <f>IF(CF15&lt;=BT$6,BS$6,IF(CF15&lt;=BT$7,BS$7,IF(CF15&lt;=BT$8,BS$8,IF(CF15&lt;=BT$9,BS$9,IF(CF15&lt;=BT$14,BS$14,IF(CF15&lt;=BT$15,BS$15,IF(CF15&lt;=BT$16,BS$16,0.05)))))))</f>
        <v/>
      </c>
      <c r="CQ15" s="2193">
        <f>CP15*CF15</f>
        <v/>
      </c>
      <c r="CR15" s="1051" t="n"/>
      <c r="CS15" s="1051">
        <f>IF(CI15&lt;=BW$6,BV$6,IF(CI15&lt;=BW$7,BV$7,IF(CI15&lt;=BW$8,BV$8,IF(CI15&lt;=BW$9,BV$9,IF(CI15&lt;=BW$14,BV$14,IF(CI15&lt;=BW$15,BV$15,IF(CI15&lt;=BW$16,BV$16,0.05)))))))</f>
        <v/>
      </c>
      <c r="CT15" s="2193">
        <f>CS15*SUM(CQ15,CN15,CI15)</f>
        <v/>
      </c>
      <c r="CU15" s="1051" t="n"/>
      <c r="CV15" s="2194">
        <f>IF(CL15&lt;=BZ$6,BY$6,IF(CL15&lt;=BZ$7,BY$7,IF(CL15&lt;=BZ$8,BY$8,IF(CL15&lt;=BZ$9,BY$9,IF(CL15&lt;=BZ$14,BY$14,IF(CL15&lt;=BZ$15,BY$15,IF(CL15&lt;=BZ$16,BY$16,0.05)))))))</f>
        <v/>
      </c>
      <c r="CW15" s="2193">
        <f>CV15*CL15</f>
        <v/>
      </c>
      <c r="CY15" s="1932">
        <f>0.07*SUM(CI15,CN15,CQ15,CT15,CW15)</f>
        <v/>
      </c>
      <c r="DA15" s="1932">
        <f>SUM(CY15,CW15,CT15,CQ15,CN15,CI15)</f>
        <v/>
      </c>
      <c r="DB15" s="1933">
        <f>SUM(CW15,CT15,CQ15,CN15)</f>
        <v/>
      </c>
      <c r="DC15" s="1051">
        <f>DB15/DA15</f>
        <v/>
      </c>
    </row>
    <row r="16" customFormat="1" s="585">
      <c r="A16" s="608" t="inlineStr">
        <is>
          <t>System-    Gyp:</t>
        </is>
      </c>
      <c r="B16" s="1665" t="inlineStr">
        <is>
          <t>N12 1/8"</t>
        </is>
      </c>
      <c r="C16" s="1654" t="inlineStr">
        <is>
          <t>+ 3/4" Gyp</t>
        </is>
      </c>
      <c r="D16" s="1655" t="inlineStr">
        <is>
          <t>1.8 Mix:2500psi</t>
        </is>
      </c>
      <c r="E16" s="591" t="n"/>
      <c r="F16" s="990" t="inlineStr">
        <is>
          <t>Eights req at Thickness</t>
        </is>
      </c>
      <c r="G16" s="1061" t="n">
        <v>6</v>
      </c>
      <c r="H16" s="991" t="inlineStr">
        <is>
          <t xml:space="preserve">*change this depending on depth, 1"=8… 3/4"=6* </t>
        </is>
      </c>
      <c r="I16" s="868" t="n"/>
      <c r="K16" s="1934" t="n"/>
      <c r="L16" s="633" t="n"/>
      <c r="N16" s="1292" t="n"/>
      <c r="O16" s="1393">
        <f>SUM(P16:R16)</f>
        <v/>
      </c>
      <c r="P16" s="1394" t="n"/>
      <c r="Q16" s="1395" t="n"/>
      <c r="R16" s="1396" t="n"/>
      <c r="S16" s="1337">
        <f>((P16+Q16+R16)/F22)*H33</f>
        <v/>
      </c>
      <c r="T16" s="970" t="n"/>
      <c r="AM16" s="2193" t="n">
        <v>7000</v>
      </c>
      <c r="AN16" s="2193" t="n"/>
      <c r="AO16" s="2193" t="n"/>
      <c r="AP16" s="2193">
        <f>AM16</f>
        <v/>
      </c>
      <c r="AQ16" s="2193" t="n"/>
      <c r="AR16" s="2193" t="n"/>
      <c r="AS16" s="2193">
        <f>AM16+AP16</f>
        <v/>
      </c>
      <c r="AT16" s="2193" t="n"/>
      <c r="AU16" s="2193" t="n"/>
      <c r="AV16" s="2193">
        <f>AS16</f>
        <v/>
      </c>
      <c r="AW16" s="1051">
        <f>IF(AM16&lt;=#REF!,#REF!,IF(AM16&lt;=#REF!,#REF!,IF(AM16&lt;=#REF!,#REF!,IF(AM16&lt;=#REF!,#REF!,IF(AM16&lt;=#REF!,#REF!,IF(AM16&lt;=#REF!,#REF!,IF(AM16&lt;=#REF!,#REF!,0.05)))))))</f>
        <v/>
      </c>
      <c r="AX16" s="2193">
        <f>AW16*AM16</f>
        <v/>
      </c>
      <c r="AY16" s="1051" t="n"/>
      <c r="AZ16" s="1051">
        <f>IF(AP16&lt;=#REF!,#REF!,IF(AP16&lt;=#REF!,#REF!,IF(AP16&lt;=#REF!,#REF!,IF(AP16&lt;=#REF!,#REF!,IF(AP16&lt;=#REF!,#REF!,IF(AP16&lt;=#REF!,#REF!,IF(AP16&lt;=#REF!,#REF!,0.05)))))))</f>
        <v/>
      </c>
      <c r="BA16" s="2193">
        <f>AZ16*AP16</f>
        <v/>
      </c>
      <c r="BB16" s="1051" t="n"/>
      <c r="BC16" s="1051">
        <f>IF(AS16&lt;=#REF!,#REF!,IF(AS16&lt;=#REF!,#REF!,IF(AS16&lt;=#REF!,#REF!,IF(AS16&lt;=#REF!,#REF!,IF(AS16&lt;=#REF!,#REF!,IF(AS16&lt;=#REF!,#REF!,IF(AS16&lt;=#REF!,#REF!,0.05)))))))</f>
        <v/>
      </c>
      <c r="BD16" s="2193">
        <f>BC16*SUM(BA16,AX16,AS16)</f>
        <v/>
      </c>
      <c r="BE16" s="1051" t="n"/>
      <c r="BF16" s="2194">
        <f>IF(AV16&lt;=#REF!,#REF!,IF(AV16&lt;=#REF!,#REF!,IF(AV16&lt;=#REF!,#REF!,IF(AV16&lt;=#REF!,#REF!,IF(AV16&lt;=#REF!,#REF!,IF(AV16&lt;=#REF!,#REF!,IF(AV16&lt;=#REF!,#REF!,0.05)))))))</f>
        <v/>
      </c>
      <c r="BG16" s="2193">
        <f>BF16*AV16</f>
        <v/>
      </c>
      <c r="BI16" s="1932">
        <f>0.07*SUM(AS16,AX16,BA16,BD16,BG16)</f>
        <v/>
      </c>
      <c r="BK16" s="1932">
        <f>SUM(BI16,BG16,BD16,BA16,AX16,AS16)</f>
        <v/>
      </c>
      <c r="BL16" s="1933">
        <f>SUM(BG16,BD16,BA16,AX16)</f>
        <v/>
      </c>
      <c r="BM16" s="1051">
        <f>BL16/BK16</f>
        <v/>
      </c>
      <c r="BP16" s="1051" t="n">
        <v>0.05</v>
      </c>
      <c r="BQ16" s="2193" t="n">
        <v>1000000000</v>
      </c>
      <c r="BS16" s="1051" t="n">
        <v>0.03</v>
      </c>
      <c r="BT16" s="2193" t="n">
        <v>1000000000</v>
      </c>
      <c r="BU16" s="2193" t="n"/>
      <c r="BV16" s="1051" t="n">
        <v>0.18</v>
      </c>
      <c r="BW16" s="2193" t="n">
        <v>1000000000</v>
      </c>
      <c r="BY16" s="2194" t="n">
        <v>0</v>
      </c>
      <c r="BZ16" s="2193" t="n">
        <v>1000000000</v>
      </c>
      <c r="CC16" s="2193" t="n">
        <v>7000</v>
      </c>
      <c r="CD16" s="2193" t="n"/>
      <c r="CE16" s="2193" t="n"/>
      <c r="CF16" s="2193">
        <f>CC16</f>
        <v/>
      </c>
      <c r="CG16" s="2193" t="n"/>
      <c r="CH16" s="2193" t="n"/>
      <c r="CI16" s="2193">
        <f>CC16+CF16</f>
        <v/>
      </c>
      <c r="CJ16" s="2193" t="n"/>
      <c r="CK16" s="2193" t="n"/>
      <c r="CL16" s="2193">
        <f>CI16</f>
        <v/>
      </c>
      <c r="CM16" s="1051">
        <f>IF(CC16&lt;=BQ$6,BP$6,IF(CC16&lt;=BQ$7,BP$7,IF(CC16&lt;=BQ$8,BP$8,IF(CC16&lt;=BQ$9,BP$9,IF(CC16&lt;=BQ$14,BP$14,IF(CC16&lt;=BQ$15,BP$15,IF(CC16&lt;=BQ$16,BP$16,0.05)))))))</f>
        <v/>
      </c>
      <c r="CN16" s="2193">
        <f>CM16*CC16</f>
        <v/>
      </c>
      <c r="CO16" s="1051" t="n"/>
      <c r="CP16" s="1051">
        <f>IF(CF16&lt;=BT$6,BS$6,IF(CF16&lt;=BT$7,BS$7,IF(CF16&lt;=BT$8,BS$8,IF(CF16&lt;=BT$9,BS$9,IF(CF16&lt;=BT$14,BS$14,IF(CF16&lt;=BT$15,BS$15,IF(CF16&lt;=BT$16,BS$16,0.05)))))))</f>
        <v/>
      </c>
      <c r="CQ16" s="2193">
        <f>CP16*CF16</f>
        <v/>
      </c>
      <c r="CR16" s="1051" t="n"/>
      <c r="CS16" s="1051">
        <f>IF(CI16&lt;=BW$6,BV$6,IF(CI16&lt;=BW$7,BV$7,IF(CI16&lt;=BW$8,BV$8,IF(CI16&lt;=BW$9,BV$9,IF(CI16&lt;=BW$14,BV$14,IF(CI16&lt;=BW$15,BV$15,IF(CI16&lt;=BW$16,BV$16,0.05)))))))</f>
        <v/>
      </c>
      <c r="CT16" s="2193">
        <f>CS16*SUM(CQ16,CN16,CI16)</f>
        <v/>
      </c>
      <c r="CU16" s="1051" t="n"/>
      <c r="CV16" s="2194">
        <f>IF(CL16&lt;=BZ$6,BY$6,IF(CL16&lt;=BZ$7,BY$7,IF(CL16&lt;=BZ$8,BY$8,IF(CL16&lt;=BZ$9,BY$9,IF(CL16&lt;=BZ$14,BY$14,IF(CL16&lt;=BZ$15,BY$15,IF(CL16&lt;=BZ$16,BY$16,0.05)))))))</f>
        <v/>
      </c>
      <c r="CW16" s="2193">
        <f>CV16*CL16</f>
        <v/>
      </c>
      <c r="CY16" s="1932">
        <f>0.07*SUM(CI16,CN16,CQ16,CT16,CW16)</f>
        <v/>
      </c>
      <c r="DA16" s="1932">
        <f>SUM(CY16,CW16,CT16,CQ16,CN16,CI16)</f>
        <v/>
      </c>
      <c r="DB16" s="1933">
        <f>SUM(CW16,CT16,CQ16,CN16)</f>
        <v/>
      </c>
      <c r="DC16" s="1051">
        <f>DB16/DA16</f>
        <v/>
      </c>
    </row>
    <row r="17" ht="16.2" customFormat="1" customHeight="1" s="585" thickBot="1">
      <c r="A17" s="1553" t="inlineStr">
        <is>
          <t>** USG **</t>
        </is>
      </c>
      <c r="B17" s="600" t="n"/>
      <c r="C17" s="591" t="n"/>
      <c r="D17" s="591" t="n"/>
      <c r="E17" s="591" t="n"/>
      <c r="F17" s="990" t="inlineStr">
        <is>
          <t xml:space="preserve">Yield/FT </t>
        </is>
      </c>
      <c r="G17" s="585">
        <f>G15/G16</f>
        <v/>
      </c>
      <c r="I17" s="868" t="n"/>
      <c r="K17" s="1934" t="n"/>
      <c r="L17" s="633" t="n"/>
      <c r="N17" s="1292" t="n"/>
      <c r="O17" s="1393">
        <f>SUM(P17:R17)</f>
        <v/>
      </c>
      <c r="P17" s="1394" t="n"/>
      <c r="Q17" s="1395" t="n"/>
      <c r="R17" s="1396" t="n"/>
      <c r="S17" s="1337">
        <f>((P17+Q17+R17)/F22)*H33</f>
        <v/>
      </c>
      <c r="T17" s="970" t="n"/>
      <c r="AM17" s="2193" t="n">
        <v>8000</v>
      </c>
      <c r="AN17" s="2193" t="n"/>
      <c r="AO17" s="2193" t="n"/>
      <c r="AP17" s="2193">
        <f>AM17</f>
        <v/>
      </c>
      <c r="AQ17" s="2193" t="n"/>
      <c r="AR17" s="2193" t="n"/>
      <c r="AS17" s="2193">
        <f>AM17+AP17</f>
        <v/>
      </c>
      <c r="AT17" s="2193" t="n"/>
      <c r="AU17" s="2193" t="n"/>
      <c r="AV17" s="2193">
        <f>AS17</f>
        <v/>
      </c>
      <c r="AW17" s="1051">
        <f>IF(AM17&lt;=#REF!,#REF!,IF(AM17&lt;=#REF!,#REF!,IF(AM17&lt;=#REF!,#REF!,IF(AM17&lt;=#REF!,#REF!,IF(AM17&lt;=#REF!,#REF!,IF(AM17&lt;=#REF!,#REF!,IF(AM17&lt;=#REF!,#REF!,0.05)))))))</f>
        <v/>
      </c>
      <c r="AX17" s="2193">
        <f>AW17*AM17</f>
        <v/>
      </c>
      <c r="AY17" s="1051" t="n"/>
      <c r="AZ17" s="1051">
        <f>IF(AP17&lt;=#REF!,#REF!,IF(AP17&lt;=#REF!,#REF!,IF(AP17&lt;=#REF!,#REF!,IF(AP17&lt;=#REF!,#REF!,IF(AP17&lt;=#REF!,#REF!,IF(AP17&lt;=#REF!,#REF!,IF(AP17&lt;=#REF!,#REF!,0.05)))))))</f>
        <v/>
      </c>
      <c r="BA17" s="2193">
        <f>AZ17*AP17</f>
        <v/>
      </c>
      <c r="BB17" s="1051" t="n"/>
      <c r="BC17" s="1051">
        <f>IF(AS17&lt;=#REF!,#REF!,IF(AS17&lt;=#REF!,#REF!,IF(AS17&lt;=#REF!,#REF!,IF(AS17&lt;=#REF!,#REF!,IF(AS17&lt;=#REF!,#REF!,IF(AS17&lt;=#REF!,#REF!,IF(AS17&lt;=#REF!,#REF!,0.05)))))))</f>
        <v/>
      </c>
      <c r="BD17" s="2193">
        <f>BC17*SUM(BA17,AX17,AS17)</f>
        <v/>
      </c>
      <c r="BE17" s="1051" t="n"/>
      <c r="BF17" s="2194">
        <f>IF(AV17&lt;=#REF!,#REF!,IF(AV17&lt;=#REF!,#REF!,IF(AV17&lt;=#REF!,#REF!,IF(AV17&lt;=#REF!,#REF!,IF(AV17&lt;=#REF!,#REF!,IF(AV17&lt;=#REF!,#REF!,IF(AV17&lt;=#REF!,#REF!,0.05)))))))</f>
        <v/>
      </c>
      <c r="BG17" s="2193">
        <f>BF17*AV17</f>
        <v/>
      </c>
      <c r="BI17" s="1932">
        <f>0.07*SUM(AS17,AX17,BA17,BD17,BG17)</f>
        <v/>
      </c>
      <c r="BK17" s="1932">
        <f>SUM(BI17,BG17,BD17,BA17,AX17,AS17)</f>
        <v/>
      </c>
      <c r="BL17" s="1933">
        <f>SUM(BG17,BD17,BA17,AX17)</f>
        <v/>
      </c>
      <c r="BM17" s="1051">
        <f>BL17/BK17</f>
        <v/>
      </c>
      <c r="CC17" s="2193" t="n">
        <v>8000</v>
      </c>
      <c r="CD17" s="2193" t="n"/>
      <c r="CE17" s="2193" t="n"/>
      <c r="CF17" s="2193">
        <f>CC17</f>
        <v/>
      </c>
      <c r="CG17" s="2193" t="n"/>
      <c r="CH17" s="2193" t="n"/>
      <c r="CI17" s="2193">
        <f>CC17+CF17</f>
        <v/>
      </c>
      <c r="CJ17" s="2193" t="n"/>
      <c r="CK17" s="2193" t="n"/>
      <c r="CL17" s="2193">
        <f>CI17</f>
        <v/>
      </c>
      <c r="CM17" s="1051">
        <f>IF(CC17&lt;=BQ$6,BP$6,IF(CC17&lt;=BQ$7,BP$7,IF(CC17&lt;=BQ$8,BP$8,IF(CC17&lt;=BQ$9,BP$9,IF(CC17&lt;=BQ$14,BP$14,IF(CC17&lt;=BQ$15,BP$15,IF(CC17&lt;=BQ$16,BP$16,0.05)))))))</f>
        <v/>
      </c>
      <c r="CN17" s="2193">
        <f>CM17*CC17</f>
        <v/>
      </c>
      <c r="CO17" s="1051" t="n"/>
      <c r="CP17" s="1051">
        <f>IF(CF17&lt;=BT$6,BS$6,IF(CF17&lt;=BT$7,BS$7,IF(CF17&lt;=BT$8,BS$8,IF(CF17&lt;=BT$9,BS$9,IF(CF17&lt;=BT$14,BS$14,IF(CF17&lt;=BT$15,BS$15,IF(CF17&lt;=BT$16,BS$16,0.05)))))))</f>
        <v/>
      </c>
      <c r="CQ17" s="2193">
        <f>CP17*CF17</f>
        <v/>
      </c>
      <c r="CR17" s="1051" t="n"/>
      <c r="CS17" s="1051">
        <f>IF(CI17&lt;=BW$6,BV$6,IF(CI17&lt;=BW$7,BV$7,IF(CI17&lt;=BW$8,BV$8,IF(CI17&lt;=BW$9,BV$9,IF(CI17&lt;=BW$14,BV$14,IF(CI17&lt;=BW$15,BV$15,IF(CI17&lt;=BW$16,BV$16,0.05)))))))</f>
        <v/>
      </c>
      <c r="CT17" s="2193">
        <f>CS17*SUM(CQ17,CN17,CI17)</f>
        <v/>
      </c>
      <c r="CU17" s="1051" t="n"/>
      <c r="CV17" s="2194">
        <f>IF(CL17&lt;=BZ$6,BY$6,IF(CL17&lt;=BZ$7,BY$7,IF(CL17&lt;=BZ$8,BY$8,IF(CL17&lt;=BZ$9,BY$9,IF(CL17&lt;=BZ$14,BY$14,IF(CL17&lt;=BZ$15,BY$15,IF(CL17&lt;=BZ$16,BY$16,0.05)))))))</f>
        <v/>
      </c>
      <c r="CW17" s="2193">
        <f>CV17*CL17</f>
        <v/>
      </c>
      <c r="CY17" s="1932">
        <f>0.07*SUM(CI17,CN17,CQ17,CT17,CW17)</f>
        <v/>
      </c>
      <c r="DA17" s="1932">
        <f>SUM(CY17,CW17,CT17,CQ17,CN17,CI17)</f>
        <v/>
      </c>
      <c r="DB17" s="1933">
        <f>SUM(CW17,CT17,CQ17,CN17)</f>
        <v/>
      </c>
      <c r="DC17" s="1051">
        <f>DB17/DA17</f>
        <v/>
      </c>
    </row>
    <row r="18" ht="16.2" customFormat="1" customHeight="1" s="585" thickBot="1">
      <c r="A18" s="612" t="inlineStr">
        <is>
          <t>Total Base Bid:</t>
        </is>
      </c>
      <c r="B18" s="1938">
        <f>E87</f>
        <v/>
      </c>
      <c r="C18" s="614" t="n"/>
      <c r="D18" s="614" t="inlineStr">
        <is>
          <t>$ / SF:</t>
        </is>
      </c>
      <c r="E18" s="1938">
        <f>C87</f>
        <v/>
      </c>
      <c r="F18" s="864" t="inlineStr">
        <is>
          <t xml:space="preserve">Gyp Waste </t>
        </is>
      </c>
      <c r="G18" s="1165" t="n">
        <v>0.03</v>
      </c>
      <c r="H18" s="585" t="inlineStr">
        <is>
          <t>*Adjust these if needed</t>
        </is>
      </c>
      <c r="I18" s="868" t="n"/>
      <c r="K18" s="617" t="n"/>
      <c r="L18" s="633" t="n"/>
      <c r="N18" s="1292" t="n"/>
      <c r="O18" s="1393">
        <f>SUM(P18:R18)</f>
        <v/>
      </c>
      <c r="P18" s="1394" t="n"/>
      <c r="Q18" s="1395" t="n"/>
      <c r="R18" s="1396" t="n"/>
      <c r="S18" s="1337">
        <f>((P18+Q18+R18)/F22)*H33</f>
        <v/>
      </c>
      <c r="T18" s="970" t="n"/>
      <c r="AM18" s="2193" t="n">
        <v>9000</v>
      </c>
      <c r="AN18" s="2193" t="n"/>
      <c r="AO18" s="2193" t="n"/>
      <c r="AP18" s="2193">
        <f>AM18</f>
        <v/>
      </c>
      <c r="AQ18" s="2193" t="n"/>
      <c r="AR18" s="2193" t="n"/>
      <c r="AS18" s="2193">
        <f>AM18+AP18</f>
        <v/>
      </c>
      <c r="AT18" s="2193" t="n"/>
      <c r="AU18" s="2193" t="n"/>
      <c r="AV18" s="2193">
        <f>AS18</f>
        <v/>
      </c>
      <c r="AW18" s="1051">
        <f>IF(AM18&lt;=#REF!,#REF!,IF(AM18&lt;=#REF!,#REF!,IF(AM18&lt;=#REF!,#REF!,IF(AM18&lt;=#REF!,#REF!,IF(AM18&lt;=#REF!,#REF!,IF(AM18&lt;=#REF!,#REF!,IF(AM18&lt;=#REF!,#REF!,0.05)))))))</f>
        <v/>
      </c>
      <c r="AX18" s="2193">
        <f>AW18*AM18</f>
        <v/>
      </c>
      <c r="AY18" s="1051" t="n"/>
      <c r="AZ18" s="1051">
        <f>IF(AP18&lt;=#REF!,#REF!,IF(AP18&lt;=#REF!,#REF!,IF(AP18&lt;=#REF!,#REF!,IF(AP18&lt;=#REF!,#REF!,IF(AP18&lt;=#REF!,#REF!,IF(AP18&lt;=#REF!,#REF!,IF(AP18&lt;=#REF!,#REF!,0.05)))))))</f>
        <v/>
      </c>
      <c r="BA18" s="2193">
        <f>AZ18*AP18</f>
        <v/>
      </c>
      <c r="BB18" s="1051" t="n"/>
      <c r="BC18" s="1051">
        <f>IF(AS18&lt;=#REF!,#REF!,IF(AS18&lt;=#REF!,#REF!,IF(AS18&lt;=#REF!,#REF!,IF(AS18&lt;=#REF!,#REF!,IF(AS18&lt;=#REF!,#REF!,IF(AS18&lt;=#REF!,#REF!,IF(AS18&lt;=#REF!,#REF!,0.05)))))))</f>
        <v/>
      </c>
      <c r="BD18" s="2193">
        <f>BC18*SUM(BA18,AX18,AS18)</f>
        <v/>
      </c>
      <c r="BE18" s="1051" t="n"/>
      <c r="BF18" s="2194">
        <f>IF(AV18&lt;=#REF!,#REF!,IF(AV18&lt;=#REF!,#REF!,IF(AV18&lt;=#REF!,#REF!,IF(AV18&lt;=#REF!,#REF!,IF(AV18&lt;=#REF!,#REF!,IF(AV18&lt;=#REF!,#REF!,IF(AV18&lt;=#REF!,#REF!,0.05)))))))</f>
        <v/>
      </c>
      <c r="BG18" s="2193">
        <f>BF18*AV18</f>
        <v/>
      </c>
      <c r="BI18" s="1932">
        <f>0.07*SUM(AS18,AX18,BA18,BD18,BG18)</f>
        <v/>
      </c>
      <c r="BK18" s="1932">
        <f>SUM(BI18,BG18,BD18,BA18,AX18,AS18)</f>
        <v/>
      </c>
      <c r="BL18" s="1933">
        <f>SUM(BG18,BD18,BA18,AX18)</f>
        <v/>
      </c>
      <c r="BM18" s="1051">
        <f>BL18/BK18</f>
        <v/>
      </c>
      <c r="CC18" s="2193" t="n">
        <v>9000</v>
      </c>
      <c r="CD18" s="2193" t="n"/>
      <c r="CE18" s="2193" t="n"/>
      <c r="CF18" s="2193">
        <f>CC18</f>
        <v/>
      </c>
      <c r="CG18" s="2193" t="n"/>
      <c r="CH18" s="2193" t="n"/>
      <c r="CI18" s="2193">
        <f>CC18+CF18</f>
        <v/>
      </c>
      <c r="CJ18" s="2193" t="n"/>
      <c r="CK18" s="2193" t="n"/>
      <c r="CL18" s="2193">
        <f>CI18</f>
        <v/>
      </c>
      <c r="CM18" s="1051">
        <f>IF(CC18&lt;=BQ$6,BP$6,IF(CC18&lt;=BQ$7,BP$7,IF(CC18&lt;=BQ$8,BP$8,IF(CC18&lt;=BQ$9,BP$9,IF(CC18&lt;=BQ$14,BP$14,IF(CC18&lt;=BQ$15,BP$15,IF(CC18&lt;=BQ$16,BP$16,0.05)))))))</f>
        <v/>
      </c>
      <c r="CN18" s="2193">
        <f>CM18*CC18</f>
        <v/>
      </c>
      <c r="CO18" s="1051" t="n"/>
      <c r="CP18" s="1051">
        <f>IF(CF18&lt;=BT$6,BS$6,IF(CF18&lt;=BT$7,BS$7,IF(CF18&lt;=BT$8,BS$8,IF(CF18&lt;=BT$9,BS$9,IF(CF18&lt;=BT$14,BS$14,IF(CF18&lt;=BT$15,BS$15,IF(CF18&lt;=BT$16,BS$16,0.05)))))))</f>
        <v/>
      </c>
      <c r="CQ18" s="2193">
        <f>CP18*CF18</f>
        <v/>
      </c>
      <c r="CR18" s="1051" t="n"/>
      <c r="CS18" s="1051">
        <f>IF(CI18&lt;=BW$6,BV$6,IF(CI18&lt;=BW$7,BV$7,IF(CI18&lt;=BW$8,BV$8,IF(CI18&lt;=BW$9,BV$9,IF(CI18&lt;=BW$14,BV$14,IF(CI18&lt;=BW$15,BV$15,IF(CI18&lt;=BW$16,BV$16,0.05)))))))</f>
        <v/>
      </c>
      <c r="CT18" s="2193">
        <f>CS18*SUM(CQ18,CN18,CI18)</f>
        <v/>
      </c>
      <c r="CU18" s="1051" t="n"/>
      <c r="CV18" s="2194">
        <f>IF(CL18&lt;=BZ$6,BY$6,IF(CL18&lt;=BZ$7,BY$7,IF(CL18&lt;=BZ$8,BY$8,IF(CL18&lt;=BZ$9,BY$9,IF(CL18&lt;=BZ$14,BY$14,IF(CL18&lt;=BZ$15,BY$15,IF(CL18&lt;=BZ$16,BY$16,0.05)))))))</f>
        <v/>
      </c>
      <c r="CW18" s="2193">
        <f>CV18*CL18</f>
        <v/>
      </c>
      <c r="CY18" s="1932">
        <f>0.07*SUM(CI18,CN18,CQ18,CT18,CW18)</f>
        <v/>
      </c>
      <c r="DA18" s="1932">
        <f>SUM(CY18,CW18,CT18,CQ18,CN18,CI18)</f>
        <v/>
      </c>
      <c r="DB18" s="1933">
        <f>SUM(CW18,CT18,CQ18,CN18)</f>
        <v/>
      </c>
      <c r="DC18" s="1051">
        <f>DB18/DA18</f>
        <v/>
      </c>
    </row>
    <row r="19" customFormat="1" s="585">
      <c r="A19" s="616" t="inlineStr">
        <is>
          <t xml:space="preserve">MATERIAL - </t>
        </is>
      </c>
      <c r="B19" s="617" t="inlineStr">
        <is>
          <t>Quantity</t>
        </is>
      </c>
      <c r="C19" s="1781" t="inlineStr">
        <is>
          <t>Units</t>
        </is>
      </c>
      <c r="D19" s="617" t="inlineStr">
        <is>
          <t>Cost/Unit</t>
        </is>
      </c>
      <c r="E19" s="992" t="inlineStr">
        <is>
          <t xml:space="preserve">Subtotal </t>
        </is>
      </c>
      <c r="F19" s="585" t="inlineStr">
        <is>
          <t xml:space="preserve">Sand Waste </t>
        </is>
      </c>
      <c r="G19" s="1165" t="n">
        <v>0.1</v>
      </c>
      <c r="H19" s="1877" t="inlineStr">
        <is>
          <t>for large bids</t>
        </is>
      </c>
      <c r="I19" s="993" t="n"/>
      <c r="K19" s="2014" t="n"/>
      <c r="L19" s="633" t="n"/>
      <c r="N19" s="1292" t="n"/>
      <c r="O19" s="1393">
        <f>SUM(P19:R19)</f>
        <v/>
      </c>
      <c r="P19" s="1394" t="n"/>
      <c r="Q19" s="1395" t="n"/>
      <c r="R19" s="1396" t="n"/>
      <c r="S19" s="1337">
        <f>((P19+Q19+R19)/F22)*H33</f>
        <v/>
      </c>
      <c r="T19" s="970" t="n"/>
      <c r="AM19" s="2193" t="n">
        <v>10000</v>
      </c>
      <c r="AN19" s="2193" t="n"/>
      <c r="AO19" s="2193" t="n"/>
      <c r="AP19" s="2193">
        <f>AM19</f>
        <v/>
      </c>
      <c r="AQ19" s="2193" t="n"/>
      <c r="AR19" s="2193" t="n"/>
      <c r="AS19" s="2193">
        <f>AM19+AP19</f>
        <v/>
      </c>
      <c r="AT19" s="2193" t="n"/>
      <c r="AU19" s="2193" t="n"/>
      <c r="AV19" s="2193">
        <f>AS19</f>
        <v/>
      </c>
      <c r="AW19" s="1051">
        <f>IF(AM19&lt;=#REF!,#REF!,IF(AM19&lt;=#REF!,#REF!,IF(AM19&lt;=#REF!,#REF!,IF(AM19&lt;=#REF!,#REF!,IF(AM19&lt;=#REF!,#REF!,IF(AM19&lt;=#REF!,#REF!,IF(AM19&lt;=#REF!,#REF!,0.05)))))))</f>
        <v/>
      </c>
      <c r="AX19" s="2193">
        <f>AW19*AM19</f>
        <v/>
      </c>
      <c r="AY19" s="1051" t="n"/>
      <c r="AZ19" s="1051">
        <f>IF(AP19&lt;=#REF!,#REF!,IF(AP19&lt;=#REF!,#REF!,IF(AP19&lt;=#REF!,#REF!,IF(AP19&lt;=#REF!,#REF!,IF(AP19&lt;=#REF!,#REF!,IF(AP19&lt;=#REF!,#REF!,IF(AP19&lt;=#REF!,#REF!,0.05)))))))</f>
        <v/>
      </c>
      <c r="BA19" s="2193">
        <f>AZ19*AP19</f>
        <v/>
      </c>
      <c r="BB19" s="1051" t="n"/>
      <c r="BC19" s="1051">
        <f>IF(AS19&lt;=#REF!,#REF!,IF(AS19&lt;=#REF!,#REF!,IF(AS19&lt;=#REF!,#REF!,IF(AS19&lt;=#REF!,#REF!,IF(AS19&lt;=#REF!,#REF!,IF(AS19&lt;=#REF!,#REF!,IF(AS19&lt;=#REF!,#REF!,0.05)))))))</f>
        <v/>
      </c>
      <c r="BD19" s="2193">
        <f>BC19*SUM(BA19,AX19,AS19)</f>
        <v/>
      </c>
      <c r="BE19" s="1051" t="n"/>
      <c r="BF19" s="2194">
        <f>IF(AV19&lt;=#REF!,#REF!,IF(AV19&lt;=#REF!,#REF!,IF(AV19&lt;=#REF!,#REF!,IF(AV19&lt;=#REF!,#REF!,IF(AV19&lt;=#REF!,#REF!,IF(AV19&lt;=#REF!,#REF!,IF(AV19&lt;=#REF!,#REF!,0.05)))))))</f>
        <v/>
      </c>
      <c r="BG19" s="2193">
        <f>BF19*AV19</f>
        <v/>
      </c>
      <c r="BI19" s="1932">
        <f>0.07*SUM(AS19,AX19,BA19,BD19,BG19)</f>
        <v/>
      </c>
      <c r="BK19" s="1932">
        <f>SUM(BI19,BG19,BD19,BA19,AX19,AS19)</f>
        <v/>
      </c>
      <c r="BL19" s="1933">
        <f>SUM(BG19,BD19,BA19,AX19)</f>
        <v/>
      </c>
      <c r="BM19" s="1051">
        <f>BL19/BK19</f>
        <v/>
      </c>
      <c r="CC19" s="2193" t="n">
        <v>10000</v>
      </c>
      <c r="CD19" s="2193" t="n"/>
      <c r="CE19" s="2193" t="n"/>
      <c r="CF19" s="2193">
        <f>CC19</f>
        <v/>
      </c>
      <c r="CG19" s="2193" t="n"/>
      <c r="CH19" s="2193" t="n"/>
      <c r="CI19" s="2193">
        <f>CC19+CF19</f>
        <v/>
      </c>
      <c r="CJ19" s="2193" t="n"/>
      <c r="CK19" s="2193" t="n"/>
      <c r="CL19" s="2193">
        <f>CI19</f>
        <v/>
      </c>
      <c r="CM19" s="1051">
        <f>IF(CC19&lt;=BQ$6,BP$6,IF(CC19&lt;=BQ$7,BP$7,IF(CC19&lt;=BQ$8,BP$8,IF(CC19&lt;=BQ$9,BP$9,IF(CC19&lt;=BQ$14,BP$14,IF(CC19&lt;=BQ$15,BP$15,IF(CC19&lt;=BQ$16,BP$16,0.05)))))))</f>
        <v/>
      </c>
      <c r="CN19" s="2193">
        <f>CM19*CC19</f>
        <v/>
      </c>
      <c r="CO19" s="1051" t="n"/>
      <c r="CP19" s="1051">
        <f>IF(CF19&lt;=BT$6,BS$6,IF(CF19&lt;=BT$7,BS$7,IF(CF19&lt;=BT$8,BS$8,IF(CF19&lt;=BT$9,BS$9,IF(CF19&lt;=BT$14,BS$14,IF(CF19&lt;=BT$15,BS$15,IF(CF19&lt;=BT$16,BS$16,0.05)))))))</f>
        <v/>
      </c>
      <c r="CQ19" s="2193">
        <f>CP19*CF19</f>
        <v/>
      </c>
      <c r="CR19" s="1051" t="n"/>
      <c r="CS19" s="1051">
        <f>IF(CI19&lt;=BW$6,BV$6,IF(CI19&lt;=BW$7,BV$7,IF(CI19&lt;=BW$8,BV$8,IF(CI19&lt;=BW$9,BV$9,IF(CI19&lt;=BW$14,BV$14,IF(CI19&lt;=BW$15,BV$15,IF(CI19&lt;=BW$16,BV$16,0.05)))))))</f>
        <v/>
      </c>
      <c r="CT19" s="2193">
        <f>CS19*SUM(CQ19,CN19,CI19)</f>
        <v/>
      </c>
      <c r="CU19" s="1051" t="n"/>
      <c r="CV19" s="2194">
        <f>IF(CL19&lt;=BZ$6,BY$6,IF(CL19&lt;=BZ$7,BY$7,IF(CL19&lt;=BZ$8,BY$8,IF(CL19&lt;=BZ$9,BY$9,IF(CL19&lt;=BZ$14,BY$14,IF(CL19&lt;=BZ$15,BY$15,IF(CL19&lt;=BZ$16,BY$16,0.05)))))))</f>
        <v/>
      </c>
      <c r="CW19" s="2193">
        <f>CV19*CL19</f>
        <v/>
      </c>
      <c r="CY19" s="1932">
        <f>0.07*SUM(CI19,CN19,CQ19,CT19,CW19)</f>
        <v/>
      </c>
      <c r="DA19" s="1932">
        <f>SUM(CY19,CW19,CT19,CQ19,CN19,CI19)</f>
        <v/>
      </c>
      <c r="DB19" s="1933">
        <f>SUM(CW19,CT19,CQ19,CN19)</f>
        <v/>
      </c>
      <c r="DC19" s="1051">
        <f>DB19/DA19</f>
        <v/>
      </c>
    </row>
    <row r="20" ht="16.2" customFormat="1" customHeight="1" s="585" thickBot="1">
      <c r="A20" s="624" t="n"/>
      <c r="B20" s="2096" t="n"/>
      <c r="C20" s="2203" t="n"/>
      <c r="D20" s="1942" t="n"/>
      <c r="E20" s="1943">
        <f>B20*D20</f>
        <v/>
      </c>
      <c r="F20" s="874" t="inlineStr">
        <is>
          <t>Sound Mat Waste</t>
        </is>
      </c>
      <c r="G20" s="1166" t="n">
        <v>0.04</v>
      </c>
      <c r="H20" s="874" t="n"/>
      <c r="I20" s="875" t="n"/>
      <c r="L20" s="633" t="n"/>
      <c r="N20" s="1292" t="n"/>
      <c r="O20" s="1393">
        <f>SUM(P20:R20)</f>
        <v/>
      </c>
      <c r="P20" s="1394" t="n"/>
      <c r="Q20" s="1395" t="n"/>
      <c r="R20" s="1396" t="n"/>
      <c r="S20" s="1337">
        <f>((P20+Q20+R20)/F22)*H33</f>
        <v/>
      </c>
      <c r="T20" s="970" t="n"/>
      <c r="AM20" s="2193" t="n">
        <v>11000</v>
      </c>
      <c r="AN20" s="2193" t="n"/>
      <c r="AO20" s="2193" t="n"/>
      <c r="AP20" s="2193">
        <f>AM20</f>
        <v/>
      </c>
      <c r="AQ20" s="2193" t="n"/>
      <c r="AR20" s="2193" t="n"/>
      <c r="AS20" s="2193">
        <f>AM20+AP20</f>
        <v/>
      </c>
      <c r="AT20" s="2193" t="n"/>
      <c r="AU20" s="2193" t="n"/>
      <c r="AV20" s="2193">
        <f>AS20</f>
        <v/>
      </c>
      <c r="AW20" s="1051">
        <f>IF(AM20&lt;=#REF!,#REF!,IF(AM20&lt;=#REF!,#REF!,IF(AM20&lt;=#REF!,#REF!,IF(AM20&lt;=#REF!,#REF!,IF(AM20&lt;=#REF!,#REF!,IF(AM20&lt;=#REF!,#REF!,IF(AM20&lt;=#REF!,#REF!,0.05)))))))</f>
        <v/>
      </c>
      <c r="AX20" s="2193">
        <f>AW20*AM20</f>
        <v/>
      </c>
      <c r="AY20" s="1051" t="n"/>
      <c r="AZ20" s="1051">
        <f>IF(AP20&lt;=#REF!,#REF!,IF(AP20&lt;=#REF!,#REF!,IF(AP20&lt;=#REF!,#REF!,IF(AP20&lt;=#REF!,#REF!,IF(AP20&lt;=#REF!,#REF!,IF(AP20&lt;=#REF!,#REF!,IF(AP20&lt;=#REF!,#REF!,0.05)))))))</f>
        <v/>
      </c>
      <c r="BA20" s="2193">
        <f>AZ20*AP20</f>
        <v/>
      </c>
      <c r="BB20" s="1051" t="n"/>
      <c r="BC20" s="1051">
        <f>IF(AS20&lt;=#REF!,#REF!,IF(AS20&lt;=#REF!,#REF!,IF(AS20&lt;=#REF!,#REF!,IF(AS20&lt;=#REF!,#REF!,IF(AS20&lt;=#REF!,#REF!,IF(AS20&lt;=#REF!,#REF!,IF(AS20&lt;=#REF!,#REF!,0.05)))))))</f>
        <v/>
      </c>
      <c r="BD20" s="2193">
        <f>BC20*SUM(BA20,AX20,AS20)</f>
        <v/>
      </c>
      <c r="BE20" s="1051" t="n"/>
      <c r="BF20" s="2194">
        <f>IF(AV20&lt;=#REF!,#REF!,IF(AV20&lt;=#REF!,#REF!,IF(AV20&lt;=#REF!,#REF!,IF(AV20&lt;=#REF!,#REF!,IF(AV20&lt;=#REF!,#REF!,IF(AV20&lt;=#REF!,#REF!,IF(AV20&lt;=#REF!,#REF!,0.05)))))))</f>
        <v/>
      </c>
      <c r="BG20" s="2193">
        <f>BF20*AV20</f>
        <v/>
      </c>
      <c r="BI20" s="1932">
        <f>0.07*SUM(AS20,AX20,BA20,BD20,BG20)</f>
        <v/>
      </c>
      <c r="BK20" s="1932">
        <f>SUM(BI20,BG20,BD20,BA20,AX20,AS20)</f>
        <v/>
      </c>
      <c r="BL20" s="1933">
        <f>SUM(BG20,BD20,BA20,AX20)</f>
        <v/>
      </c>
      <c r="BM20" s="1051">
        <f>BL20/BK20</f>
        <v/>
      </c>
      <c r="CC20" s="2193" t="n">
        <v>11000</v>
      </c>
      <c r="CD20" s="2193" t="n"/>
      <c r="CE20" s="2193" t="n"/>
      <c r="CF20" s="2193">
        <f>CC20</f>
        <v/>
      </c>
      <c r="CG20" s="2193" t="n"/>
      <c r="CH20" s="2193" t="n"/>
      <c r="CI20" s="2193">
        <f>CC20+CF20</f>
        <v/>
      </c>
      <c r="CJ20" s="2193" t="n"/>
      <c r="CK20" s="2193" t="n"/>
      <c r="CL20" s="2193">
        <f>CI20</f>
        <v/>
      </c>
      <c r="CM20" s="1051">
        <f>IF(CC20&lt;=BQ$6,BP$6,IF(CC20&lt;=BQ$7,BP$7,IF(CC20&lt;=BQ$8,BP$8,IF(CC20&lt;=BQ$9,BP$9,IF(CC20&lt;=BQ$14,BP$14,IF(CC20&lt;=BQ$15,BP$15,IF(CC20&lt;=BQ$16,BP$16,0.05)))))))</f>
        <v/>
      </c>
      <c r="CN20" s="2193">
        <f>CM20*CC20</f>
        <v/>
      </c>
      <c r="CO20" s="1051" t="n"/>
      <c r="CP20" s="1051">
        <f>IF(CF20&lt;=BT$6,BS$6,IF(CF20&lt;=BT$7,BS$7,IF(CF20&lt;=BT$8,BS$8,IF(CF20&lt;=BT$9,BS$9,IF(CF20&lt;=BT$14,BS$14,IF(CF20&lt;=BT$15,BS$15,IF(CF20&lt;=BT$16,BS$16,0.05)))))))</f>
        <v/>
      </c>
      <c r="CQ20" s="2193">
        <f>CP20*CF20</f>
        <v/>
      </c>
      <c r="CR20" s="1051" t="n"/>
      <c r="CS20" s="1051">
        <f>IF(CI20&lt;=BW$6,BV$6,IF(CI20&lt;=BW$7,BV$7,IF(CI20&lt;=BW$8,BV$8,IF(CI20&lt;=BW$9,BV$9,IF(CI20&lt;=BW$14,BV$14,IF(CI20&lt;=BW$15,BV$15,IF(CI20&lt;=BW$16,BV$16,0.05)))))))</f>
        <v/>
      </c>
      <c r="CT20" s="2193">
        <f>CS20*SUM(CQ20,CN20,CI20)</f>
        <v/>
      </c>
      <c r="CU20" s="1051" t="n"/>
      <c r="CV20" s="2194">
        <f>IF(CL20&lt;=BZ$6,BY$6,IF(CL20&lt;=BZ$7,BY$7,IF(CL20&lt;=BZ$8,BY$8,IF(CL20&lt;=BZ$9,BY$9,IF(CL20&lt;=BZ$14,BY$14,IF(CL20&lt;=BZ$15,BY$15,IF(CL20&lt;=BZ$16,BY$16,0.05)))))))</f>
        <v/>
      </c>
      <c r="CW20" s="2193">
        <f>CV20*CL20</f>
        <v/>
      </c>
      <c r="CY20" s="1932">
        <f>0.07*SUM(CI20,CN20,CQ20,CT20,CW20)</f>
        <v/>
      </c>
      <c r="DA20" s="1932">
        <f>SUM(CY20,CW20,CT20,CQ20,CN20,CI20)</f>
        <v/>
      </c>
      <c r="DB20" s="1933">
        <f>SUM(CW20,CT20,CQ20,CN20)</f>
        <v/>
      </c>
      <c r="DC20" s="1051">
        <f>DB20/DA20</f>
        <v/>
      </c>
    </row>
    <row r="21" customFormat="1" s="585">
      <c r="A21" s="1559" t="inlineStr">
        <is>
          <t>USG Levelrock</t>
        </is>
      </c>
      <c r="B21" s="2096" t="n"/>
      <c r="C21" s="2203" t="n"/>
      <c r="D21" s="1942" t="n"/>
      <c r="E21" s="1943">
        <f>B21*D21</f>
        <v/>
      </c>
      <c r="L21" s="633" t="n"/>
      <c r="N21" s="1292" t="n"/>
      <c r="O21" s="1393">
        <f>SUM(P21:R21)</f>
        <v/>
      </c>
      <c r="P21" s="1394" t="n"/>
      <c r="Q21" s="1395" t="n"/>
      <c r="R21" s="1396" t="n"/>
      <c r="S21" s="1337">
        <f>((P21+Q21+R21)/F22)*H33</f>
        <v/>
      </c>
      <c r="T21" s="970" t="n"/>
      <c r="AM21" s="2193" t="n">
        <v>12000</v>
      </c>
      <c r="AN21" s="2193" t="n"/>
      <c r="AO21" s="2193" t="n"/>
      <c r="AP21" s="2193">
        <f>AM21</f>
        <v/>
      </c>
      <c r="AQ21" s="2193" t="n"/>
      <c r="AR21" s="2193" t="n"/>
      <c r="AS21" s="2193">
        <f>AM21+AP21</f>
        <v/>
      </c>
      <c r="AT21" s="2193" t="n"/>
      <c r="AU21" s="2193" t="n"/>
      <c r="AV21" s="2193">
        <f>AS21</f>
        <v/>
      </c>
      <c r="AW21" s="1051">
        <f>IF(AM21&lt;=#REF!,#REF!,IF(AM21&lt;=#REF!,#REF!,IF(AM21&lt;=#REF!,#REF!,IF(AM21&lt;=#REF!,#REF!,IF(AM21&lt;=#REF!,#REF!,IF(AM21&lt;=#REF!,#REF!,IF(AM21&lt;=#REF!,#REF!,0.05)))))))</f>
        <v/>
      </c>
      <c r="AX21" s="2193">
        <f>AW21*AM21</f>
        <v/>
      </c>
      <c r="AY21" s="1051" t="n"/>
      <c r="AZ21" s="1051">
        <f>IF(AP21&lt;=#REF!,#REF!,IF(AP21&lt;=#REF!,#REF!,IF(AP21&lt;=#REF!,#REF!,IF(AP21&lt;=#REF!,#REF!,IF(AP21&lt;=#REF!,#REF!,IF(AP21&lt;=#REF!,#REF!,IF(AP21&lt;=#REF!,#REF!,0.05)))))))</f>
        <v/>
      </c>
      <c r="BA21" s="2193">
        <f>AZ21*AP21</f>
        <v/>
      </c>
      <c r="BB21" s="1051" t="n"/>
      <c r="BC21" s="1051">
        <f>IF(AS21&lt;=#REF!,#REF!,IF(AS21&lt;=#REF!,#REF!,IF(AS21&lt;=#REF!,#REF!,IF(AS21&lt;=#REF!,#REF!,IF(AS21&lt;=#REF!,#REF!,IF(AS21&lt;=#REF!,#REF!,IF(AS21&lt;=#REF!,#REF!,0.05)))))))</f>
        <v/>
      </c>
      <c r="BD21" s="2193">
        <f>BC21*SUM(BA21,AX21,AS21)</f>
        <v/>
      </c>
      <c r="BE21" s="1051" t="n"/>
      <c r="BF21" s="2194">
        <f>IF(AV21&lt;=#REF!,#REF!,IF(AV21&lt;=#REF!,#REF!,IF(AV21&lt;=#REF!,#REF!,IF(AV21&lt;=#REF!,#REF!,IF(AV21&lt;=#REF!,#REF!,IF(AV21&lt;=#REF!,#REF!,IF(AV21&lt;=#REF!,#REF!,0.05)))))))</f>
        <v/>
      </c>
      <c r="BG21" s="2193">
        <f>BF21*AV21</f>
        <v/>
      </c>
      <c r="BI21" s="1932">
        <f>0.07*SUM(AS21,AX21,BA21,BD21,BG21)</f>
        <v/>
      </c>
      <c r="BK21" s="1932">
        <f>SUM(BI21,BG21,BD21,BA21,AX21,AS21)</f>
        <v/>
      </c>
      <c r="BL21" s="1933">
        <f>SUM(BG21,BD21,BA21,AX21)</f>
        <v/>
      </c>
      <c r="BM21" s="1051">
        <f>BL21/BK21</f>
        <v/>
      </c>
      <c r="CC21" s="2193" t="n">
        <v>12000</v>
      </c>
      <c r="CD21" s="2193" t="n"/>
      <c r="CE21" s="2193" t="n"/>
      <c r="CF21" s="2193">
        <f>CC21</f>
        <v/>
      </c>
      <c r="CG21" s="2193" t="n"/>
      <c r="CH21" s="2193" t="n"/>
      <c r="CI21" s="2193">
        <f>CC21+CF21</f>
        <v/>
      </c>
      <c r="CJ21" s="2193" t="n"/>
      <c r="CK21" s="2193" t="n"/>
      <c r="CL21" s="2193">
        <f>CI21</f>
        <v/>
      </c>
      <c r="CM21" s="1051">
        <f>IF(CC21&lt;=BQ$6,BP$6,IF(CC21&lt;=BQ$7,BP$7,IF(CC21&lt;=BQ$8,BP$8,IF(CC21&lt;=BQ$9,BP$9,IF(CC21&lt;=BQ$14,BP$14,IF(CC21&lt;=BQ$15,BP$15,IF(CC21&lt;=BQ$16,BP$16,0.05)))))))</f>
        <v/>
      </c>
      <c r="CN21" s="2193">
        <f>CM21*CC21</f>
        <v/>
      </c>
      <c r="CO21" s="1051" t="n"/>
      <c r="CP21" s="1051">
        <f>IF(CF21&lt;=BT$6,BS$6,IF(CF21&lt;=BT$7,BS$7,IF(CF21&lt;=BT$8,BS$8,IF(CF21&lt;=BT$9,BS$9,IF(CF21&lt;=BT$14,BS$14,IF(CF21&lt;=BT$15,BS$15,IF(CF21&lt;=BT$16,BS$16,0.05)))))))</f>
        <v/>
      </c>
      <c r="CQ21" s="2193">
        <f>CP21*CF21</f>
        <v/>
      </c>
      <c r="CR21" s="1051" t="n"/>
      <c r="CS21" s="1051">
        <f>IF(CI21&lt;=BW$6,BV$6,IF(CI21&lt;=BW$7,BV$7,IF(CI21&lt;=BW$8,BV$8,IF(CI21&lt;=BW$9,BV$9,IF(CI21&lt;=BW$14,BV$14,IF(CI21&lt;=BW$15,BV$15,IF(CI21&lt;=BW$16,BV$16,0.05)))))))</f>
        <v/>
      </c>
      <c r="CT21" s="2193">
        <f>CS21*SUM(CQ21,CN21,CI21)</f>
        <v/>
      </c>
      <c r="CU21" s="1051" t="n"/>
      <c r="CV21" s="2194">
        <f>IF(CL21&lt;=BZ$6,BY$6,IF(CL21&lt;=BZ$7,BY$7,IF(CL21&lt;=BZ$8,BY$8,IF(CL21&lt;=BZ$9,BY$9,IF(CL21&lt;=BZ$14,BY$14,IF(CL21&lt;=BZ$15,BY$15,IF(CL21&lt;=BZ$16,BY$16,0.05)))))))</f>
        <v/>
      </c>
      <c r="CW21" s="2193">
        <f>CV21*CL21</f>
        <v/>
      </c>
      <c r="CY21" s="1932">
        <f>0.07*SUM(CI21,CN21,CQ21,CT21,CW21)</f>
        <v/>
      </c>
      <c r="DA21" s="1932">
        <f>SUM(CY21,CW21,CT21,CQ21,CN21,CI21)</f>
        <v/>
      </c>
      <c r="DB21" s="1933">
        <f>SUM(CW21,CT21,CQ21,CN21)</f>
        <v/>
      </c>
      <c r="DC21" s="1051">
        <f>DB21/DA21</f>
        <v/>
      </c>
    </row>
    <row r="22" customFormat="1" s="585">
      <c r="A22" s="641" t="inlineStr">
        <is>
          <t>MATERIAL - Gypsum Underlayments</t>
        </is>
      </c>
      <c r="B22" s="2204" t="n"/>
      <c r="C22" s="643" t="n"/>
      <c r="D22" s="643" t="n"/>
      <c r="E22" s="2205">
        <f>B22*D22</f>
        <v/>
      </c>
      <c r="F22" s="1284">
        <f>SUM(F23:F25)</f>
        <v/>
      </c>
      <c r="G22" s="887" t="inlineStr">
        <is>
          <t>SF Total</t>
        </is>
      </c>
      <c r="H22" s="837" t="inlineStr">
        <is>
          <t>Ave Gyp Thickness</t>
        </is>
      </c>
      <c r="I22" s="2206" t="inlineStr">
        <is>
          <t>1/8's Req at Thickness</t>
        </is>
      </c>
      <c r="J22" s="822" t="inlineStr">
        <is>
          <t xml:space="preserve">Yield/FT </t>
        </is>
      </c>
      <c r="K22" s="1140" t="inlineStr">
        <is>
          <t>1.8 = 2500 psi</t>
        </is>
      </c>
      <c r="L22" s="1140" t="inlineStr">
        <is>
          <t>1.4 = 3000 psi</t>
        </is>
      </c>
      <c r="O22" s="1393">
        <f>SUM(P22:R22)</f>
        <v/>
      </c>
      <c r="P22" s="1394" t="n"/>
      <c r="Q22" s="1395" t="n"/>
      <c r="R22" s="1396" t="n"/>
      <c r="S22" s="1337">
        <f>((P22+Q22+R22)/F22)*H33</f>
        <v/>
      </c>
      <c r="T22" s="970" t="n"/>
      <c r="AM22" s="2193" t="n">
        <v>13000</v>
      </c>
      <c r="AN22" s="2193" t="n"/>
      <c r="AO22" s="2193" t="n"/>
      <c r="AP22" s="2193">
        <f>AM22</f>
        <v/>
      </c>
      <c r="AQ22" s="2193" t="n"/>
      <c r="AR22" s="2193" t="n"/>
      <c r="AS22" s="2193">
        <f>AM22+AP22</f>
        <v/>
      </c>
      <c r="AT22" s="2193" t="n"/>
      <c r="AU22" s="2193" t="n"/>
      <c r="AV22" s="2193">
        <f>AS22</f>
        <v/>
      </c>
      <c r="AW22" s="1051">
        <f>IF(AM22&lt;=#REF!,#REF!,IF(AM22&lt;=#REF!,#REF!,IF(AM22&lt;=#REF!,#REF!,IF(AM22&lt;=#REF!,#REF!,IF(AM22&lt;=#REF!,#REF!,IF(AM22&lt;=#REF!,#REF!,IF(AM22&lt;=#REF!,#REF!,0.05)))))))</f>
        <v/>
      </c>
      <c r="AX22" s="2193">
        <f>AW22*AM22</f>
        <v/>
      </c>
      <c r="AY22" s="1051" t="n"/>
      <c r="AZ22" s="1051">
        <f>IF(AP22&lt;=#REF!,#REF!,IF(AP22&lt;=#REF!,#REF!,IF(AP22&lt;=#REF!,#REF!,IF(AP22&lt;=#REF!,#REF!,IF(AP22&lt;=#REF!,#REF!,IF(AP22&lt;=#REF!,#REF!,IF(AP22&lt;=#REF!,#REF!,0.05)))))))</f>
        <v/>
      </c>
      <c r="BA22" s="2193">
        <f>AZ22*AP22</f>
        <v/>
      </c>
      <c r="BB22" s="1051" t="n"/>
      <c r="BC22" s="1051">
        <f>IF(AS22&lt;=#REF!,#REF!,IF(AS22&lt;=#REF!,#REF!,IF(AS22&lt;=#REF!,#REF!,IF(AS22&lt;=#REF!,#REF!,IF(AS22&lt;=#REF!,#REF!,IF(AS22&lt;=#REF!,#REF!,IF(AS22&lt;=#REF!,#REF!,0.05)))))))</f>
        <v/>
      </c>
      <c r="BD22" s="2193">
        <f>BC22*SUM(BA22,AX22,AS22)</f>
        <v/>
      </c>
      <c r="BE22" s="1051" t="n"/>
      <c r="BF22" s="2194">
        <f>IF(AV22&lt;=#REF!,#REF!,IF(AV22&lt;=#REF!,#REF!,IF(AV22&lt;=#REF!,#REF!,IF(AV22&lt;=#REF!,#REF!,IF(AV22&lt;=#REF!,#REF!,IF(AV22&lt;=#REF!,#REF!,IF(AV22&lt;=#REF!,#REF!,0.05)))))))</f>
        <v/>
      </c>
      <c r="BG22" s="2193">
        <f>BF22*AV22</f>
        <v/>
      </c>
      <c r="BI22" s="1932">
        <f>0.07*SUM(AS22,AX22,BA22,BD22,BG22)</f>
        <v/>
      </c>
      <c r="BK22" s="1932">
        <f>SUM(BI22,BG22,BD22,BA22,AX22,AS22)</f>
        <v/>
      </c>
      <c r="BL22" s="1933">
        <f>SUM(BG22,BD22,BA22,AX22)</f>
        <v/>
      </c>
      <c r="BM22" s="1051">
        <f>BL22/BK22</f>
        <v/>
      </c>
      <c r="CC22" s="2193" t="n">
        <v>13000</v>
      </c>
      <c r="CD22" s="2193" t="n"/>
      <c r="CE22" s="2193" t="n"/>
      <c r="CF22" s="2193">
        <f>CC22</f>
        <v/>
      </c>
      <c r="CG22" s="2193" t="n"/>
      <c r="CH22" s="2193" t="n"/>
      <c r="CI22" s="2193">
        <f>CC22+CF22</f>
        <v/>
      </c>
      <c r="CJ22" s="2193" t="n"/>
      <c r="CK22" s="2193" t="n"/>
      <c r="CL22" s="2193">
        <f>CI22</f>
        <v/>
      </c>
      <c r="CM22" s="1051">
        <f>IF(CC22&lt;=BQ$6,BP$6,IF(CC22&lt;=BQ$7,BP$7,IF(CC22&lt;=BQ$8,BP$8,IF(CC22&lt;=BQ$9,BP$9,IF(CC22&lt;=BQ$14,BP$14,IF(CC22&lt;=BQ$15,BP$15,IF(CC22&lt;=BQ$16,BP$16,0.05)))))))</f>
        <v/>
      </c>
      <c r="CN22" s="2193">
        <f>CM22*CC22</f>
        <v/>
      </c>
      <c r="CO22" s="1051" t="n"/>
      <c r="CP22" s="1051">
        <f>IF(CF22&lt;=BT$6,BS$6,IF(CF22&lt;=BT$7,BS$7,IF(CF22&lt;=BT$8,BS$8,IF(CF22&lt;=BT$9,BS$9,IF(CF22&lt;=BT$14,BS$14,IF(CF22&lt;=BT$15,BS$15,IF(CF22&lt;=BT$16,BS$16,0.05)))))))</f>
        <v/>
      </c>
      <c r="CQ22" s="2193">
        <f>CP22*CF22</f>
        <v/>
      </c>
      <c r="CR22" s="1051" t="n"/>
      <c r="CS22" s="1051">
        <f>IF(CI22&lt;=BW$6,BV$6,IF(CI22&lt;=BW$7,BV$7,IF(CI22&lt;=BW$8,BV$8,IF(CI22&lt;=BW$9,BV$9,IF(CI22&lt;=BW$14,BV$14,IF(CI22&lt;=BW$15,BV$15,IF(CI22&lt;=BW$16,BV$16,0.05)))))))</f>
        <v/>
      </c>
      <c r="CT22" s="2193">
        <f>CS22*SUM(CQ22,CN22,CI22)</f>
        <v/>
      </c>
      <c r="CU22" s="1051" t="n"/>
      <c r="CV22" s="2194">
        <f>IF(CL22&lt;=BZ$6,BY$6,IF(CL22&lt;=BZ$7,BY$7,IF(CL22&lt;=BZ$8,BY$8,IF(CL22&lt;=BZ$9,BY$9,IF(CL22&lt;=BZ$14,BY$14,IF(CL22&lt;=BZ$15,BY$15,IF(CL22&lt;=BZ$16,BY$16,0.05)))))))</f>
        <v/>
      </c>
      <c r="CW22" s="2193">
        <f>CV22*CL22</f>
        <v/>
      </c>
      <c r="CY22" s="1932">
        <f>0.07*SUM(CI22,CN22,CQ22,CT22,CW22)</f>
        <v/>
      </c>
      <c r="DA22" s="1932">
        <f>SUM(CY22,CW22,CT22,CQ22,CN22,CI22)</f>
        <v/>
      </c>
      <c r="DB22" s="1933">
        <f>SUM(CW22,CT22,CQ22,CN22)</f>
        <v/>
      </c>
      <c r="DC22" s="1051">
        <f>DB22/DA22</f>
        <v/>
      </c>
    </row>
    <row r="23" customFormat="1" s="585">
      <c r="A23" s="647" t="inlineStr">
        <is>
          <t>Levelrock 2500 (SSA)</t>
        </is>
      </c>
      <c r="B23" s="2207">
        <f>(F23/J23)*(1+G18)</f>
        <v/>
      </c>
      <c r="C23" s="2179" t="inlineStr">
        <is>
          <t>bags w/ waste</t>
        </is>
      </c>
      <c r="D23" s="2208" t="n">
        <v>14.08</v>
      </c>
      <c r="E23" s="1962">
        <f>B23*D23</f>
        <v/>
      </c>
      <c r="F23" s="2209">
        <f>G9</f>
        <v/>
      </c>
      <c r="G23" s="996" t="inlineStr">
        <is>
          <t>SF - Soft Surfaces</t>
        </is>
      </c>
      <c r="H23" s="2210">
        <f>G10</f>
        <v/>
      </c>
      <c r="I23" s="1147">
        <f>H23*8</f>
        <v/>
      </c>
      <c r="J23" s="1162">
        <f>IF(G11=P52,R52,IF(G11=P54,R54))</f>
        <v/>
      </c>
      <c r="K23" s="590" t="n">
        <v>40</v>
      </c>
      <c r="L23" s="585" t="n">
        <v>34</v>
      </c>
      <c r="O23" s="1393">
        <f>SUM(P23:R23)</f>
        <v/>
      </c>
      <c r="P23" s="1394" t="n"/>
      <c r="Q23" s="1395" t="n"/>
      <c r="R23" s="1396" t="n"/>
      <c r="S23" s="1337">
        <f>((P23+Q23+R23)/F22)*H33</f>
        <v/>
      </c>
      <c r="T23" s="997" t="n"/>
      <c r="AM23" s="2193" t="n">
        <v>14000</v>
      </c>
      <c r="AN23" s="2193" t="n"/>
      <c r="AO23" s="2193" t="n"/>
      <c r="AP23" s="2193">
        <f>AM23</f>
        <v/>
      </c>
      <c r="AQ23" s="2193" t="n"/>
      <c r="AR23" s="2193" t="n"/>
      <c r="AS23" s="2193">
        <f>AM23+AP23</f>
        <v/>
      </c>
      <c r="AT23" s="2193" t="n"/>
      <c r="AU23" s="2193" t="n"/>
      <c r="AV23" s="2193">
        <f>AS23</f>
        <v/>
      </c>
      <c r="AW23" s="1051">
        <f>IF(AM23&lt;=#REF!,#REF!,IF(AM23&lt;=#REF!,#REF!,IF(AM23&lt;=#REF!,#REF!,IF(AM23&lt;=#REF!,#REF!,IF(AM23&lt;=#REF!,#REF!,IF(AM23&lt;=#REF!,#REF!,IF(AM23&lt;=#REF!,#REF!,0.05)))))))</f>
        <v/>
      </c>
      <c r="AX23" s="2193">
        <f>AW23*AM23</f>
        <v/>
      </c>
      <c r="AY23" s="1051" t="n"/>
      <c r="AZ23" s="1051">
        <f>IF(AP23&lt;=#REF!,#REF!,IF(AP23&lt;=#REF!,#REF!,IF(AP23&lt;=#REF!,#REF!,IF(AP23&lt;=#REF!,#REF!,IF(AP23&lt;=#REF!,#REF!,IF(AP23&lt;=#REF!,#REF!,IF(AP23&lt;=#REF!,#REF!,0.05)))))))</f>
        <v/>
      </c>
      <c r="BA23" s="2193">
        <f>AZ23*AP23</f>
        <v/>
      </c>
      <c r="BB23" s="1051" t="n"/>
      <c r="BC23" s="1051">
        <f>IF(AS23&lt;=#REF!,#REF!,IF(AS23&lt;=#REF!,#REF!,IF(AS23&lt;=#REF!,#REF!,IF(AS23&lt;=#REF!,#REF!,IF(AS23&lt;=#REF!,#REF!,IF(AS23&lt;=#REF!,#REF!,IF(AS23&lt;=#REF!,#REF!,0.05)))))))</f>
        <v/>
      </c>
      <c r="BD23" s="2193">
        <f>BC23*SUM(BA23,AX23,AS23)</f>
        <v/>
      </c>
      <c r="BE23" s="1051" t="n"/>
      <c r="BF23" s="2194">
        <f>IF(AV23&lt;=#REF!,#REF!,IF(AV23&lt;=#REF!,#REF!,IF(AV23&lt;=#REF!,#REF!,IF(AV23&lt;=#REF!,#REF!,IF(AV23&lt;=#REF!,#REF!,IF(AV23&lt;=#REF!,#REF!,IF(AV23&lt;=#REF!,#REF!,0.05)))))))</f>
        <v/>
      </c>
      <c r="BG23" s="2193">
        <f>BF23*AV23</f>
        <v/>
      </c>
      <c r="BI23" s="1932">
        <f>0.07*SUM(AS23,AX23,BA23,BD23,BG23)</f>
        <v/>
      </c>
      <c r="BK23" s="1932">
        <f>SUM(BI23,BG23,BD23,BA23,AX23,AS23)</f>
        <v/>
      </c>
      <c r="BL23" s="1933">
        <f>SUM(BG23,BD23,BA23,AX23)</f>
        <v/>
      </c>
      <c r="BM23" s="1051">
        <f>BL23/BK23</f>
        <v/>
      </c>
      <c r="CC23" s="2193" t="n">
        <v>14000</v>
      </c>
      <c r="CD23" s="2193" t="n"/>
      <c r="CE23" s="2193" t="n"/>
      <c r="CF23" s="2193">
        <f>CC23</f>
        <v/>
      </c>
      <c r="CG23" s="2193" t="n"/>
      <c r="CH23" s="2193" t="n"/>
      <c r="CI23" s="2193">
        <f>CC23+CF23</f>
        <v/>
      </c>
      <c r="CJ23" s="2193" t="n"/>
      <c r="CK23" s="2193" t="n"/>
      <c r="CL23" s="2193">
        <f>CI23</f>
        <v/>
      </c>
      <c r="CM23" s="1051">
        <f>IF(CC23&lt;=BQ$6,BP$6,IF(CC23&lt;=BQ$7,BP$7,IF(CC23&lt;=BQ$8,BP$8,IF(CC23&lt;=BQ$9,BP$9,IF(CC23&lt;=BQ$14,BP$14,IF(CC23&lt;=BQ$15,BP$15,IF(CC23&lt;=BQ$16,BP$16,0.05)))))))</f>
        <v/>
      </c>
      <c r="CN23" s="2193">
        <f>CM23*CC23</f>
        <v/>
      </c>
      <c r="CO23" s="1051" t="n"/>
      <c r="CP23" s="1051">
        <f>IF(CF23&lt;=BT$6,BS$6,IF(CF23&lt;=BT$7,BS$7,IF(CF23&lt;=BT$8,BS$8,IF(CF23&lt;=BT$9,BS$9,IF(CF23&lt;=BT$14,BS$14,IF(CF23&lt;=BT$15,BS$15,IF(CF23&lt;=BT$16,BS$16,0.05)))))))</f>
        <v/>
      </c>
      <c r="CQ23" s="2193">
        <f>CP23*CF23</f>
        <v/>
      </c>
      <c r="CR23" s="1051" t="n"/>
      <c r="CS23" s="1051">
        <f>IF(CI23&lt;=BW$6,BV$6,IF(CI23&lt;=BW$7,BV$7,IF(CI23&lt;=BW$8,BV$8,IF(CI23&lt;=BW$9,BV$9,IF(CI23&lt;=BW$14,BV$14,IF(CI23&lt;=BW$15,BV$15,IF(CI23&lt;=BW$16,BV$16,0.05)))))))</f>
        <v/>
      </c>
      <c r="CT23" s="2193">
        <f>CS23*SUM(CQ23,CN23,CI23)</f>
        <v/>
      </c>
      <c r="CU23" s="1051" t="n"/>
      <c r="CV23" s="2194">
        <f>IF(CL23&lt;=BZ$6,BY$6,IF(CL23&lt;=BZ$7,BY$7,IF(CL23&lt;=BZ$8,BY$8,IF(CL23&lt;=BZ$9,BY$9,IF(CL23&lt;=BZ$14,BY$14,IF(CL23&lt;=BZ$15,BY$15,IF(CL23&lt;=BZ$16,BY$16,0.05)))))))</f>
        <v/>
      </c>
      <c r="CW23" s="2193">
        <f>CV23*CL23</f>
        <v/>
      </c>
      <c r="CY23" s="1932">
        <f>0.07*SUM(CI23,CN23,CQ23,CT23,CW23)</f>
        <v/>
      </c>
      <c r="DA23" s="1932">
        <f>SUM(CY23,CW23,CT23,CQ23,CN23,CI23)</f>
        <v/>
      </c>
      <c r="DB23" s="1933">
        <f>SUM(CW23,CT23,CQ23,CN23)</f>
        <v/>
      </c>
      <c r="DC23" s="1051">
        <f>DB23/DA23</f>
        <v/>
      </c>
    </row>
    <row r="24" customFormat="1" s="585">
      <c r="A24" s="647" t="inlineStr">
        <is>
          <t>Levelrock 2500 (HSA)</t>
        </is>
      </c>
      <c r="B24" s="2211">
        <f>(F24/J24)*(1+G18)</f>
        <v/>
      </c>
      <c r="C24" s="2212">
        <f>C23</f>
        <v/>
      </c>
      <c r="D24" s="2212">
        <f>D23</f>
        <v/>
      </c>
      <c r="E24" s="1962">
        <f>B24*D24</f>
        <v/>
      </c>
      <c r="F24" s="2213">
        <f>I9</f>
        <v/>
      </c>
      <c r="G24" s="999" t="inlineStr">
        <is>
          <t>SF - Hard Surfaces</t>
        </is>
      </c>
      <c r="H24" s="2214">
        <f>I10</f>
        <v/>
      </c>
      <c r="I24" s="1148">
        <f>H24*8</f>
        <v/>
      </c>
      <c r="J24" s="1163">
        <f>IF(I11=P52,S52,IF(I11=P54,S54))</f>
        <v/>
      </c>
      <c r="K24" s="590" t="n">
        <v>42</v>
      </c>
      <c r="L24" s="585" t="n">
        <v>36</v>
      </c>
      <c r="O24" s="1393">
        <f>SUM(P24:R24)</f>
        <v/>
      </c>
      <c r="P24" s="1394" t="n"/>
      <c r="Q24" s="1395" t="n"/>
      <c r="R24" s="1396" t="n"/>
      <c r="S24" s="1337">
        <f>((P24+Q24+R24)/F22)*H33</f>
        <v/>
      </c>
      <c r="T24" s="970" t="n"/>
      <c r="AM24" s="2193" t="n">
        <v>15000</v>
      </c>
      <c r="AN24" s="2193" t="n"/>
      <c r="AO24" s="2193" t="n"/>
      <c r="AP24" s="2193">
        <f>AM24</f>
        <v/>
      </c>
      <c r="AQ24" s="2193" t="n"/>
      <c r="AR24" s="2193" t="n"/>
      <c r="AS24" s="2193">
        <f>AM24+AP24</f>
        <v/>
      </c>
      <c r="AT24" s="2193" t="n"/>
      <c r="AU24" s="2193" t="n"/>
      <c r="AV24" s="2193">
        <f>AS24</f>
        <v/>
      </c>
      <c r="AW24" s="1051">
        <f>IF(AM24&lt;=#REF!,#REF!,IF(AM24&lt;=#REF!,#REF!,IF(AM24&lt;=#REF!,#REF!,IF(AM24&lt;=#REF!,#REF!,IF(AM24&lt;=#REF!,#REF!,IF(AM24&lt;=#REF!,#REF!,IF(AM24&lt;=#REF!,#REF!,0.05)))))))</f>
        <v/>
      </c>
      <c r="AX24" s="2193">
        <f>AW24*AM24</f>
        <v/>
      </c>
      <c r="AY24" s="1051" t="n"/>
      <c r="AZ24" s="1051">
        <f>IF(AP24&lt;=#REF!,#REF!,IF(AP24&lt;=#REF!,#REF!,IF(AP24&lt;=#REF!,#REF!,IF(AP24&lt;=#REF!,#REF!,IF(AP24&lt;=#REF!,#REF!,IF(AP24&lt;=#REF!,#REF!,IF(AP24&lt;=#REF!,#REF!,0.05)))))))</f>
        <v/>
      </c>
      <c r="BA24" s="2193">
        <f>AZ24*AP24</f>
        <v/>
      </c>
      <c r="BB24" s="1051" t="n"/>
      <c r="BC24" s="1051">
        <f>IF(AS24&lt;=#REF!,#REF!,IF(AS24&lt;=#REF!,#REF!,IF(AS24&lt;=#REF!,#REF!,IF(AS24&lt;=#REF!,#REF!,IF(AS24&lt;=#REF!,#REF!,IF(AS24&lt;=#REF!,#REF!,IF(AS24&lt;=#REF!,#REF!,0.05)))))))</f>
        <v/>
      </c>
      <c r="BD24" s="2193">
        <f>BC24*SUM(BA24,AX24,AS24)</f>
        <v/>
      </c>
      <c r="BE24" s="1051" t="n"/>
      <c r="BF24" s="2194">
        <f>IF(AV24&lt;=#REF!,#REF!,IF(AV24&lt;=#REF!,#REF!,IF(AV24&lt;=#REF!,#REF!,IF(AV24&lt;=#REF!,#REF!,IF(AV24&lt;=#REF!,#REF!,IF(AV24&lt;=#REF!,#REF!,IF(AV24&lt;=#REF!,#REF!,0.05)))))))</f>
        <v/>
      </c>
      <c r="BG24" s="2193">
        <f>BF24*AV24</f>
        <v/>
      </c>
      <c r="BI24" s="1932">
        <f>0.07*SUM(AS24,AX24,BA24,BD24,BG24)</f>
        <v/>
      </c>
      <c r="BK24" s="1932">
        <f>SUM(BI24,BG24,BD24,BA24,AX24,AS24)</f>
        <v/>
      </c>
      <c r="BL24" s="1933">
        <f>SUM(BG24,BD24,BA24,AX24)</f>
        <v/>
      </c>
      <c r="BM24" s="1051">
        <f>BL24/BK24</f>
        <v/>
      </c>
      <c r="CC24" s="2193" t="n">
        <v>15000</v>
      </c>
      <c r="CD24" s="2193" t="n"/>
      <c r="CE24" s="2193" t="n"/>
      <c r="CF24" s="2193">
        <f>CC24</f>
        <v/>
      </c>
      <c r="CG24" s="2193" t="n"/>
      <c r="CH24" s="2193" t="n"/>
      <c r="CI24" s="2193">
        <f>CC24+CF24</f>
        <v/>
      </c>
      <c r="CJ24" s="2193" t="n"/>
      <c r="CK24" s="2193" t="n"/>
      <c r="CL24" s="2193">
        <f>CI24</f>
        <v/>
      </c>
      <c r="CM24" s="1051">
        <f>IF(CC24&lt;=BQ$6,BP$6,IF(CC24&lt;=BQ$7,BP$7,IF(CC24&lt;=BQ$8,BP$8,IF(CC24&lt;=BQ$9,BP$9,IF(CC24&lt;=BQ$14,BP$14,IF(CC24&lt;=BQ$15,BP$15,IF(CC24&lt;=BQ$16,BP$16,0.05)))))))</f>
        <v/>
      </c>
      <c r="CN24" s="2193">
        <f>CM24*CC24</f>
        <v/>
      </c>
      <c r="CO24" s="1051" t="n"/>
      <c r="CP24" s="1051">
        <f>IF(CF24&lt;=BT$6,BS$6,IF(CF24&lt;=BT$7,BS$7,IF(CF24&lt;=BT$8,BS$8,IF(CF24&lt;=BT$9,BS$9,IF(CF24&lt;=BT$14,BS$14,IF(CF24&lt;=BT$15,BS$15,IF(CF24&lt;=BT$16,BS$16,0.05)))))))</f>
        <v/>
      </c>
      <c r="CQ24" s="2193">
        <f>CP24*CF24</f>
        <v/>
      </c>
      <c r="CR24" s="1051" t="n"/>
      <c r="CS24" s="1051">
        <f>IF(CI24&lt;=BW$6,BV$6,IF(CI24&lt;=BW$7,BV$7,IF(CI24&lt;=BW$8,BV$8,IF(CI24&lt;=BW$9,BV$9,IF(CI24&lt;=BW$14,BV$14,IF(CI24&lt;=BW$15,BV$15,IF(CI24&lt;=BW$16,BV$16,0.05)))))))</f>
        <v/>
      </c>
      <c r="CT24" s="2193">
        <f>CS24*SUM(CQ24,CN24,CI24)</f>
        <v/>
      </c>
      <c r="CU24" s="1051" t="n"/>
      <c r="CV24" s="2194">
        <f>IF(CL24&lt;=BZ$6,BY$6,IF(CL24&lt;=BZ$7,BY$7,IF(CL24&lt;=BZ$8,BY$8,IF(CL24&lt;=BZ$9,BY$9,IF(CL24&lt;=BZ$14,BY$14,IF(CL24&lt;=BZ$15,BY$15,IF(CL24&lt;=BZ$16,BY$16,0.05)))))))</f>
        <v/>
      </c>
      <c r="CW24" s="2193">
        <f>CV24*CL24</f>
        <v/>
      </c>
      <c r="CY24" s="1932">
        <f>0.07*SUM(CI24,CN24,CQ24,CT24,CW24)</f>
        <v/>
      </c>
      <c r="DA24" s="1932">
        <f>SUM(CY24,CW24,CT24,CQ24,CN24,CI24)</f>
        <v/>
      </c>
      <c r="DB24" s="1933">
        <f>SUM(CW24,CT24,CQ24,CN24)</f>
        <v/>
      </c>
      <c r="DC24" s="1051">
        <f>DB24/DA24</f>
        <v/>
      </c>
    </row>
    <row r="25" customFormat="1" s="585">
      <c r="A25" s="647" t="inlineStr">
        <is>
          <t>Levelrock 2500 (Corr)</t>
        </is>
      </c>
      <c r="B25" s="2215">
        <f>(F25/J25)*(1+G18)</f>
        <v/>
      </c>
      <c r="C25" s="2216">
        <f>C23</f>
        <v/>
      </c>
      <c r="D25" s="2216">
        <f>D23</f>
        <v/>
      </c>
      <c r="E25" s="1962">
        <f>B25*D25</f>
        <v/>
      </c>
      <c r="F25" s="2217">
        <f>K9</f>
        <v/>
      </c>
      <c r="G25" s="1001" t="inlineStr">
        <is>
          <t>SF - Corridors</t>
        </is>
      </c>
      <c r="H25" s="2218">
        <f>K10</f>
        <v/>
      </c>
      <c r="I25" s="1149">
        <f>H25*8</f>
        <v/>
      </c>
      <c r="J25" s="1164">
        <f>IF(K11=P52,T52,IF(K11=P54,T54))</f>
        <v/>
      </c>
      <c r="K25" s="1142" t="n">
        <v>40</v>
      </c>
      <c r="L25" s="784" t="n">
        <v>34</v>
      </c>
      <c r="O25" s="1393">
        <f>SUM(P25:R25)</f>
        <v/>
      </c>
      <c r="P25" s="1394" t="n"/>
      <c r="Q25" s="1395" t="n"/>
      <c r="R25" s="1396" t="n"/>
      <c r="S25" s="1337">
        <f>((P25+Q25+R25)/F22)*H33</f>
        <v/>
      </c>
      <c r="T25" s="970" t="n"/>
      <c r="AM25" s="2193" t="n">
        <v>16000</v>
      </c>
      <c r="AN25" s="2193" t="n"/>
      <c r="AO25" s="2193" t="n"/>
      <c r="AP25" s="2193">
        <f>AM25</f>
        <v/>
      </c>
      <c r="AQ25" s="2193" t="n"/>
      <c r="AR25" s="2193" t="n"/>
      <c r="AS25" s="2193">
        <f>AM25+AP25</f>
        <v/>
      </c>
      <c r="AT25" s="2193" t="n"/>
      <c r="AU25" s="2193" t="n"/>
      <c r="AV25" s="2193">
        <f>AS25</f>
        <v/>
      </c>
      <c r="AW25" s="1051">
        <f>IF(AM25&lt;=#REF!,#REF!,IF(AM25&lt;=#REF!,#REF!,IF(AM25&lt;=#REF!,#REF!,IF(AM25&lt;=#REF!,#REF!,IF(AM25&lt;=#REF!,#REF!,IF(AM25&lt;=#REF!,#REF!,IF(AM25&lt;=#REF!,#REF!,0.05)))))))</f>
        <v/>
      </c>
      <c r="AX25" s="2193">
        <f>AW25*AM25</f>
        <v/>
      </c>
      <c r="AY25" s="1051" t="n"/>
      <c r="AZ25" s="1051">
        <f>IF(AP25&lt;=#REF!,#REF!,IF(AP25&lt;=#REF!,#REF!,IF(AP25&lt;=#REF!,#REF!,IF(AP25&lt;=#REF!,#REF!,IF(AP25&lt;=#REF!,#REF!,IF(AP25&lt;=#REF!,#REF!,IF(AP25&lt;=#REF!,#REF!,0.05)))))))</f>
        <v/>
      </c>
      <c r="BA25" s="2193">
        <f>AZ25*AP25</f>
        <v/>
      </c>
      <c r="BB25" s="1051" t="n"/>
      <c r="BC25" s="1051">
        <f>IF(AS25&lt;=#REF!,#REF!,IF(AS25&lt;=#REF!,#REF!,IF(AS25&lt;=#REF!,#REF!,IF(AS25&lt;=#REF!,#REF!,IF(AS25&lt;=#REF!,#REF!,IF(AS25&lt;=#REF!,#REF!,IF(AS25&lt;=#REF!,#REF!,0.05)))))))</f>
        <v/>
      </c>
      <c r="BD25" s="2193">
        <f>BC25*SUM(BA25,AX25,AS25)</f>
        <v/>
      </c>
      <c r="BE25" s="1051" t="n"/>
      <c r="BF25" s="2194">
        <f>IF(AV25&lt;=#REF!,#REF!,IF(AV25&lt;=#REF!,#REF!,IF(AV25&lt;=#REF!,#REF!,IF(AV25&lt;=#REF!,#REF!,IF(AV25&lt;=#REF!,#REF!,IF(AV25&lt;=#REF!,#REF!,IF(AV25&lt;=#REF!,#REF!,0.05)))))))</f>
        <v/>
      </c>
      <c r="BG25" s="2193">
        <f>BF25*AV25</f>
        <v/>
      </c>
      <c r="BI25" s="1932">
        <f>0.07*SUM(AS25,AX25,BA25,BD25,BG25)</f>
        <v/>
      </c>
      <c r="BK25" s="1932">
        <f>SUM(BI25,BG25,BD25,BA25,AX25,AS25)</f>
        <v/>
      </c>
      <c r="BL25" s="1933">
        <f>SUM(BG25,BD25,BA25,AX25)</f>
        <v/>
      </c>
      <c r="BM25" s="1051">
        <f>BL25/BK25</f>
        <v/>
      </c>
      <c r="CC25" s="2193" t="n">
        <v>16000</v>
      </c>
      <c r="CD25" s="2193" t="n"/>
      <c r="CE25" s="2193" t="n"/>
      <c r="CF25" s="2193">
        <f>CC25</f>
        <v/>
      </c>
      <c r="CG25" s="2193" t="n"/>
      <c r="CH25" s="2193" t="n"/>
      <c r="CI25" s="2193">
        <f>CC25+CF25</f>
        <v/>
      </c>
      <c r="CJ25" s="2193" t="n"/>
      <c r="CK25" s="2193" t="n"/>
      <c r="CL25" s="2193">
        <f>CI25</f>
        <v/>
      </c>
      <c r="CM25" s="1051">
        <f>IF(CC25&lt;=BQ$6,BP$6,IF(CC25&lt;=BQ$7,BP$7,IF(CC25&lt;=BQ$8,BP$8,IF(CC25&lt;=BQ$9,BP$9,IF(CC25&lt;=BQ$14,BP$14,IF(CC25&lt;=BQ$15,BP$15,IF(CC25&lt;=BQ$16,BP$16,0.05)))))))</f>
        <v/>
      </c>
      <c r="CN25" s="2193">
        <f>CM25*CC25</f>
        <v/>
      </c>
      <c r="CO25" s="1051" t="n"/>
      <c r="CP25" s="1051">
        <f>IF(CF25&lt;=BT$6,BS$6,IF(CF25&lt;=BT$7,BS$7,IF(CF25&lt;=BT$8,BS$8,IF(CF25&lt;=BT$9,BS$9,IF(CF25&lt;=BT$14,BS$14,IF(CF25&lt;=BT$15,BS$15,IF(CF25&lt;=BT$16,BS$16,0.05)))))))</f>
        <v/>
      </c>
      <c r="CQ25" s="2193">
        <f>CP25*CF25</f>
        <v/>
      </c>
      <c r="CR25" s="1051" t="n"/>
      <c r="CS25" s="1051">
        <f>IF(CI25&lt;=BW$6,BV$6,IF(CI25&lt;=BW$7,BV$7,IF(CI25&lt;=BW$8,BV$8,IF(CI25&lt;=BW$9,BV$9,IF(CI25&lt;=BW$14,BV$14,IF(CI25&lt;=BW$15,BV$15,IF(CI25&lt;=BW$16,BV$16,0.05)))))))</f>
        <v/>
      </c>
      <c r="CT25" s="2193">
        <f>CS25*SUM(CQ25,CN25,CI25)</f>
        <v/>
      </c>
      <c r="CU25" s="1051" t="n"/>
      <c r="CV25" s="2194">
        <f>IF(CL25&lt;=BZ$6,BY$6,IF(CL25&lt;=BZ$7,BY$7,IF(CL25&lt;=BZ$8,BY$8,IF(CL25&lt;=BZ$9,BY$9,IF(CL25&lt;=BZ$14,BY$14,IF(CL25&lt;=BZ$15,BY$15,IF(CL25&lt;=BZ$16,BY$16,0.05)))))))</f>
        <v/>
      </c>
      <c r="CW25" s="2193">
        <f>CV25*CL25</f>
        <v/>
      </c>
      <c r="CY25" s="1932">
        <f>0.07*SUM(CI25,CN25,CQ25,CT25,CW25)</f>
        <v/>
      </c>
      <c r="DA25" s="1932">
        <f>SUM(CY25,CW25,CT25,CQ25,CN25,CI25)</f>
        <v/>
      </c>
      <c r="DB25" s="1933">
        <f>SUM(CW25,CT25,CQ25,CN25)</f>
        <v/>
      </c>
      <c r="DC25" s="1051">
        <f>DB25/DA25</f>
        <v/>
      </c>
    </row>
    <row r="26" customFormat="1" s="585">
      <c r="A26" s="641" t="inlineStr">
        <is>
          <t>MATERIAL - Extras</t>
        </is>
      </c>
      <c r="B26" s="1066" t="n"/>
      <c r="C26" s="1066" t="n"/>
      <c r="D26" s="1066" t="n"/>
      <c r="E26" s="1067" t="n"/>
      <c r="F26" s="600" t="n"/>
      <c r="G26" s="600" t="n"/>
      <c r="H26" s="600" t="n"/>
      <c r="I26" s="1934" t="n"/>
      <c r="J26" s="2219" t="n"/>
      <c r="K26" s="1141" t="inlineStr">
        <is>
          <t>NO Mat = 42</t>
        </is>
      </c>
      <c r="L26" s="1141" t="inlineStr">
        <is>
          <t>NO Mat = 36</t>
        </is>
      </c>
      <c r="O26" s="1393">
        <f>SUM(P26:R26)</f>
        <v/>
      </c>
      <c r="P26" s="1394" t="n"/>
      <c r="Q26" s="1395" t="n"/>
      <c r="R26" s="1396" t="n"/>
      <c r="S26" s="1337">
        <f>((P26+Q26+R26)/F22)*H33</f>
        <v/>
      </c>
      <c r="T26" s="970" t="n"/>
      <c r="AM26" s="2220" t="n">
        <v>17000</v>
      </c>
      <c r="AN26" s="2220" t="n"/>
      <c r="AO26" s="2220" t="n"/>
      <c r="AP26" s="2220">
        <f>AM26</f>
        <v/>
      </c>
      <c r="AQ26" s="2220" t="n"/>
      <c r="AR26" s="2220" t="n"/>
      <c r="AS26" s="2220">
        <f>AM26+AP26</f>
        <v/>
      </c>
      <c r="AT26" s="2220" t="n"/>
      <c r="AU26" s="2220" t="n"/>
      <c r="AV26" s="2193">
        <f>AS26</f>
        <v/>
      </c>
      <c r="AW26" s="1004">
        <f>IF(AM26&lt;=#REF!,#REF!,IF(AM26&lt;=#REF!,#REF!,IF(AM26&lt;=#REF!,#REF!,IF(AM26&lt;=#REF!,#REF!,IF(AM26&lt;=#REF!,#REF!,IF(AM26&lt;=#REF!,#REF!,IF(AM26&lt;=#REF!,#REF!,0.05)))))))</f>
        <v/>
      </c>
      <c r="AX26" s="2220">
        <f>AW26*AM26</f>
        <v/>
      </c>
      <c r="AY26" s="1004" t="n"/>
      <c r="AZ26" s="1004">
        <f>IF(AP26&lt;=#REF!,#REF!,IF(AP26&lt;=#REF!,#REF!,IF(AP26&lt;=#REF!,#REF!,IF(AP26&lt;=#REF!,#REF!,IF(AP26&lt;=#REF!,#REF!,IF(AP26&lt;=#REF!,#REF!,IF(AP26&lt;=#REF!,#REF!,0.05)))))))</f>
        <v/>
      </c>
      <c r="BA26" s="2220">
        <f>AZ26*AP26</f>
        <v/>
      </c>
      <c r="BB26" s="1004" t="n"/>
      <c r="BC26" s="1004">
        <f>IF(AS26&lt;=#REF!,#REF!,IF(AS26&lt;=#REF!,#REF!,IF(AS26&lt;=#REF!,#REF!,IF(AS26&lt;=#REF!,#REF!,IF(AS26&lt;=#REF!,#REF!,IF(AS26&lt;=#REF!,#REF!,IF(AS26&lt;=#REF!,#REF!,0.05)))))))</f>
        <v/>
      </c>
      <c r="BD26" s="2193">
        <f>BC26*SUM(BA26,AX26,AS26)</f>
        <v/>
      </c>
      <c r="BE26" s="1004" t="n"/>
      <c r="BF26" s="2221">
        <f>IF(AV26&lt;=#REF!,#REF!,IF(AV26&lt;=#REF!,#REF!,IF(AV26&lt;=#REF!,#REF!,IF(AV26&lt;=#REF!,#REF!,IF(AV26&lt;=#REF!,#REF!,IF(AV26&lt;=#REF!,#REF!,IF(AV26&lt;=#REF!,#REF!,0.05)))))))</f>
        <v/>
      </c>
      <c r="BG26" s="2220">
        <f>BF26*AV26</f>
        <v/>
      </c>
      <c r="BH26" s="667" t="n"/>
      <c r="BI26" s="1968">
        <f>0.07*SUM(AS26,AX26,BA26,BD26,BG26)</f>
        <v/>
      </c>
      <c r="BJ26" s="667" t="n"/>
      <c r="BK26" s="1968">
        <f>SUM(BI26,BG26,BD26,BA26,AX26,AS26)</f>
        <v/>
      </c>
      <c r="BL26" s="1969">
        <f>SUM(BG26,BD26,BA26,AX26)</f>
        <v/>
      </c>
      <c r="BM26" s="1004">
        <f>BL26/BK26</f>
        <v/>
      </c>
      <c r="CC26" s="2220" t="n">
        <v>17000</v>
      </c>
      <c r="CD26" s="2220" t="n"/>
      <c r="CE26" s="2220" t="n"/>
      <c r="CF26" s="2220">
        <f>CC26</f>
        <v/>
      </c>
      <c r="CG26" s="2220" t="n"/>
      <c r="CH26" s="2220" t="n"/>
      <c r="CI26" s="2220">
        <f>CC26+CF26</f>
        <v/>
      </c>
      <c r="CJ26" s="2220" t="n"/>
      <c r="CK26" s="2220" t="n"/>
      <c r="CL26" s="2193">
        <f>CI26</f>
        <v/>
      </c>
      <c r="CM26" s="1004">
        <f>IF(CC26&lt;=BQ$6,BP$6,IF(CC26&lt;=BQ$7,BP$7,IF(CC26&lt;=BQ$8,BP$8,IF(CC26&lt;=BQ$9,BP$9,IF(CC26&lt;=BQ$14,BP$14,IF(CC26&lt;=BQ$15,BP$15,IF(CC26&lt;=BQ$16,BP$16,0.05)))))))</f>
        <v/>
      </c>
      <c r="CN26" s="2220">
        <f>CM26*CC26</f>
        <v/>
      </c>
      <c r="CO26" s="1004" t="n"/>
      <c r="CP26" s="1004">
        <f>IF(CF26&lt;=BT$6,BS$6,IF(CF26&lt;=BT$7,BS$7,IF(CF26&lt;=BT$8,BS$8,IF(CF26&lt;=BT$9,BS$9,IF(CF26&lt;=BT$14,BS$14,IF(CF26&lt;=BT$15,BS$15,IF(CF26&lt;=BT$16,BS$16,0.05)))))))</f>
        <v/>
      </c>
      <c r="CQ26" s="2220">
        <f>CP26*CF26</f>
        <v/>
      </c>
      <c r="CR26" s="1004" t="n"/>
      <c r="CS26" s="1004">
        <f>IF(CI26&lt;=BW$6,BV$6,IF(CI26&lt;=BW$7,BV$7,IF(CI26&lt;=BW$8,BV$8,IF(CI26&lt;=BW$9,BV$9,IF(CI26&lt;=BW$14,BV$14,IF(CI26&lt;=BW$15,BV$15,IF(CI26&lt;=BW$16,BV$16,0.05)))))))</f>
        <v/>
      </c>
      <c r="CT26" s="2193">
        <f>CS26*SUM(CQ26,CN26,CI26)</f>
        <v/>
      </c>
      <c r="CU26" s="1004" t="n"/>
      <c r="CV26" s="2221">
        <f>IF(CL26&lt;=BZ$6,BY$6,IF(CL26&lt;=BZ$7,BY$7,IF(CL26&lt;=BZ$8,BY$8,IF(CL26&lt;=BZ$9,BY$9,IF(CL26&lt;=BZ$14,BY$14,IF(CL26&lt;=BZ$15,BY$15,IF(CL26&lt;=BZ$16,BY$16,0.05)))))))</f>
        <v/>
      </c>
      <c r="CW26" s="2220">
        <f>CV26*CL26</f>
        <v/>
      </c>
      <c r="CX26" s="667" t="n"/>
      <c r="CY26" s="1968">
        <f>0.07*SUM(CI26,CN26,CQ26,CT26,CW26)</f>
        <v/>
      </c>
      <c r="CZ26" s="667" t="n"/>
      <c r="DA26" s="1968">
        <f>SUM(CY26,CW26,CT26,CQ26,CN26,CI26)</f>
        <v/>
      </c>
      <c r="DB26" s="1969">
        <f>SUM(CW26,CT26,CQ26,CN26)</f>
        <v/>
      </c>
      <c r="DC26" s="1004">
        <f>DB26/DA26</f>
        <v/>
      </c>
    </row>
    <row r="27" ht="16.2" customFormat="1" customHeight="1" s="585" thickBot="1">
      <c r="A27" s="1522" t="inlineStr">
        <is>
          <t>USG Primer (53gal Drum)</t>
        </is>
      </c>
      <c r="B27" s="2096">
        <f>(F23+F25)/1200</f>
        <v/>
      </c>
      <c r="C27" s="1977" t="inlineStr">
        <is>
          <t>gallons</t>
        </is>
      </c>
      <c r="D27" s="1944">
        <f>891/53</f>
        <v/>
      </c>
      <c r="E27" s="1962">
        <f>B27*D27</f>
        <v/>
      </c>
      <c r="F27" s="1176" t="inlineStr">
        <is>
          <t>*Sealer @ Soft Surfc &amp; Corridors ONLY</t>
        </is>
      </c>
      <c r="G27" s="1521" t="inlineStr">
        <is>
          <t>($21.60 = $108 /5 gal -or- $16.81 = $891 /53 gal drum)-Aug2024</t>
        </is>
      </c>
      <c r="H27" s="780" t="n"/>
      <c r="I27" s="2222" t="n"/>
      <c r="N27" s="1292" t="n"/>
      <c r="O27" s="1398">
        <f>SUM(P27:R27)</f>
        <v/>
      </c>
      <c r="P27" s="1399" t="n"/>
      <c r="Q27" s="1399" t="n"/>
      <c r="R27" s="1399" t="n"/>
      <c r="S27" s="1338">
        <f>((P27+Q27+R27)/F22)*H33</f>
        <v/>
      </c>
      <c r="T27" s="1335" t="n"/>
      <c r="U27" s="1129" t="n"/>
      <c r="V27" s="1135" t="n"/>
      <c r="W27" s="1135" t="n"/>
      <c r="X27" s="784" t="n"/>
      <c r="AM27" s="2193" t="n">
        <v>18000</v>
      </c>
      <c r="AN27" s="2193" t="n"/>
      <c r="AO27" s="2193" t="n"/>
      <c r="AP27" s="2193">
        <f>AM27</f>
        <v/>
      </c>
      <c r="AQ27" s="2193" t="n"/>
      <c r="AR27" s="2193" t="n"/>
      <c r="AS27" s="2193">
        <f>AM27+AP27</f>
        <v/>
      </c>
      <c r="AT27" s="2193" t="n"/>
      <c r="AU27" s="2193" t="n"/>
      <c r="AV27" s="2193">
        <f>AS27</f>
        <v/>
      </c>
      <c r="AW27" s="1051">
        <f>IF(AM27&lt;=#REF!,#REF!,IF(AM27&lt;=#REF!,#REF!,IF(AM27&lt;=#REF!,#REF!,IF(AM27&lt;=#REF!,#REF!,IF(AM27&lt;=#REF!,#REF!,IF(AM27&lt;=#REF!,#REF!,IF(AM27&lt;=#REF!,#REF!,0.05)))))))</f>
        <v/>
      </c>
      <c r="AX27" s="2193">
        <f>AW27*AM27</f>
        <v/>
      </c>
      <c r="AY27" s="1051" t="n"/>
      <c r="AZ27" s="1051">
        <f>IF(AP27&lt;=#REF!,#REF!,IF(AP27&lt;=#REF!,#REF!,IF(AP27&lt;=#REF!,#REF!,IF(AP27&lt;=#REF!,#REF!,IF(AP27&lt;=#REF!,#REF!,IF(AP27&lt;=#REF!,#REF!,IF(AP27&lt;=#REF!,#REF!,0.05)))))))</f>
        <v/>
      </c>
      <c r="BA27" s="2193">
        <f>AZ27*AP27</f>
        <v/>
      </c>
      <c r="BB27" s="1051" t="n"/>
      <c r="BC27" s="1051">
        <f>IF(AS27&lt;=#REF!,#REF!,IF(AS27&lt;=#REF!,#REF!,IF(AS27&lt;=#REF!,#REF!,IF(AS27&lt;=#REF!,#REF!,IF(AS27&lt;=#REF!,#REF!,IF(AS27&lt;=#REF!,#REF!,IF(AS27&lt;=#REF!,#REF!,0.05)))))))</f>
        <v/>
      </c>
      <c r="BD27" s="2193">
        <f>BC27*SUM(BA27,AX27,AS27)</f>
        <v/>
      </c>
      <c r="BE27" s="1051" t="n"/>
      <c r="BF27" s="2194">
        <f>IF(AV27&lt;=#REF!,#REF!,IF(AV27&lt;=#REF!,#REF!,IF(AV27&lt;=#REF!,#REF!,IF(AV27&lt;=#REF!,#REF!,IF(AV27&lt;=#REF!,#REF!,IF(AV27&lt;=#REF!,#REF!,IF(AV27&lt;=#REF!,#REF!,0.05)))))))</f>
        <v/>
      </c>
      <c r="BG27" s="2193">
        <f>BF27*AV27</f>
        <v/>
      </c>
      <c r="BI27" s="1932">
        <f>0.07*SUM(AS27,AX27,BA27,BD27,BG27)</f>
        <v/>
      </c>
      <c r="BK27" s="1932">
        <f>SUM(BI27,BG27,BD27,BA27,AX27,AS27)</f>
        <v/>
      </c>
      <c r="BL27" s="1933">
        <f>SUM(BG27,BD27,BA27,AX27)</f>
        <v/>
      </c>
      <c r="BM27" s="1051">
        <f>BL27/BK27</f>
        <v/>
      </c>
      <c r="CC27" s="2193" t="n">
        <v>18000</v>
      </c>
      <c r="CD27" s="2193" t="n"/>
      <c r="CE27" s="2193" t="n"/>
      <c r="CF27" s="2193">
        <f>CC27</f>
        <v/>
      </c>
      <c r="CG27" s="2193" t="n"/>
      <c r="CH27" s="2193" t="n"/>
      <c r="CI27" s="2193">
        <f>CC27+CF27</f>
        <v/>
      </c>
      <c r="CJ27" s="2193" t="n"/>
      <c r="CK27" s="2193" t="n"/>
      <c r="CL27" s="2193">
        <f>CI27</f>
        <v/>
      </c>
      <c r="CM27" s="1051">
        <f>IF(CC27&lt;=BQ$6,BP$6,IF(CC27&lt;=BQ$7,BP$7,IF(CC27&lt;=BQ$8,BP$8,IF(CC27&lt;=BQ$9,BP$9,IF(CC27&lt;=BQ$14,BP$14,IF(CC27&lt;=BQ$15,BP$15,IF(CC27&lt;=BQ$16,BP$16,0.05)))))))</f>
        <v/>
      </c>
      <c r="CN27" s="2193">
        <f>CM27*CC27</f>
        <v/>
      </c>
      <c r="CO27" s="1051" t="n"/>
      <c r="CP27" s="1051">
        <f>IF(CF27&lt;=BT$6,BS$6,IF(CF27&lt;=BT$7,BS$7,IF(CF27&lt;=BT$8,BS$8,IF(CF27&lt;=BT$9,BS$9,IF(CF27&lt;=BT$14,BS$14,IF(CF27&lt;=BT$15,BS$15,IF(CF27&lt;=BT$16,BS$16,0.05)))))))</f>
        <v/>
      </c>
      <c r="CQ27" s="2193">
        <f>CP27*CF27</f>
        <v/>
      </c>
      <c r="CR27" s="1051" t="n"/>
      <c r="CS27" s="1051">
        <f>IF(CI27&lt;=BW$6,BV$6,IF(CI27&lt;=BW$7,BV$7,IF(CI27&lt;=BW$8,BV$8,IF(CI27&lt;=BW$9,BV$9,IF(CI27&lt;=BW$14,BV$14,IF(CI27&lt;=BW$15,BV$15,IF(CI27&lt;=BW$16,BV$16,0.05)))))))</f>
        <v/>
      </c>
      <c r="CT27" s="2193">
        <f>CS27*SUM(CQ27,CN27,CI27)</f>
        <v/>
      </c>
      <c r="CU27" s="1051" t="n"/>
      <c r="CV27" s="2194">
        <f>IF(CL27&lt;=BZ$6,BY$6,IF(CL27&lt;=BZ$7,BY$7,IF(CL27&lt;=BZ$8,BY$8,IF(CL27&lt;=BZ$9,BY$9,IF(CL27&lt;=BZ$14,BY$14,IF(CL27&lt;=BZ$15,BY$15,IF(CL27&lt;=BZ$16,BY$16,0.05)))))))</f>
        <v/>
      </c>
      <c r="CW27" s="2193">
        <f>CV27*CL27</f>
        <v/>
      </c>
      <c r="CY27" s="1932">
        <f>0.07*SUM(CI27,CN27,CQ27,CT27,CW27)</f>
        <v/>
      </c>
      <c r="DA27" s="1932">
        <f>SUM(CY27,CW27,CT27,CQ27,CN27,CI27)</f>
        <v/>
      </c>
      <c r="DB27" s="1933">
        <f>SUM(CW27,CT27,CQ27,CN27)</f>
        <v/>
      </c>
      <c r="DC27" s="1051">
        <f>DB27/DA27</f>
        <v/>
      </c>
    </row>
    <row r="28" ht="16.2" customFormat="1" customHeight="1" s="585" thickBot="1">
      <c r="A28" s="1522" t="inlineStr">
        <is>
          <t>ISO Strip 3" adhsv (roll)</t>
        </is>
      </c>
      <c r="B28" s="2096">
        <f>IF(B14="Yes",((F23+F24+F25)/(1200*1.8)),(F24/(1200*1.8)))</f>
        <v/>
      </c>
      <c r="C28" s="1977" t="inlineStr">
        <is>
          <t>rolls</t>
        </is>
      </c>
      <c r="D28" s="1944" t="n">
        <v>48.75</v>
      </c>
      <c r="E28" s="1962">
        <f>B28*D28</f>
        <v/>
      </c>
      <c r="F28" s="600" t="n"/>
      <c r="G28" s="1521" t="inlineStr">
        <is>
          <t>(16 rolls /bag: $48.75 = $780 /16) = 450 LF /roll</t>
        </is>
      </c>
      <c r="H28" s="600" t="n"/>
      <c r="I28" s="1934" t="n"/>
      <c r="N28" s="1283">
        <f>SUM(P28:R28)</f>
        <v/>
      </c>
      <c r="O28" s="1403">
        <f>SUM(O3:O27)</f>
        <v/>
      </c>
      <c r="P28" s="1349">
        <f>SUM(P3:P27)</f>
        <v/>
      </c>
      <c r="Q28" s="1350">
        <f>SUM(Q3:Q27)</f>
        <v/>
      </c>
      <c r="R28" s="1351">
        <f>SUM(R3:R27)</f>
        <v/>
      </c>
      <c r="S28" s="1336">
        <f>SUM(S3:S27)</f>
        <v/>
      </c>
      <c r="T28" s="1332">
        <f>SUM(T3:T27)</f>
        <v/>
      </c>
      <c r="U28" s="1333">
        <f>SUM(U3:U27)</f>
        <v/>
      </c>
      <c r="V28" s="1333">
        <f>SUM(V3:V27)</f>
        <v/>
      </c>
      <c r="W28" s="1333">
        <f>SUM(W3:W27)</f>
        <v/>
      </c>
      <c r="X28" s="1333">
        <f>SUM(X3:X27)</f>
        <v/>
      </c>
      <c r="AM28" s="2193" t="n">
        <v>19000</v>
      </c>
      <c r="AN28" s="2193" t="n"/>
      <c r="AO28" s="2193" t="n"/>
      <c r="AP28" s="2193">
        <f>AM28</f>
        <v/>
      </c>
      <c r="AQ28" s="2193" t="n"/>
      <c r="AR28" s="2193" t="n"/>
      <c r="AS28" s="2193">
        <f>AM28+AP28</f>
        <v/>
      </c>
      <c r="AT28" s="2193" t="n"/>
      <c r="AU28" s="2193" t="n"/>
      <c r="AV28" s="2193">
        <f>AS28</f>
        <v/>
      </c>
      <c r="AW28" s="1051">
        <f>IF(AM28&lt;=#REF!,#REF!,IF(AM28&lt;=#REF!,#REF!,IF(AM28&lt;=#REF!,#REF!,IF(AM28&lt;=#REF!,#REF!,IF(AM28&lt;=#REF!,#REF!,IF(AM28&lt;=#REF!,#REF!,IF(AM28&lt;=#REF!,#REF!,0.05)))))))</f>
        <v/>
      </c>
      <c r="AX28" s="2193">
        <f>AW28*AM28</f>
        <v/>
      </c>
      <c r="AY28" s="1051" t="n"/>
      <c r="AZ28" s="1051">
        <f>IF(AP28&lt;=#REF!,#REF!,IF(AP28&lt;=#REF!,#REF!,IF(AP28&lt;=#REF!,#REF!,IF(AP28&lt;=#REF!,#REF!,IF(AP28&lt;=#REF!,#REF!,IF(AP28&lt;=#REF!,#REF!,IF(AP28&lt;=#REF!,#REF!,0.05)))))))</f>
        <v/>
      </c>
      <c r="BA28" s="2193">
        <f>AZ28*AP28</f>
        <v/>
      </c>
      <c r="BB28" s="1051" t="n"/>
      <c r="BC28" s="1051">
        <f>IF(AS28&lt;=#REF!,#REF!,IF(AS28&lt;=#REF!,#REF!,IF(AS28&lt;=#REF!,#REF!,IF(AS28&lt;=#REF!,#REF!,IF(AS28&lt;=#REF!,#REF!,IF(AS28&lt;=#REF!,#REF!,IF(AS28&lt;=#REF!,#REF!,0.05)))))))</f>
        <v/>
      </c>
      <c r="BD28" s="2193">
        <f>BC28*SUM(BA28,AX28,AS28)</f>
        <v/>
      </c>
      <c r="BE28" s="1051" t="n"/>
      <c r="BF28" s="2194">
        <f>IF(AV28&lt;=#REF!,#REF!,IF(AV28&lt;=#REF!,#REF!,IF(AV28&lt;=#REF!,#REF!,IF(AV28&lt;=#REF!,#REF!,IF(AV28&lt;=#REF!,#REF!,IF(AV28&lt;=#REF!,#REF!,IF(AV28&lt;=#REF!,#REF!,0.05)))))))</f>
        <v/>
      </c>
      <c r="BG28" s="2193">
        <f>BF28*AV28</f>
        <v/>
      </c>
      <c r="BI28" s="1932">
        <f>0.07*SUM(AS28,AX28,BA28,BD28,BG28)</f>
        <v/>
      </c>
      <c r="BK28" s="1932">
        <f>SUM(BI28,BG28,BD28,BA28,AX28,AS28)</f>
        <v/>
      </c>
      <c r="BL28" s="1933">
        <f>SUM(BG28,BD28,BA28,AX28)</f>
        <v/>
      </c>
      <c r="BM28" s="1051">
        <f>BL28/BK28</f>
        <v/>
      </c>
      <c r="CC28" s="2193" t="n">
        <v>19000</v>
      </c>
      <c r="CD28" s="2193" t="n"/>
      <c r="CE28" s="2193" t="n"/>
      <c r="CF28" s="2193">
        <f>CC28</f>
        <v/>
      </c>
      <c r="CG28" s="2193" t="n"/>
      <c r="CH28" s="2193" t="n"/>
      <c r="CI28" s="2193">
        <f>CC28+CF28</f>
        <v/>
      </c>
      <c r="CJ28" s="2193" t="n"/>
      <c r="CK28" s="2193" t="n"/>
      <c r="CL28" s="2193">
        <f>CI28</f>
        <v/>
      </c>
      <c r="CM28" s="1051">
        <f>IF(CC28&lt;=BQ$6,BP$6,IF(CC28&lt;=BQ$7,BP$7,IF(CC28&lt;=BQ$8,BP$8,IF(CC28&lt;=BQ$9,BP$9,IF(CC28&lt;=BQ$14,BP$14,IF(CC28&lt;=BQ$15,BP$15,IF(CC28&lt;=BQ$16,BP$16,0.05)))))))</f>
        <v/>
      </c>
      <c r="CN28" s="2193">
        <f>CM28*CC28</f>
        <v/>
      </c>
      <c r="CO28" s="1051" t="n"/>
      <c r="CP28" s="1051">
        <f>IF(CF28&lt;=BT$6,BS$6,IF(CF28&lt;=BT$7,BS$7,IF(CF28&lt;=BT$8,BS$8,IF(CF28&lt;=BT$9,BS$9,IF(CF28&lt;=BT$14,BS$14,IF(CF28&lt;=BT$15,BS$15,IF(CF28&lt;=BT$16,BS$16,0.05)))))))</f>
        <v/>
      </c>
      <c r="CQ28" s="2193">
        <f>CP28*CF28</f>
        <v/>
      </c>
      <c r="CR28" s="1051" t="n"/>
      <c r="CS28" s="1051">
        <f>IF(CI28&lt;=BW$6,BV$6,IF(CI28&lt;=BW$7,BV$7,IF(CI28&lt;=BW$8,BV$8,IF(CI28&lt;=BW$9,BV$9,IF(CI28&lt;=BW$14,BV$14,IF(CI28&lt;=BW$15,BV$15,IF(CI28&lt;=BW$16,BV$16,0.05)))))))</f>
        <v/>
      </c>
      <c r="CT28" s="2193">
        <f>CS28*SUM(CQ28,CN28,CI28)</f>
        <v/>
      </c>
      <c r="CU28" s="1051" t="n"/>
      <c r="CV28" s="2194">
        <f>IF(CL28&lt;=BZ$6,BY$6,IF(CL28&lt;=BZ$7,BY$7,IF(CL28&lt;=BZ$8,BY$8,IF(CL28&lt;=BZ$9,BY$9,IF(CL28&lt;=BZ$14,BY$14,IF(CL28&lt;=BZ$15,BY$15,IF(CL28&lt;=BZ$16,BY$16,0.05)))))))</f>
        <v/>
      </c>
      <c r="CW28" s="2193">
        <f>CV28*CL28</f>
        <v/>
      </c>
      <c r="CY28" s="1932">
        <f>0.07*SUM(CI28,CN28,CQ28,CT28,CW28)</f>
        <v/>
      </c>
      <c r="DA28" s="1932">
        <f>SUM(CY28,CW28,CT28,CQ28,CN28,CI28)</f>
        <v/>
      </c>
      <c r="DB28" s="1933">
        <f>SUM(CW28,CT28,CQ28,CN28)</f>
        <v/>
      </c>
      <c r="DC28" s="1051">
        <f>DB28/DA28</f>
        <v/>
      </c>
    </row>
    <row r="29" ht="16.2" customFormat="1" customHeight="1" s="585" thickBot="1">
      <c r="A29" s="1522" t="inlineStr">
        <is>
          <t>Joint Tape (rolls)</t>
        </is>
      </c>
      <c r="B29" s="2096">
        <f>F24/240</f>
        <v/>
      </c>
      <c r="C29" s="1977" t="inlineStr">
        <is>
          <t>rolls</t>
        </is>
      </c>
      <c r="D29" s="1944" t="n">
        <v>5.75</v>
      </c>
      <c r="E29" s="1962">
        <f>B29*D29</f>
        <v/>
      </c>
      <c r="F29" s="600" t="n"/>
      <c r="G29" s="600" t="n"/>
      <c r="H29" s="600" t="n"/>
      <c r="I29" s="600" t="n"/>
      <c r="O29" s="1046" t="inlineStr">
        <is>
          <t>Soft Surf + Corrs.</t>
        </is>
      </c>
      <c r="R29" s="939" t="n"/>
      <c r="S29" s="2223" t="n"/>
      <c r="T29" s="2223" t="n"/>
      <c r="U29" s="2223" t="n"/>
      <c r="V29" s="2223" t="n"/>
      <c r="W29" s="2223" t="n"/>
      <c r="AY29" s="2193" t="n">
        <v>20000</v>
      </c>
      <c r="AZ29" s="2193" t="n"/>
      <c r="BA29" s="2193" t="n"/>
      <c r="BB29" s="2193">
        <f>AY29</f>
        <v/>
      </c>
      <c r="BC29" s="2193" t="n"/>
      <c r="BD29" s="2193" t="n"/>
      <c r="BE29" s="2193">
        <f>AY29+BB29</f>
        <v/>
      </c>
      <c r="BF29" s="2193" t="n"/>
      <c r="BG29" s="2193" t="n"/>
      <c r="BH29" s="2193">
        <f>BE29</f>
        <v/>
      </c>
      <c r="BI29" s="1051">
        <f>IF(AY29&lt;=#REF!,#REF!,IF(AY29&lt;=#REF!,#REF!,IF(AY29&lt;=#REF!,#REF!,IF(AY29&lt;=#REF!,#REF!,IF(AY29&lt;=#REF!,#REF!,IF(AY29&lt;=#REF!,#REF!,IF(AY29&lt;=#REF!,#REF!,0.05)))))))</f>
        <v/>
      </c>
      <c r="BJ29" s="2193">
        <f>BI29*AY29</f>
        <v/>
      </c>
      <c r="BK29" s="1051" t="n"/>
      <c r="BL29" s="1051">
        <f>IF(BB29&lt;=#REF!,#REF!,IF(BB29&lt;=#REF!,#REF!,IF(BB29&lt;=#REF!,#REF!,IF(BB29&lt;=#REF!,#REF!,IF(BB29&lt;=#REF!,#REF!,IF(BB29&lt;=#REF!,#REF!,IF(BB29&lt;=#REF!,#REF!,0.05)))))))</f>
        <v/>
      </c>
      <c r="BM29" s="2193">
        <f>BL29*BB29</f>
        <v/>
      </c>
      <c r="BN29" s="1051" t="n"/>
      <c r="BO29" s="1051">
        <f>IF(BE29&lt;=#REF!,#REF!,IF(BE29&lt;=#REF!,#REF!,IF(BE29&lt;=#REF!,#REF!,IF(BE29&lt;=#REF!,#REF!,IF(BE29&lt;=#REF!,#REF!,IF(BE29&lt;=#REF!,#REF!,IF(BE29&lt;=#REF!,#REF!,0.05)))))))</f>
        <v/>
      </c>
      <c r="BP29" s="2193">
        <f>BO29*SUM(BM29,BJ29,BE29)</f>
        <v/>
      </c>
      <c r="BQ29" s="1051" t="n"/>
      <c r="BR29" s="2194">
        <f>IF(BH29&lt;=#REF!,#REF!,IF(BH29&lt;=#REF!,#REF!,IF(BH29&lt;=#REF!,#REF!,IF(BH29&lt;=#REF!,#REF!,IF(BH29&lt;=#REF!,#REF!,IF(BH29&lt;=#REF!,#REF!,IF(BH29&lt;=#REF!,#REF!,0.05)))))))</f>
        <v/>
      </c>
      <c r="BS29" s="2193">
        <f>BR29*BH29</f>
        <v/>
      </c>
      <c r="BU29" s="1932">
        <f>0.07*SUM(BE29,BJ29,BM29,BP29,BS29)</f>
        <v/>
      </c>
      <c r="BW29" s="1932">
        <f>SUM(BU29,BS29,BP29,BM29,BJ29,BE29)</f>
        <v/>
      </c>
      <c r="BX29" s="1933">
        <f>SUM(BS29,BP29,BM29,BJ29)</f>
        <v/>
      </c>
      <c r="BY29" s="1051">
        <f>BX29/BW29</f>
        <v/>
      </c>
      <c r="CO29" s="2193" t="n">
        <v>20000</v>
      </c>
      <c r="CP29" s="2193" t="n"/>
      <c r="CQ29" s="2193" t="n"/>
      <c r="CR29" s="2193">
        <f>CO29</f>
        <v/>
      </c>
      <c r="CS29" s="2193" t="n"/>
      <c r="CT29" s="2193" t="n"/>
      <c r="CU29" s="2193">
        <f>CO29+CR29</f>
        <v/>
      </c>
      <c r="CV29" s="2193" t="n"/>
      <c r="CW29" s="2193" t="n"/>
      <c r="CX29" s="2193">
        <f>CU29</f>
        <v/>
      </c>
      <c r="CY29" s="1051">
        <f>IF(CO29&lt;=BQ$6,BP$6,IF(CO29&lt;=BQ$7,BP$7,IF(CO29&lt;=BQ$8,BP$8,IF(CO29&lt;=BQ$9,BP$9,IF(CO29&lt;=BQ$14,BP$14,IF(CO29&lt;=BQ$15,BP$15,IF(CO29&lt;=BQ$16,BP$16,0.05)))))))</f>
        <v/>
      </c>
      <c r="CZ29" s="2193">
        <f>CY29*CO29</f>
        <v/>
      </c>
      <c r="DA29" s="1051" t="n"/>
      <c r="DB29" s="1051">
        <f>IF(CR29&lt;=BT$6,BS$6,IF(CR29&lt;=BT$7,BS$7,IF(CR29&lt;=BT$8,BS$8,IF(CR29&lt;=BT$9,BS$9,IF(CR29&lt;=BT$14,BS$14,IF(CR29&lt;=BT$15,BS$15,IF(CR29&lt;=BT$16,BS$16,0.05)))))))</f>
        <v/>
      </c>
      <c r="DC29" s="2193">
        <f>DB29*CR29</f>
        <v/>
      </c>
      <c r="DD29" s="1051" t="n"/>
      <c r="DE29" s="1051">
        <f>IF(CU29&lt;=BW$6,BV$6,IF(CU29&lt;=BW$7,BV$7,IF(CU29&lt;=BW$8,BV$8,IF(CU29&lt;=BW$9,BV$9,IF(CU29&lt;=BW$14,BV$14,IF(CU29&lt;=BW$15,BV$15,IF(CU29&lt;=BW$16,BV$16,0.05)))))))</f>
        <v/>
      </c>
      <c r="DF29" s="2193">
        <f>DE29*SUM(DC29,CZ29,CU29)</f>
        <v/>
      </c>
      <c r="DG29" s="1051" t="n"/>
      <c r="DH29" s="2194">
        <f>IF(CX29&lt;=BZ$6,BY$6,IF(CX29&lt;=BZ$7,BY$7,IF(CX29&lt;=BZ$8,BY$8,IF(CX29&lt;=BZ$9,BY$9,IF(CX29&lt;=BZ$14,BY$14,IF(CX29&lt;=BZ$15,BY$15,IF(CX29&lt;=BZ$16,BY$16,0.05)))))))</f>
        <v/>
      </c>
      <c r="DI29" s="2193">
        <f>DH29*CX29</f>
        <v/>
      </c>
      <c r="DK29" s="1932">
        <f>0.07*SUM(CU29,CZ29,DC29,DF29,DI29)</f>
        <v/>
      </c>
      <c r="DM29" s="1932">
        <f>SUM(DK29,DI29,DF29,DC29,CZ29,CU29)</f>
        <v/>
      </c>
      <c r="DN29" s="1933">
        <f>SUM(DI29,DF29,DC29,CZ29)</f>
        <v/>
      </c>
      <c r="DO29" s="1051">
        <f>DN29/DM29</f>
        <v/>
      </c>
    </row>
    <row r="30" ht="16.2" customFormat="1" customHeight="1" s="585" thickBot="1">
      <c r="A30" s="1778" t="n"/>
      <c r="B30" s="2096" t="n"/>
      <c r="C30" s="1977" t="n"/>
      <c r="D30" s="1944" t="n"/>
      <c r="E30" s="1962">
        <f>B30*D30</f>
        <v/>
      </c>
      <c r="F30" s="600" t="n"/>
      <c r="G30" s="600" t="n"/>
      <c r="H30" s="2224">
        <f>(F22/300)/0.1</f>
        <v/>
      </c>
      <c r="I30" s="1175" t="inlineStr">
        <is>
          <t>Add for Sealer</t>
        </is>
      </c>
      <c r="J30" s="1613" t="inlineStr">
        <is>
          <t>=(sf / 300) / 10% = Sealer *Material ONLY*</t>
        </is>
      </c>
      <c r="K30" s="855" t="n"/>
      <c r="O30" s="1330">
        <f>SUM(P28,R28)</f>
        <v/>
      </c>
      <c r="P30" s="1340" t="inlineStr">
        <is>
          <t>% Soft Surf</t>
        </is>
      </c>
      <c r="Q30" s="1340" t="inlineStr">
        <is>
          <t>% Hard Surf / Mat</t>
        </is>
      </c>
      <c r="R30" s="1340" t="inlineStr">
        <is>
          <t>% Corridors</t>
        </is>
      </c>
      <c r="T30" s="2223" t="n"/>
      <c r="U30" s="2223" t="n"/>
      <c r="V30" s="2223" t="n"/>
      <c r="W30" s="2223" t="n"/>
      <c r="AY30" s="2193" t="n">
        <v>21000</v>
      </c>
      <c r="AZ30" s="2193" t="n"/>
      <c r="BA30" s="2193" t="n"/>
      <c r="BB30" s="2193">
        <f>AY30</f>
        <v/>
      </c>
      <c r="BC30" s="2193" t="n"/>
      <c r="BD30" s="2193" t="n"/>
      <c r="BE30" s="2193">
        <f>AY30+BB30</f>
        <v/>
      </c>
      <c r="BF30" s="2193" t="n"/>
      <c r="BG30" s="2193" t="n"/>
      <c r="BH30" s="2193">
        <f>BE30</f>
        <v/>
      </c>
      <c r="BI30" s="1051">
        <f>IF(AY30&lt;=#REF!,#REF!,IF(AY30&lt;=#REF!,#REF!,IF(AY30&lt;=#REF!,#REF!,IF(AY30&lt;=#REF!,#REF!,IF(AY30&lt;=#REF!,#REF!,IF(AY30&lt;=#REF!,#REF!,IF(AY30&lt;=#REF!,#REF!,0.05)))))))</f>
        <v/>
      </c>
      <c r="BJ30" s="2193">
        <f>BI30*AY30</f>
        <v/>
      </c>
      <c r="BK30" s="1051" t="n"/>
      <c r="BL30" s="1051">
        <f>IF(BB30&lt;=#REF!,#REF!,IF(BB30&lt;=#REF!,#REF!,IF(BB30&lt;=#REF!,#REF!,IF(BB30&lt;=#REF!,#REF!,IF(BB30&lt;=#REF!,#REF!,IF(BB30&lt;=#REF!,#REF!,IF(BB30&lt;=#REF!,#REF!,0.05)))))))</f>
        <v/>
      </c>
      <c r="BM30" s="2193">
        <f>BL30*BB30</f>
        <v/>
      </c>
      <c r="BN30" s="1051" t="n"/>
      <c r="BO30" s="1051">
        <f>IF(BE30&lt;=#REF!,#REF!,IF(BE30&lt;=#REF!,#REF!,IF(BE30&lt;=#REF!,#REF!,IF(BE30&lt;=#REF!,#REF!,IF(BE30&lt;=#REF!,#REF!,IF(BE30&lt;=#REF!,#REF!,IF(BE30&lt;=#REF!,#REF!,0.05)))))))</f>
        <v/>
      </c>
      <c r="BP30" s="2193">
        <f>BO30*SUM(BM30,BJ30,BE30)</f>
        <v/>
      </c>
      <c r="BQ30" s="1051" t="n"/>
      <c r="BR30" s="2194">
        <f>IF(BH30&lt;=#REF!,#REF!,IF(BH30&lt;=#REF!,#REF!,IF(BH30&lt;=#REF!,#REF!,IF(BH30&lt;=#REF!,#REF!,IF(BH30&lt;=#REF!,#REF!,IF(BH30&lt;=#REF!,#REF!,IF(BH30&lt;=#REF!,#REF!,0.05)))))))</f>
        <v/>
      </c>
      <c r="BS30" s="2193">
        <f>BR30*BH30</f>
        <v/>
      </c>
      <c r="BU30" s="1932">
        <f>0.07*SUM(BE30,BJ30,BM30,BP30,BS30)</f>
        <v/>
      </c>
      <c r="BW30" s="1932">
        <f>SUM(BU30,BS30,BP30,BM30,BJ30,BE30)</f>
        <v/>
      </c>
      <c r="BX30" s="1933">
        <f>SUM(BS30,BP30,BM30,BJ30)</f>
        <v/>
      </c>
      <c r="BY30" s="1051">
        <f>BX30/BW30</f>
        <v/>
      </c>
      <c r="CO30" s="2193" t="n">
        <v>21000</v>
      </c>
      <c r="CP30" s="2193" t="n"/>
      <c r="CQ30" s="2193" t="n"/>
      <c r="CR30" s="2193">
        <f>CO30</f>
        <v/>
      </c>
      <c r="CS30" s="2193" t="n"/>
      <c r="CT30" s="2193" t="n"/>
      <c r="CU30" s="2193">
        <f>CO30+CR30</f>
        <v/>
      </c>
      <c r="CV30" s="2193" t="n"/>
      <c r="CW30" s="2193" t="n"/>
      <c r="CX30" s="2193">
        <f>CU30</f>
        <v/>
      </c>
      <c r="CY30" s="1051">
        <f>IF(CO30&lt;=BQ$6,BP$6,IF(CO30&lt;=BQ$7,BP$7,IF(CO30&lt;=BQ$8,BP$8,IF(CO30&lt;=BQ$9,BP$9,IF(CO30&lt;=BQ$14,BP$14,IF(CO30&lt;=BQ$15,BP$15,IF(CO30&lt;=BQ$16,BP$16,0.05)))))))</f>
        <v/>
      </c>
      <c r="CZ30" s="2193">
        <f>CY30*CO30</f>
        <v/>
      </c>
      <c r="DA30" s="1051" t="n"/>
      <c r="DB30" s="1051">
        <f>IF(CR30&lt;=BT$6,BS$6,IF(CR30&lt;=BT$7,BS$7,IF(CR30&lt;=BT$8,BS$8,IF(CR30&lt;=BT$9,BS$9,IF(CR30&lt;=BT$14,BS$14,IF(CR30&lt;=BT$15,BS$15,IF(CR30&lt;=BT$16,BS$16,0.05)))))))</f>
        <v/>
      </c>
      <c r="DC30" s="2193">
        <f>DB30*CR30</f>
        <v/>
      </c>
      <c r="DD30" s="1051" t="n"/>
      <c r="DE30" s="1051">
        <f>IF(CU30&lt;=BW$6,BV$6,IF(CU30&lt;=BW$7,BV$7,IF(CU30&lt;=BW$8,BV$8,IF(CU30&lt;=BW$9,BV$9,IF(CU30&lt;=BW$14,BV$14,IF(CU30&lt;=BW$15,BV$15,IF(CU30&lt;=BW$16,BV$16,0.05)))))))</f>
        <v/>
      </c>
      <c r="DF30" s="2193">
        <f>DE30*SUM(DC30,CZ30,CU30)</f>
        <v/>
      </c>
      <c r="DG30" s="1051" t="n"/>
      <c r="DH30" s="2194">
        <f>IF(CX30&lt;=BZ$6,BY$6,IF(CX30&lt;=BZ$7,BY$7,IF(CX30&lt;=BZ$8,BY$8,IF(CX30&lt;=BZ$9,BY$9,IF(CX30&lt;=BZ$14,BY$14,IF(CX30&lt;=BZ$15,BY$15,IF(CX30&lt;=BZ$16,BY$16,0.05)))))))</f>
        <v/>
      </c>
      <c r="DI30" s="2193">
        <f>DH30*CX30</f>
        <v/>
      </c>
      <c r="DK30" s="1932">
        <f>0.07*SUM(CU30,CZ30,DC30,DF30,DI30)</f>
        <v/>
      </c>
      <c r="DM30" s="1932">
        <f>SUM(DK30,DI30,DF30,DC30,CZ30,CU30)</f>
        <v/>
      </c>
      <c r="DN30" s="1933">
        <f>SUM(DI30,DF30,DC30,CZ30)</f>
        <v/>
      </c>
      <c r="DO30" s="1051">
        <f>DN30/DM30</f>
        <v/>
      </c>
    </row>
    <row r="31" ht="16.2" customFormat="1" customHeight="1" s="585" thickBot="1">
      <c r="A31" s="1778" t="n"/>
      <c r="B31" s="2096" t="n"/>
      <c r="C31" s="1977" t="n"/>
      <c r="D31" s="1944" t="n"/>
      <c r="E31" s="1962">
        <f>B31*D31</f>
        <v/>
      </c>
      <c r="F31" s="600" t="n"/>
      <c r="G31" s="600" t="n"/>
      <c r="H31" s="2225">
        <f>ROUNDUP((((2*8)*(C46)*(1+C53)*(1+C54))*(1+G83))*G55,0)</f>
        <v/>
      </c>
      <c r="I31" s="1606" t="inlineStr">
        <is>
          <t>Add for Offsite Storage</t>
        </is>
      </c>
      <c r="J31" s="601" t="inlineStr">
        <is>
          <t>2 guys x 8 hrs + Markups x # of mobz</t>
        </is>
      </c>
      <c r="O31" s="747">
        <f>O30/N28</f>
        <v/>
      </c>
      <c r="P31" s="747">
        <f>P28/N28</f>
        <v/>
      </c>
      <c r="Q31" s="747">
        <f>Q28/N28</f>
        <v/>
      </c>
      <c r="R31" s="747">
        <f>R28/N28</f>
        <v/>
      </c>
      <c r="T31" s="2226" t="n"/>
      <c r="U31" s="2223" t="n"/>
      <c r="V31" s="2223" t="n"/>
      <c r="W31" s="2223" t="n"/>
      <c r="AY31" s="2193" t="n">
        <v>22000</v>
      </c>
      <c r="AZ31" s="2193" t="n"/>
      <c r="BA31" s="2193" t="n"/>
      <c r="BB31" s="2193">
        <f>AY31</f>
        <v/>
      </c>
      <c r="BC31" s="2193" t="n"/>
      <c r="BD31" s="2193" t="n"/>
      <c r="BE31" s="2193">
        <f>AY31+BB31</f>
        <v/>
      </c>
      <c r="BF31" s="2193" t="n"/>
      <c r="BG31" s="2193" t="n"/>
      <c r="BH31" s="2193">
        <f>BE31</f>
        <v/>
      </c>
      <c r="BI31" s="1051">
        <f>IF(AY31&lt;=#REF!,#REF!,IF(AY31&lt;=#REF!,#REF!,IF(AY31&lt;=#REF!,#REF!,IF(AY31&lt;=#REF!,#REF!,IF(AY31&lt;=#REF!,#REF!,IF(AY31&lt;=#REF!,#REF!,IF(AY31&lt;=#REF!,#REF!,0.05)))))))</f>
        <v/>
      </c>
      <c r="BJ31" s="2193">
        <f>BI31*AY31</f>
        <v/>
      </c>
      <c r="BK31" s="1051" t="n"/>
      <c r="BL31" s="1051">
        <f>IF(BB31&lt;=#REF!,#REF!,IF(BB31&lt;=#REF!,#REF!,IF(BB31&lt;=#REF!,#REF!,IF(BB31&lt;=#REF!,#REF!,IF(BB31&lt;=#REF!,#REF!,IF(BB31&lt;=#REF!,#REF!,IF(BB31&lt;=#REF!,#REF!,0.05)))))))</f>
        <v/>
      </c>
      <c r="BM31" s="2193">
        <f>BL31*BB31</f>
        <v/>
      </c>
      <c r="BN31" s="1051" t="n"/>
      <c r="BO31" s="1051">
        <f>IF(BE31&lt;=#REF!,#REF!,IF(BE31&lt;=#REF!,#REF!,IF(BE31&lt;=#REF!,#REF!,IF(BE31&lt;=#REF!,#REF!,IF(BE31&lt;=#REF!,#REF!,IF(BE31&lt;=#REF!,#REF!,IF(BE31&lt;=#REF!,#REF!,0.05)))))))</f>
        <v/>
      </c>
      <c r="BP31" s="2193">
        <f>BO31*SUM(BM31,BJ31,BE31)</f>
        <v/>
      </c>
      <c r="BQ31" s="1051" t="n"/>
      <c r="BR31" s="2194">
        <f>IF(BH31&lt;=#REF!,#REF!,IF(BH31&lt;=#REF!,#REF!,IF(BH31&lt;=#REF!,#REF!,IF(BH31&lt;=#REF!,#REF!,IF(BH31&lt;=#REF!,#REF!,IF(BH31&lt;=#REF!,#REF!,IF(BH31&lt;=#REF!,#REF!,0.05)))))))</f>
        <v/>
      </c>
      <c r="BS31" s="2193">
        <f>BR31*BH31</f>
        <v/>
      </c>
      <c r="BU31" s="1932">
        <f>0.07*SUM(BE31,BJ31,BM31,BP31,BS31)</f>
        <v/>
      </c>
      <c r="BW31" s="1932">
        <f>SUM(BU31,BS31,BP31,BM31,BJ31,BE31)</f>
        <v/>
      </c>
      <c r="BX31" s="1933">
        <f>SUM(BS31,BP31,BM31,BJ31)</f>
        <v/>
      </c>
      <c r="BY31" s="1051">
        <f>BX31/BW31</f>
        <v/>
      </c>
      <c r="CO31" s="2193" t="n">
        <v>22000</v>
      </c>
      <c r="CP31" s="2193" t="n"/>
      <c r="CQ31" s="2193" t="n"/>
      <c r="CR31" s="2193">
        <f>CO31</f>
        <v/>
      </c>
      <c r="CS31" s="2193" t="n"/>
      <c r="CT31" s="2193" t="n"/>
      <c r="CU31" s="2193">
        <f>CO31+CR31</f>
        <v/>
      </c>
      <c r="CV31" s="2193" t="n"/>
      <c r="CW31" s="2193" t="n"/>
      <c r="CX31" s="2193">
        <f>CU31</f>
        <v/>
      </c>
      <c r="CY31" s="1051">
        <f>IF(CO31&lt;=BQ$6,BP$6,IF(CO31&lt;=BQ$7,BP$7,IF(CO31&lt;=BQ$8,BP$8,IF(CO31&lt;=BQ$9,BP$9,IF(CO31&lt;=BQ$14,BP$14,IF(CO31&lt;=BQ$15,BP$15,IF(CO31&lt;=BQ$16,BP$16,0.05)))))))</f>
        <v/>
      </c>
      <c r="CZ31" s="2193">
        <f>CY31*CO31</f>
        <v/>
      </c>
      <c r="DA31" s="1051" t="n"/>
      <c r="DB31" s="1051">
        <f>IF(CR31&lt;=BT$6,BS$6,IF(CR31&lt;=BT$7,BS$7,IF(CR31&lt;=BT$8,BS$8,IF(CR31&lt;=BT$9,BS$9,IF(CR31&lt;=BT$14,BS$14,IF(CR31&lt;=BT$15,BS$15,IF(CR31&lt;=BT$16,BS$16,0.05)))))))</f>
        <v/>
      </c>
      <c r="DC31" s="2193">
        <f>DB31*CR31</f>
        <v/>
      </c>
      <c r="DD31" s="1051" t="n"/>
      <c r="DE31" s="1051">
        <f>IF(CU31&lt;=BW$6,BV$6,IF(CU31&lt;=BW$7,BV$7,IF(CU31&lt;=BW$8,BV$8,IF(CU31&lt;=BW$9,BV$9,IF(CU31&lt;=BW$14,BV$14,IF(CU31&lt;=BW$15,BV$15,IF(CU31&lt;=BW$16,BV$16,0.05)))))))</f>
        <v/>
      </c>
      <c r="DF31" s="2193">
        <f>DE31*SUM(DC31,CZ31,CU31)</f>
        <v/>
      </c>
      <c r="DG31" s="1051" t="n"/>
      <c r="DH31" s="2194">
        <f>IF(CX31&lt;=BZ$6,BY$6,IF(CX31&lt;=BZ$7,BY$7,IF(CX31&lt;=BZ$8,BY$8,IF(CX31&lt;=BZ$9,BY$9,IF(CX31&lt;=BZ$14,BY$14,IF(CX31&lt;=BZ$15,BY$15,IF(CX31&lt;=BZ$16,BY$16,0.05)))))))</f>
        <v/>
      </c>
      <c r="DI31" s="2193">
        <f>DH31*CX31</f>
        <v/>
      </c>
      <c r="DK31" s="1932">
        <f>0.07*SUM(CU31,CZ31,DC31,DF31,DI31)</f>
        <v/>
      </c>
      <c r="DM31" s="1932">
        <f>SUM(DK31,DI31,DF31,DC31,CZ31,CU31)</f>
        <v/>
      </c>
      <c r="DN31" s="1933">
        <f>SUM(DI31,DF31,DC31,CZ31)</f>
        <v/>
      </c>
      <c r="DO31" s="1051">
        <f>DN31/DM31</f>
        <v/>
      </c>
    </row>
    <row r="32" ht="16.05" customFormat="1" customHeight="1" s="585" thickBot="1">
      <c r="A32" s="641" t="inlineStr">
        <is>
          <t>MATERIAL - Sand</t>
        </is>
      </c>
      <c r="B32" s="2227" t="n"/>
      <c r="C32" s="1977" t="n"/>
      <c r="D32" s="1977" t="n"/>
      <c r="E32" s="1978" t="n"/>
      <c r="F32" s="600" t="n"/>
      <c r="G32" s="600" t="n"/>
      <c r="H32" s="600" t="n"/>
      <c r="T32" s="600" t="n"/>
      <c r="U32" s="600" t="n"/>
      <c r="V32" s="600" t="n"/>
      <c r="W32" s="600" t="n"/>
      <c r="AY32" s="2193" t="n">
        <v>23000</v>
      </c>
      <c r="AZ32" s="2193" t="n"/>
      <c r="BA32" s="2193" t="n"/>
      <c r="BB32" s="2193">
        <f>AY32</f>
        <v/>
      </c>
      <c r="BC32" s="2193" t="n"/>
      <c r="BD32" s="2193" t="n"/>
      <c r="BE32" s="2193">
        <f>AY32+BB32</f>
        <v/>
      </c>
      <c r="BF32" s="2193" t="n"/>
      <c r="BG32" s="2193" t="n"/>
      <c r="BH32" s="2193">
        <f>BE32</f>
        <v/>
      </c>
      <c r="BI32" s="1051">
        <f>IF(AY32&lt;=#REF!,#REF!,IF(AY32&lt;=#REF!,#REF!,IF(AY32&lt;=#REF!,#REF!,IF(AY32&lt;=#REF!,#REF!,IF(AY32&lt;=#REF!,#REF!,IF(AY32&lt;=#REF!,#REF!,IF(AY32&lt;=#REF!,#REF!,0.05)))))))</f>
        <v/>
      </c>
      <c r="BJ32" s="2193">
        <f>BI32*AY32</f>
        <v/>
      </c>
      <c r="BK32" s="1051" t="n"/>
      <c r="BL32" s="1051">
        <f>IF(BB32&lt;=#REF!,#REF!,IF(BB32&lt;=#REF!,#REF!,IF(BB32&lt;=#REF!,#REF!,IF(BB32&lt;=#REF!,#REF!,IF(BB32&lt;=#REF!,#REF!,IF(BB32&lt;=#REF!,#REF!,IF(BB32&lt;=#REF!,#REF!,0.05)))))))</f>
        <v/>
      </c>
      <c r="BM32" s="2193">
        <f>BL32*BB32</f>
        <v/>
      </c>
      <c r="BN32" s="1051" t="n"/>
      <c r="BO32" s="1051">
        <f>IF(BE32&lt;=#REF!,#REF!,IF(BE32&lt;=#REF!,#REF!,IF(BE32&lt;=#REF!,#REF!,IF(BE32&lt;=#REF!,#REF!,IF(BE32&lt;=#REF!,#REF!,IF(BE32&lt;=#REF!,#REF!,IF(BE32&lt;=#REF!,#REF!,0.05)))))))</f>
        <v/>
      </c>
      <c r="BP32" s="2193">
        <f>BO32*SUM(BM32,BJ32,BE32)</f>
        <v/>
      </c>
      <c r="BQ32" s="1051" t="n"/>
      <c r="BR32" s="2194">
        <f>IF(BH32&lt;=#REF!,#REF!,IF(BH32&lt;=#REF!,#REF!,IF(BH32&lt;=#REF!,#REF!,IF(BH32&lt;=#REF!,#REF!,IF(BH32&lt;=#REF!,#REF!,IF(BH32&lt;=#REF!,#REF!,IF(BH32&lt;=#REF!,#REF!,0.05)))))))</f>
        <v/>
      </c>
      <c r="BS32" s="2193">
        <f>BR32*BH32</f>
        <v/>
      </c>
      <c r="BU32" s="1932">
        <f>0.07*SUM(BE32,BJ32,BM32,BP32,BS32)</f>
        <v/>
      </c>
      <c r="BW32" s="1932">
        <f>SUM(BU32,BS32,BP32,BM32,BJ32,BE32)</f>
        <v/>
      </c>
      <c r="BX32" s="1933">
        <f>SUM(BS32,BP32,BM32,BJ32)</f>
        <v/>
      </c>
      <c r="BY32" s="1051">
        <f>BX32/BW32</f>
        <v/>
      </c>
      <c r="CO32" s="2193" t="n">
        <v>23000</v>
      </c>
      <c r="CP32" s="2193" t="n"/>
      <c r="CQ32" s="2193" t="n"/>
      <c r="CR32" s="2193">
        <f>CO32</f>
        <v/>
      </c>
      <c r="CS32" s="2193" t="n"/>
      <c r="CT32" s="2193" t="n"/>
      <c r="CU32" s="2193">
        <f>CO32+CR32</f>
        <v/>
      </c>
      <c r="CV32" s="2193" t="n"/>
      <c r="CW32" s="2193" t="n"/>
      <c r="CX32" s="2193">
        <f>CU32</f>
        <v/>
      </c>
      <c r="CY32" s="1051">
        <f>IF(CO32&lt;=BQ$6,BP$6,IF(CO32&lt;=BQ$7,BP$7,IF(CO32&lt;=BQ$8,BP$8,IF(CO32&lt;=BQ$9,BP$9,IF(CO32&lt;=BQ$14,BP$14,IF(CO32&lt;=BQ$15,BP$15,IF(CO32&lt;=BQ$16,BP$16,0.05)))))))</f>
        <v/>
      </c>
      <c r="CZ32" s="2193">
        <f>CY32*CO32</f>
        <v/>
      </c>
      <c r="DA32" s="1051" t="n"/>
      <c r="DB32" s="1051">
        <f>IF(CR32&lt;=BT$6,BS$6,IF(CR32&lt;=BT$7,BS$7,IF(CR32&lt;=BT$8,BS$8,IF(CR32&lt;=BT$9,BS$9,IF(CR32&lt;=BT$14,BS$14,IF(CR32&lt;=BT$15,BS$15,IF(CR32&lt;=BT$16,BS$16,0.05)))))))</f>
        <v/>
      </c>
      <c r="DC32" s="2193">
        <f>DB32*CR32</f>
        <v/>
      </c>
      <c r="DD32" s="1051" t="n"/>
      <c r="DE32" s="1051">
        <f>IF(CU32&lt;=BW$6,BV$6,IF(CU32&lt;=BW$7,BV$7,IF(CU32&lt;=BW$8,BV$8,IF(CU32&lt;=BW$9,BV$9,IF(CU32&lt;=BW$14,BV$14,IF(CU32&lt;=BW$15,BV$15,IF(CU32&lt;=BW$16,BV$16,0.05)))))))</f>
        <v/>
      </c>
      <c r="DF32" s="2193">
        <f>DE32*SUM(DC32,CZ32,CU32)</f>
        <v/>
      </c>
      <c r="DG32" s="1051" t="n"/>
      <c r="DH32" s="2194">
        <f>IF(CX32&lt;=BZ$6,BY$6,IF(CX32&lt;=BZ$7,BY$7,IF(CX32&lt;=BZ$8,BY$8,IF(CX32&lt;=BZ$9,BY$9,IF(CX32&lt;=BZ$14,BY$14,IF(CX32&lt;=BZ$15,BY$15,IF(CX32&lt;=BZ$16,BY$16,0.05)))))))</f>
        <v/>
      </c>
      <c r="DI32" s="2193">
        <f>DH32*CX32</f>
        <v/>
      </c>
      <c r="DK32" s="1932">
        <f>0.07*SUM(CU32,CZ32,DC32,DF32,DI32)</f>
        <v/>
      </c>
      <c r="DM32" s="1932">
        <f>SUM(DK32,DI32,DF32,DC32,CZ32,CU32)</f>
        <v/>
      </c>
      <c r="DN32" s="1933">
        <f>SUM(DI32,DF32,DC32,CZ32)</f>
        <v/>
      </c>
      <c r="DO32" s="1051">
        <f>DN32/DM32</f>
        <v/>
      </c>
    </row>
    <row r="33" ht="16.2" customFormat="1" customHeight="1" s="585" thickBot="1">
      <c r="A33" s="647" t="inlineStr">
        <is>
          <t>Sand (per Ton)</t>
        </is>
      </c>
      <c r="B33" s="2096">
        <f>((IF(G11=P52,Q52,IF(G11=P54,Q54))*H33)/2000)*(1+G19)</f>
        <v/>
      </c>
      <c r="C33" s="1066" t="inlineStr">
        <is>
          <t>tons w/ waste</t>
        </is>
      </c>
      <c r="D33" s="1944" t="n">
        <v>35</v>
      </c>
      <c r="E33" s="1962">
        <f>B33*D33</f>
        <v/>
      </c>
      <c r="F33" s="600" t="inlineStr">
        <is>
          <t>(Total Bags x Mix Design)/2000</t>
        </is>
      </c>
      <c r="H33" s="1392">
        <f>B23+B24+B25</f>
        <v/>
      </c>
      <c r="I33" s="1008" t="inlineStr">
        <is>
          <t>Total Bags</t>
        </is>
      </c>
      <c r="T33" s="620" t="n"/>
      <c r="U33" s="620" t="n"/>
      <c r="AY33" s="2193" t="n">
        <v>24000</v>
      </c>
      <c r="AZ33" s="2193" t="n"/>
      <c r="BA33" s="2193" t="n"/>
      <c r="BB33" s="2193">
        <f>AY33</f>
        <v/>
      </c>
      <c r="BC33" s="2193" t="n"/>
      <c r="BD33" s="2193" t="n"/>
      <c r="BE33" s="2193">
        <f>AY33+BB33</f>
        <v/>
      </c>
      <c r="BF33" s="2193" t="n"/>
      <c r="BG33" s="2193" t="n"/>
      <c r="BH33" s="2193">
        <f>BE33</f>
        <v/>
      </c>
      <c r="BI33" s="1051">
        <f>IF(AY33&lt;=#REF!,#REF!,IF(AY33&lt;=#REF!,#REF!,IF(AY33&lt;=#REF!,#REF!,IF(AY33&lt;=#REF!,#REF!,IF(AY33&lt;=#REF!,#REF!,IF(AY33&lt;=#REF!,#REF!,IF(AY33&lt;=#REF!,#REF!,0.05)))))))</f>
        <v/>
      </c>
      <c r="BJ33" s="2193">
        <f>BI33*AY33</f>
        <v/>
      </c>
      <c r="BK33" s="1051" t="n"/>
      <c r="BL33" s="1051">
        <f>IF(BB33&lt;=#REF!,#REF!,IF(BB33&lt;=#REF!,#REF!,IF(BB33&lt;=#REF!,#REF!,IF(BB33&lt;=#REF!,#REF!,IF(BB33&lt;=#REF!,#REF!,IF(BB33&lt;=#REF!,#REF!,IF(BB33&lt;=#REF!,#REF!,0.05)))))))</f>
        <v/>
      </c>
      <c r="BM33" s="2193">
        <f>BL33*BB33</f>
        <v/>
      </c>
      <c r="BN33" s="1051" t="n"/>
      <c r="BO33" s="1051">
        <f>IF(BE33&lt;=#REF!,#REF!,IF(BE33&lt;=#REF!,#REF!,IF(BE33&lt;=#REF!,#REF!,IF(BE33&lt;=#REF!,#REF!,IF(BE33&lt;=#REF!,#REF!,IF(BE33&lt;=#REF!,#REF!,IF(BE33&lt;=#REF!,#REF!,0.05)))))))</f>
        <v/>
      </c>
      <c r="BP33" s="2193">
        <f>BO33*SUM(BM33,BJ33,BE33)</f>
        <v/>
      </c>
      <c r="BQ33" s="1051" t="n"/>
      <c r="BR33" s="2194">
        <f>IF(BH33&lt;=#REF!,#REF!,IF(BH33&lt;=#REF!,#REF!,IF(BH33&lt;=#REF!,#REF!,IF(BH33&lt;=#REF!,#REF!,IF(BH33&lt;=#REF!,#REF!,IF(BH33&lt;=#REF!,#REF!,IF(BH33&lt;=#REF!,#REF!,0.05)))))))</f>
        <v/>
      </c>
      <c r="BS33" s="2193">
        <f>BR33*BH33</f>
        <v/>
      </c>
      <c r="BU33" s="1932">
        <f>0.07*SUM(BE33,BJ33,BM33,BP33,BS33)</f>
        <v/>
      </c>
      <c r="BW33" s="1932">
        <f>SUM(BU33,BS33,BP33,BM33,BJ33,BE33)</f>
        <v/>
      </c>
      <c r="BX33" s="1933">
        <f>SUM(BS33,BP33,BM33,BJ33)</f>
        <v/>
      </c>
      <c r="BY33" s="1051">
        <f>BX33/BW33</f>
        <v/>
      </c>
      <c r="CO33" s="2193" t="n">
        <v>24000</v>
      </c>
      <c r="CP33" s="2193" t="n"/>
      <c r="CQ33" s="2193" t="n"/>
      <c r="CR33" s="2193">
        <f>CO33</f>
        <v/>
      </c>
      <c r="CS33" s="2193" t="n"/>
      <c r="CT33" s="2193" t="n"/>
      <c r="CU33" s="2193">
        <f>CO33+CR33</f>
        <v/>
      </c>
      <c r="CV33" s="2193" t="n"/>
      <c r="CW33" s="2193" t="n"/>
      <c r="CX33" s="2193">
        <f>CU33</f>
        <v/>
      </c>
      <c r="CY33" s="1051">
        <f>IF(CO33&lt;=BQ$6,BP$6,IF(CO33&lt;=BQ$7,BP$7,IF(CO33&lt;=BQ$8,BP$8,IF(CO33&lt;=BQ$9,BP$9,IF(CO33&lt;=BQ$14,BP$14,IF(CO33&lt;=BQ$15,BP$15,IF(CO33&lt;=BQ$16,BP$16,0.05)))))))</f>
        <v/>
      </c>
      <c r="CZ33" s="2193">
        <f>CY33*CO33</f>
        <v/>
      </c>
      <c r="DA33" s="1051" t="n"/>
      <c r="DB33" s="1051">
        <f>IF(CR33&lt;=BT$6,BS$6,IF(CR33&lt;=BT$7,BS$7,IF(CR33&lt;=BT$8,BS$8,IF(CR33&lt;=BT$9,BS$9,IF(CR33&lt;=BT$14,BS$14,IF(CR33&lt;=BT$15,BS$15,IF(CR33&lt;=BT$16,BS$16,0.05)))))))</f>
        <v/>
      </c>
      <c r="DC33" s="2193">
        <f>DB33*CR33</f>
        <v/>
      </c>
      <c r="DD33" s="1051" t="n"/>
      <c r="DE33" s="1051">
        <f>IF(CU33&lt;=BW$6,BV$6,IF(CU33&lt;=BW$7,BV$7,IF(CU33&lt;=BW$8,BV$8,IF(CU33&lt;=BW$9,BV$9,IF(CU33&lt;=BW$14,BV$14,IF(CU33&lt;=BW$15,BV$15,IF(CU33&lt;=BW$16,BV$16,0.05)))))))</f>
        <v/>
      </c>
      <c r="DF33" s="2193">
        <f>DE33*SUM(DC33,CZ33,CU33)</f>
        <v/>
      </c>
      <c r="DG33" s="1051" t="n"/>
      <c r="DH33" s="2194">
        <f>IF(CX33&lt;=BZ$6,BY$6,IF(CX33&lt;=BZ$7,BY$7,IF(CX33&lt;=BZ$8,BY$8,IF(CX33&lt;=BZ$9,BY$9,IF(CX33&lt;=BZ$14,BY$14,IF(CX33&lt;=BZ$15,BY$15,IF(CX33&lt;=BZ$16,BY$16,0.05)))))))</f>
        <v/>
      </c>
      <c r="DI33" s="2193">
        <f>DH33*CX33</f>
        <v/>
      </c>
      <c r="DK33" s="1932">
        <f>0.07*SUM(CU33,CZ33,DC33,DF33,DI33)</f>
        <v/>
      </c>
      <c r="DM33" s="1932">
        <f>SUM(DK33,DI33,DF33,DC33,CZ33,CU33)</f>
        <v/>
      </c>
      <c r="DN33" s="1933">
        <f>SUM(DI33,DF33,DC33,CZ33)</f>
        <v/>
      </c>
      <c r="DO33" s="1051">
        <f>DN33/DM33</f>
        <v/>
      </c>
    </row>
    <row r="34" ht="16.05" customFormat="1" customHeight="1" s="585">
      <c r="A34" s="647" t="n"/>
      <c r="B34" s="2096" t="n"/>
      <c r="C34" s="1977" t="n"/>
      <c r="D34" s="1944" t="n"/>
      <c r="E34" s="1962">
        <f>B34*D34</f>
        <v/>
      </c>
      <c r="F34" s="948" t="n"/>
      <c r="G34" s="600" t="n"/>
      <c r="H34" s="600" t="n"/>
      <c r="S34" s="593" t="n"/>
      <c r="T34" s="593" t="n"/>
      <c r="U34" s="593" t="n"/>
      <c r="AY34" s="2193" t="n">
        <v>25000</v>
      </c>
      <c r="AZ34" s="2193" t="n"/>
      <c r="BA34" s="2193" t="n"/>
      <c r="BB34" s="2193">
        <f>AY34</f>
        <v/>
      </c>
      <c r="BC34" s="2193" t="n"/>
      <c r="BD34" s="2193" t="n"/>
      <c r="BE34" s="2193">
        <f>AY34+BB34</f>
        <v/>
      </c>
      <c r="BF34" s="2193" t="n"/>
      <c r="BG34" s="2193" t="n"/>
      <c r="BH34" s="2193">
        <f>BE34</f>
        <v/>
      </c>
      <c r="BI34" s="1051">
        <f>IF(AY34&lt;=#REF!,#REF!,IF(AY34&lt;=#REF!,#REF!,IF(AY34&lt;=#REF!,#REF!,IF(AY34&lt;=#REF!,#REF!,IF(AY34&lt;=#REF!,#REF!,IF(AY34&lt;=#REF!,#REF!,IF(AY34&lt;=#REF!,#REF!,0.05)))))))</f>
        <v/>
      </c>
      <c r="BJ34" s="2193">
        <f>BI34*AY34</f>
        <v/>
      </c>
      <c r="BK34" s="1051" t="n"/>
      <c r="BL34" s="1051">
        <f>IF(BB34&lt;=#REF!,#REF!,IF(BB34&lt;=#REF!,#REF!,IF(BB34&lt;=#REF!,#REF!,IF(BB34&lt;=#REF!,#REF!,IF(BB34&lt;=#REF!,#REF!,IF(BB34&lt;=#REF!,#REF!,IF(BB34&lt;=#REF!,#REF!,0.05)))))))</f>
        <v/>
      </c>
      <c r="BM34" s="2193">
        <f>BL34*BB34</f>
        <v/>
      </c>
      <c r="BN34" s="1051" t="n"/>
      <c r="BO34" s="1051">
        <f>IF(BE34&lt;=#REF!,#REF!,IF(BE34&lt;=#REF!,#REF!,IF(BE34&lt;=#REF!,#REF!,IF(BE34&lt;=#REF!,#REF!,IF(BE34&lt;=#REF!,#REF!,IF(BE34&lt;=#REF!,#REF!,IF(BE34&lt;=#REF!,#REF!,0.05)))))))</f>
        <v/>
      </c>
      <c r="BP34" s="2193">
        <f>BO34*SUM(BM34,BJ34,BE34)</f>
        <v/>
      </c>
      <c r="BQ34" s="1051" t="n"/>
      <c r="BR34" s="2194">
        <f>IF(BH34&lt;=#REF!,#REF!,IF(BH34&lt;=#REF!,#REF!,IF(BH34&lt;=#REF!,#REF!,IF(BH34&lt;=#REF!,#REF!,IF(BH34&lt;=#REF!,#REF!,IF(BH34&lt;=#REF!,#REF!,IF(BH34&lt;=#REF!,#REF!,0.05)))))))</f>
        <v/>
      </c>
      <c r="BS34" s="2193">
        <f>BR34*BH34</f>
        <v/>
      </c>
      <c r="BU34" s="1932">
        <f>0.07*SUM(BE34,BJ34,BM34,BP34,BS34)</f>
        <v/>
      </c>
      <c r="BW34" s="1932">
        <f>SUM(BU34,BS34,BP34,BM34,BJ34,BE34)</f>
        <v/>
      </c>
      <c r="BX34" s="1933">
        <f>SUM(BS34,BP34,BM34,BJ34)</f>
        <v/>
      </c>
      <c r="BY34" s="1051">
        <f>BX34/BW34</f>
        <v/>
      </c>
      <c r="CO34" s="2193" t="n">
        <v>25000</v>
      </c>
      <c r="CP34" s="2193" t="n"/>
      <c r="CQ34" s="2193" t="n"/>
      <c r="CR34" s="2193">
        <f>CO34</f>
        <v/>
      </c>
      <c r="CS34" s="2193" t="n"/>
      <c r="CT34" s="2193" t="n"/>
      <c r="CU34" s="2193">
        <f>CO34+CR34</f>
        <v/>
      </c>
      <c r="CV34" s="2193" t="n"/>
      <c r="CW34" s="2193" t="n"/>
      <c r="CX34" s="2193">
        <f>CU34</f>
        <v/>
      </c>
      <c r="CY34" s="1051">
        <f>IF(CO34&lt;=BQ$6,BP$6,IF(CO34&lt;=BQ$7,BP$7,IF(CO34&lt;=BQ$8,BP$8,IF(CO34&lt;=BQ$9,BP$9,IF(CO34&lt;=BQ$14,BP$14,IF(CO34&lt;=BQ$15,BP$15,IF(CO34&lt;=BQ$16,BP$16,0.05)))))))</f>
        <v/>
      </c>
      <c r="CZ34" s="2193">
        <f>CY34*CO34</f>
        <v/>
      </c>
      <c r="DA34" s="1051" t="n"/>
      <c r="DB34" s="1051">
        <f>IF(CR34&lt;=BT$6,BS$6,IF(CR34&lt;=BT$7,BS$7,IF(CR34&lt;=BT$8,BS$8,IF(CR34&lt;=BT$9,BS$9,IF(CR34&lt;=BT$14,BS$14,IF(CR34&lt;=BT$15,BS$15,IF(CR34&lt;=BT$16,BS$16,0.05)))))))</f>
        <v/>
      </c>
      <c r="DC34" s="2193">
        <f>DB34*CR34</f>
        <v/>
      </c>
      <c r="DD34" s="1051" t="n"/>
      <c r="DE34" s="1051">
        <f>IF(CU34&lt;=BW$6,BV$6,IF(CU34&lt;=BW$7,BV$7,IF(CU34&lt;=BW$8,BV$8,IF(CU34&lt;=BW$9,BV$9,IF(CU34&lt;=BW$14,BV$14,IF(CU34&lt;=BW$15,BV$15,IF(CU34&lt;=BW$16,BV$16,0.05)))))))</f>
        <v/>
      </c>
      <c r="DF34" s="2193">
        <f>DE34*SUM(DC34,CZ34,CU34)</f>
        <v/>
      </c>
      <c r="DG34" s="1051" t="n"/>
      <c r="DH34" s="2194">
        <f>IF(CX34&lt;=BZ$6,BY$6,IF(CX34&lt;=BZ$7,BY$7,IF(CX34&lt;=BZ$8,BY$8,IF(CX34&lt;=BZ$9,BY$9,IF(CX34&lt;=BZ$14,BY$14,IF(CX34&lt;=BZ$15,BY$15,IF(CX34&lt;=BZ$16,BY$16,0.05)))))))</f>
        <v/>
      </c>
      <c r="DI34" s="2193">
        <f>DH34*CX34</f>
        <v/>
      </c>
      <c r="DK34" s="1932">
        <f>0.07*SUM(CU34,CZ34,DC34,DF34,DI34)</f>
        <v/>
      </c>
      <c r="DM34" s="1932">
        <f>SUM(DK34,DI34,DF34,DC34,CZ34,CU34)</f>
        <v/>
      </c>
      <c r="DN34" s="1933">
        <f>SUM(DI34,DF34,DC34,CZ34)</f>
        <v/>
      </c>
      <c r="DO34" s="1051">
        <f>DN34/DM34</f>
        <v/>
      </c>
    </row>
    <row r="35" customFormat="1" s="585">
      <c r="A35" s="641" t="inlineStr">
        <is>
          <t>MATERIAL - Sound Mat</t>
        </is>
      </c>
      <c r="B35" s="1520" t="inlineStr">
        <is>
          <t>USG</t>
        </is>
      </c>
      <c r="C35" s="1977" t="n"/>
      <c r="D35" s="1977" t="n"/>
      <c r="E35" s="1978" t="n"/>
      <c r="F35" s="600" t="n"/>
      <c r="G35" s="600" t="n"/>
      <c r="I35" s="959" t="inlineStr">
        <is>
          <t>[GrassWorx = 384 (for all)]</t>
        </is>
      </c>
      <c r="O35" s="1323" t="inlineStr">
        <is>
          <t>Sound Mat $$$$</t>
        </is>
      </c>
      <c r="T35" s="600" t="n"/>
      <c r="U35" s="600" t="n"/>
      <c r="AY35" s="2193" t="n">
        <v>26000</v>
      </c>
      <c r="AZ35" s="2193" t="n"/>
      <c r="BA35" s="2193" t="n"/>
      <c r="BB35" s="2193">
        <f>AY35</f>
        <v/>
      </c>
      <c r="BC35" s="2193" t="n"/>
      <c r="BD35" s="2193" t="n"/>
      <c r="BE35" s="2193">
        <f>AY35+BB35</f>
        <v/>
      </c>
      <c r="BF35" s="2193" t="n"/>
      <c r="BG35" s="2193" t="n"/>
      <c r="BH35" s="2193">
        <f>BE35</f>
        <v/>
      </c>
      <c r="BI35" s="1051">
        <f>IF(AY35&lt;=#REF!,#REF!,IF(AY35&lt;=#REF!,#REF!,IF(AY35&lt;=#REF!,#REF!,IF(AY35&lt;=#REF!,#REF!,IF(AY35&lt;=#REF!,#REF!,IF(AY35&lt;=#REF!,#REF!,IF(AY35&lt;=#REF!,#REF!,0.05)))))))</f>
        <v/>
      </c>
      <c r="BJ35" s="2193">
        <f>BI35*AY35</f>
        <v/>
      </c>
      <c r="BK35" s="1051" t="n"/>
      <c r="BL35" s="1051">
        <f>IF(BB35&lt;=#REF!,#REF!,IF(BB35&lt;=#REF!,#REF!,IF(BB35&lt;=#REF!,#REF!,IF(BB35&lt;=#REF!,#REF!,IF(BB35&lt;=#REF!,#REF!,IF(BB35&lt;=#REF!,#REF!,IF(BB35&lt;=#REF!,#REF!,0.05)))))))</f>
        <v/>
      </c>
      <c r="BM35" s="2193">
        <f>BL35*BB35</f>
        <v/>
      </c>
      <c r="BN35" s="1051" t="n"/>
      <c r="BO35" s="1051">
        <f>IF(BE35&lt;=#REF!,#REF!,IF(BE35&lt;=#REF!,#REF!,IF(BE35&lt;=#REF!,#REF!,IF(BE35&lt;=#REF!,#REF!,IF(BE35&lt;=#REF!,#REF!,IF(BE35&lt;=#REF!,#REF!,IF(BE35&lt;=#REF!,#REF!,0.05)))))))</f>
        <v/>
      </c>
      <c r="BP35" s="2193">
        <f>BO35*SUM(BM35,BJ35,BE35)</f>
        <v/>
      </c>
      <c r="BQ35" s="1051" t="n"/>
      <c r="BR35" s="2194">
        <f>IF(BH35&lt;=#REF!,#REF!,IF(BH35&lt;=#REF!,#REF!,IF(BH35&lt;=#REF!,#REF!,IF(BH35&lt;=#REF!,#REF!,IF(BH35&lt;=#REF!,#REF!,IF(BH35&lt;=#REF!,#REF!,IF(BH35&lt;=#REF!,#REF!,0.05)))))))</f>
        <v/>
      </c>
      <c r="BS35" s="2193">
        <f>BR35*BH35</f>
        <v/>
      </c>
      <c r="BU35" s="1932">
        <f>0.07*SUM(BE35,BJ35,BM35,BP35,BS35)</f>
        <v/>
      </c>
      <c r="BW35" s="1932">
        <f>SUM(BU35,BS35,BP35,BM35,BJ35,BE35)</f>
        <v/>
      </c>
      <c r="BX35" s="1933">
        <f>SUM(BS35,BP35,BM35,BJ35)</f>
        <v/>
      </c>
      <c r="BY35" s="1051">
        <f>BX35/BW35</f>
        <v/>
      </c>
      <c r="CO35" s="2193" t="n">
        <v>26000</v>
      </c>
      <c r="CP35" s="2193" t="n"/>
      <c r="CQ35" s="2193" t="n"/>
      <c r="CR35" s="2193">
        <f>CO35</f>
        <v/>
      </c>
      <c r="CS35" s="2193" t="n"/>
      <c r="CT35" s="2193" t="n"/>
      <c r="CU35" s="2193">
        <f>CO35+CR35</f>
        <v/>
      </c>
      <c r="CV35" s="2193" t="n"/>
      <c r="CW35" s="2193" t="n"/>
      <c r="CX35" s="2193">
        <f>CU35</f>
        <v/>
      </c>
      <c r="CY35" s="1051">
        <f>IF(CO35&lt;=BQ$6,BP$6,IF(CO35&lt;=BQ$7,BP$7,IF(CO35&lt;=BQ$8,BP$8,IF(CO35&lt;=BQ$9,BP$9,IF(CO35&lt;=BQ$14,BP$14,IF(CO35&lt;=BQ$15,BP$15,IF(CO35&lt;=BQ$16,BP$16,0.05)))))))</f>
        <v/>
      </c>
      <c r="CZ35" s="2193">
        <f>CY35*CO35</f>
        <v/>
      </c>
      <c r="DA35" s="1051" t="n"/>
      <c r="DB35" s="1051">
        <f>IF(CR35&lt;=BT$6,BS$6,IF(CR35&lt;=BT$7,BS$7,IF(CR35&lt;=BT$8,BS$8,IF(CR35&lt;=BT$9,BS$9,IF(CR35&lt;=BT$14,BS$14,IF(CR35&lt;=BT$15,BS$15,IF(CR35&lt;=BT$16,BS$16,0.05)))))))</f>
        <v/>
      </c>
      <c r="DC35" s="2193">
        <f>DB35*CR35</f>
        <v/>
      </c>
      <c r="DD35" s="1051" t="n"/>
      <c r="DE35" s="1051">
        <f>IF(CU35&lt;=BW$6,BV$6,IF(CU35&lt;=BW$7,BV$7,IF(CU35&lt;=BW$8,BV$8,IF(CU35&lt;=BW$9,BV$9,IF(CU35&lt;=BW$14,BV$14,IF(CU35&lt;=BW$15,BV$15,IF(CU35&lt;=BW$16,BV$16,0.05)))))))</f>
        <v/>
      </c>
      <c r="DF35" s="2193">
        <f>DE35*SUM(DC35,CZ35,CU35)</f>
        <v/>
      </c>
      <c r="DG35" s="1051" t="n"/>
      <c r="DH35" s="2194">
        <f>IF(CX35&lt;=BZ$6,BY$6,IF(CX35&lt;=BZ$7,BY$7,IF(CX35&lt;=BZ$8,BY$8,IF(CX35&lt;=BZ$9,BY$9,IF(CX35&lt;=BZ$14,BY$14,IF(CX35&lt;=BZ$15,BY$15,IF(CX35&lt;=BZ$16,BY$16,0.05)))))))</f>
        <v/>
      </c>
      <c r="DI35" s="2193">
        <f>DH35*CX35</f>
        <v/>
      </c>
      <c r="DK35" s="1932">
        <f>0.07*SUM(CU35,CZ35,DC35,DF35,DI35)</f>
        <v/>
      </c>
      <c r="DM35" s="1932">
        <f>SUM(DK35,DI35,DF35,DC35,CZ35,CU35)</f>
        <v/>
      </c>
      <c r="DN35" s="1933">
        <f>SUM(DI35,DF35,DC35,CZ35)</f>
        <v/>
      </c>
      <c r="DO35" s="1051">
        <f>DN35/DM35</f>
        <v/>
      </c>
    </row>
    <row r="36" customFormat="1" s="585">
      <c r="A36" s="1710" t="inlineStr">
        <is>
          <t>SAM-N12   (1/8")</t>
        </is>
      </c>
      <c r="B36" s="2228">
        <f>ROUNDUP(IF(A36=O37,(F24/Q37),IF(A36=O38,(F24/Q38),IF(A36=O39,(F24/Q39),IF(A36=O40,(F24/Q40),IF(A36=O42,(F24/Q42),IF(A36=O43,(F24/Q43),IF(A36=O44,(F24/Q44),"none")))))))*(1+G20),0)</f>
        <v/>
      </c>
      <c r="C36" s="1977" t="inlineStr">
        <is>
          <t>rolls</t>
        </is>
      </c>
      <c r="D36" s="1944">
        <f>IF(A36=O37,(P37),IF(A36=O38,(P38),IF(A36=O39,(P39),IF(A36=O40,(P40),IF(A36=O42,(P42),IF(A36=O43,(P43),IF(A36=O44,(P44),"none")))))))</f>
        <v/>
      </c>
      <c r="E36" s="1962">
        <f>B36*D36</f>
        <v/>
      </c>
      <c r="F36" s="948" t="n"/>
      <c r="G36" s="600" t="n"/>
      <c r="H36" s="1534">
        <f>IF(A36=O37,280,IF(A36=O38,208,IF(A36=O39,208,IF(A36=O40,260,IF(A36=O42,384,IF(A36=O43,384,IF(A36=O44,384,"error")))))))</f>
        <v/>
      </c>
      <c r="I36" s="1607" t="inlineStr">
        <is>
          <t>Mat Rolls /Truck Load</t>
        </is>
      </c>
      <c r="K36" s="633" t="inlineStr">
        <is>
          <t>shipping on gyp = 20%</t>
        </is>
      </c>
      <c r="L36" s="2135">
        <f>(ROUNDUP(SUM(E20:E26)*B40,0))</f>
        <v/>
      </c>
      <c r="N36" s="1934" t="n"/>
      <c r="O36" s="1323" t="inlineStr">
        <is>
          <t>USG $: 1/8/2026</t>
        </is>
      </c>
      <c r="P36" s="1010" t="inlineStr">
        <is>
          <t xml:space="preserve">Price </t>
        </is>
      </c>
      <c r="Q36" s="1010" t="inlineStr">
        <is>
          <t xml:space="preserve">Sqft per Roll </t>
        </is>
      </c>
      <c r="R36" s="1010" t="inlineStr">
        <is>
          <t xml:space="preserve">$ per Sqft </t>
        </is>
      </c>
      <c r="S36" s="1411" t="inlineStr">
        <is>
          <t>($ per 10-2024)</t>
        </is>
      </c>
      <c r="AY36" s="2193" t="n">
        <v>27000</v>
      </c>
      <c r="AZ36" s="2193" t="n"/>
      <c r="BA36" s="2193" t="n"/>
      <c r="BB36" s="2193">
        <f>AY36</f>
        <v/>
      </c>
      <c r="BC36" s="2193" t="n"/>
      <c r="BD36" s="2193" t="n"/>
      <c r="BE36" s="2193">
        <f>AY36+BB36</f>
        <v/>
      </c>
      <c r="BF36" s="2193" t="n"/>
      <c r="BG36" s="2193" t="n"/>
      <c r="BH36" s="2193">
        <f>BE36</f>
        <v/>
      </c>
      <c r="BI36" s="1051">
        <f>IF(AY36&lt;=#REF!,#REF!,IF(AY36&lt;=#REF!,#REF!,IF(AY36&lt;=#REF!,#REF!,IF(AY36&lt;=#REF!,#REF!,IF(AY36&lt;=#REF!,#REF!,IF(AY36&lt;=#REF!,#REF!,IF(AY36&lt;=#REF!,#REF!,0.05)))))))</f>
        <v/>
      </c>
      <c r="BJ36" s="2193">
        <f>BI36*AY36</f>
        <v/>
      </c>
      <c r="BK36" s="1051" t="n"/>
      <c r="BL36" s="1051">
        <f>IF(BB36&lt;=#REF!,#REF!,IF(BB36&lt;=#REF!,#REF!,IF(BB36&lt;=#REF!,#REF!,IF(BB36&lt;=#REF!,#REF!,IF(BB36&lt;=#REF!,#REF!,IF(BB36&lt;=#REF!,#REF!,IF(BB36&lt;=#REF!,#REF!,0.05)))))))</f>
        <v/>
      </c>
      <c r="BM36" s="2193">
        <f>BL36*BB36</f>
        <v/>
      </c>
      <c r="BN36" s="1051" t="n"/>
      <c r="BO36" s="1051">
        <f>IF(BE36&lt;=#REF!,#REF!,IF(BE36&lt;=#REF!,#REF!,IF(BE36&lt;=#REF!,#REF!,IF(BE36&lt;=#REF!,#REF!,IF(BE36&lt;=#REF!,#REF!,IF(BE36&lt;=#REF!,#REF!,IF(BE36&lt;=#REF!,#REF!,0.05)))))))</f>
        <v/>
      </c>
      <c r="BP36" s="2193">
        <f>BO36*SUM(BM36,BJ36,BE36)</f>
        <v/>
      </c>
      <c r="BQ36" s="1051" t="n"/>
      <c r="BR36" s="2194">
        <f>IF(BH36&lt;=#REF!,#REF!,IF(BH36&lt;=#REF!,#REF!,IF(BH36&lt;=#REF!,#REF!,IF(BH36&lt;=#REF!,#REF!,IF(BH36&lt;=#REF!,#REF!,IF(BH36&lt;=#REF!,#REF!,IF(BH36&lt;=#REF!,#REF!,0.05)))))))</f>
        <v/>
      </c>
      <c r="BS36" s="2193">
        <f>BR36*BH36</f>
        <v/>
      </c>
      <c r="BU36" s="1932">
        <f>0.07*SUM(BE36,BJ36,BM36,BP36,BS36)</f>
        <v/>
      </c>
      <c r="BW36" s="1932">
        <f>SUM(BU36,BS36,BP36,BM36,BJ36,BE36)</f>
        <v/>
      </c>
      <c r="BX36" s="1933">
        <f>SUM(BS36,BP36,BM36,BJ36)</f>
        <v/>
      </c>
      <c r="BY36" s="1051">
        <f>BX36/BW36</f>
        <v/>
      </c>
      <c r="CO36" s="2193" t="n">
        <v>27000</v>
      </c>
      <c r="CP36" s="2193" t="n"/>
      <c r="CQ36" s="2193" t="n"/>
      <c r="CR36" s="2193">
        <f>CO36</f>
        <v/>
      </c>
      <c r="CS36" s="2193" t="n"/>
      <c r="CT36" s="2193" t="n"/>
      <c r="CU36" s="2193">
        <f>CO36+CR36</f>
        <v/>
      </c>
      <c r="CV36" s="2193" t="n"/>
      <c r="CW36" s="2193" t="n"/>
      <c r="CX36" s="2193">
        <f>CU36</f>
        <v/>
      </c>
      <c r="CY36" s="1051">
        <f>IF(CO36&lt;=BQ$6,BP$6,IF(CO36&lt;=BQ$7,BP$7,IF(CO36&lt;=BQ$8,BP$8,IF(CO36&lt;=BQ$9,BP$9,IF(CO36&lt;=BQ$14,BP$14,IF(CO36&lt;=BQ$15,BP$15,IF(CO36&lt;=BQ$16,BP$16,0.05)))))))</f>
        <v/>
      </c>
      <c r="CZ36" s="2193">
        <f>CY36*CO36</f>
        <v/>
      </c>
      <c r="DA36" s="1051" t="n"/>
      <c r="DB36" s="1051">
        <f>IF(CR36&lt;=BT$6,BS$6,IF(CR36&lt;=BT$7,BS$7,IF(CR36&lt;=BT$8,BS$8,IF(CR36&lt;=BT$9,BS$9,IF(CR36&lt;=BT$14,BS$14,IF(CR36&lt;=BT$15,BS$15,IF(CR36&lt;=BT$16,BS$16,0.05)))))))</f>
        <v/>
      </c>
      <c r="DC36" s="2193">
        <f>DB36*CR36</f>
        <v/>
      </c>
      <c r="DD36" s="1051" t="n"/>
      <c r="DE36" s="1051">
        <f>IF(CU36&lt;=BW$6,BV$6,IF(CU36&lt;=BW$7,BV$7,IF(CU36&lt;=BW$8,BV$8,IF(CU36&lt;=BW$9,BV$9,IF(CU36&lt;=BW$14,BV$14,IF(CU36&lt;=BW$15,BV$15,IF(CU36&lt;=BW$16,BV$16,0.05)))))))</f>
        <v/>
      </c>
      <c r="DF36" s="2193">
        <f>DE36*SUM(DC36,CZ36,CU36)</f>
        <v/>
      </c>
      <c r="DG36" s="1051" t="n"/>
      <c r="DH36" s="2194">
        <f>IF(CX36&lt;=BZ$6,BY$6,IF(CX36&lt;=BZ$7,BY$7,IF(CX36&lt;=BZ$8,BY$8,IF(CX36&lt;=BZ$9,BY$9,IF(CX36&lt;=BZ$14,BY$14,IF(CX36&lt;=BZ$15,BY$15,IF(CX36&lt;=BZ$16,BY$16,0.05)))))))</f>
        <v/>
      </c>
      <c r="DI36" s="2193">
        <f>DH36*CX36</f>
        <v/>
      </c>
      <c r="DK36" s="1932">
        <f>0.07*SUM(CU36,CZ36,DC36,DF36,DI36)</f>
        <v/>
      </c>
      <c r="DM36" s="1932">
        <f>SUM(DK36,DI36,DF36,DC36,CZ36,CU36)</f>
        <v/>
      </c>
      <c r="DN36" s="1933">
        <f>SUM(DI36,DF36,DC36,CZ36)</f>
        <v/>
      </c>
      <c r="DO36" s="1051">
        <f>DN36/DM36</f>
        <v/>
      </c>
    </row>
    <row r="37" customFormat="1" s="585">
      <c r="A37" s="688" t="n"/>
      <c r="B37" s="2229" t="n"/>
      <c r="C37" s="2230" t="n"/>
      <c r="D37" s="1985" t="n"/>
      <c r="E37" s="1986">
        <f>B37*D37</f>
        <v/>
      </c>
      <c r="F37" s="600" t="n"/>
      <c r="G37" s="600" t="n"/>
      <c r="H37" s="714" t="inlineStr">
        <is>
          <t>[280 = USG 1/8"]</t>
        </is>
      </c>
      <c r="I37" s="1617" t="inlineStr">
        <is>
          <t>[Formulated = 448]</t>
        </is>
      </c>
      <c r="K37" s="633" t="inlineStr">
        <is>
          <t>shipping on mat,primr,iso,tape = 10%</t>
        </is>
      </c>
      <c r="L37" s="2127">
        <f>(ROUNDUP(((SUM(E27:E31,IF(B36&lt;448,(SUM(E35:E37)),0)))*D40),0))</f>
        <v/>
      </c>
      <c r="M37" s="585" t="inlineStr">
        <is>
          <t>159k vs 159,300 Hard Surfaces</t>
        </is>
      </c>
      <c r="N37" s="1947" t="inlineStr">
        <is>
          <t>1/8"</t>
        </is>
      </c>
      <c r="O37" s="1012" t="inlineStr">
        <is>
          <t>SAM-N12   (1/8")</t>
        </is>
      </c>
      <c r="P37" s="2231">
        <f>Q37*R37</f>
        <v/>
      </c>
      <c r="Q37" s="1014" t="n">
        <v>494</v>
      </c>
      <c r="R37" s="2232" t="n">
        <v>0.48</v>
      </c>
      <c r="S37" s="2223" t="inlineStr">
        <is>
          <t>Bag Price (2500)</t>
        </is>
      </c>
      <c r="T37" s="2135" t="n">
        <v>14.08</v>
      </c>
      <c r="U37" s="1519" t="inlineStr">
        <is>
          <t>-or- (3500)</t>
        </is>
      </c>
      <c r="V37" s="1928" t="n">
        <v>18.6</v>
      </c>
      <c r="AY37" s="2193" t="n">
        <v>28000</v>
      </c>
      <c r="AZ37" s="2193" t="n"/>
      <c r="BA37" s="2193" t="n"/>
      <c r="BB37" s="2193">
        <f>AY37</f>
        <v/>
      </c>
      <c r="BC37" s="2193" t="n"/>
      <c r="BD37" s="2193" t="n"/>
      <c r="BE37" s="2193">
        <f>AY37+BB37</f>
        <v/>
      </c>
      <c r="BF37" s="2193" t="n"/>
      <c r="BG37" s="2193" t="n"/>
      <c r="BH37" s="2193">
        <f>BE37</f>
        <v/>
      </c>
      <c r="BI37" s="1051">
        <f>IF(AY37&lt;=#REF!,#REF!,IF(AY37&lt;=#REF!,#REF!,IF(AY37&lt;=#REF!,#REF!,IF(AY37&lt;=#REF!,#REF!,IF(AY37&lt;=#REF!,#REF!,IF(AY37&lt;=#REF!,#REF!,IF(AY37&lt;=#REF!,#REF!,0.05)))))))</f>
        <v/>
      </c>
      <c r="BJ37" s="2193">
        <f>BI37*AY37</f>
        <v/>
      </c>
      <c r="BK37" s="1051" t="n"/>
      <c r="BL37" s="1051">
        <f>IF(BB37&lt;=#REF!,#REF!,IF(BB37&lt;=#REF!,#REF!,IF(BB37&lt;=#REF!,#REF!,IF(BB37&lt;=#REF!,#REF!,IF(BB37&lt;=#REF!,#REF!,IF(BB37&lt;=#REF!,#REF!,IF(BB37&lt;=#REF!,#REF!,0.05)))))))</f>
        <v/>
      </c>
      <c r="BM37" s="2193">
        <f>BL37*BB37</f>
        <v/>
      </c>
      <c r="BN37" s="1051" t="n"/>
      <c r="BO37" s="1051">
        <f>IF(BE37&lt;=#REF!,#REF!,IF(BE37&lt;=#REF!,#REF!,IF(BE37&lt;=#REF!,#REF!,IF(BE37&lt;=#REF!,#REF!,IF(BE37&lt;=#REF!,#REF!,IF(BE37&lt;=#REF!,#REF!,IF(BE37&lt;=#REF!,#REF!,0.05)))))))</f>
        <v/>
      </c>
      <c r="BP37" s="2193">
        <f>BO37*SUM(BM37,BJ37,BE37)</f>
        <v/>
      </c>
      <c r="BQ37" s="1051" t="n"/>
      <c r="BR37" s="2194">
        <f>IF(BH37&lt;=#REF!,#REF!,IF(BH37&lt;=#REF!,#REF!,IF(BH37&lt;=#REF!,#REF!,IF(BH37&lt;=#REF!,#REF!,IF(BH37&lt;=#REF!,#REF!,IF(BH37&lt;=#REF!,#REF!,IF(BH37&lt;=#REF!,#REF!,0.05)))))))</f>
        <v/>
      </c>
      <c r="BS37" s="2193">
        <f>BR37*BH37</f>
        <v/>
      </c>
      <c r="BU37" s="1932">
        <f>0.07*SUM(BE37,BJ37,BM37,BP37,BS37)</f>
        <v/>
      </c>
      <c r="BW37" s="1932">
        <f>SUM(BU37,BS37,BP37,BM37,BJ37,BE37)</f>
        <v/>
      </c>
      <c r="BX37" s="1933">
        <f>SUM(BS37,BP37,BM37,BJ37)</f>
        <v/>
      </c>
      <c r="BY37" s="1051">
        <f>BX37/BW37</f>
        <v/>
      </c>
      <c r="CO37" s="2193" t="n">
        <v>28000</v>
      </c>
      <c r="CP37" s="2193" t="n"/>
      <c r="CQ37" s="2193" t="n"/>
      <c r="CR37" s="2193">
        <f>CO37</f>
        <v/>
      </c>
      <c r="CS37" s="2193" t="n"/>
      <c r="CT37" s="2193" t="n"/>
      <c r="CU37" s="2193">
        <f>CO37+CR37</f>
        <v/>
      </c>
      <c r="CV37" s="2193" t="n"/>
      <c r="CW37" s="2193" t="n"/>
      <c r="CX37" s="2193">
        <f>CU37</f>
        <v/>
      </c>
      <c r="CY37" s="1051">
        <f>IF(CO37&lt;=BQ$6,BP$6,IF(CO37&lt;=BQ$7,BP$7,IF(CO37&lt;=BQ$8,BP$8,IF(CO37&lt;=BQ$9,BP$9,IF(CO37&lt;=BQ$14,BP$14,IF(CO37&lt;=BQ$15,BP$15,IF(CO37&lt;=BQ$16,BP$16,0.05)))))))</f>
        <v/>
      </c>
      <c r="CZ37" s="2193">
        <f>CY37*CO37</f>
        <v/>
      </c>
      <c r="DA37" s="1051" t="n"/>
      <c r="DB37" s="1051">
        <f>IF(CR37&lt;=BT$6,BS$6,IF(CR37&lt;=BT$7,BS$7,IF(CR37&lt;=BT$8,BS$8,IF(CR37&lt;=BT$9,BS$9,IF(CR37&lt;=BT$14,BS$14,IF(CR37&lt;=BT$15,BS$15,IF(CR37&lt;=BT$16,BS$16,0.05)))))))</f>
        <v/>
      </c>
      <c r="DC37" s="2193">
        <f>DB37*CR37</f>
        <v/>
      </c>
      <c r="DD37" s="1051" t="n"/>
      <c r="DE37" s="1051">
        <f>IF(CU37&lt;=BW$6,BV$6,IF(CU37&lt;=BW$7,BV$7,IF(CU37&lt;=BW$8,BV$8,IF(CU37&lt;=BW$9,BV$9,IF(CU37&lt;=BW$14,BV$14,IF(CU37&lt;=BW$15,BV$15,IF(CU37&lt;=BW$16,BV$16,0.05)))))))</f>
        <v/>
      </c>
      <c r="DF37" s="2193">
        <f>DE37*SUM(DC37,CZ37,CU37)</f>
        <v/>
      </c>
      <c r="DG37" s="1051" t="n"/>
      <c r="DH37" s="2194">
        <f>IF(CX37&lt;=BZ$6,BY$6,IF(CX37&lt;=BZ$7,BY$7,IF(CX37&lt;=BZ$8,BY$8,IF(CX37&lt;=BZ$9,BY$9,IF(CX37&lt;=BZ$14,BY$14,IF(CX37&lt;=BZ$15,BY$15,IF(CX37&lt;=BZ$16,BY$16,0.05)))))))</f>
        <v/>
      </c>
      <c r="DI37" s="2193">
        <f>DH37*CX37</f>
        <v/>
      </c>
      <c r="DK37" s="1932">
        <f>0.07*SUM(CU37,CZ37,DC37,DF37,DI37)</f>
        <v/>
      </c>
      <c r="DM37" s="1932">
        <f>SUM(DK37,DI37,DF37,DC37,CZ37,CU37)</f>
        <v/>
      </c>
      <c r="DN37" s="1933">
        <f>SUM(DI37,DF37,DC37,CZ37)</f>
        <v/>
      </c>
      <c r="DO37" s="1051">
        <f>DN37/DM37</f>
        <v/>
      </c>
    </row>
    <row r="38" ht="16.05" customFormat="1" customHeight="1" s="585">
      <c r="A38" s="1783" t="inlineStr">
        <is>
          <t>Material Sub Total</t>
        </is>
      </c>
      <c r="B38" s="1533" t="n"/>
      <c r="C38" s="2166" t="n"/>
      <c r="D38" s="2166" t="n"/>
      <c r="E38" s="1987">
        <f>ROUNDUP(SUM(E20:E37),0)</f>
        <v/>
      </c>
      <c r="F38" s="600" t="n"/>
      <c r="G38" s="600" t="n"/>
      <c r="H38" s="714" t="inlineStr">
        <is>
          <t>[208 = USG 1/4" +]</t>
        </is>
      </c>
      <c r="I38" s="793" t="inlineStr">
        <is>
          <t>[260 = USG 3/16"]</t>
        </is>
      </c>
      <c r="K38" s="633" t="inlineStr">
        <is>
          <t>combined=</t>
        </is>
      </c>
      <c r="L38" s="2135">
        <f>SUM(L36:L37)</f>
        <v/>
      </c>
      <c r="N38" s="1947" t="inlineStr">
        <is>
          <t>1/4"</t>
        </is>
      </c>
      <c r="O38" s="1016" t="inlineStr">
        <is>
          <t>SAM-N25   (1/4")</t>
        </is>
      </c>
      <c r="P38" s="2233">
        <f>Q38*R38</f>
        <v/>
      </c>
      <c r="Q38" s="1018" t="n">
        <v>445</v>
      </c>
      <c r="R38" s="2234" t="n">
        <v>0.55</v>
      </c>
      <c r="S38" s="633" t="inlineStr">
        <is>
          <t>Wood Primer</t>
        </is>
      </c>
      <c r="T38" s="2235">
        <f>108/5</f>
        <v/>
      </c>
      <c r="U38" s="585" t="inlineStr">
        <is>
          <t xml:space="preserve">($108 /5 gal) -or- ($891 /Drum </t>
        </is>
      </c>
      <c r="W38" s="840" t="inlineStr">
        <is>
          <t>x gallons ???)</t>
        </is>
      </c>
      <c r="AY38" s="2193" t="n">
        <v>29000</v>
      </c>
      <c r="AZ38" s="2193" t="n"/>
      <c r="BA38" s="2193" t="n"/>
      <c r="BB38" s="2193">
        <f>AY38</f>
        <v/>
      </c>
      <c r="BC38" s="2193" t="n"/>
      <c r="BD38" s="2193" t="n"/>
      <c r="BE38" s="2193">
        <f>AY38+BB38</f>
        <v/>
      </c>
      <c r="BF38" s="2193" t="n"/>
      <c r="BG38" s="2193" t="n"/>
      <c r="BH38" s="2193">
        <f>BE38</f>
        <v/>
      </c>
      <c r="BI38" s="1051">
        <f>IF(AY38&lt;=#REF!,#REF!,IF(AY38&lt;=#REF!,#REF!,IF(AY38&lt;=#REF!,#REF!,IF(AY38&lt;=#REF!,#REF!,IF(AY38&lt;=#REF!,#REF!,IF(AY38&lt;=#REF!,#REF!,IF(AY38&lt;=#REF!,#REF!,0.05)))))))</f>
        <v/>
      </c>
      <c r="BJ38" s="2193">
        <f>BI38*AY38</f>
        <v/>
      </c>
      <c r="BK38" s="1051" t="n"/>
      <c r="BL38" s="1051">
        <f>IF(BB38&lt;=#REF!,#REF!,IF(BB38&lt;=#REF!,#REF!,IF(BB38&lt;=#REF!,#REF!,IF(BB38&lt;=#REF!,#REF!,IF(BB38&lt;=#REF!,#REF!,IF(BB38&lt;=#REF!,#REF!,IF(BB38&lt;=#REF!,#REF!,0.05)))))))</f>
        <v/>
      </c>
      <c r="BM38" s="2193">
        <f>BL38*BB38</f>
        <v/>
      </c>
      <c r="BN38" s="1051" t="n"/>
      <c r="BO38" s="1051">
        <f>IF(BE38&lt;=#REF!,#REF!,IF(BE38&lt;=#REF!,#REF!,IF(BE38&lt;=#REF!,#REF!,IF(BE38&lt;=#REF!,#REF!,IF(BE38&lt;=#REF!,#REF!,IF(BE38&lt;=#REF!,#REF!,IF(BE38&lt;=#REF!,#REF!,0.05)))))))</f>
        <v/>
      </c>
      <c r="BP38" s="2193">
        <f>BO38*SUM(BM38,BJ38,BE38)</f>
        <v/>
      </c>
      <c r="BQ38" s="1051" t="n"/>
      <c r="BR38" s="2194">
        <f>IF(BH38&lt;=#REF!,#REF!,IF(BH38&lt;=#REF!,#REF!,IF(BH38&lt;=#REF!,#REF!,IF(BH38&lt;=#REF!,#REF!,IF(BH38&lt;=#REF!,#REF!,IF(BH38&lt;=#REF!,#REF!,IF(BH38&lt;=#REF!,#REF!,0.05)))))))</f>
        <v/>
      </c>
      <c r="BS38" s="2193">
        <f>BR38*BH38</f>
        <v/>
      </c>
      <c r="BU38" s="1932">
        <f>0.07*SUM(BE38,BJ38,BM38,BP38,BS38)</f>
        <v/>
      </c>
      <c r="BW38" s="1932">
        <f>SUM(BU38,BS38,BP38,BM38,BJ38,BE38)</f>
        <v/>
      </c>
      <c r="BX38" s="1933">
        <f>SUM(BS38,BP38,BM38,BJ38)</f>
        <v/>
      </c>
      <c r="BY38" s="1051">
        <f>BX38/BW38</f>
        <v/>
      </c>
      <c r="CO38" s="2193" t="n">
        <v>29000</v>
      </c>
      <c r="CP38" s="2193" t="n"/>
      <c r="CQ38" s="2193" t="n"/>
      <c r="CR38" s="2193">
        <f>CO38</f>
        <v/>
      </c>
      <c r="CS38" s="2193" t="n"/>
      <c r="CT38" s="2193" t="n"/>
      <c r="CU38" s="2193">
        <f>CO38+CR38</f>
        <v/>
      </c>
      <c r="CV38" s="2193" t="n"/>
      <c r="CW38" s="2193" t="n"/>
      <c r="CX38" s="2193">
        <f>CU38</f>
        <v/>
      </c>
      <c r="CY38" s="1051">
        <f>IF(CO38&lt;=BQ$6,BP$6,IF(CO38&lt;=BQ$7,BP$7,IF(CO38&lt;=BQ$8,BP$8,IF(CO38&lt;=BQ$9,BP$9,IF(CO38&lt;=BQ$14,BP$14,IF(CO38&lt;=BQ$15,BP$15,IF(CO38&lt;=BQ$16,BP$16,0.05)))))))</f>
        <v/>
      </c>
      <c r="CZ38" s="2193">
        <f>CY38*CO38</f>
        <v/>
      </c>
      <c r="DA38" s="1051" t="n"/>
      <c r="DB38" s="1051">
        <f>IF(CR38&lt;=BT$6,BS$6,IF(CR38&lt;=BT$7,BS$7,IF(CR38&lt;=BT$8,BS$8,IF(CR38&lt;=BT$9,BS$9,IF(CR38&lt;=BT$14,BS$14,IF(CR38&lt;=BT$15,BS$15,IF(CR38&lt;=BT$16,BS$16,0.05)))))))</f>
        <v/>
      </c>
      <c r="DC38" s="2193">
        <f>DB38*CR38</f>
        <v/>
      </c>
      <c r="DD38" s="1051" t="n"/>
      <c r="DE38" s="1051">
        <f>IF(CU38&lt;=BW$6,BV$6,IF(CU38&lt;=BW$7,BV$7,IF(CU38&lt;=BW$8,BV$8,IF(CU38&lt;=BW$9,BV$9,IF(CU38&lt;=BW$14,BV$14,IF(CU38&lt;=BW$15,BV$15,IF(CU38&lt;=BW$16,BV$16,0.05)))))))</f>
        <v/>
      </c>
      <c r="DF38" s="2193">
        <f>DE38*SUM(DC38,CZ38,CU38)</f>
        <v/>
      </c>
      <c r="DG38" s="1051" t="n"/>
      <c r="DH38" s="2194">
        <f>IF(CX38&lt;=BZ$6,BY$6,IF(CX38&lt;=BZ$7,BY$7,IF(CX38&lt;=BZ$8,BY$8,IF(CX38&lt;=BZ$9,BY$9,IF(CX38&lt;=BZ$14,BY$14,IF(CX38&lt;=BZ$15,BY$15,IF(CX38&lt;=BZ$16,BY$16,0.05)))))))</f>
        <v/>
      </c>
      <c r="DI38" s="2193">
        <f>DH38*CX38</f>
        <v/>
      </c>
      <c r="DK38" s="1932">
        <f>0.07*SUM(CU38,CZ38,DC38,DF38,DI38)</f>
        <v/>
      </c>
      <c r="DM38" s="1932">
        <f>SUM(DK38,DI38,DF38,DC38,CZ38,CU38)</f>
        <v/>
      </c>
      <c r="DN38" s="1933">
        <f>SUM(DI38,DF38,DC38,CZ38)</f>
        <v/>
      </c>
      <c r="DO38" s="1051">
        <f>DN38/DM38</f>
        <v/>
      </c>
    </row>
    <row r="39" customFormat="1" s="585">
      <c r="A39" s="1418" t="inlineStr">
        <is>
          <t>Material Escalation</t>
        </is>
      </c>
      <c r="B39" s="1417" t="n">
        <v>0.08</v>
      </c>
      <c r="C39" s="2236" t="n"/>
      <c r="D39" s="2237" t="n"/>
      <c r="E39" s="2238">
        <f>ROUNDUP(SUM(E23:E31,E35:E37)*B39,0)</f>
        <v/>
      </c>
      <c r="F39" s="1416" t="inlineStr">
        <is>
          <t>escalation for gyp, extras + mat</t>
        </is>
      </c>
      <c r="G39" s="600" t="n"/>
      <c r="H39" s="1876" t="n"/>
      <c r="K39" s="674" t="inlineStr">
        <is>
          <t>(**none on sand**)</t>
        </is>
      </c>
      <c r="L39" s="700" t="n"/>
      <c r="M39" s="700" t="n"/>
      <c r="N39" s="1947" t="inlineStr">
        <is>
          <t>3/8"</t>
        </is>
      </c>
      <c r="O39" s="1020" t="inlineStr">
        <is>
          <t>SAM-N40    (3/8")</t>
        </is>
      </c>
      <c r="P39" s="2239">
        <f>Q39*R39</f>
        <v/>
      </c>
      <c r="Q39" s="1021" t="n">
        <v>330</v>
      </c>
      <c r="R39" s="2240" t="n">
        <v>0.65</v>
      </c>
      <c r="S39" s="633" t="inlineStr">
        <is>
          <t>Iso</t>
        </is>
      </c>
      <c r="T39" s="2235" t="n">
        <v>25</v>
      </c>
      <c r="U39" s="840" t="inlineStr">
        <is>
          <t>ISO ??? Which one ??</t>
        </is>
      </c>
      <c r="V39" s="840" t="n"/>
      <c r="AY39" s="2193" t="n">
        <v>30000</v>
      </c>
      <c r="AZ39" s="2193" t="n"/>
      <c r="BA39" s="2193" t="n"/>
      <c r="BB39" s="2193">
        <f>AY39</f>
        <v/>
      </c>
      <c r="BC39" s="2193" t="n"/>
      <c r="BD39" s="2193" t="n"/>
      <c r="BE39" s="2193">
        <f>AY39+BB39</f>
        <v/>
      </c>
      <c r="BF39" s="2193" t="n"/>
      <c r="BG39" s="2193" t="n"/>
      <c r="BH39" s="2193">
        <f>BE39</f>
        <v/>
      </c>
      <c r="BI39" s="1051">
        <f>IF(AY39&lt;=#REF!,#REF!,IF(AY39&lt;=#REF!,#REF!,IF(AY39&lt;=#REF!,#REF!,IF(AY39&lt;=#REF!,#REF!,IF(AY39&lt;=#REF!,#REF!,IF(AY39&lt;=#REF!,#REF!,IF(AY39&lt;=#REF!,#REF!,0.05)))))))</f>
        <v/>
      </c>
      <c r="BJ39" s="2193">
        <f>BI39*AY39</f>
        <v/>
      </c>
      <c r="BK39" s="1051" t="n"/>
      <c r="BL39" s="1051">
        <f>IF(BB39&lt;=#REF!,#REF!,IF(BB39&lt;=#REF!,#REF!,IF(BB39&lt;=#REF!,#REF!,IF(BB39&lt;=#REF!,#REF!,IF(BB39&lt;=#REF!,#REF!,IF(BB39&lt;=#REF!,#REF!,IF(BB39&lt;=#REF!,#REF!,0.05)))))))</f>
        <v/>
      </c>
      <c r="BM39" s="2193">
        <f>BL39*BB39</f>
        <v/>
      </c>
      <c r="BN39" s="1051" t="n"/>
      <c r="BO39" s="1051">
        <f>IF(BE39&lt;=#REF!,#REF!,IF(BE39&lt;=#REF!,#REF!,IF(BE39&lt;=#REF!,#REF!,IF(BE39&lt;=#REF!,#REF!,IF(BE39&lt;=#REF!,#REF!,IF(BE39&lt;=#REF!,#REF!,IF(BE39&lt;=#REF!,#REF!,0.05)))))))</f>
        <v/>
      </c>
      <c r="BP39" s="2193">
        <f>BO39*SUM(BM39,BJ39,BE39)</f>
        <v/>
      </c>
      <c r="BQ39" s="1051" t="n"/>
      <c r="BR39" s="2194">
        <f>IF(BH39&lt;=#REF!,#REF!,IF(BH39&lt;=#REF!,#REF!,IF(BH39&lt;=#REF!,#REF!,IF(BH39&lt;=#REF!,#REF!,IF(BH39&lt;=#REF!,#REF!,IF(BH39&lt;=#REF!,#REF!,IF(BH39&lt;=#REF!,#REF!,0.05)))))))</f>
        <v/>
      </c>
      <c r="BS39" s="2193">
        <f>BR39*BH39</f>
        <v/>
      </c>
      <c r="BU39" s="1932">
        <f>0.07*SUM(BE39,BJ39,BM39,BP39,BS39)</f>
        <v/>
      </c>
      <c r="BW39" s="1932">
        <f>SUM(BU39,BS39,BP39,BM39,BJ39,BE39)</f>
        <v/>
      </c>
      <c r="BX39" s="1933">
        <f>SUM(BS39,BP39,BM39,BJ39)</f>
        <v/>
      </c>
      <c r="BY39" s="1051">
        <f>BX39/BW39</f>
        <v/>
      </c>
      <c r="CO39" s="2193" t="n">
        <v>30000</v>
      </c>
      <c r="CP39" s="2193" t="n"/>
      <c r="CQ39" s="2193" t="n"/>
      <c r="CR39" s="2193">
        <f>CO39</f>
        <v/>
      </c>
      <c r="CS39" s="2193" t="n"/>
      <c r="CT39" s="2193" t="n"/>
      <c r="CU39" s="2193">
        <f>CO39+CR39</f>
        <v/>
      </c>
      <c r="CV39" s="2193" t="n"/>
      <c r="CW39" s="2193" t="n"/>
      <c r="CX39" s="2193">
        <f>CU39</f>
        <v/>
      </c>
      <c r="CY39" s="1051">
        <f>IF(CO39&lt;=BQ$6,BP$6,IF(CO39&lt;=BQ$7,BP$7,IF(CO39&lt;=BQ$8,BP$8,IF(CO39&lt;=BQ$9,BP$9,IF(CO39&lt;=BQ$14,BP$14,IF(CO39&lt;=BQ$15,BP$15,IF(CO39&lt;=BQ$16,BP$16,0.05)))))))</f>
        <v/>
      </c>
      <c r="CZ39" s="2193">
        <f>CY39*CO39</f>
        <v/>
      </c>
      <c r="DA39" s="1051" t="n"/>
      <c r="DB39" s="1051">
        <f>IF(CR39&lt;=BT$6,BS$6,IF(CR39&lt;=BT$7,BS$7,IF(CR39&lt;=BT$8,BS$8,IF(CR39&lt;=BT$9,BS$9,IF(CR39&lt;=BT$14,BS$14,IF(CR39&lt;=BT$15,BS$15,IF(CR39&lt;=BT$16,BS$16,0.05)))))))</f>
        <v/>
      </c>
      <c r="DC39" s="2193">
        <f>DB39*CR39</f>
        <v/>
      </c>
      <c r="DD39" s="1051" t="n"/>
      <c r="DE39" s="1051">
        <f>IF(CU39&lt;=BW$6,BV$6,IF(CU39&lt;=BW$7,BV$7,IF(CU39&lt;=BW$8,BV$8,IF(CU39&lt;=BW$9,BV$9,IF(CU39&lt;=BW$14,BV$14,IF(CU39&lt;=BW$15,BV$15,IF(CU39&lt;=BW$16,BV$16,0.05)))))))</f>
        <v/>
      </c>
      <c r="DF39" s="2193">
        <f>DE39*SUM(DC39,CZ39,CU39)</f>
        <v/>
      </c>
      <c r="DG39" s="1051" t="n"/>
      <c r="DH39" s="2194">
        <f>IF(CX39&lt;=BZ$6,BY$6,IF(CX39&lt;=BZ$7,BY$7,IF(CX39&lt;=BZ$8,BY$8,IF(CX39&lt;=BZ$9,BY$9,IF(CX39&lt;=BZ$14,BY$14,IF(CX39&lt;=BZ$15,BY$15,IF(CX39&lt;=BZ$16,BY$16,0.05)))))))</f>
        <v/>
      </c>
      <c r="DI39" s="2193">
        <f>DH39*CX39</f>
        <v/>
      </c>
      <c r="DK39" s="1932">
        <f>0.07*SUM(CU39,CZ39,DC39,DF39,DI39)</f>
        <v/>
      </c>
      <c r="DM39" s="1932">
        <f>SUM(DK39,DI39,DF39,DC39,CZ39,CU39)</f>
        <v/>
      </c>
      <c r="DN39" s="1933">
        <f>SUM(DI39,DF39,DC39,CZ39)</f>
        <v/>
      </c>
      <c r="DO39" s="1051">
        <f>DN39/DM39</f>
        <v/>
      </c>
    </row>
    <row r="40" ht="16.2" customFormat="1" customHeight="1" s="585" thickBot="1">
      <c r="A40" s="701" t="inlineStr">
        <is>
          <t>Shipping On... Gyp Bags:</t>
        </is>
      </c>
      <c r="B40" s="1059" t="n">
        <v>0.2</v>
      </c>
      <c r="C40" s="1058" t="inlineStr">
        <is>
          <t>... Ship Other:</t>
        </is>
      </c>
      <c r="D40" s="1059" t="n">
        <v>0.1</v>
      </c>
      <c r="E40" s="2168">
        <f>(ROUNDUP(SUM(E20:E26)*B40,0))+(ROUNDUP(((SUM(E27:E31,IF(B36&lt;H36,(SUM(E35:E37)),0)))*D40),0))</f>
        <v/>
      </c>
      <c r="F40" s="1060" t="inlineStr">
        <is>
          <t>Shipping: 20% on gyp bags, 10% on primer, iso, tape, mat (none on sand)</t>
        </is>
      </c>
      <c r="G40" s="1061" t="n"/>
      <c r="H40" s="1062" t="n"/>
      <c r="I40" s="1023" t="inlineStr">
        <is>
          <t>Material Budget</t>
        </is>
      </c>
      <c r="J40" s="707" t="n"/>
      <c r="N40" s="2241" t="inlineStr">
        <is>
          <t>3/16"</t>
        </is>
      </c>
      <c r="O40" s="1641" t="inlineStr">
        <is>
          <t>SAM-N12 ULTRA  (3/16")</t>
        </is>
      </c>
      <c r="P40" s="2242">
        <f>Q40*R40</f>
        <v/>
      </c>
      <c r="Q40" s="1643" t="n">
        <v>369</v>
      </c>
      <c r="R40" s="2243" t="n">
        <v>0.64</v>
      </c>
      <c r="S40" s="874" t="n"/>
      <c r="T40" s="874" t="n"/>
      <c r="U40" s="874" t="n"/>
      <c r="V40" s="874" t="n"/>
      <c r="AY40" s="2193" t="n">
        <v>31000</v>
      </c>
      <c r="AZ40" s="2193" t="n"/>
      <c r="BA40" s="2193" t="n"/>
      <c r="BB40" s="2193">
        <f>AY40</f>
        <v/>
      </c>
      <c r="BC40" s="2193" t="n"/>
      <c r="BD40" s="2193" t="n"/>
      <c r="BE40" s="2193">
        <f>AY40+BB40</f>
        <v/>
      </c>
      <c r="BF40" s="2193" t="n"/>
      <c r="BG40" s="2193" t="n"/>
      <c r="BH40" s="2193">
        <f>BE40</f>
        <v/>
      </c>
      <c r="BI40" s="1051">
        <f>IF(AY40&lt;=#REF!,#REF!,IF(AY40&lt;=#REF!,#REF!,IF(AY40&lt;=#REF!,#REF!,IF(AY40&lt;=#REF!,#REF!,IF(AY40&lt;=#REF!,#REF!,IF(AY40&lt;=#REF!,#REF!,IF(AY40&lt;=#REF!,#REF!,0.05)))))))</f>
        <v/>
      </c>
      <c r="BJ40" s="2193">
        <f>BI40*AY40</f>
        <v/>
      </c>
      <c r="BK40" s="1051" t="n"/>
      <c r="BL40" s="1051">
        <f>IF(BB40&lt;=#REF!,#REF!,IF(BB40&lt;=#REF!,#REF!,IF(BB40&lt;=#REF!,#REF!,IF(BB40&lt;=#REF!,#REF!,IF(BB40&lt;=#REF!,#REF!,IF(BB40&lt;=#REF!,#REF!,IF(BB40&lt;=#REF!,#REF!,0.05)))))))</f>
        <v/>
      </c>
      <c r="BM40" s="2193">
        <f>BL40*BB40</f>
        <v/>
      </c>
      <c r="BN40" s="1051" t="n"/>
      <c r="BO40" s="1051">
        <f>IF(BE40&lt;=#REF!,#REF!,IF(BE40&lt;=#REF!,#REF!,IF(BE40&lt;=#REF!,#REF!,IF(BE40&lt;=#REF!,#REF!,IF(BE40&lt;=#REF!,#REF!,IF(BE40&lt;=#REF!,#REF!,IF(BE40&lt;=#REF!,#REF!,0.05)))))))</f>
        <v/>
      </c>
      <c r="BP40" s="2193">
        <f>BO40*SUM(BM40,BJ40,BE40)</f>
        <v/>
      </c>
      <c r="BQ40" s="1051" t="n"/>
      <c r="BR40" s="2194">
        <f>IF(BH40&lt;=#REF!,#REF!,IF(BH40&lt;=#REF!,#REF!,IF(BH40&lt;=#REF!,#REF!,IF(BH40&lt;=#REF!,#REF!,IF(BH40&lt;=#REF!,#REF!,IF(BH40&lt;=#REF!,#REF!,IF(BH40&lt;=#REF!,#REF!,0.05)))))))</f>
        <v/>
      </c>
      <c r="BS40" s="2193">
        <f>BR40*BH40</f>
        <v/>
      </c>
      <c r="BU40" s="1932">
        <f>0.07*SUM(BE40,BJ40,BM40,BP40,BS40)</f>
        <v/>
      </c>
      <c r="BW40" s="1932">
        <f>SUM(BU40,BS40,BP40,BM40,BJ40,BE40)</f>
        <v/>
      </c>
      <c r="BX40" s="1933">
        <f>SUM(BS40,BP40,BM40,BJ40)</f>
        <v/>
      </c>
      <c r="BY40" s="1051">
        <f>BX40/BW40</f>
        <v/>
      </c>
      <c r="CO40" s="2193" t="n">
        <v>31000</v>
      </c>
      <c r="CP40" s="2193" t="n"/>
      <c r="CQ40" s="2193" t="n"/>
      <c r="CR40" s="2193">
        <f>CO40</f>
        <v/>
      </c>
      <c r="CS40" s="2193" t="n"/>
      <c r="CT40" s="2193" t="n"/>
      <c r="CU40" s="2193">
        <f>CO40+CR40</f>
        <v/>
      </c>
      <c r="CV40" s="2193" t="n"/>
      <c r="CW40" s="2193" t="n"/>
      <c r="CX40" s="2193">
        <f>CU40</f>
        <v/>
      </c>
      <c r="CY40" s="1051">
        <f>IF(CO40&lt;=BQ$6,BP$6,IF(CO40&lt;=BQ$7,BP$7,IF(CO40&lt;=BQ$8,BP$8,IF(CO40&lt;=BQ$9,BP$9,IF(CO40&lt;=BQ$14,BP$14,IF(CO40&lt;=BQ$15,BP$15,IF(CO40&lt;=BQ$16,BP$16,0.05)))))))</f>
        <v/>
      </c>
      <c r="CZ40" s="2193">
        <f>CY40*CO40</f>
        <v/>
      </c>
      <c r="DA40" s="1051" t="n"/>
      <c r="DB40" s="1051">
        <f>IF(CR40&lt;=BT$6,BS$6,IF(CR40&lt;=BT$7,BS$7,IF(CR40&lt;=BT$8,BS$8,IF(CR40&lt;=BT$9,BS$9,IF(CR40&lt;=BT$14,BS$14,IF(CR40&lt;=BT$15,BS$15,IF(CR40&lt;=BT$16,BS$16,0.05)))))))</f>
        <v/>
      </c>
      <c r="DC40" s="2193">
        <f>DB40*CR40</f>
        <v/>
      </c>
      <c r="DD40" s="1051" t="n"/>
      <c r="DE40" s="1051">
        <f>IF(CU40&lt;=BW$6,BV$6,IF(CU40&lt;=BW$7,BV$7,IF(CU40&lt;=BW$8,BV$8,IF(CU40&lt;=BW$9,BV$9,IF(CU40&lt;=BW$14,BV$14,IF(CU40&lt;=BW$15,BV$15,IF(CU40&lt;=BW$16,BV$16,0.05)))))))</f>
        <v/>
      </c>
      <c r="DF40" s="2193">
        <f>DE40*SUM(DC40,CZ40,CU40)</f>
        <v/>
      </c>
      <c r="DG40" s="1051" t="n"/>
      <c r="DH40" s="2194">
        <f>IF(CX40&lt;=BZ$6,BY$6,IF(CX40&lt;=BZ$7,BY$7,IF(CX40&lt;=BZ$8,BY$8,IF(CX40&lt;=BZ$9,BY$9,IF(CX40&lt;=BZ$14,BY$14,IF(CX40&lt;=BZ$15,BY$15,IF(CX40&lt;=BZ$16,BY$16,0.05)))))))</f>
        <v/>
      </c>
      <c r="DI40" s="2193">
        <f>DH40*CX40</f>
        <v/>
      </c>
      <c r="DK40" s="1932">
        <f>0.07*SUM(CU40,CZ40,DC40,DF40,DI40)</f>
        <v/>
      </c>
      <c r="DM40" s="1932">
        <f>SUM(DK40,DI40,DF40,DC40,CZ40,CU40)</f>
        <v/>
      </c>
      <c r="DN40" s="1933">
        <f>SUM(DI40,DF40,DC40,CZ40)</f>
        <v/>
      </c>
      <c r="DO40" s="1051">
        <f>DN40/DM40</f>
        <v/>
      </c>
    </row>
    <row r="41" customFormat="1" s="585">
      <c r="A41" s="708" t="inlineStr">
        <is>
          <t>Material Total</t>
        </is>
      </c>
      <c r="B41" s="709" t="n"/>
      <c r="C41" s="1991" t="n"/>
      <c r="D41" s="1991" t="n"/>
      <c r="E41" s="1991">
        <f>SUM(E38:E40)</f>
        <v/>
      </c>
      <c r="F41" s="711">
        <f>E41/B43</f>
        <v/>
      </c>
      <c r="G41" s="712" t="inlineStr">
        <is>
          <t>Material $/SF</t>
        </is>
      </c>
      <c r="H41" s="1944" t="n"/>
      <c r="I41" s="1992">
        <f>E41</f>
        <v/>
      </c>
      <c r="J41" s="1051" t="n"/>
      <c r="K41" s="600" t="n"/>
      <c r="L41" s="600" t="n"/>
      <c r="N41" s="1840" t="n"/>
      <c r="O41" s="1840" t="inlineStr">
        <is>
          <t>GrassWorx $: 10/2026</t>
        </is>
      </c>
      <c r="P41" s="1010" t="inlineStr">
        <is>
          <t xml:space="preserve">Price </t>
        </is>
      </c>
      <c r="Q41" s="1010" t="inlineStr">
        <is>
          <t xml:space="preserve">Sqft per Roll </t>
        </is>
      </c>
      <c r="R41" s="1010" t="inlineStr">
        <is>
          <t xml:space="preserve">$ per Sqft </t>
        </is>
      </c>
      <c r="S41" s="1841" t="inlineStr">
        <is>
          <t>GrassWorx $: Oct 2026 (per email May 1, '26 from Tom Torello &lt;tom.torello@grassworxllc.com&gt; )</t>
        </is>
      </c>
      <c r="T41" s="1841" t="n"/>
      <c r="AY41" s="2193" t="n">
        <v>32000</v>
      </c>
      <c r="AZ41" s="2193" t="n"/>
      <c r="BA41" s="2193" t="n"/>
      <c r="BB41" s="2193">
        <f>AY41</f>
        <v/>
      </c>
      <c r="BC41" s="2193" t="n"/>
      <c r="BD41" s="2193" t="n"/>
      <c r="BE41" s="2193">
        <f>AY41+BB41</f>
        <v/>
      </c>
      <c r="BF41" s="2193" t="n"/>
      <c r="BG41" s="2193" t="n"/>
      <c r="BH41" s="2193">
        <f>BE41</f>
        <v/>
      </c>
      <c r="BI41" s="1051">
        <f>IF(AY41&lt;=#REF!,#REF!,IF(AY41&lt;=#REF!,#REF!,IF(AY41&lt;=#REF!,#REF!,IF(AY41&lt;=#REF!,#REF!,IF(AY41&lt;=#REF!,#REF!,IF(AY41&lt;=#REF!,#REF!,IF(AY41&lt;=#REF!,#REF!,0.05)))))))</f>
        <v/>
      </c>
      <c r="BJ41" s="2193">
        <f>BI41*AY41</f>
        <v/>
      </c>
      <c r="BK41" s="1051" t="n"/>
      <c r="BL41" s="1051">
        <f>IF(BB41&lt;=#REF!,#REF!,IF(BB41&lt;=#REF!,#REF!,IF(BB41&lt;=#REF!,#REF!,IF(BB41&lt;=#REF!,#REF!,IF(BB41&lt;=#REF!,#REF!,IF(BB41&lt;=#REF!,#REF!,IF(BB41&lt;=#REF!,#REF!,0.05)))))))</f>
        <v/>
      </c>
      <c r="BM41" s="2193">
        <f>BL41*BB41</f>
        <v/>
      </c>
      <c r="BN41" s="1051" t="n"/>
      <c r="BO41" s="1051">
        <f>IF(BE41&lt;=#REF!,#REF!,IF(BE41&lt;=#REF!,#REF!,IF(BE41&lt;=#REF!,#REF!,IF(BE41&lt;=#REF!,#REF!,IF(BE41&lt;=#REF!,#REF!,IF(BE41&lt;=#REF!,#REF!,IF(BE41&lt;=#REF!,#REF!,0.05)))))))</f>
        <v/>
      </c>
      <c r="BP41" s="2193">
        <f>BO41*SUM(BM41,BJ41,BE41)</f>
        <v/>
      </c>
      <c r="BQ41" s="1051" t="n"/>
      <c r="BR41" s="2194">
        <f>IF(BH41&lt;=#REF!,#REF!,IF(BH41&lt;=#REF!,#REF!,IF(BH41&lt;=#REF!,#REF!,IF(BH41&lt;=#REF!,#REF!,IF(BH41&lt;=#REF!,#REF!,IF(BH41&lt;=#REF!,#REF!,IF(BH41&lt;=#REF!,#REF!,0.05)))))))</f>
        <v/>
      </c>
      <c r="BS41" s="2193">
        <f>BR41*BH41</f>
        <v/>
      </c>
      <c r="BU41" s="1932">
        <f>0.07*SUM(BE41,BJ41,BM41,BP41,BS41)</f>
        <v/>
      </c>
      <c r="BW41" s="1932">
        <f>SUM(BU41,BS41,BP41,BM41,BJ41,BE41)</f>
        <v/>
      </c>
      <c r="BX41" s="1933">
        <f>SUM(BS41,BP41,BM41,BJ41)</f>
        <v/>
      </c>
      <c r="BY41" s="1051">
        <f>BX41/BW41</f>
        <v/>
      </c>
      <c r="CO41" s="2193" t="n">
        <v>32000</v>
      </c>
      <c r="CP41" s="2193" t="n"/>
      <c r="CQ41" s="2193" t="n"/>
      <c r="CR41" s="2193">
        <f>CO41</f>
        <v/>
      </c>
      <c r="CS41" s="2193" t="n"/>
      <c r="CT41" s="2193" t="n"/>
      <c r="CU41" s="2193">
        <f>CO41+CR41</f>
        <v/>
      </c>
      <c r="CV41" s="2193" t="n"/>
      <c r="CW41" s="2193" t="n"/>
      <c r="CX41" s="2193">
        <f>CU41</f>
        <v/>
      </c>
      <c r="CY41" s="1051">
        <f>IF(CO41&lt;=BQ$6,BP$6,IF(CO41&lt;=BQ$7,BP$7,IF(CO41&lt;=BQ$8,BP$8,IF(CO41&lt;=BQ$9,BP$9,IF(CO41&lt;=BQ$14,BP$14,IF(CO41&lt;=BQ$15,BP$15,IF(CO41&lt;=BQ$16,BP$16,0.05)))))))</f>
        <v/>
      </c>
      <c r="CZ41" s="2193">
        <f>CY41*CO41</f>
        <v/>
      </c>
      <c r="DA41" s="1051" t="n"/>
      <c r="DB41" s="1051">
        <f>IF(CR41&lt;=BT$6,BS$6,IF(CR41&lt;=BT$7,BS$7,IF(CR41&lt;=BT$8,BS$8,IF(CR41&lt;=BT$9,BS$9,IF(CR41&lt;=BT$14,BS$14,IF(CR41&lt;=BT$15,BS$15,IF(CR41&lt;=BT$16,BS$16,0.05)))))))</f>
        <v/>
      </c>
      <c r="DC41" s="2193">
        <f>DB41*CR41</f>
        <v/>
      </c>
      <c r="DD41" s="1051" t="n"/>
      <c r="DE41" s="1051">
        <f>IF(CU41&lt;=BW$6,BV$6,IF(CU41&lt;=BW$7,BV$7,IF(CU41&lt;=BW$8,BV$8,IF(CU41&lt;=BW$9,BV$9,IF(CU41&lt;=BW$14,BV$14,IF(CU41&lt;=BW$15,BV$15,IF(CU41&lt;=BW$16,BV$16,0.05)))))))</f>
        <v/>
      </c>
      <c r="DF41" s="2193">
        <f>DE41*SUM(DC41,CZ41,CU41)</f>
        <v/>
      </c>
      <c r="DG41" s="1051" t="n"/>
      <c r="DH41" s="2194">
        <f>IF(CX41&lt;=BZ$6,BY$6,IF(CX41&lt;=BZ$7,BY$7,IF(CX41&lt;=BZ$8,BY$8,IF(CX41&lt;=BZ$9,BY$9,IF(CX41&lt;=BZ$14,BY$14,IF(CX41&lt;=BZ$15,BY$15,IF(CX41&lt;=BZ$16,BY$16,0.05)))))))</f>
        <v/>
      </c>
      <c r="DI41" s="2193">
        <f>DH41*CX41</f>
        <v/>
      </c>
      <c r="DK41" s="1932">
        <f>0.07*SUM(CU41,CZ41,DC41,DF41,DI41)</f>
        <v/>
      </c>
      <c r="DM41" s="1932">
        <f>SUM(DK41,DI41,DF41,DC41,CZ41,CU41)</f>
        <v/>
      </c>
      <c r="DN41" s="1933">
        <f>SUM(DI41,DF41,DC41,CZ41)</f>
        <v/>
      </c>
      <c r="DO41" s="1051">
        <f>DN41/DM41</f>
        <v/>
      </c>
    </row>
    <row r="42" customFormat="1" s="585">
      <c r="A42" s="834" t="n"/>
      <c r="B42" s="1877" t="n"/>
      <c r="C42" s="1944" t="n"/>
      <c r="D42" s="1944" t="n"/>
      <c r="E42" s="1944" t="n"/>
      <c r="F42" s="600" t="n"/>
      <c r="H42" s="1024" t="n"/>
      <c r="I42" s="600" t="n"/>
      <c r="J42" s="600" t="n"/>
      <c r="N42" s="1947" t="inlineStr">
        <is>
          <t>1/8"</t>
        </is>
      </c>
      <c r="O42" s="1012" t="inlineStr">
        <is>
          <t>SC 190   (1/8")</t>
        </is>
      </c>
      <c r="P42" s="2231">
        <f>Q42*R42</f>
        <v/>
      </c>
      <c r="Q42" s="1014" t="n">
        <v>300</v>
      </c>
      <c r="R42" s="2244">
        <f>0.35+0.04</f>
        <v/>
      </c>
      <c r="S42" s="633" t="n"/>
      <c r="T42" s="2135" t="n"/>
      <c r="U42" s="2135" t="n"/>
      <c r="AY42" s="2193" t="n">
        <v>33000</v>
      </c>
      <c r="AZ42" s="2193" t="n"/>
      <c r="BA42" s="2193" t="n"/>
      <c r="BB42" s="2193">
        <f>AY42</f>
        <v/>
      </c>
      <c r="BC42" s="2193" t="n"/>
      <c r="BD42" s="2193" t="n"/>
      <c r="BE42" s="2193">
        <f>AY42+BB42</f>
        <v/>
      </c>
      <c r="BF42" s="2193" t="n"/>
      <c r="BG42" s="2193" t="n"/>
      <c r="BH42" s="2193">
        <f>BE42</f>
        <v/>
      </c>
      <c r="BI42" s="1051">
        <f>IF(AY42&lt;=#REF!,#REF!,IF(AY42&lt;=#REF!,#REF!,IF(AY42&lt;=#REF!,#REF!,IF(AY42&lt;=#REF!,#REF!,IF(AY42&lt;=#REF!,#REF!,IF(AY42&lt;=#REF!,#REF!,IF(AY42&lt;=#REF!,#REF!,0.05)))))))</f>
        <v/>
      </c>
      <c r="BJ42" s="2193">
        <f>BI42*AY42</f>
        <v/>
      </c>
      <c r="BK42" s="1051" t="n"/>
      <c r="BL42" s="1051">
        <f>IF(BB42&lt;=#REF!,#REF!,IF(BB42&lt;=#REF!,#REF!,IF(BB42&lt;=#REF!,#REF!,IF(BB42&lt;=#REF!,#REF!,IF(BB42&lt;=#REF!,#REF!,IF(BB42&lt;=#REF!,#REF!,IF(BB42&lt;=#REF!,#REF!,0.05)))))))</f>
        <v/>
      </c>
      <c r="BM42" s="2193">
        <f>BL42*BB42</f>
        <v/>
      </c>
      <c r="BN42" s="1051" t="n"/>
      <c r="BO42" s="1051">
        <f>IF(BE42&lt;=#REF!,#REF!,IF(BE42&lt;=#REF!,#REF!,IF(BE42&lt;=#REF!,#REF!,IF(BE42&lt;=#REF!,#REF!,IF(BE42&lt;=#REF!,#REF!,IF(BE42&lt;=#REF!,#REF!,IF(BE42&lt;=#REF!,#REF!,0.05)))))))</f>
        <v/>
      </c>
      <c r="BP42" s="2193">
        <f>BO42*SUM(BM42,BJ42,BE42)</f>
        <v/>
      </c>
      <c r="BQ42" s="1051" t="n"/>
      <c r="BR42" s="2194">
        <f>IF(BH42&lt;=#REF!,#REF!,IF(BH42&lt;=#REF!,#REF!,IF(BH42&lt;=#REF!,#REF!,IF(BH42&lt;=#REF!,#REF!,IF(BH42&lt;=#REF!,#REF!,IF(BH42&lt;=#REF!,#REF!,IF(BH42&lt;=#REF!,#REF!,0.05)))))))</f>
        <v/>
      </c>
      <c r="BS42" s="2193">
        <f>BR42*BH42</f>
        <v/>
      </c>
      <c r="BU42" s="1932">
        <f>0.07*SUM(BE42,BJ42,BM42,BP42,BS42)</f>
        <v/>
      </c>
      <c r="BW42" s="1932">
        <f>SUM(BU42,BS42,BP42,BM42,BJ42,BE42)</f>
        <v/>
      </c>
      <c r="BX42" s="1933">
        <f>SUM(BS42,BP42,BM42,BJ42)</f>
        <v/>
      </c>
      <c r="BY42" s="1051">
        <f>BX42/BW42</f>
        <v/>
      </c>
      <c r="CO42" s="2193" t="n">
        <v>33000</v>
      </c>
      <c r="CP42" s="2193" t="n"/>
      <c r="CQ42" s="2193" t="n"/>
      <c r="CR42" s="2193">
        <f>CO42</f>
        <v/>
      </c>
      <c r="CS42" s="2193" t="n"/>
      <c r="CT42" s="2193" t="n"/>
      <c r="CU42" s="2193">
        <f>CO42+CR42</f>
        <v/>
      </c>
      <c r="CV42" s="2193" t="n"/>
      <c r="CW42" s="2193" t="n"/>
      <c r="CX42" s="2193">
        <f>CU42</f>
        <v/>
      </c>
      <c r="CY42" s="1051">
        <f>IF(CO42&lt;=BQ$6,BP$6,IF(CO42&lt;=BQ$7,BP$7,IF(CO42&lt;=BQ$8,BP$8,IF(CO42&lt;=BQ$9,BP$9,IF(CO42&lt;=BQ$14,BP$14,IF(CO42&lt;=BQ$15,BP$15,IF(CO42&lt;=BQ$16,BP$16,0.05)))))))</f>
        <v/>
      </c>
      <c r="CZ42" s="2193">
        <f>CY42*CO42</f>
        <v/>
      </c>
      <c r="DA42" s="1051" t="n"/>
      <c r="DB42" s="1051">
        <f>IF(CR42&lt;=BT$6,BS$6,IF(CR42&lt;=BT$7,BS$7,IF(CR42&lt;=BT$8,BS$8,IF(CR42&lt;=BT$9,BS$9,IF(CR42&lt;=BT$14,BS$14,IF(CR42&lt;=BT$15,BS$15,IF(CR42&lt;=BT$16,BS$16,0.05)))))))</f>
        <v/>
      </c>
      <c r="DC42" s="2193">
        <f>DB42*CR42</f>
        <v/>
      </c>
      <c r="DD42" s="1051" t="n"/>
      <c r="DE42" s="1051">
        <f>IF(CU42&lt;=BW$6,BV$6,IF(CU42&lt;=BW$7,BV$7,IF(CU42&lt;=BW$8,BV$8,IF(CU42&lt;=BW$9,BV$9,IF(CU42&lt;=BW$14,BV$14,IF(CU42&lt;=BW$15,BV$15,IF(CU42&lt;=BW$16,BV$16,0.05)))))))</f>
        <v/>
      </c>
      <c r="DF42" s="2193">
        <f>DE42*SUM(DC42,CZ42,CU42)</f>
        <v/>
      </c>
      <c r="DG42" s="1051" t="n"/>
      <c r="DH42" s="2194">
        <f>IF(CX42&lt;=BZ$6,BY$6,IF(CX42&lt;=BZ$7,BY$7,IF(CX42&lt;=BZ$8,BY$8,IF(CX42&lt;=BZ$9,BY$9,IF(CX42&lt;=BZ$14,BY$14,IF(CX42&lt;=BZ$15,BY$15,IF(CX42&lt;=BZ$16,BY$16,0.05)))))))</f>
        <v/>
      </c>
      <c r="DI42" s="2193">
        <f>DH42*CX42</f>
        <v/>
      </c>
      <c r="DK42" s="1932">
        <f>0.07*SUM(CU42,CZ42,DC42,DF42,DI42)</f>
        <v/>
      </c>
      <c r="DM42" s="1932">
        <f>SUM(DK42,DI42,DF42,DC42,CZ42,CU42)</f>
        <v/>
      </c>
      <c r="DN42" s="1933">
        <f>SUM(DI42,DF42,DC42,CZ42)</f>
        <v/>
      </c>
      <c r="DO42" s="1051">
        <f>DN42/DM42</f>
        <v/>
      </c>
    </row>
    <row r="43" customFormat="1" s="585">
      <c r="A43" s="719" t="inlineStr">
        <is>
          <t>Square Footage:</t>
        </is>
      </c>
      <c r="B43" s="2245">
        <f>F22</f>
        <v/>
      </c>
      <c r="C43" s="719" t="inlineStr">
        <is>
          <t>Linear Footage:</t>
        </is>
      </c>
      <c r="D43" s="1026" t="n"/>
      <c r="E43" s="1541">
        <f>(IF(D7="Yes","PW","-"))</f>
        <v/>
      </c>
      <c r="F43" s="722" t="inlineStr">
        <is>
          <t>10 hour days</t>
        </is>
      </c>
      <c r="G43" s="2246" t="inlineStr">
        <is>
          <t>Labor Production Rates (Hard Enter)</t>
        </is>
      </c>
      <c r="H43" s="606" t="n"/>
      <c r="I43" s="1027" t="n"/>
      <c r="J43" s="823" t="n"/>
      <c r="K43" s="700" t="n"/>
      <c r="L43" s="700" t="n"/>
      <c r="N43" s="1947" t="inlineStr">
        <is>
          <t>1/4"</t>
        </is>
      </c>
      <c r="O43" s="1016" t="inlineStr">
        <is>
          <t>SC 250   (1/4")</t>
        </is>
      </c>
      <c r="P43" s="2233">
        <f>Q43*R43</f>
        <v/>
      </c>
      <c r="Q43" s="1018" t="n">
        <v>250</v>
      </c>
      <c r="R43" s="2247">
        <f>0.38+0.04</f>
        <v/>
      </c>
      <c r="S43" s="633" t="n"/>
      <c r="T43" s="2135" t="n"/>
      <c r="U43" s="2135" t="n"/>
      <c r="AY43" s="2193" t="n">
        <v>34000</v>
      </c>
      <c r="AZ43" s="2193" t="n"/>
      <c r="BA43" s="2193" t="n"/>
      <c r="BB43" s="2193">
        <f>AY43</f>
        <v/>
      </c>
      <c r="BC43" s="2193" t="n"/>
      <c r="BD43" s="2193" t="n"/>
      <c r="BE43" s="2193">
        <f>AY43+BB43</f>
        <v/>
      </c>
      <c r="BF43" s="2193" t="n"/>
      <c r="BG43" s="2193" t="n"/>
      <c r="BH43" s="2193">
        <f>BE43</f>
        <v/>
      </c>
      <c r="BI43" s="1051">
        <f>IF(AY43&lt;=#REF!,#REF!,IF(AY43&lt;=#REF!,#REF!,IF(AY43&lt;=#REF!,#REF!,IF(AY43&lt;=#REF!,#REF!,IF(AY43&lt;=#REF!,#REF!,IF(AY43&lt;=#REF!,#REF!,IF(AY43&lt;=#REF!,#REF!,0.05)))))))</f>
        <v/>
      </c>
      <c r="BJ43" s="2193">
        <f>BI43*AY43</f>
        <v/>
      </c>
      <c r="BK43" s="1051" t="n"/>
      <c r="BL43" s="1051">
        <f>IF(BB43&lt;=#REF!,#REF!,IF(BB43&lt;=#REF!,#REF!,IF(BB43&lt;=#REF!,#REF!,IF(BB43&lt;=#REF!,#REF!,IF(BB43&lt;=#REF!,#REF!,IF(BB43&lt;=#REF!,#REF!,IF(BB43&lt;=#REF!,#REF!,0.05)))))))</f>
        <v/>
      </c>
      <c r="BM43" s="2193">
        <f>BL43*BB43</f>
        <v/>
      </c>
      <c r="BN43" s="1051" t="n"/>
      <c r="BO43" s="1051">
        <f>IF(BE43&lt;=#REF!,#REF!,IF(BE43&lt;=#REF!,#REF!,IF(BE43&lt;=#REF!,#REF!,IF(BE43&lt;=#REF!,#REF!,IF(BE43&lt;=#REF!,#REF!,IF(BE43&lt;=#REF!,#REF!,IF(BE43&lt;=#REF!,#REF!,0.05)))))))</f>
        <v/>
      </c>
      <c r="BP43" s="2193">
        <f>BO43*SUM(BM43,BJ43,BE43)</f>
        <v/>
      </c>
      <c r="BQ43" s="1051" t="n"/>
      <c r="BR43" s="2194">
        <f>IF(BH43&lt;=#REF!,#REF!,IF(BH43&lt;=#REF!,#REF!,IF(BH43&lt;=#REF!,#REF!,IF(BH43&lt;=#REF!,#REF!,IF(BH43&lt;=#REF!,#REF!,IF(BH43&lt;=#REF!,#REF!,IF(BH43&lt;=#REF!,#REF!,0.05)))))))</f>
        <v/>
      </c>
      <c r="BS43" s="2193">
        <f>BR43*BH43</f>
        <v/>
      </c>
      <c r="BU43" s="1932">
        <f>0.07*SUM(BE43,BJ43,BM43,BP43,BS43)</f>
        <v/>
      </c>
      <c r="BW43" s="1932">
        <f>SUM(BU43,BS43,BP43,BM43,BJ43,BE43)</f>
        <v/>
      </c>
      <c r="BX43" s="1933">
        <f>SUM(BS43,BP43,BM43,BJ43)</f>
        <v/>
      </c>
      <c r="BY43" s="1051">
        <f>BX43/BW43</f>
        <v/>
      </c>
      <c r="CO43" s="2193" t="n">
        <v>34000</v>
      </c>
      <c r="CP43" s="2193" t="n"/>
      <c r="CQ43" s="2193" t="n"/>
      <c r="CR43" s="2193">
        <f>CO43</f>
        <v/>
      </c>
      <c r="CS43" s="2193" t="n"/>
      <c r="CT43" s="2193" t="n"/>
      <c r="CU43" s="2193">
        <f>CO43+CR43</f>
        <v/>
      </c>
      <c r="CV43" s="2193" t="n"/>
      <c r="CW43" s="2193" t="n"/>
      <c r="CX43" s="2193">
        <f>CU43</f>
        <v/>
      </c>
      <c r="CY43" s="1051">
        <f>IF(CO43&lt;=BQ$6,BP$6,IF(CO43&lt;=BQ$7,BP$7,IF(CO43&lt;=BQ$8,BP$8,IF(CO43&lt;=BQ$9,BP$9,IF(CO43&lt;=BQ$14,BP$14,IF(CO43&lt;=BQ$15,BP$15,IF(CO43&lt;=BQ$16,BP$16,0.05)))))))</f>
        <v/>
      </c>
      <c r="CZ43" s="2193">
        <f>CY43*CO43</f>
        <v/>
      </c>
      <c r="DA43" s="1051" t="n"/>
      <c r="DB43" s="1051">
        <f>IF(CR43&lt;=BT$6,BS$6,IF(CR43&lt;=BT$7,BS$7,IF(CR43&lt;=BT$8,BS$8,IF(CR43&lt;=BT$9,BS$9,IF(CR43&lt;=BT$14,BS$14,IF(CR43&lt;=BT$15,BS$15,IF(CR43&lt;=BT$16,BS$16,0.05)))))))</f>
        <v/>
      </c>
      <c r="DC43" s="2193">
        <f>DB43*CR43</f>
        <v/>
      </c>
      <c r="DD43" s="1051" t="n"/>
      <c r="DE43" s="1051">
        <f>IF(CU43&lt;=BW$6,BV$6,IF(CU43&lt;=BW$7,BV$7,IF(CU43&lt;=BW$8,BV$8,IF(CU43&lt;=BW$9,BV$9,IF(CU43&lt;=BW$14,BV$14,IF(CU43&lt;=BW$15,BV$15,IF(CU43&lt;=BW$16,BV$16,0.05)))))))</f>
        <v/>
      </c>
      <c r="DF43" s="2193">
        <f>DE43*SUM(DC43,CZ43,CU43)</f>
        <v/>
      </c>
      <c r="DG43" s="1051" t="n"/>
      <c r="DH43" s="2194">
        <f>IF(CX43&lt;=BZ$6,BY$6,IF(CX43&lt;=BZ$7,BY$7,IF(CX43&lt;=BZ$8,BY$8,IF(CX43&lt;=BZ$9,BY$9,IF(CX43&lt;=BZ$14,BY$14,IF(CX43&lt;=BZ$15,BY$15,IF(CX43&lt;=BZ$16,BY$16,0.05)))))))</f>
        <v/>
      </c>
      <c r="DI43" s="2193">
        <f>DH43*CX43</f>
        <v/>
      </c>
      <c r="DK43" s="1932">
        <f>0.07*SUM(CU43,CZ43,DC43,DF43,DI43)</f>
        <v/>
      </c>
      <c r="DM43" s="1932">
        <f>SUM(DK43,DI43,DF43,DC43,CZ43,CU43)</f>
        <v/>
      </c>
      <c r="DN43" s="1933">
        <f>SUM(DI43,DF43,DC43,CZ43)</f>
        <v/>
      </c>
      <c r="DO43" s="1051">
        <f>DN43/DM43</f>
        <v/>
      </c>
    </row>
    <row r="44" customFormat="1" s="585">
      <c r="A44" s="730" t="inlineStr">
        <is>
          <t>Labor:              Guys</t>
        </is>
      </c>
      <c r="B44" s="731" t="inlineStr">
        <is>
          <t>Hours</t>
        </is>
      </c>
      <c r="C44" s="731" t="inlineStr">
        <is>
          <t>Rate (PW?)</t>
        </is>
      </c>
      <c r="D44" s="731" t="n"/>
      <c r="E44" s="1028" t="inlineStr">
        <is>
          <t>Totals</t>
        </is>
      </c>
      <c r="F44" s="1029" t="inlineStr">
        <is>
          <t xml:space="preserve">Labor </t>
        </is>
      </c>
      <c r="G44" s="2248" t="n"/>
      <c r="H44" s="2014" t="n"/>
      <c r="I44" s="1947" t="n"/>
      <c r="J44" s="633" t="n"/>
      <c r="N44" s="1947" t="inlineStr">
        <is>
          <t>3/8"</t>
        </is>
      </c>
      <c r="O44" s="1020" t="inlineStr">
        <is>
          <t>SC 50 HP    (3/8")</t>
        </is>
      </c>
      <c r="P44" s="2239">
        <f>Q44*R44</f>
        <v/>
      </c>
      <c r="Q44" s="1021" t="n">
        <v>120</v>
      </c>
      <c r="R44" s="2249">
        <f>0.55+0.06</f>
        <v/>
      </c>
      <c r="S44" s="633" t="n"/>
      <c r="T44" s="2135" t="n"/>
      <c r="U44" s="2135" t="n"/>
      <c r="AY44" s="2193" t="n">
        <v>35000</v>
      </c>
      <c r="AZ44" s="2193" t="n"/>
      <c r="BA44" s="2193" t="n"/>
      <c r="BB44" s="2193">
        <f>AY44</f>
        <v/>
      </c>
      <c r="BC44" s="2193" t="n"/>
      <c r="BD44" s="2193" t="n"/>
      <c r="BE44" s="2193">
        <f>AY44+BB44</f>
        <v/>
      </c>
      <c r="BF44" s="2193" t="n"/>
      <c r="BG44" s="2193" t="n"/>
      <c r="BH44" s="2193">
        <f>BE44</f>
        <v/>
      </c>
      <c r="BI44" s="1051">
        <f>IF(AY44&lt;=#REF!,#REF!,IF(AY44&lt;=#REF!,#REF!,IF(AY44&lt;=#REF!,#REF!,IF(AY44&lt;=#REF!,#REF!,IF(AY44&lt;=#REF!,#REF!,IF(AY44&lt;=#REF!,#REF!,IF(AY44&lt;=#REF!,#REF!,0.05)))))))</f>
        <v/>
      </c>
      <c r="BJ44" s="2193">
        <f>BI44*AY44</f>
        <v/>
      </c>
      <c r="BK44" s="1051" t="n"/>
      <c r="BL44" s="1051">
        <f>IF(BB44&lt;=#REF!,#REF!,IF(BB44&lt;=#REF!,#REF!,IF(BB44&lt;=#REF!,#REF!,IF(BB44&lt;=#REF!,#REF!,IF(BB44&lt;=#REF!,#REF!,IF(BB44&lt;=#REF!,#REF!,IF(BB44&lt;=#REF!,#REF!,0.05)))))))</f>
        <v/>
      </c>
      <c r="BM44" s="2193">
        <f>BL44*BB44</f>
        <v/>
      </c>
      <c r="BN44" s="1051" t="n"/>
      <c r="BO44" s="1051">
        <f>IF(BE44&lt;=#REF!,#REF!,IF(BE44&lt;=#REF!,#REF!,IF(BE44&lt;=#REF!,#REF!,IF(BE44&lt;=#REF!,#REF!,IF(BE44&lt;=#REF!,#REF!,IF(BE44&lt;=#REF!,#REF!,IF(BE44&lt;=#REF!,#REF!,0.05)))))))</f>
        <v/>
      </c>
      <c r="BP44" s="2193">
        <f>BO44*SUM(BM44,BJ44,BE44)</f>
        <v/>
      </c>
      <c r="BQ44" s="1051" t="n"/>
      <c r="BR44" s="2194">
        <f>IF(BH44&lt;=#REF!,#REF!,IF(BH44&lt;=#REF!,#REF!,IF(BH44&lt;=#REF!,#REF!,IF(BH44&lt;=#REF!,#REF!,IF(BH44&lt;=#REF!,#REF!,IF(BH44&lt;=#REF!,#REF!,IF(BH44&lt;=#REF!,#REF!,0.05)))))))</f>
        <v/>
      </c>
      <c r="BS44" s="2193">
        <f>BR44*BH44</f>
        <v/>
      </c>
      <c r="BU44" s="1932">
        <f>0.07*SUM(BE44,BJ44,BM44,BP44,BS44)</f>
        <v/>
      </c>
      <c r="BW44" s="1932">
        <f>SUM(BU44,BS44,BP44,BM44,BJ44,BE44)</f>
        <v/>
      </c>
      <c r="BX44" s="1933">
        <f>SUM(BS44,BP44,BM44,BJ44)</f>
        <v/>
      </c>
      <c r="BY44" s="1051">
        <f>BX44/BW44</f>
        <v/>
      </c>
      <c r="CO44" s="2193" t="n">
        <v>35000</v>
      </c>
      <c r="CP44" s="2193" t="n"/>
      <c r="CQ44" s="2193" t="n"/>
      <c r="CR44" s="2193">
        <f>CO44</f>
        <v/>
      </c>
      <c r="CS44" s="2193" t="n"/>
      <c r="CT44" s="2193" t="n"/>
      <c r="CU44" s="2193">
        <f>CO44+CR44</f>
        <v/>
      </c>
      <c r="CV44" s="2193" t="n"/>
      <c r="CW44" s="2193" t="n"/>
      <c r="CX44" s="2193">
        <f>CU44</f>
        <v/>
      </c>
      <c r="CY44" s="1051">
        <f>IF(CO44&lt;=BQ$6,BP$6,IF(CO44&lt;=BQ$7,BP$7,IF(CO44&lt;=BQ$8,BP$8,IF(CO44&lt;=BQ$9,BP$9,IF(CO44&lt;=BQ$14,BP$14,IF(CO44&lt;=BQ$15,BP$15,IF(CO44&lt;=BQ$16,BP$16,0.05)))))))</f>
        <v/>
      </c>
      <c r="CZ44" s="2193">
        <f>CY44*CO44</f>
        <v/>
      </c>
      <c r="DA44" s="1051" t="n"/>
      <c r="DB44" s="1051">
        <f>IF(CR44&lt;=BT$6,BS$6,IF(CR44&lt;=BT$7,BS$7,IF(CR44&lt;=BT$8,BS$8,IF(CR44&lt;=BT$9,BS$9,IF(CR44&lt;=BT$14,BS$14,IF(CR44&lt;=BT$15,BS$15,IF(CR44&lt;=BT$16,BS$16,0.05)))))))</f>
        <v/>
      </c>
      <c r="DC44" s="2193">
        <f>DB44*CR44</f>
        <v/>
      </c>
      <c r="DD44" s="1051" t="n"/>
      <c r="DE44" s="1051">
        <f>IF(CU44&lt;=BW$6,BV$6,IF(CU44&lt;=BW$7,BV$7,IF(CU44&lt;=BW$8,BV$8,IF(CU44&lt;=BW$9,BV$9,IF(CU44&lt;=BW$14,BV$14,IF(CU44&lt;=BW$15,BV$15,IF(CU44&lt;=BW$16,BV$16,0.05)))))))</f>
        <v/>
      </c>
      <c r="DF44" s="2193">
        <f>DE44*SUM(DC44,CZ44,CU44)</f>
        <v/>
      </c>
      <c r="DG44" s="1051" t="n"/>
      <c r="DH44" s="2194">
        <f>IF(CX44&lt;=BZ$6,BY$6,IF(CX44&lt;=BZ$7,BY$7,IF(CX44&lt;=BZ$8,BY$8,IF(CX44&lt;=BZ$9,BY$9,IF(CX44&lt;=BZ$14,BY$14,IF(CX44&lt;=BZ$15,BY$15,IF(CX44&lt;=BZ$16,BY$16,0.05)))))))</f>
        <v/>
      </c>
      <c r="DI44" s="2193">
        <f>DH44*CX44</f>
        <v/>
      </c>
      <c r="DK44" s="1932">
        <f>0.07*SUM(CU44,CZ44,DC44,DF44,DI44)</f>
        <v/>
      </c>
      <c r="DM44" s="1932">
        <f>SUM(DK44,DI44,DF44,DC44,CZ44,CU44)</f>
        <v/>
      </c>
      <c r="DN44" s="1933">
        <f>SUM(DI44,DF44,DC44,CZ44)</f>
        <v/>
      </c>
      <c r="DO44" s="1051">
        <f>DN44/DM44</f>
        <v/>
      </c>
    </row>
    <row r="45" customFormat="1" s="585">
      <c r="A45" s="1442" t="n">
        <v>8</v>
      </c>
      <c r="B45" s="1776" t="n">
        <v>0</v>
      </c>
      <c r="C45" s="2001" t="n">
        <v>33.66</v>
      </c>
      <c r="D45" s="2250" t="n"/>
      <c r="E45" s="763">
        <f>A45*B45*C45</f>
        <v/>
      </c>
      <c r="F45" s="2251" t="inlineStr">
        <is>
          <t>Pre-Pours Hours</t>
        </is>
      </c>
      <c r="G45" s="1033" t="n">
        <v>8</v>
      </c>
      <c r="H45" s="1034" t="n"/>
      <c r="I45" s="2252" t="n"/>
      <c r="J45" s="2253" t="n"/>
      <c r="K45" s="780" t="n"/>
      <c r="L45" s="780" t="n"/>
      <c r="N45" s="1947" t="n"/>
      <c r="O45" s="600" t="n"/>
      <c r="P45" s="600" t="n"/>
      <c r="AY45" s="2193" t="n">
        <v>36000</v>
      </c>
      <c r="AZ45" s="2193" t="n"/>
      <c r="BA45" s="2193" t="n"/>
      <c r="BB45" s="2193">
        <f>AY45</f>
        <v/>
      </c>
      <c r="BC45" s="2193" t="n"/>
      <c r="BD45" s="2193" t="n"/>
      <c r="BE45" s="2193">
        <f>AY45+BB45</f>
        <v/>
      </c>
      <c r="BF45" s="2193" t="n"/>
      <c r="BG45" s="2193" t="n"/>
      <c r="BH45" s="2193">
        <f>BE45</f>
        <v/>
      </c>
      <c r="BI45" s="1051">
        <f>IF(AY45&lt;=#REF!,#REF!,IF(AY45&lt;=#REF!,#REF!,IF(AY45&lt;=#REF!,#REF!,IF(AY45&lt;=#REF!,#REF!,IF(AY45&lt;=#REF!,#REF!,IF(AY45&lt;=#REF!,#REF!,IF(AY45&lt;=#REF!,#REF!,0.05)))))))</f>
        <v/>
      </c>
      <c r="BJ45" s="2193">
        <f>BI45*AY45</f>
        <v/>
      </c>
      <c r="BK45" s="1051" t="n"/>
      <c r="BL45" s="1051">
        <f>IF(BB45&lt;=#REF!,#REF!,IF(BB45&lt;=#REF!,#REF!,IF(BB45&lt;=#REF!,#REF!,IF(BB45&lt;=#REF!,#REF!,IF(BB45&lt;=#REF!,#REF!,IF(BB45&lt;=#REF!,#REF!,IF(BB45&lt;=#REF!,#REF!,0.05)))))))</f>
        <v/>
      </c>
      <c r="BM45" s="2193">
        <f>BL45*BB45</f>
        <v/>
      </c>
      <c r="BN45" s="1051" t="n"/>
      <c r="BO45" s="1051">
        <f>IF(BE45&lt;=#REF!,#REF!,IF(BE45&lt;=#REF!,#REF!,IF(BE45&lt;=#REF!,#REF!,IF(BE45&lt;=#REF!,#REF!,IF(BE45&lt;=#REF!,#REF!,IF(BE45&lt;=#REF!,#REF!,IF(BE45&lt;=#REF!,#REF!,0.05)))))))</f>
        <v/>
      </c>
      <c r="BP45" s="2193">
        <f>BO45*SUM(BM45,BJ45,BE45)</f>
        <v/>
      </c>
      <c r="BQ45" s="1051" t="n"/>
      <c r="BR45" s="2194">
        <f>IF(BH45&lt;=#REF!,#REF!,IF(BH45&lt;=#REF!,#REF!,IF(BH45&lt;=#REF!,#REF!,IF(BH45&lt;=#REF!,#REF!,IF(BH45&lt;=#REF!,#REF!,IF(BH45&lt;=#REF!,#REF!,IF(BH45&lt;=#REF!,#REF!,0.05)))))))</f>
        <v/>
      </c>
      <c r="BS45" s="2193">
        <f>BR45*BH45</f>
        <v/>
      </c>
      <c r="BU45" s="1932">
        <f>0.07*SUM(BE45,BJ45,BM45,BP45,BS45)</f>
        <v/>
      </c>
      <c r="BW45" s="1932">
        <f>SUM(BU45,BS45,BP45,BM45,BJ45,BE45)</f>
        <v/>
      </c>
      <c r="BX45" s="1933">
        <f>SUM(BS45,BP45,BM45,BJ45)</f>
        <v/>
      </c>
      <c r="BY45" s="1051">
        <f>BX45/BW45</f>
        <v/>
      </c>
      <c r="CO45" s="2193" t="n">
        <v>36000</v>
      </c>
      <c r="CP45" s="2193" t="n"/>
      <c r="CQ45" s="2193" t="n"/>
      <c r="CR45" s="2193">
        <f>CO45</f>
        <v/>
      </c>
      <c r="CS45" s="2193" t="n"/>
      <c r="CT45" s="2193" t="n"/>
      <c r="CU45" s="2193">
        <f>CO45+CR45</f>
        <v/>
      </c>
      <c r="CV45" s="2193" t="n"/>
      <c r="CW45" s="2193" t="n"/>
      <c r="CX45" s="2193">
        <f>CU45</f>
        <v/>
      </c>
      <c r="CY45" s="1051">
        <f>IF(CO45&lt;=BQ$6,BP$6,IF(CO45&lt;=BQ$7,BP$7,IF(CO45&lt;=BQ$8,BP$8,IF(CO45&lt;=BQ$9,BP$9,IF(CO45&lt;=BQ$14,BP$14,IF(CO45&lt;=BQ$15,BP$15,IF(CO45&lt;=BQ$16,BP$16,0.05)))))))</f>
        <v/>
      </c>
      <c r="CZ45" s="2193">
        <f>CY45*CO45</f>
        <v/>
      </c>
      <c r="DA45" s="1051" t="n"/>
      <c r="DB45" s="1051">
        <f>IF(CR45&lt;=BT$6,BS$6,IF(CR45&lt;=BT$7,BS$7,IF(CR45&lt;=BT$8,BS$8,IF(CR45&lt;=BT$9,BS$9,IF(CR45&lt;=BT$14,BS$14,IF(CR45&lt;=BT$15,BS$15,IF(CR45&lt;=BT$16,BS$16,0.05)))))))</f>
        <v/>
      </c>
      <c r="DC45" s="2193">
        <f>DB45*CR45</f>
        <v/>
      </c>
      <c r="DD45" s="1051" t="n"/>
      <c r="DE45" s="1051">
        <f>IF(CU45&lt;=BW$6,BV$6,IF(CU45&lt;=BW$7,BV$7,IF(CU45&lt;=BW$8,BV$8,IF(CU45&lt;=BW$9,BV$9,IF(CU45&lt;=BW$14,BV$14,IF(CU45&lt;=BW$15,BV$15,IF(CU45&lt;=BW$16,BV$16,0.05)))))))</f>
        <v/>
      </c>
      <c r="DF45" s="2193">
        <f>DE45*SUM(DC45,CZ45,CU45)</f>
        <v/>
      </c>
      <c r="DG45" s="1051" t="n"/>
      <c r="DH45" s="2194">
        <f>IF(CX45&lt;=BZ$6,BY$6,IF(CX45&lt;=BZ$7,BY$7,IF(CX45&lt;=BZ$8,BY$8,IF(CX45&lt;=BZ$9,BY$9,IF(CX45&lt;=BZ$14,BY$14,IF(CX45&lt;=BZ$15,BY$15,IF(CX45&lt;=BZ$16,BY$16,0.05)))))))</f>
        <v/>
      </c>
      <c r="DI45" s="2193">
        <f>DH45*CX45</f>
        <v/>
      </c>
      <c r="DK45" s="1932">
        <f>0.07*SUM(CU45,CZ45,DC45,DF45,DI45)</f>
        <v/>
      </c>
      <c r="DM45" s="1932">
        <f>SUM(DK45,DI45,DF45,DC45,CZ45,CU45)</f>
        <v/>
      </c>
      <c r="DN45" s="1933">
        <f>SUM(DI45,DF45,DC45,CZ45)</f>
        <v/>
      </c>
      <c r="DO45" s="1051">
        <f>DN45/DM45</f>
        <v/>
      </c>
    </row>
    <row r="46" customFormat="1" s="585">
      <c r="A46" s="1442" t="n">
        <v>8</v>
      </c>
      <c r="B46" s="600">
        <f>T28*G46</f>
        <v/>
      </c>
      <c r="C46" s="2003">
        <f>C45</f>
        <v/>
      </c>
      <c r="D46" s="2250" t="n"/>
      <c r="E46" s="763">
        <f>A46*B46*C46</f>
        <v/>
      </c>
      <c r="F46" s="2251" t="inlineStr">
        <is>
          <t xml:space="preserve">Prep/Prime/Seal Hours (hrs per mob) </t>
        </is>
      </c>
      <c r="G46" s="1033" t="n">
        <v>4</v>
      </c>
      <c r="H46" s="1034" t="n"/>
      <c r="I46" s="2252" t="n"/>
      <c r="J46" s="1344">
        <f>P31</f>
        <v/>
      </c>
      <c r="K46" s="1342" t="inlineStr">
        <is>
          <t>% Soft Surf</t>
        </is>
      </c>
      <c r="N46" s="600" t="n"/>
      <c r="O46" s="1140" t="inlineStr">
        <is>
          <t>mat $ difference</t>
        </is>
      </c>
      <c r="P46" s="2254">
        <f>P37-P42</f>
        <v/>
      </c>
      <c r="R46" s="2254">
        <f>R37-R42</f>
        <v/>
      </c>
      <c r="AY46" s="2193" t="n">
        <v>36000</v>
      </c>
      <c r="AZ46" s="2193" t="n"/>
      <c r="BA46" s="2193" t="n"/>
      <c r="BB46" s="2193">
        <f>AY46</f>
        <v/>
      </c>
      <c r="BC46" s="2193" t="n"/>
      <c r="BD46" s="2193" t="n"/>
      <c r="BE46" s="2193">
        <f>AY46+BB46</f>
        <v/>
      </c>
      <c r="BF46" s="2193" t="n"/>
      <c r="BG46" s="2193" t="n"/>
      <c r="BH46" s="2193">
        <f>BE46</f>
        <v/>
      </c>
      <c r="BI46" s="1051">
        <f>IF(AY46&lt;=#REF!,#REF!,IF(AY46&lt;=#REF!,#REF!,IF(AY46&lt;=#REF!,#REF!,IF(AY46&lt;=#REF!,#REF!,IF(AY46&lt;=#REF!,#REF!,IF(AY46&lt;=#REF!,#REF!,IF(AY46&lt;=#REF!,#REF!,0.05)))))))</f>
        <v/>
      </c>
      <c r="BJ46" s="2193">
        <f>BI46*AY46</f>
        <v/>
      </c>
      <c r="BK46" s="1051" t="n"/>
      <c r="BL46" s="1051">
        <f>IF(BB46&lt;=#REF!,#REF!,IF(BB46&lt;=#REF!,#REF!,IF(BB46&lt;=#REF!,#REF!,IF(BB46&lt;=#REF!,#REF!,IF(BB46&lt;=#REF!,#REF!,IF(BB46&lt;=#REF!,#REF!,IF(BB46&lt;=#REF!,#REF!,0.05)))))))</f>
        <v/>
      </c>
      <c r="BM46" s="2193">
        <f>BL46*BB46</f>
        <v/>
      </c>
      <c r="BN46" s="1051" t="n"/>
      <c r="BO46" s="1051">
        <f>IF(BE46&lt;=#REF!,#REF!,IF(BE46&lt;=#REF!,#REF!,IF(BE46&lt;=#REF!,#REF!,IF(BE46&lt;=#REF!,#REF!,IF(BE46&lt;=#REF!,#REF!,IF(BE46&lt;=#REF!,#REF!,IF(BE46&lt;=#REF!,#REF!,0.05)))))))</f>
        <v/>
      </c>
      <c r="BP46" s="2193">
        <f>BO46*SUM(BM46,BJ46,BE46)</f>
        <v/>
      </c>
      <c r="BQ46" s="1051" t="n"/>
      <c r="BR46" s="2194">
        <f>IF(BH46&lt;=#REF!,#REF!,IF(BH46&lt;=#REF!,#REF!,IF(BH46&lt;=#REF!,#REF!,IF(BH46&lt;=#REF!,#REF!,IF(BH46&lt;=#REF!,#REF!,IF(BH46&lt;=#REF!,#REF!,IF(BH46&lt;=#REF!,#REF!,0.05)))))))</f>
        <v/>
      </c>
      <c r="BS46" s="2193">
        <f>BR46*BH46</f>
        <v/>
      </c>
      <c r="BU46" s="1932">
        <f>0.07*SUM(BE46,BJ46,BM46,BP46,BS46)</f>
        <v/>
      </c>
      <c r="BW46" s="1932">
        <f>SUM(BU46,BS46,BP46,BM46,BJ46,BE46)</f>
        <v/>
      </c>
      <c r="BX46" s="1933">
        <f>SUM(BS46,BP46,BM46,BJ46)</f>
        <v/>
      </c>
      <c r="BY46" s="1051">
        <f>BX46/BW46</f>
        <v/>
      </c>
      <c r="CO46" s="2193" t="n">
        <v>36000</v>
      </c>
      <c r="CP46" s="2193" t="n"/>
      <c r="CQ46" s="2193" t="n"/>
      <c r="CR46" s="2193">
        <f>CO46</f>
        <v/>
      </c>
      <c r="CS46" s="2193" t="n"/>
      <c r="CT46" s="2193" t="n"/>
      <c r="CU46" s="2193">
        <f>CO46+CR46</f>
        <v/>
      </c>
      <c r="CV46" s="2193" t="n"/>
      <c r="CW46" s="2193" t="n"/>
      <c r="CX46" s="2193">
        <f>CU46</f>
        <v/>
      </c>
      <c r="CY46" s="1051">
        <f>IF(CO46&lt;=BQ$6,BP$6,IF(CO46&lt;=BQ$7,BP$7,IF(CO46&lt;=BQ$8,BP$8,IF(CO46&lt;=BQ$9,BP$9,IF(CO46&lt;=BQ$14,BP$14,IF(CO46&lt;=BQ$15,BP$15,IF(CO46&lt;=BQ$16,BP$16,0.05)))))))</f>
        <v/>
      </c>
      <c r="CZ46" s="2193">
        <f>CY46*CO46</f>
        <v/>
      </c>
      <c r="DA46" s="1051" t="n"/>
      <c r="DB46" s="1051">
        <f>IF(CR46&lt;=BT$6,BS$6,IF(CR46&lt;=BT$7,BS$7,IF(CR46&lt;=BT$8,BS$8,IF(CR46&lt;=BT$9,BS$9,IF(CR46&lt;=BT$14,BS$14,IF(CR46&lt;=BT$15,BS$15,IF(CR46&lt;=BT$16,BS$16,0.05)))))))</f>
        <v/>
      </c>
      <c r="DC46" s="2193">
        <f>DB46*CR46</f>
        <v/>
      </c>
      <c r="DD46" s="1051" t="n"/>
      <c r="DE46" s="1051">
        <f>IF(CU46&lt;=BW$6,BV$6,IF(CU46&lt;=BW$7,BV$7,IF(CU46&lt;=BW$8,BV$8,IF(CU46&lt;=BW$9,BV$9,IF(CU46&lt;=BW$14,BV$14,IF(CU46&lt;=BW$15,BV$15,IF(CU46&lt;=BW$16,BV$16,0.05)))))))</f>
        <v/>
      </c>
      <c r="DF46" s="2193">
        <f>DE46*SUM(DC46,CZ46,CU46)</f>
        <v/>
      </c>
      <c r="DG46" s="1051" t="n"/>
      <c r="DH46" s="2194">
        <f>IF(CX46&lt;=BZ$6,BY$6,IF(CX46&lt;=BZ$7,BY$7,IF(CX46&lt;=BZ$8,BY$8,IF(CX46&lt;=BZ$9,BY$9,IF(CX46&lt;=BZ$14,BY$14,IF(CX46&lt;=BZ$15,BY$15,IF(CX46&lt;=BZ$16,BY$16,0.05)))))))</f>
        <v/>
      </c>
      <c r="DI46" s="2193">
        <f>DH46*CX46</f>
        <v/>
      </c>
      <c r="DK46" s="1932">
        <f>0.07*SUM(CU46,CZ46,DC46,DF46,DI46)</f>
        <v/>
      </c>
      <c r="DM46" s="1932">
        <f>SUM(DK46,DI46,DF46,DC46,CZ46,CU46)</f>
        <v/>
      </c>
      <c r="DN46" s="1933">
        <f>SUM(DI46,DF46,DC46,CZ46)</f>
        <v/>
      </c>
      <c r="DO46" s="1051">
        <f>DN46/DM46</f>
        <v/>
      </c>
    </row>
    <row r="47" customFormat="1" s="585">
      <c r="A47" s="1602" t="n">
        <v>7</v>
      </c>
      <c r="B47" s="600">
        <f>F24/G47</f>
        <v/>
      </c>
      <c r="C47" s="2003">
        <f>C45</f>
        <v/>
      </c>
      <c r="D47" s="2250" t="n"/>
      <c r="E47" s="763">
        <f>A47*B47*C47</f>
        <v/>
      </c>
      <c r="F47" s="2251" t="inlineStr">
        <is>
          <t>Mat Time Hours (total HSA mat area/rate)</t>
        </is>
      </c>
      <c r="G47" s="1355">
        <f>85*A47</f>
        <v/>
      </c>
      <c r="H47" s="1889" t="inlineStr">
        <is>
          <t>INCLUDES HARD SURFACE AREAS ONLY</t>
        </is>
      </c>
      <c r="I47" s="585" t="n"/>
      <c r="J47" s="1345">
        <f>Q31</f>
        <v/>
      </c>
      <c r="K47" s="1341" t="inlineStr">
        <is>
          <t>% Hard Surf / Mat</t>
        </is>
      </c>
      <c r="M47" s="600" t="n"/>
      <c r="N47" s="600" t="n"/>
      <c r="O47" s="763" t="n"/>
      <c r="P47" s="2254">
        <f>P38-P43</f>
        <v/>
      </c>
      <c r="R47" s="2254">
        <f>R38-R43</f>
        <v/>
      </c>
      <c r="AY47" s="2193" t="n"/>
      <c r="AZ47" s="2193" t="n"/>
      <c r="BA47" s="2193" t="n"/>
      <c r="BB47" s="2193" t="n"/>
      <c r="BC47" s="2193" t="n"/>
      <c r="BD47" s="2193" t="n"/>
      <c r="BE47" s="2193" t="n"/>
      <c r="BF47" s="2193" t="n"/>
      <c r="BG47" s="2193" t="n"/>
      <c r="BH47" s="2193" t="n"/>
      <c r="BI47" s="1051" t="n"/>
      <c r="BJ47" s="2193" t="n"/>
      <c r="BK47" s="1051" t="n"/>
      <c r="BL47" s="1051" t="n"/>
      <c r="BM47" s="2193" t="n"/>
      <c r="BN47" s="1051" t="n"/>
      <c r="BO47" s="1051" t="n"/>
      <c r="BP47" s="2193" t="n"/>
      <c r="BQ47" s="1051" t="n"/>
      <c r="BR47" s="2194" t="n"/>
      <c r="BS47" s="2193" t="n"/>
      <c r="BU47" s="1932" t="n"/>
      <c r="BW47" s="1932" t="n"/>
      <c r="BX47" s="1933" t="n"/>
      <c r="BY47" s="1051" t="n"/>
      <c r="CO47" s="2193" t="n"/>
      <c r="CP47" s="2193" t="n"/>
      <c r="CQ47" s="2193" t="n"/>
      <c r="CR47" s="2193" t="n"/>
      <c r="CS47" s="2193" t="n"/>
      <c r="CT47" s="2193" t="n"/>
      <c r="CU47" s="2193" t="n"/>
      <c r="CV47" s="2193" t="n"/>
      <c r="CW47" s="2193" t="n"/>
      <c r="CX47" s="2193" t="n"/>
      <c r="CY47" s="1051" t="n"/>
      <c r="CZ47" s="2193" t="n"/>
      <c r="DA47" s="1051" t="n"/>
      <c r="DB47" s="1051" t="n"/>
      <c r="DC47" s="2193" t="n"/>
      <c r="DD47" s="1051" t="n"/>
      <c r="DE47" s="1051" t="n"/>
      <c r="DF47" s="2193" t="n"/>
      <c r="DG47" s="1051" t="n"/>
      <c r="DH47" s="2194" t="n"/>
      <c r="DI47" s="2193" t="n"/>
      <c r="DK47" s="1932" t="n"/>
      <c r="DM47" s="1932" t="n"/>
      <c r="DN47" s="1933" t="n"/>
      <c r="DO47" s="1051" t="n"/>
    </row>
    <row r="48" customFormat="1" s="585">
      <c r="A48" s="739">
        <f>A46</f>
        <v/>
      </c>
      <c r="B48" s="600">
        <f>H33/G48</f>
        <v/>
      </c>
      <c r="C48" s="2003">
        <f>C45</f>
        <v/>
      </c>
      <c r="D48" s="2250" t="n"/>
      <c r="E48" s="763">
        <f>A48*B48*C48</f>
        <v/>
      </c>
      <c r="F48" s="2251" t="inlineStr">
        <is>
          <t xml:space="preserve">Pour Hours (total bags/pump rate) </t>
        </is>
      </c>
      <c r="G48" s="1033" t="n">
        <v>75</v>
      </c>
      <c r="H48" s="1034" t="n"/>
      <c r="I48" s="2252" t="n"/>
      <c r="J48" s="1346">
        <f>R31</f>
        <v/>
      </c>
      <c r="K48" s="1343" t="inlineStr">
        <is>
          <t>% Corridors</t>
        </is>
      </c>
      <c r="O48" s="763" t="n"/>
      <c r="P48" s="2254">
        <f>P39-P44</f>
        <v/>
      </c>
      <c r="R48" s="2254">
        <f>R39-R44</f>
        <v/>
      </c>
      <c r="AY48" s="2193" t="n">
        <v>37000</v>
      </c>
      <c r="AZ48" s="2193" t="n"/>
      <c r="BA48" s="2193" t="n"/>
      <c r="BB48" s="2193">
        <f>AY48</f>
        <v/>
      </c>
      <c r="BC48" s="2193" t="n"/>
      <c r="BD48" s="2193" t="n"/>
      <c r="BE48" s="2193">
        <f>AY48+BB48</f>
        <v/>
      </c>
      <c r="BF48" s="2193" t="n"/>
      <c r="BG48" s="2193" t="n"/>
      <c r="BH48" s="2193">
        <f>BE48</f>
        <v/>
      </c>
      <c r="BI48" s="1051">
        <f>IF(AY48&lt;=#REF!,#REF!,IF(AY48&lt;=#REF!,#REF!,IF(AY48&lt;=#REF!,#REF!,IF(AY48&lt;=#REF!,#REF!,IF(AY48&lt;=#REF!,#REF!,IF(AY48&lt;=#REF!,#REF!,IF(AY48&lt;=#REF!,#REF!,0.05)))))))</f>
        <v/>
      </c>
      <c r="BJ48" s="2193">
        <f>BI48*AY48</f>
        <v/>
      </c>
      <c r="BK48" s="1051" t="n"/>
      <c r="BL48" s="1051">
        <f>IF(BB48&lt;=#REF!,#REF!,IF(BB48&lt;=#REF!,#REF!,IF(BB48&lt;=#REF!,#REF!,IF(BB48&lt;=#REF!,#REF!,IF(BB48&lt;=#REF!,#REF!,IF(BB48&lt;=#REF!,#REF!,IF(BB48&lt;=#REF!,#REF!,0.05)))))))</f>
        <v/>
      </c>
      <c r="BM48" s="2193">
        <f>BL48*BB48</f>
        <v/>
      </c>
      <c r="BN48" s="1051" t="n"/>
      <c r="BO48" s="1051">
        <f>IF(BE48&lt;=#REF!,#REF!,IF(BE48&lt;=#REF!,#REF!,IF(BE48&lt;=#REF!,#REF!,IF(BE48&lt;=#REF!,#REF!,IF(BE48&lt;=#REF!,#REF!,IF(BE48&lt;=#REF!,#REF!,IF(BE48&lt;=#REF!,#REF!,0.05)))))))</f>
        <v/>
      </c>
      <c r="BP48" s="2193">
        <f>BO48*SUM(BM48,BJ48,BE48)</f>
        <v/>
      </c>
      <c r="BQ48" s="1051" t="n"/>
      <c r="BR48" s="2194">
        <f>IF(BH48&lt;=#REF!,#REF!,IF(BH48&lt;=#REF!,#REF!,IF(BH48&lt;=#REF!,#REF!,IF(BH48&lt;=#REF!,#REF!,IF(BH48&lt;=#REF!,#REF!,IF(BH48&lt;=#REF!,#REF!,IF(BH48&lt;=#REF!,#REF!,0.05)))))))</f>
        <v/>
      </c>
      <c r="BS48" s="2193">
        <f>BR48*BH48</f>
        <v/>
      </c>
      <c r="BU48" s="1932">
        <f>0.07*SUM(BE48,BJ48,BM48,BP48,BS48)</f>
        <v/>
      </c>
      <c r="BW48" s="1932">
        <f>SUM(BU48,BS48,BP48,BM48,BJ48,BE48)</f>
        <v/>
      </c>
      <c r="BX48" s="1933">
        <f>SUM(BS48,BP48,BM48,BJ48)</f>
        <v/>
      </c>
      <c r="BY48" s="1051">
        <f>BX48/BW48</f>
        <v/>
      </c>
      <c r="CO48" s="2193" t="n">
        <v>37000</v>
      </c>
      <c r="CP48" s="2193" t="n"/>
      <c r="CQ48" s="2193" t="n"/>
      <c r="CR48" s="2193">
        <f>CO48</f>
        <v/>
      </c>
      <c r="CS48" s="2193" t="n"/>
      <c r="CT48" s="2193" t="n"/>
      <c r="CU48" s="2193">
        <f>CO48+CR48</f>
        <v/>
      </c>
      <c r="CV48" s="2193" t="n"/>
      <c r="CW48" s="2193" t="n"/>
      <c r="CX48" s="2193">
        <f>CU48</f>
        <v/>
      </c>
      <c r="CY48" s="1051">
        <f>IF(CO48&lt;=BQ$6,BP$6,IF(CO48&lt;=BQ$7,BP$7,IF(CO48&lt;=BQ$8,BP$8,IF(CO48&lt;=BQ$9,BP$9,IF(CO48&lt;=BQ$14,BP$14,IF(CO48&lt;=BQ$15,BP$15,IF(CO48&lt;=BQ$16,BP$16,0.05)))))))</f>
        <v/>
      </c>
      <c r="CZ48" s="2193">
        <f>CY48*CO48</f>
        <v/>
      </c>
      <c r="DA48" s="1051" t="n"/>
      <c r="DB48" s="1051">
        <f>IF(CR48&lt;=BT$6,BS$6,IF(CR48&lt;=BT$7,BS$7,IF(CR48&lt;=BT$8,BS$8,IF(CR48&lt;=BT$9,BS$9,IF(CR48&lt;=BT$14,BS$14,IF(CR48&lt;=BT$15,BS$15,IF(CR48&lt;=BT$16,BS$16,0.05)))))))</f>
        <v/>
      </c>
      <c r="DC48" s="2193">
        <f>DB48*CR48</f>
        <v/>
      </c>
      <c r="DD48" s="1051" t="n"/>
      <c r="DE48" s="1051">
        <f>IF(CU48&lt;=BW$6,BV$6,IF(CU48&lt;=BW$7,BV$7,IF(CU48&lt;=BW$8,BV$8,IF(CU48&lt;=BW$9,BV$9,IF(CU48&lt;=BW$14,BV$14,IF(CU48&lt;=BW$15,BV$15,IF(CU48&lt;=BW$16,BV$16,0.05)))))))</f>
        <v/>
      </c>
      <c r="DF48" s="2193">
        <f>DE48*SUM(DC48,CZ48,CU48)</f>
        <v/>
      </c>
      <c r="DG48" s="1051" t="n"/>
      <c r="DH48" s="2194">
        <f>IF(CX48&lt;=BZ$6,BY$6,IF(CX48&lt;=BZ$7,BY$7,IF(CX48&lt;=BZ$8,BY$8,IF(CX48&lt;=BZ$9,BY$9,IF(CX48&lt;=BZ$14,BY$14,IF(CX48&lt;=BZ$15,BY$15,IF(CX48&lt;=BZ$16,BY$16,0.05)))))))</f>
        <v/>
      </c>
      <c r="DI48" s="2193">
        <f>DH48*CX48</f>
        <v/>
      </c>
      <c r="DK48" s="1932">
        <f>0.07*SUM(CU48,CZ48,DC48,DF48,DI48)</f>
        <v/>
      </c>
      <c r="DM48" s="1932">
        <f>SUM(DK48,DI48,DF48,DC48,CZ48,CU48)</f>
        <v/>
      </c>
      <c r="DN48" s="1933">
        <f>SUM(DI48,DF48,DC48,CZ48)</f>
        <v/>
      </c>
      <c r="DO48" s="1051">
        <f>DN48/DM48</f>
        <v/>
      </c>
    </row>
    <row r="49" customFormat="1" s="585">
      <c r="A49" s="739" t="n">
        <v>2</v>
      </c>
      <c r="B49" s="600">
        <f>G49*H49</f>
        <v/>
      </c>
      <c r="C49" s="2003">
        <f>C45</f>
        <v/>
      </c>
      <c r="D49" s="2255" t="inlineStr">
        <is>
          <t>for mat ONLY</t>
        </is>
      </c>
      <c r="E49" s="763">
        <f>A49*B49*C49</f>
        <v/>
      </c>
      <c r="F49" s="2251" t="inlineStr">
        <is>
          <t>Semi Delivery Unload Hours (Mobz X hr)</t>
        </is>
      </c>
      <c r="G49" s="1611" t="n">
        <v>2</v>
      </c>
      <c r="H49" s="1608">
        <f>G55</f>
        <v/>
      </c>
      <c r="I49" s="1609" t="inlineStr">
        <is>
          <t># of Mobs      -or-</t>
        </is>
      </c>
      <c r="J49" s="1347" t="n"/>
      <c r="O49" s="763" t="n"/>
      <c r="AY49" s="2193" t="n">
        <v>37000</v>
      </c>
      <c r="AZ49" s="2193" t="n"/>
      <c r="BA49" s="2193" t="n"/>
      <c r="BB49" s="2193">
        <f>AY49</f>
        <v/>
      </c>
      <c r="BC49" s="2193" t="n"/>
      <c r="BD49" s="2193" t="n"/>
      <c r="BE49" s="2193">
        <f>AY49+BB49</f>
        <v/>
      </c>
      <c r="BF49" s="2193" t="n"/>
      <c r="BG49" s="2193" t="n"/>
      <c r="BH49" s="2193">
        <f>BE49</f>
        <v/>
      </c>
      <c r="BI49" s="1051">
        <f>IF(AY49&lt;=#REF!,#REF!,IF(AY49&lt;=#REF!,#REF!,IF(AY49&lt;=#REF!,#REF!,IF(AY49&lt;=#REF!,#REF!,IF(AY49&lt;=#REF!,#REF!,IF(AY49&lt;=#REF!,#REF!,IF(AY49&lt;=#REF!,#REF!,0.05)))))))</f>
        <v/>
      </c>
      <c r="BJ49" s="2193">
        <f>BI49*AY49</f>
        <v/>
      </c>
      <c r="BK49" s="1051" t="n"/>
      <c r="BL49" s="1051">
        <f>IF(BB49&lt;=#REF!,#REF!,IF(BB49&lt;=#REF!,#REF!,IF(BB49&lt;=#REF!,#REF!,IF(BB49&lt;=#REF!,#REF!,IF(BB49&lt;=#REF!,#REF!,IF(BB49&lt;=#REF!,#REF!,IF(BB49&lt;=#REF!,#REF!,0.05)))))))</f>
        <v/>
      </c>
      <c r="BM49" s="2193">
        <f>BL49*BB49</f>
        <v/>
      </c>
      <c r="BN49" s="1051" t="n"/>
      <c r="BO49" s="1051">
        <f>IF(BE49&lt;=#REF!,#REF!,IF(BE49&lt;=#REF!,#REF!,IF(BE49&lt;=#REF!,#REF!,IF(BE49&lt;=#REF!,#REF!,IF(BE49&lt;=#REF!,#REF!,IF(BE49&lt;=#REF!,#REF!,IF(BE49&lt;=#REF!,#REF!,0.05)))))))</f>
        <v/>
      </c>
      <c r="BP49" s="2193">
        <f>BO49*SUM(BM49,BJ49,BE49)</f>
        <v/>
      </c>
      <c r="BQ49" s="1051" t="n"/>
      <c r="BR49" s="2194">
        <f>IF(BH49&lt;=#REF!,#REF!,IF(BH49&lt;=#REF!,#REF!,IF(BH49&lt;=#REF!,#REF!,IF(BH49&lt;=#REF!,#REF!,IF(BH49&lt;=#REF!,#REF!,IF(BH49&lt;=#REF!,#REF!,IF(BH49&lt;=#REF!,#REF!,0.05)))))))</f>
        <v/>
      </c>
      <c r="BS49" s="2193">
        <f>BR49*BH49</f>
        <v/>
      </c>
      <c r="BU49" s="1932">
        <f>0.07*SUM(BE49,BJ49,BM49,BP49,BS49)</f>
        <v/>
      </c>
      <c r="BW49" s="1932">
        <f>SUM(BU49,BS49,BP49,BM49,BJ49,BE49)</f>
        <v/>
      </c>
      <c r="BX49" s="1933">
        <f>SUM(BS49,BP49,BM49,BJ49)</f>
        <v/>
      </c>
      <c r="BY49" s="1051">
        <f>BX49/BW49</f>
        <v/>
      </c>
      <c r="CO49" s="2193" t="n">
        <v>37000</v>
      </c>
      <c r="CP49" s="2193" t="n"/>
      <c r="CQ49" s="2193" t="n"/>
      <c r="CR49" s="2193">
        <f>CO49</f>
        <v/>
      </c>
      <c r="CS49" s="2193" t="n"/>
      <c r="CT49" s="2193" t="n"/>
      <c r="CU49" s="2193">
        <f>CO49+CR49</f>
        <v/>
      </c>
      <c r="CV49" s="2193" t="n"/>
      <c r="CW49" s="2193" t="n"/>
      <c r="CX49" s="2193">
        <f>CU49</f>
        <v/>
      </c>
      <c r="CY49" s="1051">
        <f>IF(CO49&lt;=BQ$6,BP$6,IF(CO49&lt;=BQ$7,BP$7,IF(CO49&lt;=BQ$8,BP$8,IF(CO49&lt;=BQ$9,BP$9,IF(CO49&lt;=BQ$14,BP$14,IF(CO49&lt;=BQ$15,BP$15,IF(CO49&lt;=BQ$16,BP$16,0.05)))))))</f>
        <v/>
      </c>
      <c r="CZ49" s="2193">
        <f>CY49*CO49</f>
        <v/>
      </c>
      <c r="DA49" s="1051" t="n"/>
      <c r="DB49" s="1051">
        <f>IF(CR49&lt;=BT$6,BS$6,IF(CR49&lt;=BT$7,BS$7,IF(CR49&lt;=BT$8,BS$8,IF(CR49&lt;=BT$9,BS$9,IF(CR49&lt;=BT$14,BS$14,IF(CR49&lt;=BT$15,BS$15,IF(CR49&lt;=BT$16,BS$16,0.05)))))))</f>
        <v/>
      </c>
      <c r="DC49" s="2193">
        <f>DB49*CR49</f>
        <v/>
      </c>
      <c r="DD49" s="1051" t="n"/>
      <c r="DE49" s="1051">
        <f>IF(CU49&lt;=BW$6,BV$6,IF(CU49&lt;=BW$7,BV$7,IF(CU49&lt;=BW$8,BV$8,IF(CU49&lt;=BW$9,BV$9,IF(CU49&lt;=BW$14,BV$14,IF(CU49&lt;=BW$15,BV$15,IF(CU49&lt;=BW$16,BV$16,0.05)))))))</f>
        <v/>
      </c>
      <c r="DF49" s="2193">
        <f>DE49*SUM(DC49,CZ49,CU49)</f>
        <v/>
      </c>
      <c r="DG49" s="1051" t="n"/>
      <c r="DH49" s="2194">
        <f>IF(CX49&lt;=BZ$6,BY$6,IF(CX49&lt;=BZ$7,BY$7,IF(CX49&lt;=BZ$8,BY$8,IF(CX49&lt;=BZ$9,BY$9,IF(CX49&lt;=BZ$14,BY$14,IF(CX49&lt;=BZ$15,BY$15,IF(CX49&lt;=BZ$16,BY$16,0.05)))))))</f>
        <v/>
      </c>
      <c r="DI49" s="2193">
        <f>DH49*CX49</f>
        <v/>
      </c>
      <c r="DK49" s="1932">
        <f>0.07*SUM(CU49,CZ49,DC49,DF49,DI49)</f>
        <v/>
      </c>
      <c r="DM49" s="1932">
        <f>SUM(DK49,DI49,DF49,DC49,CZ49,CU49)</f>
        <v/>
      </c>
      <c r="DN49" s="1933">
        <f>SUM(DI49,DF49,DC49,CZ49)</f>
        <v/>
      </c>
      <c r="DO49" s="1051">
        <f>DN49/DM49</f>
        <v/>
      </c>
    </row>
    <row r="50" customFormat="1" s="585">
      <c r="A50" s="750" t="inlineStr">
        <is>
          <t>Travel:             Guys</t>
        </is>
      </c>
      <c r="B50" s="751" t="inlineStr">
        <is>
          <t>Hours</t>
        </is>
      </c>
      <c r="C50" s="751" t="inlineStr">
        <is>
          <t>Rate</t>
        </is>
      </c>
      <c r="D50" s="751" t="n"/>
      <c r="E50" s="751" t="n"/>
      <c r="F50" s="1037" t="inlineStr">
        <is>
          <t>Travel</t>
        </is>
      </c>
      <c r="G50" s="1169" t="n"/>
      <c r="H50" s="1608">
        <f>ROUNDUP(IF(B36&gt;H36,B36/H36,1),0)</f>
        <v/>
      </c>
      <c r="I50" s="1609" t="inlineStr">
        <is>
          <t># of Mat Truck Loads</t>
        </is>
      </c>
      <c r="J50" s="1348">
        <f>J46+J48</f>
        <v/>
      </c>
      <c r="K50" s="1339" t="inlineStr">
        <is>
          <t>% Soft Surf + Corridors</t>
        </is>
      </c>
      <c r="L50" s="1339" t="n"/>
      <c r="M50" s="1944" t="n"/>
      <c r="N50" s="1944" t="n"/>
      <c r="V50" s="1172" t="inlineStr">
        <is>
          <t>1/8"</t>
        </is>
      </c>
      <c r="W50" s="1167" t="n">
        <v>8</v>
      </c>
      <c r="X50" s="1167" t="inlineStr">
        <is>
          <t>s</t>
        </is>
      </c>
      <c r="AY50" s="2193" t="n">
        <v>38000</v>
      </c>
      <c r="AZ50" s="2193" t="n"/>
      <c r="BA50" s="2193" t="n"/>
      <c r="BB50" s="2193">
        <f>AY50</f>
        <v/>
      </c>
      <c r="BC50" s="2193" t="n"/>
      <c r="BD50" s="2193" t="n"/>
      <c r="BE50" s="2193">
        <f>AY50+BB50</f>
        <v/>
      </c>
      <c r="BF50" s="2193" t="n"/>
      <c r="BG50" s="2193" t="n"/>
      <c r="BH50" s="2193">
        <f>BE50</f>
        <v/>
      </c>
      <c r="BI50" s="1051">
        <f>IF(AY50&lt;=#REF!,#REF!,IF(AY50&lt;=#REF!,#REF!,IF(AY50&lt;=#REF!,#REF!,IF(AY50&lt;=#REF!,#REF!,IF(AY50&lt;=#REF!,#REF!,IF(AY50&lt;=#REF!,#REF!,IF(AY50&lt;=#REF!,#REF!,0.05)))))))</f>
        <v/>
      </c>
      <c r="BJ50" s="2193">
        <f>BI50*AY50</f>
        <v/>
      </c>
      <c r="BK50" s="1051" t="n"/>
      <c r="BL50" s="1051">
        <f>IF(BB50&lt;=#REF!,#REF!,IF(BB50&lt;=#REF!,#REF!,IF(BB50&lt;=#REF!,#REF!,IF(BB50&lt;=#REF!,#REF!,IF(BB50&lt;=#REF!,#REF!,IF(BB50&lt;=#REF!,#REF!,IF(BB50&lt;=#REF!,#REF!,0.05)))))))</f>
        <v/>
      </c>
      <c r="BM50" s="2193">
        <f>BL50*BB50</f>
        <v/>
      </c>
      <c r="BN50" s="1051" t="n"/>
      <c r="BO50" s="1051">
        <f>IF(BE50&lt;=#REF!,#REF!,IF(BE50&lt;=#REF!,#REF!,IF(BE50&lt;=#REF!,#REF!,IF(BE50&lt;=#REF!,#REF!,IF(BE50&lt;=#REF!,#REF!,IF(BE50&lt;=#REF!,#REF!,IF(BE50&lt;=#REF!,#REF!,0.05)))))))</f>
        <v/>
      </c>
      <c r="BP50" s="2193">
        <f>BO50*SUM(BM50,BJ50,BE50)</f>
        <v/>
      </c>
      <c r="BQ50" s="1051" t="n"/>
      <c r="BR50" s="2194">
        <f>IF(BH50&lt;=#REF!,#REF!,IF(BH50&lt;=#REF!,#REF!,IF(BH50&lt;=#REF!,#REF!,IF(BH50&lt;=#REF!,#REF!,IF(BH50&lt;=#REF!,#REF!,IF(BH50&lt;=#REF!,#REF!,IF(BH50&lt;=#REF!,#REF!,0.05)))))))</f>
        <v/>
      </c>
      <c r="BS50" s="2193">
        <f>BR50*BH50</f>
        <v/>
      </c>
      <c r="BU50" s="1932">
        <f>0.07*SUM(BE50,BJ50,BM50,BP50,BS50)</f>
        <v/>
      </c>
      <c r="BW50" s="1932">
        <f>SUM(BU50,BS50,BP50,BM50,BJ50,BE50)</f>
        <v/>
      </c>
      <c r="BX50" s="1933">
        <f>SUM(BS50,BP50,BM50,BJ50)</f>
        <v/>
      </c>
      <c r="BY50" s="1051">
        <f>BX50/BW50</f>
        <v/>
      </c>
      <c r="CO50" s="2193" t="n">
        <v>38000</v>
      </c>
      <c r="CP50" s="2193" t="n"/>
      <c r="CQ50" s="2193" t="n"/>
      <c r="CR50" s="2193">
        <f>CO50</f>
        <v/>
      </c>
      <c r="CS50" s="2193" t="n"/>
      <c r="CT50" s="2193" t="n"/>
      <c r="CU50" s="2193">
        <f>CO50+CR50</f>
        <v/>
      </c>
      <c r="CV50" s="2193" t="n"/>
      <c r="CW50" s="2193" t="n"/>
      <c r="CX50" s="2193">
        <f>CU50</f>
        <v/>
      </c>
      <c r="CY50" s="1051">
        <f>IF(CO50&lt;=BQ$6,BP$6,IF(CO50&lt;=BQ$7,BP$7,IF(CO50&lt;=BQ$8,BP$8,IF(CO50&lt;=BQ$9,BP$9,IF(CO50&lt;=BQ$14,BP$14,IF(CO50&lt;=BQ$15,BP$15,IF(CO50&lt;=BQ$16,BP$16,0.05)))))))</f>
        <v/>
      </c>
      <c r="CZ50" s="2193">
        <f>CY50*CO50</f>
        <v/>
      </c>
      <c r="DA50" s="1051" t="n"/>
      <c r="DB50" s="1051">
        <f>IF(CR50&lt;=BT$6,BS$6,IF(CR50&lt;=BT$7,BS$7,IF(CR50&lt;=BT$8,BS$8,IF(CR50&lt;=BT$9,BS$9,IF(CR50&lt;=BT$14,BS$14,IF(CR50&lt;=BT$15,BS$15,IF(CR50&lt;=BT$16,BS$16,0.05)))))))</f>
        <v/>
      </c>
      <c r="DC50" s="2193">
        <f>DB50*CR50</f>
        <v/>
      </c>
      <c r="DD50" s="1051" t="n"/>
      <c r="DE50" s="1051">
        <f>IF(CU50&lt;=BW$6,BV$6,IF(CU50&lt;=BW$7,BV$7,IF(CU50&lt;=BW$8,BV$8,IF(CU50&lt;=BW$9,BV$9,IF(CU50&lt;=BW$14,BV$14,IF(CU50&lt;=BW$15,BV$15,IF(CU50&lt;=BW$16,BV$16,0.05)))))))</f>
        <v/>
      </c>
      <c r="DF50" s="2193">
        <f>DE50*SUM(DC50,CZ50,CU50)</f>
        <v/>
      </c>
      <c r="DG50" s="1051" t="n"/>
      <c r="DH50" s="2194">
        <f>IF(CX50&lt;=BZ$6,BY$6,IF(CX50&lt;=BZ$7,BY$7,IF(CX50&lt;=BZ$8,BY$8,IF(CX50&lt;=BZ$9,BY$9,IF(CX50&lt;=BZ$14,BY$14,IF(CX50&lt;=BZ$15,BY$15,IF(CX50&lt;=BZ$16,BY$16,0.05)))))))</f>
        <v/>
      </c>
      <c r="DI50" s="2193">
        <f>DH50*CX50</f>
        <v/>
      </c>
      <c r="DK50" s="1932">
        <f>0.07*SUM(CU50,CZ50,DC50,DF50,DI50)</f>
        <v/>
      </c>
      <c r="DM50" s="1932">
        <f>SUM(DK50,DI50,DF50,DC50,CZ50,CU50)</f>
        <v/>
      </c>
      <c r="DN50" s="1933">
        <f>SUM(DI50,DF50,DC50,CZ50)</f>
        <v/>
      </c>
      <c r="DO50" s="1051">
        <f>DN50/DM50</f>
        <v/>
      </c>
    </row>
    <row r="51" customFormat="1" s="585">
      <c r="A51" s="755">
        <f>A46</f>
        <v/>
      </c>
      <c r="B51" s="1777">
        <f>((B6*2)/60)*T28</f>
        <v/>
      </c>
      <c r="C51" s="2256" t="n">
        <v>33.66</v>
      </c>
      <c r="D51" s="2257" t="n"/>
      <c r="E51" s="1041">
        <f>A51*B51*C51</f>
        <v/>
      </c>
      <c r="F51" s="2036" t="inlineStr">
        <is>
          <t xml:space="preserve">Travel Hours ((miles/60) x # Mobz)  </t>
        </is>
      </c>
      <c r="G51" s="1170" t="n"/>
      <c r="H51" s="705" t="n"/>
      <c r="I51" s="2017" t="n"/>
      <c r="J51" s="774" t="n"/>
      <c r="O51" s="851" t="inlineStr">
        <is>
          <t>PSI</t>
        </is>
      </c>
      <c r="Q51" s="1046" t="inlineStr">
        <is>
          <t>Sand Mix</t>
        </is>
      </c>
      <c r="R51" s="776" t="inlineStr">
        <is>
          <t>Gyp Yield Soft</t>
        </is>
      </c>
      <c r="S51" s="1150" t="inlineStr">
        <is>
          <t>Gyp Yield Hard</t>
        </is>
      </c>
      <c r="T51" s="1151" t="inlineStr">
        <is>
          <t>Gyp Yield Corr</t>
        </is>
      </c>
      <c r="W51" s="1034">
        <f>X51/$W$50</f>
        <v/>
      </c>
      <c r="X51" s="594" t="n">
        <v>6</v>
      </c>
      <c r="AY51" s="2193" t="n">
        <v>39000</v>
      </c>
      <c r="AZ51" s="2193" t="n"/>
      <c r="BA51" s="2193" t="n"/>
      <c r="BB51" s="2193">
        <f>AY51</f>
        <v/>
      </c>
      <c r="BC51" s="2193" t="n"/>
      <c r="BD51" s="2193" t="n"/>
      <c r="BE51" s="2193">
        <f>AY51+BB51</f>
        <v/>
      </c>
      <c r="BF51" s="2193" t="n"/>
      <c r="BG51" s="2193" t="n"/>
      <c r="BH51" s="2193">
        <f>BE51</f>
        <v/>
      </c>
      <c r="BI51" s="1051">
        <f>IF(AY51&lt;=#REF!,#REF!,IF(AY51&lt;=#REF!,#REF!,IF(AY51&lt;=#REF!,#REF!,IF(AY51&lt;=#REF!,#REF!,IF(AY51&lt;=#REF!,#REF!,IF(AY51&lt;=#REF!,#REF!,IF(AY51&lt;=#REF!,#REF!,0.05)))))))</f>
        <v/>
      </c>
      <c r="BJ51" s="2193">
        <f>BI51*AY51</f>
        <v/>
      </c>
      <c r="BK51" s="1051" t="n"/>
      <c r="BL51" s="1051">
        <f>IF(BB51&lt;=#REF!,#REF!,IF(BB51&lt;=#REF!,#REF!,IF(BB51&lt;=#REF!,#REF!,IF(BB51&lt;=#REF!,#REF!,IF(BB51&lt;=#REF!,#REF!,IF(BB51&lt;=#REF!,#REF!,IF(BB51&lt;=#REF!,#REF!,0.05)))))))</f>
        <v/>
      </c>
      <c r="BM51" s="2193">
        <f>BL51*BB51</f>
        <v/>
      </c>
      <c r="BN51" s="1051" t="n"/>
      <c r="BO51" s="1051">
        <f>IF(BE51&lt;=#REF!,#REF!,IF(BE51&lt;=#REF!,#REF!,IF(BE51&lt;=#REF!,#REF!,IF(BE51&lt;=#REF!,#REF!,IF(BE51&lt;=#REF!,#REF!,IF(BE51&lt;=#REF!,#REF!,IF(BE51&lt;=#REF!,#REF!,0.05)))))))</f>
        <v/>
      </c>
      <c r="BP51" s="2193">
        <f>BO51*SUM(BM51,BJ51,BE51)</f>
        <v/>
      </c>
      <c r="BQ51" s="1051" t="n"/>
      <c r="BR51" s="2194">
        <f>IF(BH51&lt;=#REF!,#REF!,IF(BH51&lt;=#REF!,#REF!,IF(BH51&lt;=#REF!,#REF!,IF(BH51&lt;=#REF!,#REF!,IF(BH51&lt;=#REF!,#REF!,IF(BH51&lt;=#REF!,#REF!,IF(BH51&lt;=#REF!,#REF!,0.05)))))))</f>
        <v/>
      </c>
      <c r="BS51" s="2193">
        <f>BR51*BH51</f>
        <v/>
      </c>
      <c r="BU51" s="1932">
        <f>0.07*SUM(BE51,BJ51,BM51,BP51,BS51)</f>
        <v/>
      </c>
      <c r="BW51" s="1932">
        <f>SUM(BU51,BS51,BP51,BM51,BJ51,BE51)</f>
        <v/>
      </c>
      <c r="BX51" s="1933">
        <f>SUM(BS51,BP51,BM51,BJ51)</f>
        <v/>
      </c>
      <c r="BY51" s="1051">
        <f>BX51/BW51</f>
        <v/>
      </c>
      <c r="CO51" s="2193" t="n">
        <v>39000</v>
      </c>
      <c r="CP51" s="2193" t="n"/>
      <c r="CQ51" s="2193" t="n"/>
      <c r="CR51" s="2193">
        <f>CO51</f>
        <v/>
      </c>
      <c r="CS51" s="2193" t="n"/>
      <c r="CT51" s="2193" t="n"/>
      <c r="CU51" s="2193">
        <f>CO51+CR51</f>
        <v/>
      </c>
      <c r="CV51" s="2193" t="n"/>
      <c r="CW51" s="2193" t="n"/>
      <c r="CX51" s="2193">
        <f>CU51</f>
        <v/>
      </c>
      <c r="CY51" s="1051">
        <f>IF(CO51&lt;=BQ$6,BP$6,IF(CO51&lt;=BQ$7,BP$7,IF(CO51&lt;=BQ$8,BP$8,IF(CO51&lt;=BQ$9,BP$9,IF(CO51&lt;=BQ$14,BP$14,IF(CO51&lt;=BQ$15,BP$15,IF(CO51&lt;=BQ$16,BP$16,0.05)))))))</f>
        <v/>
      </c>
      <c r="CZ51" s="2193">
        <f>CY51*CO51</f>
        <v/>
      </c>
      <c r="DA51" s="1051" t="n"/>
      <c r="DB51" s="1051">
        <f>IF(CR51&lt;=BT$6,BS$6,IF(CR51&lt;=BT$7,BS$7,IF(CR51&lt;=BT$8,BS$8,IF(CR51&lt;=BT$9,BS$9,IF(CR51&lt;=BT$14,BS$14,IF(CR51&lt;=BT$15,BS$15,IF(CR51&lt;=BT$16,BS$16,0.05)))))))</f>
        <v/>
      </c>
      <c r="DC51" s="2193">
        <f>DB51*CR51</f>
        <v/>
      </c>
      <c r="DD51" s="1051" t="n"/>
      <c r="DE51" s="1051">
        <f>IF(CU51&lt;=BW$6,BV$6,IF(CU51&lt;=BW$7,BV$7,IF(CU51&lt;=BW$8,BV$8,IF(CU51&lt;=BW$9,BV$9,IF(CU51&lt;=BW$14,BV$14,IF(CU51&lt;=BW$15,BV$15,IF(CU51&lt;=BW$16,BV$16,0.05)))))))</f>
        <v/>
      </c>
      <c r="DF51" s="2193">
        <f>DE51*SUM(DC51,CZ51,CU51)</f>
        <v/>
      </c>
      <c r="DG51" s="1051" t="n"/>
      <c r="DH51" s="2194">
        <f>IF(CX51&lt;=BZ$6,BY$6,IF(CX51&lt;=BZ$7,BY$7,IF(CX51&lt;=BZ$8,BY$8,IF(CX51&lt;=BZ$9,BY$9,IF(CX51&lt;=BZ$14,BY$14,IF(CX51&lt;=BZ$15,BY$15,IF(CX51&lt;=BZ$16,BY$16,0.05)))))))</f>
        <v/>
      </c>
      <c r="DI51" s="2193">
        <f>DH51*CX51</f>
        <v/>
      </c>
      <c r="DK51" s="1932">
        <f>0.07*SUM(CU51,CZ51,DC51,DF51,DI51)</f>
        <v/>
      </c>
      <c r="DM51" s="1932">
        <f>SUM(DK51,DI51,DF51,DC51,CZ51,CU51)</f>
        <v/>
      </c>
      <c r="DN51" s="1933">
        <f>SUM(DI51,DF51,DC51,CZ51)</f>
        <v/>
      </c>
      <c r="DO51" s="1051">
        <f>DN51/DM51</f>
        <v/>
      </c>
    </row>
    <row r="52" ht="16.2" customFormat="1" customHeight="1" s="585" thickBot="1">
      <c r="A52" s="764" t="inlineStr">
        <is>
          <t xml:space="preserve">Install Labor </t>
        </is>
      </c>
      <c r="B52" s="765" t="n"/>
      <c r="C52" s="766" t="n"/>
      <c r="D52" s="765" t="n"/>
      <c r="E52" s="2258">
        <f>ROUNDUP(SUM(E45:E51),0)</f>
        <v/>
      </c>
      <c r="F52" s="766">
        <f>E52/B43</f>
        <v/>
      </c>
      <c r="G52" s="766" t="inlineStr">
        <is>
          <t>Labor $/SF</t>
        </is>
      </c>
      <c r="H52" s="2011" t="n"/>
      <c r="I52" s="600" t="n"/>
      <c r="J52" s="1046" t="n"/>
      <c r="O52" s="585" t="inlineStr">
        <is>
          <t>2500 psi = 1.8</t>
        </is>
      </c>
      <c r="P52" s="585" t="n">
        <v>1.8</v>
      </c>
      <c r="Q52" s="585" t="n">
        <v>180</v>
      </c>
      <c r="R52" s="1034">
        <f>G15/I23</f>
        <v/>
      </c>
      <c r="S52" s="1034">
        <f>(G15+12)/I24</f>
        <v/>
      </c>
      <c r="T52" s="1034">
        <f>G15/I25</f>
        <v/>
      </c>
      <c r="W52" s="1034">
        <f>X52/$W$50</f>
        <v/>
      </c>
      <c r="X52" s="594" t="n">
        <v>8</v>
      </c>
    </row>
    <row r="53" ht="16.2" customFormat="1" customHeight="1" s="585" thickBot="1">
      <c r="A53" s="1527" t="inlineStr">
        <is>
          <t>Labor Escalation</t>
        </is>
      </c>
      <c r="B53" s="1533" t="inlineStr">
        <is>
          <t>(rate esc. only)</t>
        </is>
      </c>
      <c r="C53" s="1555" t="n">
        <v>0.05</v>
      </c>
      <c r="D53" s="1528" t="n"/>
      <c r="E53" s="2259">
        <f>ROUNDUP(((E52)*C53),0)</f>
        <v/>
      </c>
      <c r="F53" s="1556" t="inlineStr">
        <is>
          <t>+5%IFPWorLong Lead Job (12+months)</t>
        </is>
      </c>
      <c r="G53" s="600" t="n"/>
      <c r="H53" s="2014" t="n"/>
      <c r="I53" s="600" t="n"/>
      <c r="J53" s="1046" t="n"/>
      <c r="K53" s="1595" t="inlineStr">
        <is>
          <t xml:space="preserve">        "Entry" Laborer for MO "State" Wage ONLY</t>
        </is>
      </c>
      <c r="L53" s="1594" t="n"/>
      <c r="M53" s="1944" t="n"/>
      <c r="N53" s="1944" t="n"/>
      <c r="R53" s="1034" t="n"/>
      <c r="S53" s="1034" t="n"/>
      <c r="T53" s="1034" t="n"/>
      <c r="W53" s="1034">
        <f>X53/$W$50</f>
        <v/>
      </c>
      <c r="X53" s="594" t="n">
        <v>10</v>
      </c>
    </row>
    <row r="54" ht="16.2" customFormat="1" customHeight="1" s="585" thickBot="1">
      <c r="A54" s="771" t="inlineStr">
        <is>
          <t>Labor Burden</t>
        </is>
      </c>
      <c r="B54" s="766" t="n"/>
      <c r="C54" s="1044" t="n">
        <v>0.12</v>
      </c>
      <c r="D54" s="1044" t="n"/>
      <c r="E54" s="2260">
        <f>ROUNDUP((E52+E53)*C54,0)</f>
        <v/>
      </c>
      <c r="F54" s="600" t="n"/>
      <c r="G54" s="600" t="n"/>
      <c r="H54" s="2017" t="n"/>
      <c r="I54" s="2017" t="n"/>
      <c r="J54" s="834" t="n"/>
      <c r="K54" s="1585" t="inlineStr">
        <is>
          <t xml:space="preserve">                    ** Cement Mason **              </t>
        </is>
      </c>
      <c r="L54" s="1586" t="n"/>
      <c r="M54" s="1944" t="n"/>
      <c r="N54" s="1944" t="n"/>
      <c r="O54" s="585" t="inlineStr">
        <is>
          <t>3000+ psi = 1.4</t>
        </is>
      </c>
      <c r="P54" s="585" t="n">
        <v>1.4</v>
      </c>
      <c r="Q54" s="585" t="n">
        <v>140</v>
      </c>
      <c r="R54" s="1121">
        <f>ROUND(G15/(I23*1.1764705915999),0)</f>
        <v/>
      </c>
      <c r="S54" s="1122">
        <f>ROUND((G15+12)/(I24*1.1764705915999),0)</f>
        <v/>
      </c>
      <c r="T54" s="1121">
        <f>ROUND(G15/(I25*1.1764705915999),0)</f>
        <v/>
      </c>
      <c r="W54" s="1034">
        <f>X54/$W$50</f>
        <v/>
      </c>
      <c r="X54" s="594" t="n">
        <v>12</v>
      </c>
    </row>
    <row r="55" ht="16.2" customFormat="1" customHeight="1" s="585" thickBot="1">
      <c r="A55" s="600" t="n"/>
      <c r="B55" s="1877" t="n"/>
      <c r="C55" s="1944" t="n"/>
      <c r="D55" s="1944" t="n"/>
      <c r="E55" s="1944" t="n"/>
      <c r="F55" s="1944" t="n"/>
      <c r="G55" s="1610">
        <f>T28</f>
        <v/>
      </c>
      <c r="H55" s="1390" t="inlineStr">
        <is>
          <t>Total mobs INCLUDED</t>
        </is>
      </c>
      <c r="I55" s="1441" t="inlineStr">
        <is>
          <t>---from---'S28'---&gt;</t>
        </is>
      </c>
      <c r="J55" s="834" t="n"/>
      <c r="K55" s="1576" t="inlineStr">
        <is>
          <t>Prevailing Wage Rate:</t>
        </is>
      </c>
      <c r="L55" s="2018">
        <f>SUM(L56:L57)</f>
        <v/>
      </c>
      <c r="M55" s="2026">
        <f>IF((L55/2)&lt;23,23,(L55/2))</f>
        <v/>
      </c>
      <c r="W55" s="1034">
        <f>X55/$W$50</f>
        <v/>
      </c>
      <c r="X55" s="594" t="n">
        <v>14</v>
      </c>
    </row>
    <row r="56" customFormat="1" s="585">
      <c r="A56" s="621" t="inlineStr">
        <is>
          <t>TOOLING &amp; CONSUMABLES</t>
        </is>
      </c>
      <c r="B56" s="622" t="inlineStr">
        <is>
          <t>Quantity</t>
        </is>
      </c>
      <c r="C56" s="778" t="inlineStr">
        <is>
          <t>Cost</t>
        </is>
      </c>
      <c r="D56" s="1047" t="n"/>
      <c r="E56" s="2261" t="inlineStr">
        <is>
          <t>Totals</t>
        </is>
      </c>
      <c r="F56" s="600" t="n"/>
      <c r="G56" s="600" t="n"/>
      <c r="H56" s="1450">
        <f>F43</f>
        <v/>
      </c>
      <c r="I56" s="593" t="n"/>
      <c r="J56" s="600" t="n"/>
      <c r="K56" s="1578" t="inlineStr">
        <is>
          <t>rate =</t>
        </is>
      </c>
      <c r="L56" s="2020" t="n">
        <v>0</v>
      </c>
      <c r="M56" s="1598" t="inlineStr">
        <is>
          <t xml:space="preserve"> 1:1 "Entry"</t>
        </is>
      </c>
      <c r="O56" s="1113" t="inlineStr">
        <is>
          <t>Gyp Yield Calculator</t>
        </is>
      </c>
      <c r="P56" s="1120" t="inlineStr">
        <is>
          <t>Factor = 13.00</t>
        </is>
      </c>
      <c r="W56" s="1034">
        <f>X56/$W$50</f>
        <v/>
      </c>
      <c r="X56" s="594" t="n">
        <v>16</v>
      </c>
    </row>
    <row r="57" ht="16.2" customFormat="1" customHeight="1" s="585" thickBot="1">
      <c r="A57" s="628" t="inlineStr">
        <is>
          <t>Moisture Test</t>
        </is>
      </c>
      <c r="B57" s="774" t="n"/>
      <c r="C57" s="1944" t="n">
        <v>35</v>
      </c>
      <c r="D57" s="1977" t="n"/>
      <c r="E57" s="1962">
        <f>ROUNDUP(B57*C57,0)</f>
        <v/>
      </c>
      <c r="F57" s="600" t="n"/>
      <c r="G57" s="1409" t="inlineStr">
        <is>
          <t xml:space="preserve">Total Man Hours </t>
        </is>
      </c>
      <c r="H57" s="1410">
        <f>((A46*B46)+(A47*B47)+(A48*B48)+(A49*B49)+(A45*B45))</f>
        <v/>
      </c>
      <c r="I57" s="1443">
        <f>A46</f>
        <v/>
      </c>
      <c r="J57" s="2168" t="inlineStr">
        <is>
          <t>crew size</t>
        </is>
      </c>
      <c r="K57" s="1580" t="inlineStr">
        <is>
          <t>+ fringes =</t>
        </is>
      </c>
      <c r="L57" s="2022" t="n">
        <v>0</v>
      </c>
      <c r="M57" s="1599" t="inlineStr">
        <is>
          <t xml:space="preserve">Half Wage </t>
        </is>
      </c>
      <c r="O57" s="585" t="n">
        <v>1.4</v>
      </c>
      <c r="P57" s="585">
        <f>160+280</f>
        <v/>
      </c>
      <c r="Q57" s="1121" t="n">
        <v>33.75</v>
      </c>
      <c r="R57" s="2262">
        <f>P57/Q57</f>
        <v/>
      </c>
      <c r="S57" s="594" t="n">
        <v>1.4</v>
      </c>
      <c r="T57" s="1122" t="n">
        <v>35.5</v>
      </c>
      <c r="U57" s="2262">
        <f>P57/T57</f>
        <v/>
      </c>
      <c r="V57" s="594" t="n">
        <v>1.4</v>
      </c>
      <c r="W57" s="1034">
        <f>X57/$W$50</f>
        <v/>
      </c>
      <c r="X57" s="594" t="n">
        <v>18</v>
      </c>
    </row>
    <row r="58" customFormat="1" s="585">
      <c r="A58" s="628" t="inlineStr">
        <is>
          <t>Tooling &amp; Consumables</t>
        </is>
      </c>
      <c r="B58" s="774">
        <f>B43</f>
        <v/>
      </c>
      <c r="C58" s="1944" t="n">
        <v>0.04</v>
      </c>
      <c r="D58" s="1977" t="n"/>
      <c r="E58" s="1962">
        <f>ROUNDUP(B58*C58,0)</f>
        <v/>
      </c>
      <c r="F58" s="1422" t="inlineStr">
        <is>
          <t>(staples, sprayer, tarp, etc.)</t>
        </is>
      </c>
      <c r="G58" s="1048" t="inlineStr">
        <is>
          <t xml:space="preserve">Total Days </t>
        </is>
      </c>
      <c r="H58" s="1389">
        <f>H57/IF($F$43="8 hour days",8,10)/I57</f>
        <v/>
      </c>
      <c r="I58" s="1404">
        <f>H58/G55</f>
        <v/>
      </c>
      <c r="J58" s="959" t="inlineStr">
        <is>
          <t>Avg days per mob</t>
        </is>
      </c>
      <c r="K58" s="864" t="inlineStr">
        <is>
          <t xml:space="preserve">        Foreman *min. $32 Cement Mason</t>
        </is>
      </c>
      <c r="L58" s="2023" t="n"/>
      <c r="O58" s="585" t="n">
        <v>1.8</v>
      </c>
      <c r="P58" s="585">
        <f>160+360</f>
        <v/>
      </c>
      <c r="Q58" s="1118" t="n">
        <v>40</v>
      </c>
      <c r="R58" s="2263">
        <f>P58/Q58</f>
        <v/>
      </c>
      <c r="S58" s="594" t="n">
        <v>1.8</v>
      </c>
      <c r="T58" s="1034" t="n">
        <v>42</v>
      </c>
      <c r="U58" s="2264">
        <f>P58/T58</f>
        <v/>
      </c>
      <c r="V58" s="594" t="n">
        <v>1.8</v>
      </c>
      <c r="W58" s="1034">
        <f>X58/$W$50</f>
        <v/>
      </c>
      <c r="X58" s="594" t="n">
        <v>20</v>
      </c>
    </row>
    <row r="59" ht="16.2" customFormat="1" customHeight="1" s="585" thickBot="1">
      <c r="A59" s="628" t="n"/>
      <c r="B59" s="774" t="n"/>
      <c r="C59" s="1944" t="n"/>
      <c r="D59" s="1977" t="n"/>
      <c r="E59" s="1962">
        <f>ROUNDUP(B59*C59,0)</f>
        <v/>
      </c>
      <c r="F59" s="787" t="n"/>
      <c r="G59" s="1405" t="n"/>
      <c r="H59" s="1406" t="n"/>
      <c r="I59" s="1407" t="n"/>
      <c r="J59" s="2265" t="n"/>
      <c r="K59" s="1583" t="inlineStr">
        <is>
          <t xml:space="preserve">        (Entry *min. $23 Cement Mason)</t>
        </is>
      </c>
      <c r="L59" s="2024" t="n"/>
      <c r="Q59" s="1119" t="inlineStr">
        <is>
          <t>40 sf @ 3/4"</t>
        </is>
      </c>
      <c r="R59" s="2266">
        <f>R58-R57</f>
        <v/>
      </c>
      <c r="S59" s="590" t="inlineStr">
        <is>
          <t>diff</t>
        </is>
      </c>
      <c r="U59" s="2266">
        <f>U58-U57</f>
        <v/>
      </c>
      <c r="V59" s="590" t="inlineStr">
        <is>
          <t>diff</t>
        </is>
      </c>
      <c r="W59" s="1034">
        <f>X59/$W$50</f>
        <v/>
      </c>
      <c r="X59" s="594" t="n">
        <v>22</v>
      </c>
    </row>
    <row r="60" ht="16.2" customFormat="1" customHeight="1" s="585" thickBot="1">
      <c r="A60" s="628" t="n"/>
      <c r="B60" s="774" t="n"/>
      <c r="C60" s="1944" t="n"/>
      <c r="D60" s="1977" t="n"/>
      <c r="E60" s="1962">
        <f>ROUNDUP(B60*C60,0)</f>
        <v/>
      </c>
      <c r="F60" s="600" t="n"/>
      <c r="G60" s="1438" t="inlineStr">
        <is>
          <t>Total Days w/Travel</t>
        </is>
      </c>
      <c r="H60" s="1439">
        <f>H61/IF($F$43="8 hour days",8,10)/I57</f>
        <v/>
      </c>
      <c r="I60" s="1404">
        <f>H60/G55</f>
        <v/>
      </c>
      <c r="J60" s="959" t="inlineStr">
        <is>
          <t>Days per mob(WITH travel)</t>
        </is>
      </c>
      <c r="K60" s="1587" t="inlineStr">
        <is>
          <t xml:space="preserve">                           ** Painter **                      </t>
        </is>
      </c>
      <c r="L60" s="1588" t="n"/>
      <c r="W60" s="1034">
        <f>X60/$W$50</f>
        <v/>
      </c>
      <c r="X60" s="594" t="n">
        <v>24</v>
      </c>
    </row>
    <row r="61" ht="16.2" customFormat="1" customHeight="1" s="585" thickBot="1">
      <c r="A61" s="1565" t="inlineStr">
        <is>
          <t>Tooling and Consumables Total</t>
        </is>
      </c>
      <c r="B61" s="1566" t="n"/>
      <c r="C61" s="2028" t="n"/>
      <c r="D61" s="2028" t="n"/>
      <c r="E61" s="2029">
        <f>SUM(E57:E60)</f>
        <v/>
      </c>
      <c r="F61" s="600" t="n"/>
      <c r="G61" s="1537" t="inlineStr">
        <is>
          <t>Hours WITH travel</t>
        </is>
      </c>
      <c r="H61" s="1536">
        <f>((A46*B46)+(A47*B47)+(A48*B48)+(A49*B49)+(A45*B45)+(A51*B51))</f>
        <v/>
      </c>
      <c r="I61" s="793" t="n"/>
      <c r="J61" s="834" t="n"/>
      <c r="K61" s="1576" t="inlineStr">
        <is>
          <t>Prevailing Wage Rate:</t>
        </is>
      </c>
      <c r="L61" s="2018">
        <f>SUM(L62:L63)</f>
        <v/>
      </c>
      <c r="M61" s="2026">
        <f>IF((L61/2)&lt;23,23,(L61/2))</f>
        <v/>
      </c>
      <c r="W61" s="1034">
        <f>X61/$W$50</f>
        <v/>
      </c>
      <c r="X61" s="594" t="n">
        <v>26</v>
      </c>
    </row>
    <row r="62" customFormat="1" s="585">
      <c r="A62" s="600" t="n"/>
      <c r="B62" s="1877" t="n"/>
      <c r="C62" s="1944" t="n"/>
      <c r="D62" s="1944" t="n"/>
      <c r="E62" s="1944" t="n"/>
      <c r="F62" s="600" t="n"/>
      <c r="G62" s="600" t="n"/>
      <c r="H62" s="600" t="n"/>
      <c r="I62" s="2267">
        <f>B43/G55</f>
        <v/>
      </c>
      <c r="J62" s="1645" t="inlineStr">
        <is>
          <t>SF /mob (approx.-avg.)</t>
        </is>
      </c>
      <c r="K62" s="1578" t="inlineStr">
        <is>
          <t>rate =</t>
        </is>
      </c>
      <c r="L62" s="2020" t="n">
        <v>0</v>
      </c>
      <c r="M62" s="1596" t="inlineStr">
        <is>
          <t xml:space="preserve"> 1:1 "Entry"</t>
        </is>
      </c>
      <c r="W62" s="1034">
        <f>X62/$W$50</f>
        <v/>
      </c>
      <c r="X62" s="594" t="n">
        <v>28</v>
      </c>
    </row>
    <row r="63" ht="16.2" customFormat="1" customHeight="1" s="585" thickBot="1">
      <c r="A63" s="621" t="inlineStr">
        <is>
          <t>TRAVEL</t>
        </is>
      </c>
      <c r="B63" s="622" t="inlineStr">
        <is>
          <t>Quantity</t>
        </is>
      </c>
      <c r="C63" s="778" t="inlineStr">
        <is>
          <t>Cost</t>
        </is>
      </c>
      <c r="D63" s="1047" t="n"/>
      <c r="E63" s="2261" t="inlineStr">
        <is>
          <t>Totals</t>
        </is>
      </c>
      <c r="F63" s="600" t="n"/>
      <c r="G63" s="600" t="n"/>
      <c r="H63" s="780" t="n"/>
      <c r="K63" s="1580" t="inlineStr">
        <is>
          <t>+ fringes =</t>
        </is>
      </c>
      <c r="L63" s="2022" t="n">
        <v>0</v>
      </c>
      <c r="M63" s="1597" t="inlineStr">
        <is>
          <t xml:space="preserve">Half Wage </t>
        </is>
      </c>
      <c r="O63" s="1113" t="inlineStr">
        <is>
          <t>PSI option… pending add</t>
        </is>
      </c>
      <c r="Q63" s="1046" t="inlineStr">
        <is>
          <t>Sand Mix</t>
        </is>
      </c>
      <c r="R63" s="1046" t="inlineStr">
        <is>
          <t>Gyp Yield Soft+Corr</t>
        </is>
      </c>
      <c r="S63" s="1046" t="inlineStr">
        <is>
          <t>Gyp Yield Hard</t>
        </is>
      </c>
    </row>
    <row r="64" customFormat="1" s="585">
      <c r="A64" s="628" t="inlineStr">
        <is>
          <t>Travel - Lodging</t>
        </is>
      </c>
      <c r="B64" s="774">
        <f>IF(B5="No",((E52-E51)/C46)/10)</f>
        <v/>
      </c>
      <c r="C64" s="1944" t="n">
        <v>70</v>
      </c>
      <c r="D64" s="1977" t="n"/>
      <c r="E64" s="1962">
        <f>ROUNDUP(B64*C64,0)</f>
        <v/>
      </c>
      <c r="F64" s="600" t="n">
        <v>234450</v>
      </c>
      <c r="G64" s="600" t="n"/>
      <c r="H64" s="600" t="n"/>
      <c r="I64" s="774" t="n"/>
      <c r="J64" s="714" t="n"/>
      <c r="K64" s="864" t="inlineStr">
        <is>
          <t xml:space="preserve">               Foreman *min. $32 Painter</t>
        </is>
      </c>
      <c r="L64" s="2023" t="n"/>
      <c r="O64" s="585" t="inlineStr">
        <is>
          <t>2000 psi</t>
        </is>
      </c>
      <c r="P64" s="585" t="n">
        <v>2.1</v>
      </c>
      <c r="Q64" s="585" t="n">
        <v>210</v>
      </c>
    </row>
    <row r="65" ht="16.2" customFormat="1" customHeight="1" s="585" thickBot="1">
      <c r="A65" s="628" t="inlineStr">
        <is>
          <t>Travel - Food</t>
        </is>
      </c>
      <c r="B65" s="774">
        <f>B64</f>
        <v/>
      </c>
      <c r="C65" s="1944" t="n">
        <v>45</v>
      </c>
      <c r="D65" s="1977" t="n"/>
      <c r="E65" s="1962">
        <f>ROUNDUP(B65*C65,0)</f>
        <v/>
      </c>
      <c r="F65" s="795" t="n">
        <v>234451</v>
      </c>
      <c r="G65" s="600" t="n"/>
      <c r="H65" s="600" t="n"/>
      <c r="I65" s="782" t="n"/>
      <c r="J65" s="1944" t="n"/>
      <c r="K65" s="1583" t="inlineStr">
        <is>
          <t xml:space="preserve">               (Entry *min. $23 Painter)</t>
        </is>
      </c>
      <c r="L65" s="2024" t="n"/>
      <c r="M65" s="1383" t="n"/>
      <c r="N65" s="1383" t="n"/>
    </row>
    <row r="66" ht="16.2" customFormat="1" customHeight="1" s="585" thickBot="1">
      <c r="A66" s="628" t="n"/>
      <c r="B66" s="774" t="n"/>
      <c r="C66" s="1944" t="n"/>
      <c r="D66" s="1977" t="n"/>
      <c r="E66" s="1962">
        <f>ROUNDUP(B66*C66,0)</f>
        <v/>
      </c>
      <c r="F66" s="600" t="n">
        <v>334900</v>
      </c>
      <c r="G66" s="600" t="n"/>
      <c r="H66" s="600" t="n"/>
      <c r="I66" s="774" t="n"/>
      <c r="J66" s="1944" t="n"/>
      <c r="K66" s="1595" t="inlineStr">
        <is>
          <t xml:space="preserve">        "Entry" Laborer for MO "State" Wage ONLY</t>
        </is>
      </c>
      <c r="L66" s="1594" t="n"/>
      <c r="M66" s="590" t="inlineStr">
        <is>
          <t>NOT davis-bacon</t>
        </is>
      </c>
      <c r="N66" s="590" t="n"/>
    </row>
    <row r="67" customFormat="1" s="585">
      <c r="A67" s="1565" t="inlineStr">
        <is>
          <t>Travel Costs Total</t>
        </is>
      </c>
      <c r="B67" s="1566" t="n"/>
      <c r="C67" s="2028" t="n"/>
      <c r="D67" s="2028" t="n"/>
      <c r="E67" s="2029">
        <f>SUM(E64:E66)</f>
        <v/>
      </c>
      <c r="F67" s="600" t="n">
        <v>334901</v>
      </c>
      <c r="G67" s="600" t="n"/>
      <c r="H67" s="662" t="n"/>
      <c r="I67" s="793" t="n"/>
      <c r="J67" s="1944" t="n"/>
      <c r="K67" s="600" t="n"/>
      <c r="L67" s="1936" t="n"/>
    </row>
    <row r="68" customFormat="1" s="585">
      <c r="A68" s="600" t="n"/>
      <c r="B68" s="1877" t="n"/>
      <c r="C68" s="1944" t="n"/>
      <c r="D68" s="1944" t="n"/>
      <c r="E68" s="1944" t="n"/>
      <c r="F68" s="600" t="n"/>
      <c r="G68" s="600" t="n"/>
      <c r="H68" s="600" t="n"/>
      <c r="J68" s="714" t="n"/>
      <c r="K68" s="1944" t="n"/>
      <c r="L68" s="1928" t="n"/>
    </row>
    <row r="69" customFormat="1" s="585">
      <c r="A69" s="796" t="inlineStr">
        <is>
          <t>SUB-TOTAL COSTS</t>
        </is>
      </c>
      <c r="B69" s="797" t="n"/>
      <c r="C69" s="2032" t="n"/>
      <c r="D69" s="2032" t="n"/>
      <c r="E69" s="2033">
        <f>ROUNDUP(SUM(E41,E52:E54,E61,E67),0)</f>
        <v/>
      </c>
      <c r="F69" s="2268">
        <f>E69/B43</f>
        <v/>
      </c>
      <c r="G69" s="801" t="inlineStr">
        <is>
          <t>Sub-Total $/SF</t>
        </is>
      </c>
      <c r="H69" s="600" t="n"/>
      <c r="K69" s="714" t="n"/>
      <c r="L69" s="2031" t="n"/>
    </row>
    <row r="70" customFormat="1" s="585">
      <c r="A70" s="600" t="n"/>
      <c r="B70" s="1877" t="n"/>
      <c r="C70" s="1944" t="n"/>
      <c r="D70" s="1944" t="n"/>
      <c r="E70" s="1944" t="n"/>
      <c r="F70" s="600" t="n"/>
      <c r="G70" s="600" t="n"/>
      <c r="H70" s="600" t="n"/>
      <c r="J70" s="1944" t="n"/>
      <c r="K70" s="600" t="n"/>
      <c r="L70" s="1936" t="n"/>
      <c r="M70" s="1936" t="n"/>
      <c r="N70" s="1936" t="n"/>
    </row>
    <row r="71" customFormat="1" s="585">
      <c r="A71" s="621" t="inlineStr">
        <is>
          <t>MARKUP</t>
        </is>
      </c>
      <c r="B71" s="622" t="inlineStr">
        <is>
          <t>%</t>
        </is>
      </c>
      <c r="C71" s="2035" t="n"/>
      <c r="D71" s="1047" t="n"/>
      <c r="E71" s="2019" t="inlineStr">
        <is>
          <t>Totals</t>
        </is>
      </c>
      <c r="F71" s="600" t="n"/>
      <c r="G71" s="2036">
        <f>SUM(E69,E81,E84)</f>
        <v/>
      </c>
      <c r="H71" s="811" t="inlineStr">
        <is>
          <t>Total "Estimated Costs" w/taxes + fees + bond</t>
        </is>
      </c>
      <c r="I71" s="812" t="n"/>
      <c r="J71" s="2037">
        <f>G71/C86</f>
        <v/>
      </c>
      <c r="K71" s="1944" t="n"/>
      <c r="L71" s="1928" t="n"/>
    </row>
    <row r="72" customFormat="1" s="585">
      <c r="A72" s="817" t="inlineStr">
        <is>
          <t>GP (before lines below)</t>
        </is>
      </c>
      <c r="B72" s="122">
        <f>IF(E69&lt;15000,0.45,IF(E69&lt;25000,0.4,IF(E69&lt;50000,0.35,IF(E69&lt;75000,0.33,IF(E69&lt;100000,0.28,IF(E69&lt;150000,0.26,0.24))))))</f>
        <v/>
      </c>
      <c r="C72" s="1944" t="n"/>
      <c r="D72" s="2269" t="n"/>
      <c r="E72" s="2038">
        <f>ROUNDUP(SUM(E69,E79,E82)/(1-B72),0)-ROUNDUP(SUM(E69,E79,E82),0)</f>
        <v/>
      </c>
      <c r="F72" s="600" t="n"/>
      <c r="G72" s="2039">
        <f>((A45*B45)+(A46*B46)+(A47*B47)+(A48*B48)+(A49*B49))+(A51*B51)</f>
        <v/>
      </c>
      <c r="H72" s="815" t="inlineStr">
        <is>
          <t>Man Hour Budget (Raken)</t>
        </is>
      </c>
      <c r="I72" s="815" t="n"/>
      <c r="K72" s="662" t="n"/>
      <c r="L72" s="1928" t="n"/>
    </row>
    <row r="73" customFormat="1" s="585">
      <c r="A73" s="817" t="inlineStr">
        <is>
          <t>Hard Bid Discount</t>
        </is>
      </c>
      <c r="B73" s="2040" t="n"/>
      <c r="C73" s="1944" t="n"/>
      <c r="D73" s="1977" t="n"/>
      <c r="E73" s="1962">
        <f>ROUNDUP(SUM(E69,E72)*B73,0)</f>
        <v/>
      </c>
      <c r="F73" s="600" t="n"/>
      <c r="G73" s="2270">
        <f>G86/H60</f>
        <v/>
      </c>
      <c r="H73" s="1436" t="inlineStr">
        <is>
          <t>GP per Day</t>
        </is>
      </c>
      <c r="I73" s="809">
        <f>F43</f>
        <v/>
      </c>
      <c r="K73" s="1944" t="n"/>
      <c r="L73" s="1928" t="n"/>
    </row>
    <row r="74" customFormat="1" s="585">
      <c r="A74" s="628" t="inlineStr">
        <is>
          <t>Superintendent &amp; PTO</t>
        </is>
      </c>
      <c r="B74" s="819" t="n">
        <v>0.041</v>
      </c>
      <c r="C74" s="2042" t="n"/>
      <c r="D74" s="1977" t="n"/>
      <c r="E74" s="1962">
        <f>ROUNDUP(SUM(E69:E73,E76,E79,E82)*B74,0)</f>
        <v/>
      </c>
      <c r="F74" s="600" t="n"/>
      <c r="G74" s="793" t="inlineStr">
        <is>
          <t>Minimum ^ = $2,500</t>
        </is>
      </c>
      <c r="H74" s="2219">
        <f>G73-2500</f>
        <v/>
      </c>
      <c r="I74" s="590" t="inlineStr">
        <is>
          <t>difference (good/not?)</t>
        </is>
      </c>
      <c r="K74" s="714" t="n"/>
      <c r="L74" s="2031" t="n"/>
    </row>
    <row r="75" customFormat="1" s="585">
      <c r="A75" s="628" t="inlineStr">
        <is>
          <t>Soft Costs</t>
        </is>
      </c>
      <c r="B75" s="819">
        <f>IF(OR(B5="Yes",B5="No"),IF(B5="Yes",0.09,0.1) - IF(E69&gt;334900,0.05,IF(E69&gt;234450,0.035,0)),"error")</f>
        <v/>
      </c>
      <c r="C75" s="2042" t="n"/>
      <c r="D75" s="1977" t="n"/>
      <c r="E75" s="1962">
        <f>(ROUNDUP(SUM(E69:E74,E76,E79,E82)*B75,0))+0</f>
        <v/>
      </c>
      <c r="F75" s="600" t="n"/>
      <c r="G75" s="600" t="n"/>
      <c r="H75" s="1877" t="n"/>
      <c r="J75" s="2043" t="n"/>
      <c r="K75" s="714" t="n"/>
      <c r="L75" s="2031" t="n"/>
    </row>
    <row r="76" customFormat="1" s="585">
      <c r="A76" s="820" t="inlineStr">
        <is>
          <t>Contingency</t>
        </is>
      </c>
      <c r="B76" s="1575" t="inlineStr">
        <is>
          <t>-- ?? --&gt;</t>
        </is>
      </c>
      <c r="C76" s="2044" t="n"/>
      <c r="D76" s="2044" t="n"/>
      <c r="E76" s="2045" t="n">
        <v>0</v>
      </c>
      <c r="F76" s="600" t="n"/>
      <c r="G76" s="585" t="inlineStr">
        <is>
          <t>Yes</t>
        </is>
      </c>
      <c r="K76" s="714" t="n"/>
      <c r="L76" s="2031" t="n"/>
    </row>
    <row r="77" customFormat="1" s="585">
      <c r="A77" s="600" t="n"/>
      <c r="B77" s="1877" t="n"/>
      <c r="C77" s="1944" t="n"/>
      <c r="D77" s="1944" t="n"/>
      <c r="E77" s="1944" t="n"/>
      <c r="F77" s="600" t="n"/>
      <c r="G77" s="585" t="inlineStr">
        <is>
          <t>Yes</t>
        </is>
      </c>
    </row>
    <row r="78" customFormat="1" s="585">
      <c r="A78" s="621" t="inlineStr">
        <is>
          <t>TAXES &amp; FEES</t>
        </is>
      </c>
      <c r="B78" s="622" t="inlineStr">
        <is>
          <t>%</t>
        </is>
      </c>
      <c r="C78" s="778" t="n"/>
      <c r="D78" s="1047" t="n"/>
      <c r="E78" s="2019" t="inlineStr">
        <is>
          <t>Totals</t>
        </is>
      </c>
      <c r="F78" s="600" t="n"/>
      <c r="G78" s="585" t="inlineStr">
        <is>
          <t>No</t>
        </is>
      </c>
      <c r="J78" s="2046">
        <f>(J81-J79-J80)</f>
        <v/>
      </c>
      <c r="K78" s="590" t="n"/>
    </row>
    <row r="79" customFormat="1" s="585">
      <c r="A79" s="628" t="inlineStr">
        <is>
          <t>Sales Tax</t>
        </is>
      </c>
      <c r="B79" s="2047">
        <f>IF($B$8="no",0,0.09475)</f>
        <v/>
      </c>
      <c r="C79" s="2042" t="n"/>
      <c r="D79" s="2269" t="n"/>
      <c r="E79" s="1962">
        <f>ROUNDUP(SUM(E41)*B79,0)</f>
        <v/>
      </c>
      <c r="F79" s="600" t="n"/>
      <c r="J79" s="2046" t="n"/>
      <c r="K79" s="585" t="inlineStr">
        <is>
          <t>sales tax (enter rounded)</t>
        </is>
      </c>
    </row>
    <row r="80" customFormat="1" s="585">
      <c r="A80" s="804" t="inlineStr">
        <is>
          <t>Kansas Remodel Tax</t>
        </is>
      </c>
      <c r="B80" s="2048">
        <f>IF(D8="yes",0.1,0)</f>
        <v/>
      </c>
      <c r="C80" s="1944" t="n"/>
      <c r="D80" s="1977" t="n"/>
      <c r="E80" s="1962">
        <f>ROUNDUP(SUM(E52:E54,E61,E67,E72:E76,E82)*B80,0)</f>
        <v/>
      </c>
      <c r="F80" s="758">
        <f>IF(D8="yes","*10% is placeholder. Adjust to actual if project awarded"," ")</f>
        <v/>
      </c>
      <c r="J80" s="2049" t="n"/>
      <c r="K80" s="784" t="inlineStr">
        <is>
          <t>ks remodel (enter rounded)</t>
        </is>
      </c>
    </row>
    <row r="81" customFormat="1" s="585">
      <c r="A81" s="1565" t="inlineStr">
        <is>
          <t>Total Taxes</t>
        </is>
      </c>
      <c r="B81" s="1566" t="n"/>
      <c r="C81" s="2028" t="n"/>
      <c r="D81" s="2028" t="n"/>
      <c r="E81" s="2029">
        <f>SUM(E79:E80)</f>
        <v/>
      </c>
      <c r="F81" s="758" t="n"/>
      <c r="J81" s="2046">
        <f>E87</f>
        <v/>
      </c>
      <c r="K81" s="590" t="inlineStr">
        <is>
          <t>total</t>
        </is>
      </c>
    </row>
    <row r="82" customFormat="1" s="585">
      <c r="A82" s="628" t="inlineStr">
        <is>
          <t>Fees + Textura + ?</t>
        </is>
      </c>
      <c r="B82" s="2047" t="n"/>
      <c r="C82" s="1944" t="n"/>
      <c r="D82" s="1977" t="n"/>
      <c r="E82" s="1962">
        <f>ROUNDUP(B82*D82,0)</f>
        <v/>
      </c>
      <c r="F82" s="600" t="n"/>
    </row>
    <row r="83" customFormat="1" s="585">
      <c r="A83" s="628" t="inlineStr">
        <is>
          <t>Bond</t>
        </is>
      </c>
      <c r="B83" s="819" t="n">
        <v>0</v>
      </c>
      <c r="C83" s="1944" t="n"/>
      <c r="D83" s="2269" t="n"/>
      <c r="E83" s="2271">
        <f>ROUNDUP(SUM(E69,E72,E73,E74:E76,E79,E80:E82)*B83,0)</f>
        <v/>
      </c>
      <c r="F83" s="600" t="n"/>
      <c r="G83" s="1615">
        <f>I83/E87</f>
        <v/>
      </c>
      <c r="H83" s="1614" t="inlineStr">
        <is>
          <t>% of Total Markup$</t>
        </is>
      </c>
      <c r="I83" s="2272">
        <f>SUM(E72:E76,E81,E84)</f>
        <v/>
      </c>
      <c r="J83" s="699" t="inlineStr">
        <is>
          <t>Sum: Markup+Taxes+Fees</t>
        </is>
      </c>
    </row>
    <row r="84" customFormat="1" s="585">
      <c r="A84" s="1565" t="inlineStr">
        <is>
          <t>Total Fees + Bond</t>
        </is>
      </c>
      <c r="B84" s="1566" t="n"/>
      <c r="C84" s="2028" t="n"/>
      <c r="D84" s="2028" t="n"/>
      <c r="E84" s="2029">
        <f>ROUNDUP(SUM(E82:E83),0)</f>
        <v/>
      </c>
      <c r="F84" s="600" t="n"/>
      <c r="G84" s="600" t="n"/>
    </row>
    <row r="85" customFormat="1" s="585">
      <c r="A85" s="600" t="n"/>
      <c r="B85" s="821" t="n"/>
      <c r="C85" s="1944" t="n"/>
      <c r="D85" s="1944" t="n"/>
      <c r="E85" s="1944" t="n"/>
      <c r="F85" s="600" t="n"/>
      <c r="G85" s="759" t="inlineStr">
        <is>
          <t>Mark Up + Conting.</t>
        </is>
      </c>
      <c r="H85" s="822" t="inlineStr">
        <is>
          <t>GP / MH</t>
        </is>
      </c>
      <c r="I85" s="1618" t="inlineStr">
        <is>
          <t>MarkUp + Soft Costs</t>
        </is>
      </c>
      <c r="J85" s="823" t="n"/>
    </row>
    <row r="86" ht="16.2" customFormat="1" customHeight="1" s="585" thickBot="1">
      <c r="A86" s="600" t="n"/>
      <c r="B86" s="825" t="inlineStr">
        <is>
          <t>Square Footage:</t>
        </is>
      </c>
      <c r="C86" s="2273">
        <f>B43</f>
        <v/>
      </c>
      <c r="D86" s="2274">
        <f>B16</f>
        <v/>
      </c>
      <c r="E86" s="1944" t="n"/>
      <c r="F86" s="705" t="inlineStr">
        <is>
          <t>Less Sales Tax</t>
        </is>
      </c>
      <c r="G86" s="2054">
        <f>SUM(E72,,E73,E76)</f>
        <v/>
      </c>
      <c r="H86" s="2055">
        <f>G86/G72</f>
        <v/>
      </c>
      <c r="I86" s="2056">
        <f>SUM(E72:E76)</f>
        <v/>
      </c>
      <c r="K86" s="1051" t="n"/>
      <c r="L86" s="1051" t="n"/>
      <c r="M86" s="1051" t="n"/>
      <c r="N86" s="1051" t="n"/>
      <c r="O86" s="1051" t="n"/>
    </row>
    <row r="87" ht="16.2" customFormat="1" customHeight="1" s="585" thickBot="1">
      <c r="A87" s="829" t="inlineStr">
        <is>
          <t>TOTAL</t>
        </is>
      </c>
      <c r="B87" s="830" t="n"/>
      <c r="C87" s="2057">
        <f>E87/C86</f>
        <v/>
      </c>
      <c r="D87" s="2057" t="n"/>
      <c r="E87" s="2058">
        <f>SUM(E69,E72:E76,E81,E84)</f>
        <v/>
      </c>
      <c r="F87" s="1944">
        <f>E87-(E79+E80)</f>
        <v/>
      </c>
      <c r="G87" s="2275">
        <f>G86/(E87)</f>
        <v/>
      </c>
      <c r="H87" s="2055">
        <f>C46</f>
        <v/>
      </c>
      <c r="I87" s="2060">
        <f>I86/E87</f>
        <v/>
      </c>
      <c r="J87" s="1625" t="inlineStr">
        <is>
          <t>30% = Gyp Goal</t>
        </is>
      </c>
    </row>
    <row r="88" customFormat="1" s="585">
      <c r="A88" s="834" t="n"/>
      <c r="B88" s="600" t="inlineStr">
        <is>
          <t xml:space="preserve"> </t>
        </is>
      </c>
      <c r="C88" s="1944">
        <f>E88/C86</f>
        <v/>
      </c>
      <c r="D88" s="1944" t="n"/>
      <c r="E88" s="1944">
        <f>E87-E80</f>
        <v/>
      </c>
      <c r="F88" s="753" t="inlineStr">
        <is>
          <t>(less ks remodel tax)</t>
        </is>
      </c>
      <c r="G88" s="1876" t="n"/>
      <c r="H88" s="1621" t="inlineStr">
        <is>
          <t>LaborRate from Above</t>
        </is>
      </c>
      <c r="I88" s="590" t="n"/>
      <c r="J88" s="1632" t="inlineStr">
        <is>
          <t>(epx: 42% &amp; pol: 45%)</t>
        </is>
      </c>
    </row>
    <row r="89" customFormat="1" s="585">
      <c r="A89" s="834" t="n"/>
      <c r="B89" s="2276" t="n"/>
      <c r="C89" s="2277">
        <f>E89/C86</f>
        <v/>
      </c>
      <c r="D89" s="2278">
        <f>'Gyp (USG N12ULTRA)'!B16</f>
        <v/>
      </c>
      <c r="E89" s="2277">
        <f>E87-'Gyp (USG N12ULTRA)'!E87</f>
        <v/>
      </c>
      <c r="F89" s="1657" t="inlineStr">
        <is>
          <t>Diff from 3/16" ULTRA mat + 3/4" pour</t>
        </is>
      </c>
      <c r="H89" s="1391" t="inlineStr">
        <is>
          <t>* This rate is different than epoxy &amp; polish</t>
        </is>
      </c>
      <c r="I89" s="1391" t="n"/>
      <c r="P89" s="600" t="n"/>
    </row>
    <row r="90" customFormat="1" s="585">
      <c r="A90" s="834" t="n"/>
      <c r="B90" s="2276" t="n"/>
      <c r="C90" s="2277">
        <f>E90/C86</f>
        <v/>
      </c>
      <c r="D90" s="2279">
        <f>'Gyp (USG N25 1-4")'!B16</f>
        <v/>
      </c>
      <c r="E90" s="2277">
        <f>E87-'Gyp (USG N25 1-4")'!E87</f>
        <v/>
      </c>
      <c r="F90" s="1664" t="inlineStr">
        <is>
          <t>Diff from 1/4" mat + 1" pour</t>
        </is>
      </c>
      <c r="H90" s="1629" t="inlineStr">
        <is>
          <t xml:space="preserve"> to account for longer project lead times.</t>
        </is>
      </c>
      <c r="I90" s="1629" t="n"/>
      <c r="P90" s="600" t="n"/>
    </row>
    <row r="91" customFormat="1" s="585">
      <c r="A91" s="633" t="n"/>
      <c r="B91" s="2223" t="n"/>
      <c r="C91" s="2253" t="n"/>
      <c r="D91" s="2253" t="n"/>
      <c r="E91" s="2253" t="n"/>
      <c r="F91" s="1877" t="n"/>
    </row>
    <row r="92" customFormat="1" s="585">
      <c r="A92" s="633" t="n"/>
      <c r="B92" s="2223" t="n"/>
      <c r="C92" s="2253" t="n"/>
      <c r="D92" s="2253" t="n"/>
      <c r="E92" s="2253" t="n"/>
      <c r="F92" s="1877" t="n"/>
    </row>
    <row r="93" customFormat="1" s="585">
      <c r="A93" s="633" t="n"/>
      <c r="B93" s="2223" t="n"/>
      <c r="C93" s="2253" t="n"/>
      <c r="D93" s="2253" t="n"/>
      <c r="E93" s="2253" t="n"/>
      <c r="F93" s="1877" t="n"/>
    </row>
    <row r="94" customFormat="1" s="585">
      <c r="B94" s="883" t="n"/>
      <c r="C94" s="1876" t="n"/>
      <c r="D94" s="1876" t="n"/>
      <c r="E94" s="883" t="n"/>
      <c r="F94" s="1876" t="n"/>
      <c r="G94" s="883" t="n"/>
      <c r="H94" s="1876" t="n"/>
      <c r="I94" s="883" t="n"/>
      <c r="J94" s="1876" t="n"/>
    </row>
    <row r="95" customFormat="1" s="585"/>
    <row r="96" customFormat="1" s="585"/>
    <row r="97" customFormat="1" s="585"/>
    <row r="98" customFormat="1" s="585"/>
    <row r="99" customFormat="1" s="585">
      <c r="E99" s="590" t="n"/>
    </row>
    <row r="100" customFormat="1" s="585"/>
    <row r="101" customFormat="1" s="585"/>
    <row r="102" customFormat="1" s="585"/>
    <row r="103" customFormat="1" s="585">
      <c r="J103" s="2193" t="n"/>
    </row>
    <row r="104" customFormat="1" s="585"/>
    <row r="105" customFormat="1" s="585">
      <c r="A105" s="839" t="n"/>
    </row>
    <row r="106" customFormat="1" s="585">
      <c r="A106" s="840" t="n"/>
      <c r="H106" s="2194" t="n"/>
    </row>
    <row r="107" customFormat="1" s="585">
      <c r="A107" s="842" t="n"/>
      <c r="H107" s="843" t="n"/>
    </row>
    <row r="108" customFormat="1" s="585">
      <c r="A108" s="844" t="n"/>
      <c r="H108" s="2194" t="n"/>
    </row>
    <row r="109" customFormat="1" s="585">
      <c r="A109" s="845" t="n"/>
    </row>
    <row r="110" customFormat="1" s="585">
      <c r="A110" s="846" t="n"/>
    </row>
    <row r="111" customFormat="1" s="585">
      <c r="A111" s="847" t="n"/>
      <c r="J111" s="2193" t="n"/>
      <c r="O111" s="848" t="n"/>
      <c r="P111" s="2014" t="n"/>
    </row>
    <row r="112" customFormat="1" s="585">
      <c r="A112" s="849" t="n"/>
      <c r="J112" s="2193" t="n"/>
      <c r="O112" s="848" t="n"/>
      <c r="P112" s="2014" t="n"/>
    </row>
    <row r="113">
      <c r="J113" s="2280" t="n"/>
      <c r="O113" s="247" t="n"/>
      <c r="P113" s="2281" t="n"/>
    </row>
    <row r="114">
      <c r="J114" s="2280" t="n"/>
      <c r="O114" s="247" t="n"/>
      <c r="P114" s="2281" t="n"/>
    </row>
    <row r="115" ht="16.05" customHeight="1">
      <c r="J115" s="2280" t="n"/>
      <c r="O115" s="247" t="n"/>
      <c r="P115" s="2281" t="n"/>
    </row>
    <row r="116">
      <c r="A116" t="inlineStr">
        <is>
          <t xml:space="preserve">I made a couple of adjustments on the gyp… One thing we decided this week is that on $350k - $500k gyp projects we are going to reduce soft costs by 3.5% and on anything over $500k, reduce by 5%. </t>
        </is>
      </c>
      <c r="J116" s="2280" t="n"/>
      <c r="O116" s="247" t="n"/>
      <c r="P116" s="2281" t="n"/>
    </row>
    <row r="117">
      <c r="J117" s="2280" t="n"/>
      <c r="O117" s="247" t="n"/>
      <c r="P117" s="2281" t="n"/>
    </row>
    <row r="118">
      <c r="J118" s="2280" t="n"/>
      <c r="O118" s="247" t="n"/>
      <c r="P118" s="2281" t="n"/>
    </row>
    <row r="119">
      <c r="J119" s="2280" t="n"/>
      <c r="O119" s="247" t="n"/>
      <c r="P119" s="2281" t="n"/>
    </row>
    <row r="120">
      <c r="J120" s="2280" t="n"/>
      <c r="O120" s="247" t="n"/>
      <c r="P120" s="2281" t="n"/>
    </row>
    <row r="121">
      <c r="J121" s="2280" t="n"/>
      <c r="O121" s="247" t="n"/>
      <c r="P121" s="2281" t="n"/>
    </row>
    <row r="122">
      <c r="J122" s="2280" t="n"/>
      <c r="O122" s="247" t="n"/>
      <c r="P122" s="2281" t="n"/>
    </row>
    <row r="123">
      <c r="J123" s="2280" t="n"/>
      <c r="O123" s="247" t="n"/>
      <c r="P123" s="2281" t="n"/>
    </row>
    <row r="124">
      <c r="J124" s="2280" t="n"/>
      <c r="O124" s="247" t="n"/>
      <c r="P124" s="2281" t="n"/>
    </row>
    <row r="125">
      <c r="J125" s="2280" t="n"/>
      <c r="O125" s="247" t="n"/>
      <c r="P125" s="2281" t="n"/>
    </row>
    <row r="126">
      <c r="J126" s="2280" t="n"/>
      <c r="O126" s="247" t="n"/>
      <c r="P126" s="2281" t="n"/>
    </row>
    <row r="127">
      <c r="J127" s="2280" t="n"/>
      <c r="O127" s="247" t="n"/>
      <c r="P127" s="2281" t="n"/>
    </row>
    <row r="128">
      <c r="J128" s="2280" t="n"/>
      <c r="O128" s="247" t="n"/>
      <c r="P128" s="2281" t="n"/>
    </row>
    <row r="129">
      <c r="J129" s="2280" t="n"/>
      <c r="O129" s="247" t="n"/>
      <c r="P129" s="2281" t="n"/>
    </row>
    <row r="130">
      <c r="J130" s="2280" t="n"/>
      <c r="O130" s="247" t="n"/>
      <c r="P130" s="2281" t="n"/>
    </row>
    <row r="131">
      <c r="A131" s="2282" t="n"/>
      <c r="B131" s="2282" t="n"/>
      <c r="J131" s="2280" t="n"/>
      <c r="O131" s="247" t="n"/>
      <c r="P131" s="2281" t="n"/>
    </row>
    <row r="132">
      <c r="A132" s="2282" t="n"/>
      <c r="B132" s="2282" t="n"/>
      <c r="J132" s="2280" t="n"/>
      <c r="O132" s="247" t="n"/>
      <c r="P132" s="2281" t="n"/>
    </row>
    <row r="133">
      <c r="A133" s="2282" t="n"/>
      <c r="B133" s="2282" t="n"/>
      <c r="J133" s="2280" t="n"/>
      <c r="O133" s="247" t="n"/>
      <c r="P133" s="2281" t="n"/>
    </row>
    <row r="134">
      <c r="A134" s="2283" t="n"/>
      <c r="B134" s="2283" t="n"/>
      <c r="J134" s="2280" t="n"/>
      <c r="O134" s="247" t="n"/>
      <c r="P134" s="2281" t="n"/>
    </row>
    <row r="135">
      <c r="J135" s="2280" t="n"/>
      <c r="O135" s="247" t="n"/>
      <c r="P135" s="2281" t="n"/>
    </row>
    <row r="136">
      <c r="A136" s="2145" t="n"/>
      <c r="B136" s="2145" t="n"/>
      <c r="J136" s="2280" t="n"/>
      <c r="O136" s="247" t="n"/>
      <c r="P136" s="2281" t="n"/>
    </row>
    <row r="137">
      <c r="A137" s="2282" t="n"/>
      <c r="B137" s="2282" t="n"/>
      <c r="J137" s="2280" t="n"/>
      <c r="O137" s="247" t="n"/>
      <c r="P137" s="2281" t="n"/>
    </row>
    <row r="138">
      <c r="A138" s="2282" t="n"/>
      <c r="B138" s="2282" t="n"/>
      <c r="J138" s="2280" t="n"/>
      <c r="O138" s="247" t="n"/>
      <c r="P138" s="2281" t="n"/>
    </row>
    <row r="139">
      <c r="A139" s="2282" t="n"/>
      <c r="B139" s="2282" t="n"/>
      <c r="J139" s="2280" t="n"/>
      <c r="O139" s="247" t="n"/>
      <c r="P139" s="2281" t="n"/>
    </row>
    <row r="140">
      <c r="A140" s="2283" t="n"/>
      <c r="B140" s="2283" t="n"/>
    </row>
    <row r="148">
      <c r="A148" s="98" t="n"/>
    </row>
    <row r="160">
      <c r="F160" s="1" t="n"/>
    </row>
    <row r="161">
      <c r="F161" s="1" t="n"/>
    </row>
    <row r="162">
      <c r="F162" s="1" t="n"/>
    </row>
    <row r="163">
      <c r="F163" s="1892" t="n"/>
    </row>
    <row r="164">
      <c r="F164" s="1" t="n"/>
    </row>
    <row r="165">
      <c r="F165" s="1" t="n"/>
    </row>
    <row r="166">
      <c r="A166" s="1" t="n"/>
      <c r="B166" s="1" t="n"/>
      <c r="C166" s="2284" t="n"/>
      <c r="D166" s="2284" t="n"/>
      <c r="E166" s="2282" t="n"/>
      <c r="Q166" s="1892" t="n"/>
    </row>
    <row r="167">
      <c r="A167" s="53" t="n"/>
      <c r="B167" s="53" t="n"/>
      <c r="C167" s="53" t="n"/>
      <c r="D167" s="53" t="n"/>
      <c r="E167" s="53" t="n"/>
      <c r="F167" s="1916" t="n"/>
      <c r="G167" s="1916" t="n"/>
      <c r="H167" s="1916" t="n"/>
      <c r="I167" s="1916" t="n"/>
      <c r="J167" s="1916" t="n"/>
      <c r="K167" s="1916" t="n"/>
      <c r="L167" s="1916" t="n"/>
      <c r="M167" s="1916" t="n"/>
      <c r="N167" s="1916" t="n"/>
      <c r="O167" s="53" t="n"/>
      <c r="P167" s="53" t="n"/>
      <c r="Q167" s="53" t="n"/>
      <c r="R167" s="53" t="n"/>
      <c r="S167" s="53" t="n"/>
    </row>
    <row r="168">
      <c r="A168" s="53" t="n"/>
      <c r="B168" s="53" t="n"/>
      <c r="C168" s="53" t="n"/>
      <c r="D168" s="53" t="n"/>
      <c r="E168" s="53" t="n"/>
      <c r="F168" s="53" t="n"/>
      <c r="G168" s="53" t="n"/>
      <c r="H168" s="1916" t="n"/>
      <c r="I168" s="1916" t="n"/>
      <c r="J168" s="1916" t="n"/>
      <c r="K168" s="1916" t="n"/>
      <c r="L168" s="1916" t="n"/>
      <c r="M168" s="1916" t="n"/>
      <c r="N168" s="1916" t="n"/>
      <c r="O168" s="53" t="n"/>
      <c r="P168" s="53" t="n"/>
      <c r="Q168" s="53" t="n"/>
      <c r="R168" s="53" t="n"/>
      <c r="S168" s="2145" t="n"/>
    </row>
    <row r="169">
      <c r="A169" s="53" t="n"/>
      <c r="B169" s="2155" t="n"/>
      <c r="C169" s="2145" t="n"/>
      <c r="D169" s="2145" t="n"/>
      <c r="E169" s="2145" t="n"/>
      <c r="F169" s="2285" t="n"/>
      <c r="G169" s="53" t="n"/>
      <c r="H169" s="1916" t="n"/>
      <c r="I169" s="1916" t="n"/>
      <c r="J169" s="1916" t="n"/>
      <c r="K169" s="1916" t="n"/>
      <c r="L169" s="1916" t="n"/>
      <c r="M169" s="1916" t="n"/>
      <c r="N169" s="1916" t="n"/>
      <c r="O169" s="53" t="n"/>
      <c r="P169" s="53" t="n"/>
      <c r="Q169" s="2145" t="n"/>
      <c r="R169" s="2145" t="n"/>
      <c r="S169" s="2145" t="n"/>
    </row>
    <row r="170">
      <c r="A170" s="53" t="n"/>
      <c r="B170" s="53" t="n"/>
      <c r="C170" s="2145" t="n"/>
      <c r="D170" s="2145" t="n"/>
      <c r="E170" s="2145" t="n"/>
      <c r="F170" s="53" t="n"/>
      <c r="G170" s="53" t="n"/>
      <c r="H170" s="1916" t="n"/>
      <c r="I170" s="1916" t="n"/>
      <c r="J170" s="1916" t="n"/>
      <c r="K170" s="1916" t="n"/>
      <c r="L170" s="1916" t="n"/>
      <c r="M170" s="1916" t="n"/>
      <c r="N170" s="1916" t="n"/>
      <c r="O170" s="53" t="n"/>
      <c r="P170" s="53" t="n"/>
      <c r="Q170" s="2145" t="n"/>
      <c r="R170" s="2285" t="n"/>
      <c r="S170" s="2145" t="n"/>
    </row>
    <row r="171" customFormat="1" s="1916">
      <c r="A171" s="53" t="n"/>
      <c r="B171" s="53" t="n"/>
      <c r="C171" s="2145" t="n"/>
      <c r="D171" s="2145" t="n"/>
      <c r="E171" s="2145" t="n"/>
      <c r="F171" s="53" t="n"/>
      <c r="G171" s="53" t="n"/>
      <c r="O171" s="53" t="n"/>
      <c r="P171" s="53" t="n"/>
      <c r="Q171" s="2145" t="n"/>
      <c r="R171" s="2285" t="n"/>
      <c r="S171" s="2145" t="n"/>
    </row>
    <row r="172" customFormat="1" s="1916">
      <c r="A172" s="53" t="n"/>
      <c r="B172" s="53" t="n"/>
      <c r="C172" s="2145" t="n"/>
      <c r="D172" s="2145" t="n"/>
      <c r="E172" s="2145" t="n"/>
      <c r="F172" s="53" t="n"/>
      <c r="G172" s="53" t="n"/>
      <c r="O172" s="53" t="n"/>
      <c r="P172" s="2145" t="n"/>
      <c r="Q172" s="2149" t="n"/>
      <c r="R172" s="53" t="n"/>
      <c r="S172" s="53" t="n"/>
      <c r="T172" s="53" t="n"/>
      <c r="U172" s="53" t="n"/>
      <c r="V172" s="53" t="n"/>
    </row>
    <row r="173" customFormat="1" s="1916">
      <c r="A173" s="53" t="n"/>
      <c r="B173" s="53" t="n"/>
      <c r="C173" s="2145" t="n"/>
      <c r="D173" s="2145" t="n"/>
      <c r="E173" s="2145" t="n"/>
      <c r="F173" s="53" t="n"/>
      <c r="G173" s="53" t="n"/>
      <c r="O173" s="53" t="n"/>
      <c r="P173" s="53" t="n"/>
      <c r="Q173" s="2149" t="n"/>
      <c r="R173" s="53" t="n"/>
      <c r="S173" s="53" t="n"/>
      <c r="T173" s="2145" t="n"/>
      <c r="U173" s="2145" t="n"/>
      <c r="V173" s="53" t="n"/>
    </row>
    <row r="174" customFormat="1" s="1916">
      <c r="A174" s="53" t="n"/>
      <c r="B174" s="53" t="n"/>
      <c r="C174" s="2145" t="n"/>
      <c r="D174" s="2145" t="n"/>
      <c r="E174" s="2145" t="n"/>
      <c r="F174" s="53" t="n"/>
      <c r="G174" s="53" t="n"/>
      <c r="O174" s="53" t="n"/>
      <c r="P174" s="53" t="n"/>
      <c r="Q174" s="2149" t="n"/>
      <c r="R174" s="53" t="n"/>
      <c r="S174" s="53" t="n"/>
      <c r="T174" s="2145" t="n"/>
      <c r="U174" s="2145" t="n"/>
      <c r="V174" s="53" t="n"/>
    </row>
    <row r="175" customFormat="1" s="1916">
      <c r="A175" s="53" t="n"/>
      <c r="B175" s="53" t="n"/>
      <c r="C175" s="2145" t="n"/>
      <c r="D175" s="2145" t="n"/>
      <c r="E175" s="2145" t="n"/>
      <c r="F175" s="53" t="n"/>
      <c r="G175" s="53" t="n"/>
      <c r="O175" s="53" t="n"/>
      <c r="P175" s="53" t="n"/>
      <c r="Q175" s="2149" t="n"/>
      <c r="R175" s="53" t="n"/>
      <c r="S175" s="53" t="n"/>
      <c r="T175" s="2145" t="n"/>
      <c r="U175" s="2145" t="n"/>
      <c r="V175" s="53" t="n"/>
    </row>
    <row r="176" customFormat="1" s="1916">
      <c r="A176" s="53" t="n"/>
      <c r="B176" s="53" t="n"/>
      <c r="C176" s="2145" t="n"/>
      <c r="D176" s="2145" t="n"/>
      <c r="E176" s="2145" t="n"/>
      <c r="F176" s="53" t="n"/>
      <c r="G176" s="53" t="n"/>
      <c r="O176" s="53" t="n"/>
      <c r="P176" s="53" t="n"/>
      <c r="Q176" s="2149" t="n"/>
      <c r="R176" s="53" t="n"/>
      <c r="S176" s="53" t="n"/>
      <c r="T176" s="2145" t="n"/>
      <c r="U176" s="2145" t="n"/>
      <c r="V176" s="53" t="n"/>
    </row>
    <row r="177" customFormat="1" s="1916">
      <c r="A177" s="53" t="n"/>
      <c r="B177" s="53" t="n"/>
      <c r="C177" s="2145" t="n"/>
      <c r="D177" s="2145" t="n"/>
      <c r="E177" s="2145" t="n"/>
      <c r="F177" s="53" t="n"/>
      <c r="G177" s="53" t="n"/>
      <c r="O177" s="53" t="n"/>
      <c r="P177" s="53" t="n"/>
      <c r="Q177" s="2149" t="n"/>
      <c r="R177" s="53" t="n"/>
      <c r="S177" s="53" t="n"/>
      <c r="T177" s="53" t="n"/>
      <c r="U177" s="53" t="n"/>
      <c r="V177" s="53" t="n"/>
    </row>
    <row r="178" customFormat="1" s="1916">
      <c r="A178" s="53" t="n"/>
      <c r="B178" s="53" t="n"/>
      <c r="C178" s="2145" t="n"/>
      <c r="D178" s="2145" t="n"/>
      <c r="E178" s="2145" t="n"/>
      <c r="F178" s="53" t="n"/>
      <c r="G178" s="53" t="n"/>
      <c r="O178" s="53" t="n"/>
      <c r="P178" s="53" t="n"/>
      <c r="Q178" s="2149" t="n"/>
      <c r="R178" s="53" t="n"/>
      <c r="S178" s="53" t="n"/>
      <c r="T178" s="53" t="n"/>
      <c r="U178" s="53" t="n"/>
      <c r="V178" s="53" t="n"/>
    </row>
    <row r="179" customFormat="1" s="1916">
      <c r="A179" s="53" t="n"/>
      <c r="B179" s="53" t="n"/>
      <c r="C179" s="2145" t="n"/>
      <c r="D179" s="2145" t="n"/>
      <c r="E179" s="2145" t="n"/>
      <c r="F179" s="53" t="n"/>
      <c r="G179" s="53" t="n"/>
      <c r="T179" s="53" t="n"/>
      <c r="U179" s="53" t="n"/>
      <c r="V179" s="53" t="n"/>
    </row>
    <row r="180" customFormat="1" s="1916">
      <c r="A180" s="53" t="n"/>
      <c r="B180" s="53" t="n"/>
      <c r="C180" s="2145" t="n"/>
      <c r="D180" s="2145" t="n"/>
      <c r="E180" s="2145" t="n"/>
      <c r="F180" s="53" t="n"/>
      <c r="G180" s="53" t="n"/>
      <c r="T180" s="53" t="n"/>
      <c r="U180" s="53" t="n"/>
      <c r="V180" s="53" t="n"/>
    </row>
    <row r="181" customFormat="1" s="1916">
      <c r="A181" s="53" t="n"/>
      <c r="B181" s="53" t="n"/>
      <c r="C181" s="2145" t="n"/>
      <c r="D181" s="2145" t="n"/>
      <c r="E181" s="2145" t="n"/>
      <c r="F181" s="2285" t="n"/>
      <c r="G181" s="53" t="n"/>
      <c r="T181" s="53" t="n"/>
      <c r="U181" s="53" t="n"/>
      <c r="V181" s="53" t="n"/>
    </row>
    <row r="182" customFormat="1" s="1916">
      <c r="A182" s="53" t="n"/>
      <c r="B182" s="53" t="n"/>
      <c r="C182" s="2145" t="n"/>
      <c r="D182" s="2145" t="n"/>
      <c r="E182" s="2145" t="n"/>
      <c r="F182" s="53" t="n"/>
      <c r="G182" s="53" t="n"/>
      <c r="T182" s="53" t="n"/>
      <c r="U182" s="53" t="n"/>
      <c r="V182" s="53" t="n"/>
    </row>
    <row r="183" customFormat="1" s="1916">
      <c r="A183" s="53" t="n"/>
      <c r="B183" s="53" t="n"/>
      <c r="C183" s="2145" t="n"/>
      <c r="D183" s="2145" t="n"/>
      <c r="E183" s="2145" t="n"/>
      <c r="F183" s="53" t="n"/>
      <c r="G183" s="53" t="n"/>
      <c r="T183" s="53" t="n"/>
      <c r="U183" s="53" t="n"/>
      <c r="V183" s="53" t="n"/>
    </row>
    <row r="184" customFormat="1" s="1916">
      <c r="A184" s="53" t="n"/>
      <c r="B184" s="53" t="n"/>
      <c r="C184" s="2145" t="n"/>
      <c r="D184" s="2145" t="n"/>
      <c r="E184" s="2145" t="n"/>
      <c r="F184" s="53" t="n"/>
      <c r="G184" s="53" t="n"/>
    </row>
    <row r="185" customFormat="1" s="1916">
      <c r="A185" s="53" t="n"/>
      <c r="B185" s="53" t="n"/>
      <c r="C185" s="2145" t="n"/>
      <c r="D185" s="2145" t="n"/>
      <c r="E185" s="2145" t="n"/>
      <c r="F185" s="53" t="n"/>
      <c r="G185" s="53" t="n"/>
    </row>
    <row r="186" customFormat="1" s="1916">
      <c r="A186" s="103" t="n"/>
      <c r="B186" s="103" t="n"/>
      <c r="C186" s="2147" t="n"/>
      <c r="D186" s="2147" t="n"/>
      <c r="E186" s="2147" t="n"/>
      <c r="F186" s="53" t="n"/>
      <c r="G186" s="53" t="n"/>
    </row>
    <row r="187" customFormat="1" s="1916">
      <c r="A187" s="103" t="n"/>
      <c r="B187" s="105" t="n"/>
      <c r="C187" s="2147" t="n"/>
      <c r="D187" s="2147" t="n"/>
      <c r="E187" s="2147" t="n"/>
      <c r="F187" s="53" t="n"/>
      <c r="G187" s="53" t="n"/>
    </row>
    <row r="188" customFormat="1" s="1916">
      <c r="A188" s="103" t="n"/>
      <c r="B188" s="103" t="n"/>
      <c r="C188" s="2147" t="n"/>
      <c r="D188" s="2147" t="n"/>
      <c r="E188" s="2147" t="n"/>
      <c r="F188" s="53" t="n"/>
      <c r="G188" s="53" t="n"/>
    </row>
    <row r="189" customFormat="1" s="1916">
      <c r="A189" s="103" t="n"/>
      <c r="B189" s="105" t="n"/>
      <c r="C189" s="2147" t="n"/>
      <c r="D189" s="2147" t="n"/>
      <c r="E189" s="2147" t="n"/>
      <c r="F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</row>
    <row r="190" customFormat="1" s="1916">
      <c r="A190" s="53" t="n"/>
      <c r="B190" s="53" t="n"/>
      <c r="C190" s="2145" t="n"/>
      <c r="D190" s="2145" t="n"/>
      <c r="E190" s="2145" t="n"/>
      <c r="F190" s="53" t="n"/>
      <c r="H190" s="53" t="n"/>
      <c r="I190" s="53" t="n"/>
      <c r="J190" s="53" t="n"/>
      <c r="K190" s="106" t="n"/>
      <c r="L190" s="106" t="n"/>
      <c r="M190" s="106" t="n"/>
      <c r="N190" s="106" t="n"/>
      <c r="O190" s="106" t="n"/>
    </row>
    <row r="191" customFormat="1" s="1916">
      <c r="A191" s="3" t="n"/>
      <c r="B191" s="2285" t="n"/>
      <c r="C191" s="3" t="n"/>
      <c r="D191" s="3" t="n"/>
      <c r="E191" s="2285" t="n"/>
      <c r="F191" s="107" t="n"/>
      <c r="H191" s="53" t="n"/>
      <c r="I191" s="540" t="n"/>
      <c r="J191" s="53" t="n"/>
      <c r="K191" s="106" t="n"/>
      <c r="L191" s="106" t="n"/>
      <c r="M191" s="106" t="n"/>
      <c r="N191" s="106" t="n"/>
      <c r="O191" s="106" t="n"/>
    </row>
    <row r="192" customFormat="1" s="1916">
      <c r="A192" s="53" t="n"/>
      <c r="B192" s="53" t="n"/>
      <c r="C192" s="53" t="n"/>
      <c r="D192" s="53" t="n"/>
      <c r="E192" s="53" t="n"/>
      <c r="F192" s="107" t="n"/>
      <c r="H192" s="53" t="n"/>
      <c r="I192" s="53" t="n"/>
      <c r="J192" s="53" t="n"/>
      <c r="K192" s="2145" t="n"/>
      <c r="L192" s="2145" t="n"/>
      <c r="M192" s="2145" t="n"/>
      <c r="N192" s="2145" t="n"/>
      <c r="O192" s="53" t="n"/>
    </row>
    <row r="193" customFormat="1" s="1916">
      <c r="A193" s="53" t="n"/>
      <c r="B193" s="53" t="n"/>
      <c r="C193" s="53" t="n"/>
      <c r="D193" s="53" t="n"/>
      <c r="E193" s="106" t="n"/>
      <c r="F193" s="106" t="n"/>
      <c r="H193" s="53" t="n"/>
      <c r="I193" s="93" t="n"/>
      <c r="J193" s="2145" t="n"/>
      <c r="K193" s="2145" t="n"/>
      <c r="L193" s="2145" t="n"/>
      <c r="M193" s="2145" t="n"/>
      <c r="N193" s="2145" t="n"/>
      <c r="O193" s="106" t="n"/>
    </row>
    <row r="194" customFormat="1" s="1916">
      <c r="A194" s="53" t="n"/>
      <c r="B194" s="53" t="n"/>
      <c r="C194" s="53" t="n"/>
      <c r="D194" s="53" t="n"/>
      <c r="E194" s="53" t="n"/>
      <c r="F194" s="53" t="n"/>
      <c r="H194" s="53" t="n"/>
      <c r="I194" s="93" t="n"/>
      <c r="J194" s="2145" t="n"/>
      <c r="K194" s="2145" t="n"/>
      <c r="L194" s="2145" t="n"/>
      <c r="M194" s="2145" t="n"/>
      <c r="N194" s="2145" t="n"/>
      <c r="O194" s="53" t="n"/>
    </row>
    <row r="195" customFormat="1" s="1916">
      <c r="A195" s="53" t="n"/>
      <c r="B195" s="53" t="n"/>
      <c r="C195" s="53" t="n"/>
      <c r="D195" s="53" t="n"/>
      <c r="E195" s="106" t="n"/>
      <c r="F195" s="106" t="n"/>
      <c r="H195" s="53" t="n"/>
      <c r="I195" s="93" t="n"/>
      <c r="J195" s="2145" t="n"/>
      <c r="K195" s="2145" t="n"/>
      <c r="L195" s="2145" t="n"/>
      <c r="M195" s="2145" t="n"/>
      <c r="N195" s="2145" t="n"/>
      <c r="O195" s="106" t="n"/>
    </row>
    <row r="196" customFormat="1" s="1916">
      <c r="A196" s="53" t="n"/>
      <c r="B196" s="53" t="n"/>
      <c r="C196" s="53" t="n"/>
      <c r="D196" s="53" t="n"/>
      <c r="E196" s="2286" t="n"/>
      <c r="F196" s="2286" t="n"/>
      <c r="G196" s="53" t="n"/>
      <c r="H196" s="103" t="n"/>
      <c r="I196" s="103" t="n"/>
      <c r="J196" s="2147" t="n"/>
      <c r="K196" s="2147" t="n"/>
      <c r="L196" s="2147" t="n"/>
      <c r="M196" s="2145" t="n"/>
      <c r="N196" s="2145" t="n"/>
      <c r="O196" s="106" t="n"/>
    </row>
    <row r="197" customFormat="1" s="1916">
      <c r="A197" s="53" t="n"/>
      <c r="B197" s="53" t="n"/>
      <c r="C197" s="2145" t="n"/>
      <c r="D197" s="2145" t="n"/>
      <c r="E197" s="2145" t="n"/>
      <c r="F197" s="2145" t="n"/>
      <c r="G197" s="53" t="n"/>
      <c r="H197" s="53" t="n"/>
      <c r="I197" s="53" t="n"/>
    </row>
    <row r="198" customFormat="1" s="1916">
      <c r="A198" s="53" t="n"/>
      <c r="B198" s="53" t="n"/>
      <c r="C198" s="53" t="n"/>
      <c r="D198" s="53" t="n"/>
      <c r="E198" s="2145" t="n"/>
      <c r="F198" s="53" t="n"/>
      <c r="G198" s="53" t="n"/>
      <c r="H198" s="110" t="n"/>
      <c r="I198" s="53" t="n"/>
      <c r="J198" s="53" t="n"/>
      <c r="K198" s="2145" t="n"/>
      <c r="L198" s="2145" t="n"/>
      <c r="M198" s="2145" t="n"/>
      <c r="N198" s="2145" t="n"/>
    </row>
    <row r="199" customFormat="1" s="1916">
      <c r="A199" s="53" t="n"/>
      <c r="B199" s="93" t="n"/>
      <c r="C199" s="2145" t="n"/>
      <c r="D199" s="2145" t="n"/>
      <c r="E199" s="2145" t="n"/>
      <c r="F199" s="53" t="n"/>
      <c r="G199" s="53" t="n"/>
      <c r="H199" s="2285" t="n"/>
      <c r="I199" s="93" t="n"/>
      <c r="J199" s="2145" t="n"/>
      <c r="K199" s="2145" t="n"/>
      <c r="L199" s="2145" t="n"/>
      <c r="M199" s="2145" t="n"/>
      <c r="N199" s="2145" t="n"/>
    </row>
    <row r="200" customFormat="1" s="1916">
      <c r="A200" s="53" t="n"/>
      <c r="B200" s="93" t="n"/>
      <c r="C200" s="2145" t="n"/>
      <c r="D200" s="2145" t="n"/>
      <c r="E200" s="2145" t="n"/>
      <c r="F200" s="53" t="n"/>
      <c r="G200" s="53" t="n"/>
      <c r="H200" s="53" t="n"/>
      <c r="I200" s="93" t="n"/>
      <c r="J200" s="2145" t="n"/>
      <c r="K200" s="2145" t="n"/>
      <c r="L200" s="2145" t="n"/>
      <c r="M200" s="2145" t="n"/>
      <c r="N200" s="2145" t="n"/>
    </row>
    <row r="201" customFormat="1" s="1916">
      <c r="A201" s="53" t="n"/>
      <c r="B201" s="93" t="n"/>
      <c r="C201" s="2145" t="n"/>
      <c r="D201" s="2145" t="n"/>
      <c r="E201" s="2145" t="n"/>
      <c r="F201" s="53" t="n"/>
      <c r="G201" s="53" t="n"/>
      <c r="H201" s="53" t="n"/>
      <c r="I201" s="93" t="n"/>
      <c r="J201" s="2145" t="n"/>
      <c r="K201" s="2145" t="n"/>
      <c r="L201" s="2145" t="n"/>
      <c r="M201" s="2145" t="n"/>
      <c r="N201" s="2145" t="n"/>
    </row>
    <row r="202" customFormat="1" s="1916">
      <c r="A202" s="53" t="n"/>
      <c r="B202" s="93" t="n"/>
      <c r="C202" s="2145" t="n"/>
      <c r="D202" s="2145" t="n"/>
      <c r="E202" s="2145" t="n"/>
      <c r="F202" s="111" t="n"/>
      <c r="G202" s="53" t="n"/>
      <c r="H202" s="53" t="n"/>
      <c r="I202" s="93" t="n"/>
      <c r="J202" s="2145" t="n"/>
      <c r="K202" s="2145" t="n"/>
      <c r="L202" s="2145" t="n"/>
      <c r="M202" s="2145" t="n"/>
      <c r="N202" s="2145" t="n"/>
    </row>
    <row r="203" customFormat="1" s="1916">
      <c r="A203" s="53" t="n"/>
      <c r="B203" s="93" t="n"/>
      <c r="C203" s="2145" t="n"/>
      <c r="D203" s="2145" t="n"/>
      <c r="E203" s="2145" t="n"/>
      <c r="F203" s="111" t="n"/>
      <c r="G203" s="53" t="n"/>
      <c r="H203" s="53" t="n"/>
      <c r="I203" s="93" t="n"/>
      <c r="J203" s="2145" t="n"/>
      <c r="K203" s="2145" t="n"/>
      <c r="L203" s="2145" t="n"/>
      <c r="M203" s="2145" t="n"/>
      <c r="N203" s="2145" t="n"/>
    </row>
    <row r="204" customFormat="1" s="1916">
      <c r="A204" s="53" t="n"/>
      <c r="B204" s="93" t="n"/>
      <c r="C204" s="2145" t="n"/>
      <c r="D204" s="2145" t="n"/>
      <c r="E204" s="2145" t="n"/>
      <c r="F204" s="53" t="n"/>
      <c r="G204" s="53" t="n"/>
      <c r="H204" s="53" t="n"/>
      <c r="I204" s="93" t="n"/>
      <c r="J204" s="2145" t="n"/>
      <c r="K204" s="2145" t="n"/>
      <c r="L204" s="2145" t="n"/>
      <c r="M204" s="2145" t="n"/>
      <c r="N204" s="2145" t="n"/>
    </row>
    <row r="205" customFormat="1" s="1916">
      <c r="A205" s="53" t="n"/>
      <c r="B205" s="93" t="n"/>
      <c r="C205" s="2145" t="n"/>
      <c r="D205" s="2145" t="n"/>
      <c r="E205" s="2145" t="n"/>
      <c r="F205" s="53" t="n"/>
      <c r="G205" s="53" t="n"/>
      <c r="H205" s="53" t="n"/>
      <c r="I205" s="93" t="n"/>
      <c r="J205" s="2145" t="n"/>
      <c r="K205" s="2145" t="n"/>
      <c r="L205" s="2145" t="n"/>
      <c r="M205" s="2145" t="n"/>
      <c r="N205" s="2145" t="n"/>
    </row>
    <row r="206" customFormat="1" s="1916">
      <c r="A206" s="103" t="n"/>
      <c r="B206" s="103" t="n"/>
      <c r="C206" s="2147" t="n"/>
      <c r="D206" s="2147" t="n"/>
      <c r="E206" s="2147" t="n"/>
      <c r="F206" s="53" t="n"/>
      <c r="G206" s="53" t="n"/>
      <c r="H206" s="103" t="n"/>
      <c r="I206" s="103" t="n"/>
      <c r="J206" s="2147" t="n"/>
      <c r="K206" s="2147" t="n"/>
      <c r="L206" s="2147" t="n"/>
      <c r="M206" s="2147" t="n"/>
      <c r="N206" s="2147" t="n"/>
    </row>
    <row r="207" customFormat="1" s="1916">
      <c r="A207" s="53" t="n"/>
      <c r="B207" s="53" t="n"/>
      <c r="C207" s="2145" t="n"/>
      <c r="D207" s="2145" t="n"/>
      <c r="E207" s="2145" t="n"/>
      <c r="F207" s="53" t="n"/>
      <c r="G207" s="53" t="n"/>
    </row>
    <row r="208" customFormat="1" s="1916">
      <c r="A208" s="53" t="n"/>
      <c r="B208" s="53" t="n"/>
      <c r="C208" s="2145" t="n"/>
      <c r="D208" s="2145" t="n"/>
      <c r="E208" s="2147" t="n"/>
      <c r="F208" s="53" t="n"/>
      <c r="G208" s="53" t="n"/>
    </row>
    <row r="209" customFormat="1" s="1916">
      <c r="A209" s="53" t="n"/>
      <c r="B209" s="53" t="n"/>
      <c r="C209" s="2145" t="n"/>
      <c r="D209" s="2145" t="n"/>
      <c r="E209" s="2145" t="n"/>
      <c r="F209" s="53" t="n"/>
      <c r="G209" s="53" t="n"/>
    </row>
    <row r="210" customFormat="1" s="1916">
      <c r="A210" s="53" t="n"/>
      <c r="B210" s="53" t="n"/>
      <c r="C210" s="2145" t="n"/>
      <c r="D210" s="2145" t="n"/>
      <c r="E210" s="2145" t="n"/>
      <c r="F210" s="53" t="n"/>
      <c r="G210" s="53" t="n"/>
    </row>
    <row r="211" customFormat="1" s="1916">
      <c r="A211" s="53" t="n"/>
      <c r="B211" s="112" t="n"/>
      <c r="C211" s="2145" t="n"/>
      <c r="D211" s="2145" t="n"/>
      <c r="E211" s="2145" t="n"/>
      <c r="F211" s="53" t="n"/>
      <c r="G211" s="53" t="n"/>
    </row>
    <row r="212" customFormat="1" s="1916">
      <c r="A212" s="53" t="n"/>
      <c r="B212" s="112" t="n"/>
      <c r="C212" s="2145" t="n"/>
      <c r="D212" s="2145" t="n"/>
      <c r="E212" s="2145" t="n"/>
      <c r="F212" s="53" t="n"/>
      <c r="G212" s="53" t="n"/>
    </row>
    <row r="213" customFormat="1" s="1916">
      <c r="A213" s="53" t="n"/>
      <c r="B213" s="113" t="n"/>
      <c r="C213" s="2145" t="n"/>
      <c r="D213" s="2145" t="n"/>
      <c r="E213" s="2145" t="n"/>
      <c r="F213" s="53" t="n"/>
      <c r="G213" s="53" t="n"/>
    </row>
    <row r="214" customFormat="1" s="1916">
      <c r="A214" s="53" t="n"/>
      <c r="B214" s="113" t="n"/>
      <c r="C214" s="2145" t="n"/>
      <c r="D214" s="2145" t="n"/>
      <c r="E214" s="2145" t="n"/>
      <c r="F214" s="53" t="n"/>
      <c r="G214" s="53" t="n"/>
    </row>
    <row r="215" customFormat="1" s="1916">
      <c r="A215" s="53" t="n"/>
      <c r="B215" s="113" t="n"/>
      <c r="C215" s="2145" t="n"/>
      <c r="D215" s="2145" t="n"/>
      <c r="E215" s="2145" t="n"/>
      <c r="F215" s="53" t="n"/>
      <c r="G215" s="53" t="n"/>
    </row>
    <row r="216" customFormat="1" s="1916">
      <c r="A216" s="53" t="n"/>
      <c r="B216" s="113" t="n"/>
      <c r="C216" s="2145" t="n"/>
      <c r="D216" s="2145" t="n"/>
      <c r="E216" s="2145" t="n"/>
      <c r="F216" s="53" t="n"/>
      <c r="G216" s="53" t="n"/>
    </row>
    <row r="217" customFormat="1" s="1916">
      <c r="A217" s="53" t="n"/>
      <c r="B217" s="112" t="n"/>
      <c r="C217" s="2145" t="n"/>
      <c r="D217" s="2145" t="n"/>
      <c r="E217" s="2145" t="n"/>
      <c r="F217" s="53" t="n"/>
      <c r="G217" s="53" t="n"/>
    </row>
    <row r="218" customFormat="1" s="1916">
      <c r="A218" s="53" t="n"/>
      <c r="B218" s="113" t="n"/>
      <c r="C218" s="2145" t="n"/>
      <c r="D218" s="2145" t="n"/>
      <c r="E218" s="2149" t="n"/>
      <c r="F218" s="53" t="n"/>
      <c r="G218" s="53" t="n"/>
      <c r="Q218" s="53" t="n"/>
    </row>
    <row r="219" customFormat="1" s="1916">
      <c r="A219" s="53" t="n"/>
      <c r="B219" s="113" t="n"/>
      <c r="C219" s="2145" t="n"/>
      <c r="D219" s="2145" t="n"/>
      <c r="E219" s="2145" t="n"/>
      <c r="F219" s="53" t="n"/>
      <c r="G219" s="53" t="n"/>
      <c r="H219" s="53" t="n"/>
      <c r="J219" s="2154" t="n"/>
      <c r="Q219" s="53" t="n"/>
    </row>
    <row r="220" customFormat="1" s="1916">
      <c r="A220" s="53" t="n"/>
      <c r="B220" s="53" t="n"/>
      <c r="C220" s="2145" t="n"/>
      <c r="D220" s="2145" t="n"/>
      <c r="E220" s="2145" t="n"/>
      <c r="F220" s="2145" t="n"/>
      <c r="G220" s="2145" t="n"/>
      <c r="Q220" s="53" t="n"/>
    </row>
    <row r="221" customFormat="1" s="1916">
      <c r="A221" s="53" t="n"/>
      <c r="B221" s="53" t="n"/>
      <c r="C221" s="2145" t="n"/>
      <c r="D221" s="2145" t="n"/>
      <c r="E221" s="2145" t="n"/>
      <c r="G221" s="540" t="n"/>
      <c r="Q221" s="53" t="n"/>
    </row>
    <row r="222" customFormat="1" s="1916">
      <c r="E222" s="2145" t="n"/>
      <c r="O222" s="53" t="n"/>
      <c r="P222" s="53" t="n"/>
      <c r="Q222" s="53" t="n"/>
      <c r="R222" s="53" t="n"/>
      <c r="S222" s="53" t="n"/>
    </row>
    <row r="223" customFormat="1" s="1916">
      <c r="O223" s="53" t="n"/>
      <c r="P223" s="53" t="n"/>
      <c r="Q223" s="53" t="n"/>
      <c r="R223" s="53" t="n"/>
      <c r="S223" s="53" t="n"/>
    </row>
    <row r="224" customFormat="1" s="1916">
      <c r="O224" s="53" t="n"/>
      <c r="P224" s="53" t="n"/>
      <c r="Q224" s="53" t="n"/>
      <c r="R224" s="53" t="n"/>
      <c r="S224" s="53" t="n"/>
    </row>
    <row r="225" customFormat="1" s="1916">
      <c r="A225" s="53" t="n"/>
      <c r="B225" s="53" t="n"/>
      <c r="C225" s="53" t="n"/>
      <c r="D225" s="53" t="n"/>
      <c r="E225" s="53" t="n"/>
      <c r="O225" s="53" t="n"/>
      <c r="P225" s="53" t="n"/>
      <c r="Q225" s="53" t="n"/>
      <c r="R225" s="53" t="n"/>
      <c r="S225" s="53" t="n"/>
    </row>
    <row r="226" customFormat="1" s="1916">
      <c r="A226" s="53" t="n"/>
      <c r="B226" s="53" t="n"/>
      <c r="C226" s="53" t="n"/>
      <c r="D226" s="53" t="n"/>
      <c r="E226" s="53" t="n"/>
      <c r="F226" s="53" t="n"/>
      <c r="G226" s="53" t="n"/>
      <c r="O226" s="53" t="n"/>
      <c r="P226" s="53" t="n"/>
      <c r="Q226" s="53" t="n"/>
      <c r="R226" s="53" t="n"/>
      <c r="S226" s="2145" t="n"/>
    </row>
    <row r="227" customFormat="1" s="1916">
      <c r="A227" s="53" t="n"/>
      <c r="B227" s="2155" t="n"/>
      <c r="C227" s="2145" t="n"/>
      <c r="D227" s="2145" t="n"/>
      <c r="E227" s="2145" t="n"/>
      <c r="F227" s="2285" t="n"/>
      <c r="G227" s="53" t="n"/>
      <c r="O227" s="53" t="n"/>
      <c r="P227" s="53" t="n"/>
      <c r="Q227" s="2145" t="n"/>
      <c r="R227" s="2145" t="n"/>
      <c r="S227" s="2145" t="n"/>
      <c r="T227" s="53" t="n"/>
      <c r="U227" s="53" t="n"/>
    </row>
    <row r="228" customFormat="1" s="1916">
      <c r="A228" s="53" t="n"/>
      <c r="B228" s="53" t="n"/>
      <c r="C228" s="2145" t="n"/>
      <c r="D228" s="2145" t="n"/>
      <c r="E228" s="2145" t="n"/>
      <c r="F228" s="53" t="n"/>
      <c r="G228" s="53" t="n"/>
      <c r="O228" s="53" t="n"/>
      <c r="P228" s="53" t="n"/>
      <c r="Q228" s="2145" t="n"/>
      <c r="R228" s="2285" t="n"/>
      <c r="S228" s="2145" t="n"/>
      <c r="T228" s="53" t="n"/>
      <c r="U228" s="53" t="n"/>
    </row>
    <row r="229" customFormat="1" s="1916">
      <c r="A229" s="53" t="n"/>
      <c r="B229" s="53" t="n"/>
      <c r="C229" s="2145" t="n"/>
      <c r="D229" s="2145" t="n"/>
      <c r="E229" s="2145" t="n"/>
      <c r="F229" s="53" t="n"/>
      <c r="G229" s="53" t="n"/>
      <c r="O229" s="53" t="n"/>
      <c r="P229" s="53" t="n"/>
      <c r="Q229" s="2145" t="n"/>
      <c r="R229" s="2285" t="n"/>
      <c r="S229" s="2145" t="n"/>
      <c r="T229" s="53" t="n"/>
      <c r="U229" s="53" t="n"/>
    </row>
    <row r="230" customFormat="1" s="1916">
      <c r="A230" s="53" t="n"/>
      <c r="B230" s="53" t="n"/>
      <c r="C230" s="2145" t="n"/>
      <c r="D230" s="2145" t="n"/>
      <c r="E230" s="2145" t="n"/>
      <c r="F230" s="53" t="n"/>
      <c r="G230" s="53" t="n"/>
      <c r="O230" s="53" t="n"/>
      <c r="P230" s="2145" t="n"/>
      <c r="Q230" s="2149" t="n"/>
      <c r="R230" s="53" t="n"/>
      <c r="S230" s="53" t="n"/>
      <c r="T230" s="53" t="n"/>
      <c r="U230" s="53" t="n"/>
      <c r="V230" s="53" t="n"/>
    </row>
    <row r="231" customFormat="1" s="1916">
      <c r="A231" s="53" t="n"/>
      <c r="B231" s="53" t="n"/>
      <c r="C231" s="2145" t="n"/>
      <c r="D231" s="2145" t="n"/>
      <c r="E231" s="2145" t="n"/>
      <c r="F231" s="53" t="n"/>
      <c r="G231" s="53" t="n"/>
      <c r="O231" s="53" t="n"/>
      <c r="P231" s="53" t="n"/>
      <c r="Q231" s="2149" t="n"/>
      <c r="R231" s="53" t="n"/>
      <c r="S231" s="53" t="n"/>
      <c r="T231" s="2145" t="n"/>
      <c r="U231" s="2145" t="n"/>
      <c r="V231" s="53" t="n"/>
    </row>
    <row r="232" customFormat="1" s="1916">
      <c r="A232" s="53" t="n"/>
      <c r="B232" s="53" t="n"/>
      <c r="C232" s="2145" t="n"/>
      <c r="D232" s="2145" t="n"/>
      <c r="E232" s="2145" t="n"/>
      <c r="F232" s="53" t="n"/>
      <c r="G232" s="53" t="n"/>
      <c r="O232" s="53" t="n"/>
      <c r="P232" s="53" t="n"/>
      <c r="Q232" s="2149" t="n"/>
      <c r="R232" s="53" t="n"/>
      <c r="S232" s="53" t="n"/>
      <c r="T232" s="2145" t="n"/>
      <c r="U232" s="2145" t="n"/>
      <c r="V232" s="53" t="n"/>
    </row>
    <row r="233" customFormat="1" s="1916">
      <c r="A233" s="53" t="n"/>
      <c r="B233" s="53" t="n"/>
      <c r="C233" s="2145" t="n"/>
      <c r="D233" s="2145" t="n"/>
      <c r="E233" s="2145" t="n"/>
      <c r="F233" s="53" t="n"/>
      <c r="G233" s="53" t="n"/>
      <c r="O233" s="53" t="n"/>
      <c r="P233" s="53" t="n"/>
      <c r="Q233" s="2149" t="n"/>
      <c r="R233" s="53" t="n"/>
      <c r="S233" s="53" t="n"/>
      <c r="T233" s="2145" t="n"/>
      <c r="U233" s="2145" t="n"/>
      <c r="V233" s="53" t="n"/>
    </row>
    <row r="234" customFormat="1" s="1916">
      <c r="A234" s="53" t="n"/>
      <c r="B234" s="53" t="n"/>
      <c r="C234" s="2145" t="n"/>
      <c r="D234" s="2145" t="n"/>
      <c r="E234" s="2145" t="n"/>
      <c r="F234" s="53" t="n"/>
      <c r="G234" s="53" t="n"/>
      <c r="O234" s="53" t="n"/>
      <c r="P234" s="53" t="n"/>
      <c r="Q234" s="2149" t="n"/>
      <c r="R234" s="53" t="n"/>
      <c r="S234" s="53" t="n"/>
      <c r="T234" s="2145" t="n"/>
      <c r="U234" s="2145" t="n"/>
      <c r="V234" s="53" t="n"/>
    </row>
    <row r="235" customFormat="1" s="1916">
      <c r="A235" s="53" t="n"/>
      <c r="B235" s="53" t="n"/>
      <c r="C235" s="2145" t="n"/>
      <c r="D235" s="2145" t="n"/>
      <c r="E235" s="2145" t="n"/>
      <c r="F235" s="53" t="n"/>
      <c r="G235" s="53" t="n"/>
      <c r="O235" s="53" t="n"/>
      <c r="P235" s="53" t="n"/>
      <c r="Q235" s="2149" t="n"/>
      <c r="R235" s="53" t="n"/>
      <c r="S235" s="53" t="n"/>
      <c r="T235" s="53" t="n"/>
      <c r="U235" s="53" t="n"/>
      <c r="V235" s="53" t="n"/>
    </row>
    <row r="236" customFormat="1" s="1916">
      <c r="A236" s="53" t="n"/>
      <c r="B236" s="53" t="n"/>
      <c r="C236" s="2145" t="n"/>
      <c r="D236" s="2145" t="n"/>
      <c r="E236" s="2145" t="n"/>
      <c r="F236" s="53" t="n"/>
      <c r="G236" s="53" t="n"/>
      <c r="O236" s="53" t="n"/>
      <c r="P236" s="53" t="n"/>
      <c r="Q236" s="2149" t="n"/>
      <c r="R236" s="53" t="n"/>
      <c r="S236" s="53" t="n"/>
      <c r="T236" s="53" t="n"/>
      <c r="U236" s="53" t="n"/>
      <c r="V236" s="53" t="n"/>
    </row>
    <row r="237" customFormat="1" s="1916">
      <c r="A237" s="53" t="n"/>
      <c r="B237" s="53" t="n"/>
      <c r="C237" s="2145" t="n"/>
      <c r="D237" s="2145" t="n"/>
      <c r="E237" s="2145" t="n"/>
      <c r="F237" s="53" t="n"/>
      <c r="G237" s="53" t="n"/>
      <c r="T237" s="53" t="n"/>
      <c r="U237" s="53" t="n"/>
      <c r="V237" s="53" t="n"/>
    </row>
    <row r="238" customFormat="1" s="1916">
      <c r="A238" s="53" t="n"/>
      <c r="B238" s="53" t="n"/>
      <c r="C238" s="2145" t="n"/>
      <c r="D238" s="2145" t="n"/>
      <c r="E238" s="2145" t="n"/>
      <c r="F238" s="53" t="n"/>
      <c r="G238" s="53" t="n"/>
      <c r="T238" s="53" t="n"/>
      <c r="U238" s="53" t="n"/>
      <c r="V238" s="53" t="n"/>
    </row>
    <row r="239" customFormat="1" s="1916">
      <c r="A239" s="53" t="n"/>
      <c r="B239" s="53" t="n"/>
      <c r="C239" s="2145" t="n"/>
      <c r="D239" s="2145" t="n"/>
      <c r="E239" s="2145" t="n"/>
      <c r="F239" s="2285" t="n"/>
      <c r="G239" s="53" t="n"/>
      <c r="T239" s="53" t="n"/>
      <c r="U239" s="53" t="n"/>
      <c r="V239" s="53" t="n"/>
    </row>
    <row r="240" customFormat="1" s="1916">
      <c r="A240" s="53" t="n"/>
      <c r="B240" s="53" t="n"/>
      <c r="C240" s="2145" t="n"/>
      <c r="D240" s="2145" t="n"/>
      <c r="E240" s="2145" t="n"/>
      <c r="F240" s="53" t="n"/>
      <c r="G240" s="53" t="n"/>
      <c r="T240" s="53" t="n"/>
      <c r="U240" s="53" t="n"/>
      <c r="V240" s="53" t="n"/>
    </row>
    <row r="241" customFormat="1" s="1916">
      <c r="A241" s="53" t="n"/>
      <c r="B241" s="53" t="n"/>
      <c r="C241" s="2145" t="n"/>
      <c r="D241" s="2145" t="n"/>
      <c r="E241" s="2145" t="n"/>
      <c r="F241" s="53" t="n"/>
      <c r="G241" s="53" t="n"/>
      <c r="T241" s="53" t="n"/>
      <c r="U241" s="53" t="n"/>
      <c r="V241" s="53" t="n"/>
    </row>
    <row r="242" customFormat="1" s="1916">
      <c r="A242" s="53" t="n"/>
      <c r="B242" s="53" t="n"/>
      <c r="C242" s="2145" t="n"/>
      <c r="D242" s="2145" t="n"/>
      <c r="E242" s="2145" t="n"/>
      <c r="F242" s="53" t="n"/>
      <c r="G242" s="53" t="n"/>
    </row>
    <row r="243" customFormat="1" s="1916">
      <c r="A243" s="53" t="n"/>
      <c r="B243" s="53" t="n"/>
      <c r="C243" s="2145" t="n"/>
      <c r="D243" s="2145" t="n"/>
      <c r="E243" s="2145" t="n"/>
      <c r="F243" s="53" t="n"/>
      <c r="G243" s="53" t="n"/>
    </row>
    <row r="244" customFormat="1" s="1916">
      <c r="A244" s="103" t="n"/>
      <c r="B244" s="103" t="n"/>
      <c r="C244" s="2147" t="n"/>
      <c r="D244" s="2147" t="n"/>
      <c r="E244" s="2147" t="n"/>
      <c r="F244" s="53" t="n"/>
      <c r="G244" s="53" t="n"/>
    </row>
    <row r="245" customFormat="1" s="1916">
      <c r="A245" s="103" t="n"/>
      <c r="B245" s="105" t="n"/>
      <c r="C245" s="2147" t="n"/>
      <c r="D245" s="2147" t="n"/>
      <c r="E245" s="2147" t="n"/>
      <c r="F245" s="53" t="n"/>
      <c r="G245" s="53" t="n"/>
    </row>
    <row r="246" customFormat="1" s="1916">
      <c r="A246" s="103" t="n"/>
      <c r="B246" s="103" t="n"/>
      <c r="C246" s="2147" t="n"/>
      <c r="D246" s="2147" t="n"/>
      <c r="E246" s="2147" t="n"/>
      <c r="F246" s="53" t="n"/>
      <c r="G246" s="53" t="n"/>
    </row>
    <row r="247" customFormat="1" s="1916">
      <c r="A247" s="103" t="n"/>
      <c r="B247" s="105" t="n"/>
      <c r="C247" s="2147" t="n"/>
      <c r="D247" s="2147" t="n"/>
      <c r="E247" s="2147" t="n"/>
      <c r="F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</row>
    <row r="248" customFormat="1" s="1916">
      <c r="A248" s="53" t="n"/>
      <c r="B248" s="53" t="n"/>
      <c r="C248" s="2145" t="n"/>
      <c r="D248" s="2145" t="n"/>
      <c r="E248" s="2145" t="n"/>
      <c r="F248" s="53" t="n"/>
      <c r="H248" s="53" t="n"/>
      <c r="I248" s="53" t="n"/>
      <c r="J248" s="53" t="n"/>
      <c r="K248" s="106" t="n"/>
      <c r="L248" s="106" t="n"/>
      <c r="M248" s="106" t="n"/>
      <c r="N248" s="106" t="n"/>
      <c r="O248" s="106" t="n"/>
    </row>
    <row r="249" customFormat="1" s="1916">
      <c r="A249" s="3" t="n"/>
      <c r="B249" s="2285" t="n"/>
      <c r="C249" s="3" t="n"/>
      <c r="D249" s="3" t="n"/>
      <c r="E249" s="2285" t="n"/>
      <c r="F249" s="107" t="n"/>
      <c r="H249" s="53" t="n"/>
      <c r="I249" s="540" t="n"/>
      <c r="J249" s="53" t="n"/>
      <c r="K249" s="106" t="n"/>
      <c r="L249" s="106" t="n"/>
      <c r="M249" s="106" t="n"/>
      <c r="N249" s="106" t="n"/>
      <c r="O249" s="106" t="n"/>
    </row>
    <row r="250" customFormat="1" s="1916">
      <c r="A250" s="53" t="n"/>
      <c r="B250" s="53" t="n"/>
      <c r="C250" s="53" t="n"/>
      <c r="D250" s="53" t="n"/>
      <c r="E250" s="53" t="n"/>
      <c r="F250" s="107" t="n"/>
      <c r="H250" s="53" t="n"/>
      <c r="I250" s="53" t="n"/>
      <c r="J250" s="53" t="n"/>
      <c r="K250" s="2145" t="n"/>
      <c r="L250" s="2145" t="n"/>
      <c r="M250" s="2145" t="n"/>
      <c r="N250" s="2145" t="n"/>
      <c r="O250" s="53" t="n"/>
    </row>
    <row r="251" customFormat="1" s="1916">
      <c r="A251" s="53" t="n"/>
      <c r="B251" s="53" t="n"/>
      <c r="C251" s="53" t="n"/>
      <c r="D251" s="53" t="n"/>
      <c r="E251" s="106" t="n"/>
      <c r="F251" s="106" t="n"/>
      <c r="H251" s="53" t="n"/>
      <c r="I251" s="93" t="n"/>
      <c r="J251" s="2145" t="n"/>
      <c r="K251" s="2145" t="n"/>
      <c r="L251" s="2145" t="n"/>
      <c r="M251" s="2145" t="n"/>
      <c r="N251" s="2145" t="n"/>
      <c r="O251" s="106" t="n"/>
    </row>
    <row r="252" customFormat="1" s="1916">
      <c r="A252" s="53" t="n"/>
      <c r="B252" s="53" t="n"/>
      <c r="C252" s="53" t="n"/>
      <c r="D252" s="53" t="n"/>
      <c r="E252" s="53" t="n"/>
      <c r="F252" s="53" t="n"/>
      <c r="H252" s="53" t="n"/>
      <c r="I252" s="93" t="n"/>
      <c r="J252" s="2145" t="n"/>
      <c r="K252" s="2145" t="n"/>
      <c r="L252" s="2145" t="n"/>
      <c r="M252" s="2145" t="n"/>
      <c r="N252" s="2145" t="n"/>
      <c r="O252" s="53" t="n"/>
    </row>
    <row r="253" customFormat="1" s="1916">
      <c r="A253" s="53" t="n"/>
      <c r="B253" s="53" t="n"/>
      <c r="C253" s="53" t="n"/>
      <c r="D253" s="53" t="n"/>
      <c r="E253" s="106" t="n"/>
      <c r="F253" s="106" t="n"/>
      <c r="H253" s="53" t="n"/>
      <c r="I253" s="93" t="n"/>
      <c r="J253" s="2145" t="n"/>
      <c r="K253" s="2145" t="n"/>
      <c r="L253" s="2145" t="n"/>
      <c r="M253" s="2145" t="n"/>
      <c r="N253" s="2145" t="n"/>
      <c r="O253" s="106" t="n"/>
    </row>
    <row r="254" customFormat="1" s="1916">
      <c r="A254" s="53" t="n"/>
      <c r="B254" s="53" t="n"/>
      <c r="C254" s="53" t="n"/>
      <c r="D254" s="53" t="n"/>
      <c r="E254" s="2286" t="n"/>
      <c r="F254" s="2286" t="n"/>
      <c r="G254" s="53" t="n"/>
      <c r="H254" s="103" t="n"/>
      <c r="I254" s="103" t="n"/>
      <c r="J254" s="2147" t="n"/>
      <c r="K254" s="2147" t="n"/>
      <c r="L254" s="2147" t="n"/>
      <c r="M254" s="2145" t="n"/>
      <c r="N254" s="2145" t="n"/>
      <c r="O254" s="106" t="n"/>
    </row>
    <row r="255" customFormat="1" s="1916">
      <c r="A255" s="53" t="n"/>
      <c r="B255" s="53" t="n"/>
      <c r="C255" s="2145" t="n"/>
      <c r="D255" s="2145" t="n"/>
      <c r="E255" s="2145" t="n"/>
      <c r="F255" s="2145" t="n"/>
      <c r="G255" s="53" t="n"/>
      <c r="H255" s="53" t="n"/>
      <c r="I255" s="53" t="n"/>
    </row>
    <row r="256" customFormat="1" s="1916">
      <c r="A256" s="53" t="n"/>
      <c r="B256" s="53" t="n"/>
      <c r="C256" s="53" t="n"/>
      <c r="D256" s="53" t="n"/>
      <c r="E256" s="2145" t="n"/>
      <c r="F256" s="53" t="n"/>
      <c r="G256" s="53" t="n"/>
      <c r="H256" s="110" t="n"/>
      <c r="I256" s="53" t="n"/>
      <c r="J256" s="53" t="n"/>
      <c r="K256" s="2145" t="n"/>
      <c r="L256" s="2145" t="n"/>
      <c r="M256" s="2145" t="n"/>
      <c r="N256" s="2145" t="n"/>
    </row>
    <row r="257" customFormat="1" s="1916">
      <c r="A257" s="53" t="n"/>
      <c r="B257" s="93" t="n"/>
      <c r="C257" s="2145" t="n"/>
      <c r="D257" s="2145" t="n"/>
      <c r="E257" s="2145" t="n"/>
      <c r="F257" s="53" t="n"/>
      <c r="G257" s="53" t="n"/>
      <c r="H257" s="2285" t="n"/>
      <c r="I257" s="93" t="n"/>
      <c r="J257" s="2145" t="n"/>
      <c r="K257" s="2145" t="n"/>
      <c r="L257" s="2145" t="n"/>
      <c r="M257" s="2145" t="n"/>
      <c r="N257" s="2145" t="n"/>
    </row>
    <row r="258" customFormat="1" s="1916">
      <c r="A258" s="53" t="n"/>
      <c r="B258" s="93" t="n"/>
      <c r="C258" s="2145" t="n"/>
      <c r="D258" s="2145" t="n"/>
      <c r="E258" s="2145" t="n"/>
      <c r="F258" s="53" t="n"/>
      <c r="G258" s="53" t="n"/>
      <c r="H258" s="53" t="n"/>
      <c r="I258" s="93" t="n"/>
      <c r="J258" s="2145" t="n"/>
      <c r="K258" s="2145" t="n"/>
      <c r="L258" s="2145" t="n"/>
      <c r="M258" s="2145" t="n"/>
      <c r="N258" s="2145" t="n"/>
    </row>
    <row r="259" customFormat="1" s="1916">
      <c r="A259" s="53" t="n"/>
      <c r="B259" s="93" t="n"/>
      <c r="C259" s="2145" t="n"/>
      <c r="D259" s="2145" t="n"/>
      <c r="E259" s="2145" t="n"/>
      <c r="F259" s="53" t="n"/>
      <c r="G259" s="53" t="n"/>
      <c r="H259" s="53" t="n"/>
      <c r="I259" s="93" t="n"/>
      <c r="J259" s="2145" t="n"/>
      <c r="K259" s="2145" t="n"/>
      <c r="L259" s="2145" t="n"/>
      <c r="M259" s="2145" t="n"/>
      <c r="N259" s="2145" t="n"/>
    </row>
    <row r="260" customFormat="1" s="1916">
      <c r="A260" s="53" t="n"/>
      <c r="B260" s="93" t="n"/>
      <c r="C260" s="2145" t="n"/>
      <c r="D260" s="2145" t="n"/>
      <c r="E260" s="2145" t="n"/>
      <c r="F260" s="111" t="n"/>
      <c r="G260" s="53" t="n"/>
      <c r="H260" s="53" t="n"/>
      <c r="I260" s="93" t="n"/>
      <c r="J260" s="2145" t="n"/>
      <c r="K260" s="2145" t="n"/>
      <c r="L260" s="2145" t="n"/>
      <c r="M260" s="2145" t="n"/>
      <c r="N260" s="2145" t="n"/>
    </row>
    <row r="261" customFormat="1" s="1916">
      <c r="A261" s="53" t="n"/>
      <c r="B261" s="93" t="n"/>
      <c r="C261" s="2145" t="n"/>
      <c r="D261" s="2145" t="n"/>
      <c r="E261" s="2145" t="n"/>
      <c r="F261" s="111" t="n"/>
      <c r="G261" s="53" t="n"/>
      <c r="H261" s="53" t="n"/>
      <c r="I261" s="93" t="n"/>
      <c r="J261" s="2145" t="n"/>
      <c r="K261" s="2145" t="n"/>
      <c r="L261" s="2145" t="n"/>
      <c r="M261" s="2145" t="n"/>
      <c r="N261" s="2145" t="n"/>
    </row>
    <row r="262" customFormat="1" s="1916">
      <c r="A262" s="53" t="n"/>
      <c r="B262" s="93" t="n"/>
      <c r="C262" s="2145" t="n"/>
      <c r="D262" s="2145" t="n"/>
      <c r="E262" s="2145" t="n"/>
      <c r="F262" s="53" t="n"/>
      <c r="G262" s="53" t="n"/>
      <c r="H262" s="53" t="n"/>
      <c r="I262" s="93" t="n"/>
      <c r="J262" s="2145" t="n"/>
      <c r="K262" s="2145" t="n"/>
      <c r="L262" s="2145" t="n"/>
      <c r="M262" s="2145" t="n"/>
      <c r="N262" s="2145" t="n"/>
    </row>
    <row r="263" customFormat="1" s="1916">
      <c r="A263" s="53" t="n"/>
      <c r="B263" s="93" t="n"/>
      <c r="C263" s="2145" t="n"/>
      <c r="D263" s="2145" t="n"/>
      <c r="E263" s="2145" t="n"/>
      <c r="F263" s="53" t="n"/>
      <c r="G263" s="53" t="n"/>
      <c r="H263" s="53" t="n"/>
      <c r="I263" s="93" t="n"/>
      <c r="J263" s="2145" t="n"/>
      <c r="K263" s="2145" t="n"/>
      <c r="L263" s="2145" t="n"/>
      <c r="M263" s="2145" t="n"/>
      <c r="N263" s="2145" t="n"/>
    </row>
    <row r="264" customFormat="1" s="1916">
      <c r="A264" s="103" t="n"/>
      <c r="B264" s="103" t="n"/>
      <c r="C264" s="2147" t="n"/>
      <c r="D264" s="2147" t="n"/>
      <c r="E264" s="2147" t="n"/>
      <c r="F264" s="53" t="n"/>
      <c r="G264" s="53" t="n"/>
      <c r="H264" s="103" t="n"/>
      <c r="I264" s="103" t="n"/>
      <c r="J264" s="2147" t="n"/>
      <c r="K264" s="2147" t="n"/>
      <c r="L264" s="2147" t="n"/>
      <c r="M264" s="2147" t="n"/>
      <c r="N264" s="2147" t="n"/>
    </row>
    <row r="265" customFormat="1" s="1916">
      <c r="A265" s="53" t="n"/>
      <c r="B265" s="53" t="n"/>
      <c r="C265" s="2145" t="n"/>
      <c r="D265" s="2145" t="n"/>
      <c r="E265" s="2145" t="n"/>
      <c r="F265" s="53" t="n"/>
      <c r="G265" s="53" t="n"/>
    </row>
    <row r="266" customFormat="1" s="1916">
      <c r="A266" s="53" t="n"/>
      <c r="B266" s="53" t="n"/>
      <c r="C266" s="2145" t="n"/>
      <c r="D266" s="2145" t="n"/>
      <c r="E266" s="2147" t="n"/>
      <c r="F266" s="53" t="n"/>
      <c r="G266" s="53" t="n"/>
    </row>
    <row r="267" customFormat="1" s="1916">
      <c r="A267" s="53" t="n"/>
      <c r="B267" s="53" t="n"/>
      <c r="C267" s="2145" t="n"/>
      <c r="D267" s="2145" t="n"/>
      <c r="E267" s="2145" t="n"/>
      <c r="F267" s="53" t="n"/>
      <c r="G267" s="53" t="n"/>
    </row>
    <row r="268" customFormat="1" s="1916">
      <c r="A268" s="53" t="n"/>
      <c r="B268" s="53" t="n"/>
      <c r="C268" s="2145" t="n"/>
      <c r="D268" s="2145" t="n"/>
      <c r="E268" s="2145" t="n"/>
      <c r="F268" s="53" t="n"/>
      <c r="G268" s="53" t="n"/>
    </row>
    <row r="269" customFormat="1" s="1916">
      <c r="A269" s="53" t="n"/>
      <c r="B269" s="112" t="n"/>
      <c r="C269" s="2145" t="n"/>
      <c r="D269" s="2145" t="n"/>
      <c r="E269" s="2145" t="n"/>
      <c r="F269" s="53" t="n"/>
      <c r="G269" s="53" t="n"/>
    </row>
    <row r="270" customFormat="1" s="1916">
      <c r="A270" s="53" t="n"/>
      <c r="B270" s="112" t="n"/>
      <c r="C270" s="2145" t="n"/>
      <c r="D270" s="2145" t="n"/>
      <c r="E270" s="2145" t="n"/>
      <c r="F270" s="53" t="n"/>
      <c r="G270" s="53" t="n"/>
    </row>
    <row r="271" customFormat="1" s="1916">
      <c r="A271" s="53" t="n"/>
      <c r="B271" s="113" t="n"/>
      <c r="C271" s="2145" t="n"/>
      <c r="D271" s="2145" t="n"/>
      <c r="E271" s="2145" t="n"/>
      <c r="F271" s="53" t="n"/>
      <c r="G271" s="53" t="n"/>
    </row>
    <row r="272" customFormat="1" s="1916">
      <c r="A272" s="53" t="n"/>
      <c r="B272" s="113" t="n"/>
      <c r="C272" s="2145" t="n"/>
      <c r="D272" s="2145" t="n"/>
      <c r="E272" s="2145" t="n"/>
      <c r="F272" s="53" t="n"/>
      <c r="G272" s="53" t="n"/>
    </row>
    <row r="273" customFormat="1" s="1916">
      <c r="A273" s="53" t="n"/>
      <c r="B273" s="113" t="n"/>
      <c r="C273" s="2145" t="n"/>
      <c r="D273" s="2145" t="n"/>
      <c r="E273" s="2145" t="n"/>
      <c r="F273" s="53" t="n"/>
      <c r="G273" s="53" t="n"/>
    </row>
    <row r="274" customFormat="1" s="1916">
      <c r="A274" s="53" t="n"/>
      <c r="B274" s="113" t="n"/>
      <c r="C274" s="2145" t="n"/>
      <c r="D274" s="2145" t="n"/>
      <c r="E274" s="2145" t="n"/>
      <c r="F274" s="53" t="n"/>
      <c r="G274" s="53" t="n"/>
    </row>
    <row r="275" customFormat="1" s="1916">
      <c r="A275" s="53" t="n"/>
      <c r="B275" s="112" t="n"/>
      <c r="C275" s="2145" t="n"/>
      <c r="D275" s="2145" t="n"/>
      <c r="E275" s="2145" t="n"/>
      <c r="F275" s="53" t="n"/>
      <c r="G275" s="53" t="n"/>
    </row>
    <row r="276" customFormat="1" s="1916">
      <c r="A276" s="53" t="n"/>
      <c r="B276" s="112" t="n"/>
      <c r="C276" s="2145" t="n"/>
      <c r="D276" s="2145" t="n"/>
      <c r="E276" s="2145" t="n"/>
      <c r="F276" s="53" t="n"/>
      <c r="G276" s="53" t="n"/>
    </row>
    <row r="277" customFormat="1" s="1916">
      <c r="A277" s="53" t="n"/>
      <c r="B277" s="112" t="n"/>
      <c r="C277" s="2145" t="n"/>
      <c r="D277" s="2145" t="n"/>
      <c r="E277" s="2149" t="n"/>
      <c r="F277" s="53" t="n"/>
      <c r="G277" s="53" t="n"/>
      <c r="Q277" s="53" t="n"/>
    </row>
    <row r="278" customFormat="1" s="1916">
      <c r="A278" s="53" t="n"/>
      <c r="B278" s="113" t="n"/>
      <c r="C278" s="2145" t="n"/>
      <c r="D278" s="2145" t="n"/>
      <c r="E278" s="2145" t="n"/>
      <c r="F278" s="53" t="n"/>
      <c r="G278" s="53" t="n"/>
      <c r="H278" s="53" t="n"/>
      <c r="J278" s="2154" t="n"/>
      <c r="Q278" s="53" t="n"/>
    </row>
    <row r="279" customFormat="1" s="1916">
      <c r="A279" s="53" t="n"/>
      <c r="B279" s="53" t="n"/>
      <c r="C279" s="2145" t="n"/>
      <c r="D279" s="2145" t="n"/>
      <c r="E279" s="2145" t="n"/>
      <c r="F279" s="2145" t="n"/>
      <c r="G279" s="2145" t="n"/>
      <c r="Q279" s="53" t="n"/>
    </row>
    <row r="280" customFormat="1" s="1916">
      <c r="A280" s="53" t="n"/>
      <c r="B280" s="53" t="n"/>
      <c r="C280" s="2145" t="n"/>
      <c r="D280" s="2145" t="n"/>
      <c r="E280" s="2145" t="n"/>
      <c r="G280" s="540" t="n"/>
      <c r="Q280" s="53" t="n"/>
    </row>
    <row r="281" customFormat="1" s="1916">
      <c r="E281" s="2145" t="n"/>
    </row>
    <row r="282" customFormat="1" s="1916">
      <c r="A282" s="115" t="n"/>
    </row>
    <row r="283" customFormat="1" s="1916"/>
    <row r="284" customFormat="1" s="1916">
      <c r="A284" s="53" t="n"/>
      <c r="B284" s="53" t="n"/>
      <c r="C284" s="53" t="n"/>
      <c r="D284" s="53" t="n"/>
      <c r="E284" s="53" t="n"/>
      <c r="O284" s="53" t="n"/>
      <c r="P284" s="53" t="n"/>
      <c r="Q284" s="53" t="n"/>
      <c r="R284" s="53" t="n"/>
      <c r="S284" s="53" t="n"/>
    </row>
    <row r="285" customFormat="1" s="1916">
      <c r="A285" s="53" t="n"/>
      <c r="B285" s="53" t="n"/>
      <c r="C285" s="53" t="n"/>
      <c r="D285" s="53" t="n"/>
      <c r="E285" s="53" t="n"/>
      <c r="F285" s="53" t="n"/>
      <c r="G285" s="53" t="n"/>
      <c r="O285" s="53" t="n"/>
      <c r="P285" s="53" t="n"/>
      <c r="Q285" s="53" t="n"/>
      <c r="R285" s="53" t="n"/>
      <c r="S285" s="2145" t="n"/>
    </row>
    <row r="286" customFormat="1" s="1916">
      <c r="A286" s="53" t="n"/>
      <c r="B286" s="2155" t="n"/>
      <c r="C286" s="2145" t="n"/>
      <c r="D286" s="2145" t="n"/>
      <c r="E286" s="2145" t="n"/>
      <c r="F286" s="2285" t="n"/>
      <c r="G286" s="53" t="n"/>
      <c r="O286" s="53" t="n"/>
      <c r="P286" s="53" t="n"/>
      <c r="Q286" s="2145" t="n"/>
      <c r="R286" s="2145" t="n"/>
      <c r="S286" s="2145" t="n"/>
    </row>
    <row r="287" customFormat="1" s="1916">
      <c r="A287" s="53" t="n"/>
      <c r="B287" s="53" t="n"/>
      <c r="C287" s="2145" t="n"/>
      <c r="D287" s="2145" t="n"/>
      <c r="E287" s="2145" t="n"/>
      <c r="F287" s="53" t="n"/>
      <c r="G287" s="53" t="n"/>
      <c r="O287" s="53" t="n"/>
      <c r="P287" s="53" t="n"/>
      <c r="Q287" s="2145" t="n"/>
      <c r="R287" s="2285" t="n"/>
      <c r="S287" s="2145" t="n"/>
    </row>
    <row r="288" customFormat="1" s="1916">
      <c r="A288" s="53" t="n"/>
      <c r="B288" s="53" t="n"/>
      <c r="C288" s="2145" t="n"/>
      <c r="D288" s="2145" t="n"/>
      <c r="E288" s="2145" t="n"/>
      <c r="F288" s="53" t="n"/>
      <c r="G288" s="53" t="n"/>
      <c r="O288" s="53" t="n"/>
      <c r="P288" s="53" t="n"/>
      <c r="Q288" s="2145" t="n"/>
      <c r="R288" s="2285" t="n"/>
      <c r="S288" s="2145" t="n"/>
    </row>
    <row r="289" customFormat="1" s="1916">
      <c r="A289" s="53" t="n"/>
      <c r="B289" s="53" t="n"/>
      <c r="C289" s="2145" t="n"/>
      <c r="D289" s="2145" t="n"/>
      <c r="E289" s="2145" t="n"/>
      <c r="F289" s="53" t="n"/>
      <c r="G289" s="53" t="n"/>
      <c r="O289" s="53" t="n"/>
      <c r="P289" s="2145" t="n"/>
      <c r="Q289" s="2149" t="n"/>
      <c r="R289" s="53" t="n"/>
      <c r="S289" s="53" t="n"/>
      <c r="T289" s="53" t="n"/>
      <c r="U289" s="53" t="n"/>
      <c r="V289" s="53" t="n"/>
    </row>
    <row r="290" customFormat="1" s="1916">
      <c r="A290" s="53" t="n"/>
      <c r="B290" s="53" t="n"/>
      <c r="C290" s="2145" t="n"/>
      <c r="D290" s="2145" t="n"/>
      <c r="E290" s="2145" t="n"/>
      <c r="F290" s="53" t="n"/>
      <c r="G290" s="53" t="n"/>
      <c r="O290" s="53" t="n"/>
      <c r="P290" s="53" t="n"/>
      <c r="Q290" s="2149" t="n"/>
      <c r="R290" s="53" t="n"/>
      <c r="S290" s="53" t="n"/>
      <c r="T290" s="2145" t="n"/>
      <c r="U290" s="2145" t="n"/>
      <c r="V290" s="53" t="n"/>
    </row>
    <row r="291" customFormat="1" s="1916">
      <c r="A291" s="53" t="n"/>
      <c r="B291" s="53" t="n"/>
      <c r="C291" s="2145" t="n"/>
      <c r="D291" s="2145" t="n"/>
      <c r="E291" s="2145" t="n"/>
      <c r="F291" s="53" t="n"/>
      <c r="G291" s="53" t="n"/>
      <c r="O291" s="53" t="n"/>
      <c r="P291" s="53" t="n"/>
      <c r="Q291" s="2149" t="n"/>
      <c r="R291" s="53" t="n"/>
      <c r="S291" s="53" t="n"/>
      <c r="T291" s="2145" t="n"/>
      <c r="U291" s="2145" t="n"/>
      <c r="V291" s="53" t="n"/>
    </row>
    <row r="292" customFormat="1" s="1916">
      <c r="A292" s="53" t="n"/>
      <c r="B292" s="53" t="n"/>
      <c r="C292" s="2145" t="n"/>
      <c r="D292" s="2145" t="n"/>
      <c r="E292" s="2145" t="n"/>
      <c r="F292" s="53" t="n"/>
      <c r="G292" s="53" t="n"/>
      <c r="O292" s="53" t="n"/>
      <c r="P292" s="53" t="n"/>
      <c r="Q292" s="2149" t="n"/>
      <c r="R292" s="53" t="n"/>
      <c r="S292" s="53" t="n"/>
      <c r="T292" s="2145" t="n"/>
      <c r="U292" s="2145" t="n"/>
      <c r="V292" s="53" t="n"/>
    </row>
    <row r="293" customFormat="1" s="1916">
      <c r="A293" s="53" t="n"/>
      <c r="B293" s="53" t="n"/>
      <c r="C293" s="2145" t="n"/>
      <c r="D293" s="2145" t="n"/>
      <c r="E293" s="2145" t="n"/>
      <c r="F293" s="53" t="n"/>
      <c r="G293" s="53" t="n"/>
      <c r="O293" s="53" t="n"/>
      <c r="P293" s="53" t="n"/>
      <c r="Q293" s="2149" t="n"/>
      <c r="R293" s="53" t="n"/>
      <c r="S293" s="53" t="n"/>
      <c r="T293" s="2145" t="n"/>
      <c r="U293" s="2145" t="n"/>
      <c r="V293" s="53" t="n"/>
    </row>
    <row r="294" customFormat="1" s="1916">
      <c r="A294" s="53" t="n"/>
      <c r="B294" s="53" t="n"/>
      <c r="C294" s="2145" t="n"/>
      <c r="D294" s="2145" t="n"/>
      <c r="E294" s="2145" t="n"/>
      <c r="F294" s="53" t="n"/>
      <c r="G294" s="53" t="n"/>
      <c r="O294" s="53" t="n"/>
      <c r="P294" s="53" t="n"/>
      <c r="Q294" s="2149" t="n"/>
      <c r="R294" s="53" t="n"/>
      <c r="S294" s="53" t="n"/>
      <c r="T294" s="53" t="n"/>
      <c r="U294" s="53" t="n"/>
      <c r="V294" s="53" t="n"/>
    </row>
    <row r="295" customFormat="1" s="1916">
      <c r="A295" s="53" t="n"/>
      <c r="B295" s="53" t="n"/>
      <c r="C295" s="2145" t="n"/>
      <c r="D295" s="2145" t="n"/>
      <c r="E295" s="2145" t="n"/>
      <c r="F295" s="53" t="n"/>
      <c r="G295" s="53" t="n"/>
      <c r="O295" s="53" t="n"/>
      <c r="P295" s="53" t="n"/>
      <c r="Q295" s="2149" t="n"/>
      <c r="R295" s="53" t="n"/>
      <c r="S295" s="53" t="n"/>
      <c r="T295" s="53" t="n"/>
      <c r="U295" s="53" t="n"/>
      <c r="V295" s="53" t="n"/>
    </row>
    <row r="296" customFormat="1" s="1916">
      <c r="A296" s="53" t="n"/>
      <c r="B296" s="53" t="n"/>
      <c r="C296" s="2145" t="n"/>
      <c r="D296" s="2145" t="n"/>
      <c r="E296" s="2145" t="n"/>
      <c r="F296" s="53" t="n"/>
      <c r="G296" s="53" t="n"/>
      <c r="T296" s="53" t="n"/>
      <c r="U296" s="53" t="n"/>
      <c r="V296" s="53" t="n"/>
    </row>
    <row r="297" customFormat="1" s="1916">
      <c r="A297" s="53" t="n"/>
      <c r="B297" s="53" t="n"/>
      <c r="C297" s="2145" t="n"/>
      <c r="D297" s="2145" t="n"/>
      <c r="E297" s="2145" t="n"/>
      <c r="F297" s="53" t="n"/>
      <c r="G297" s="53" t="n"/>
      <c r="T297" s="53" t="n"/>
      <c r="U297" s="53" t="n"/>
      <c r="V297" s="53" t="n"/>
    </row>
    <row r="298" customFormat="1" s="1916">
      <c r="A298" s="53" t="n"/>
      <c r="B298" s="53" t="n"/>
      <c r="C298" s="2145" t="n"/>
      <c r="D298" s="2145" t="n"/>
      <c r="E298" s="2145" t="n"/>
      <c r="F298" s="2285" t="n"/>
      <c r="G298" s="53" t="n"/>
      <c r="T298" s="53" t="n"/>
      <c r="U298" s="53" t="n"/>
      <c r="V298" s="53" t="n"/>
    </row>
    <row r="299" customFormat="1" s="1916">
      <c r="A299" s="53" t="n"/>
      <c r="B299" s="53" t="n"/>
      <c r="C299" s="2145" t="n"/>
      <c r="D299" s="2145" t="n"/>
      <c r="E299" s="2145" t="n"/>
      <c r="F299" s="53" t="n"/>
      <c r="G299" s="53" t="n"/>
      <c r="T299" s="53" t="n"/>
      <c r="U299" s="53" t="n"/>
      <c r="V299" s="53" t="n"/>
    </row>
    <row r="300" customFormat="1" s="1916">
      <c r="A300" s="53" t="n"/>
      <c r="B300" s="53" t="n"/>
      <c r="C300" s="2145" t="n"/>
      <c r="D300" s="2145" t="n"/>
      <c r="E300" s="2145" t="n"/>
      <c r="F300" s="53" t="n"/>
      <c r="G300" s="53" t="n"/>
      <c r="T300" s="53" t="n"/>
      <c r="U300" s="53" t="n"/>
      <c r="V300" s="53" t="n"/>
    </row>
    <row r="301" customFormat="1" s="1916">
      <c r="A301" s="53" t="n"/>
      <c r="B301" s="53" t="n"/>
      <c r="C301" s="2145" t="n"/>
      <c r="D301" s="2145" t="n"/>
      <c r="E301" s="2145" t="n"/>
      <c r="F301" s="53" t="n"/>
      <c r="G301" s="53" t="n"/>
    </row>
    <row r="302" customFormat="1" s="1916">
      <c r="A302" s="53" t="n"/>
      <c r="B302" s="53" t="n"/>
      <c r="C302" s="2145" t="n"/>
      <c r="D302" s="2145" t="n"/>
      <c r="E302" s="2145" t="n"/>
      <c r="F302" s="53" t="n"/>
      <c r="G302" s="53" t="n"/>
    </row>
    <row r="303" customFormat="1" s="1916">
      <c r="A303" s="103" t="n"/>
      <c r="B303" s="103" t="n"/>
      <c r="C303" s="2147" t="n"/>
      <c r="D303" s="2147" t="n"/>
      <c r="E303" s="2147" t="n"/>
      <c r="F303" s="53" t="n"/>
      <c r="G303" s="53" t="n"/>
    </row>
    <row r="304" customFormat="1" s="1916">
      <c r="A304" s="103" t="n"/>
      <c r="B304" s="105" t="n"/>
      <c r="C304" s="2147" t="n"/>
      <c r="D304" s="2147" t="n"/>
      <c r="E304" s="2147" t="n"/>
      <c r="F304" s="53" t="n"/>
      <c r="G304" s="53" t="n"/>
    </row>
    <row r="305" customFormat="1" s="1916">
      <c r="A305" s="103" t="n"/>
      <c r="B305" s="103" t="n"/>
      <c r="C305" s="2147" t="n"/>
      <c r="D305" s="2147" t="n"/>
      <c r="E305" s="2147" t="n"/>
      <c r="F305" s="53" t="n"/>
      <c r="G305" s="53" t="n"/>
    </row>
    <row r="306" customFormat="1" s="1916">
      <c r="A306" s="103" t="n"/>
      <c r="B306" s="105" t="n"/>
      <c r="C306" s="2147" t="n"/>
      <c r="D306" s="2147" t="n"/>
      <c r="E306" s="2147" t="n"/>
      <c r="F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</row>
    <row r="307" customFormat="1" s="1916">
      <c r="A307" s="53" t="n"/>
      <c r="B307" s="53" t="n"/>
      <c r="C307" s="2145" t="n"/>
      <c r="D307" s="2145" t="n"/>
      <c r="E307" s="2145" t="n"/>
      <c r="F307" s="53" t="n"/>
      <c r="H307" s="53" t="n"/>
      <c r="I307" s="53" t="n"/>
      <c r="J307" s="53" t="n"/>
      <c r="K307" s="106" t="n"/>
      <c r="L307" s="106" t="n"/>
      <c r="M307" s="106" t="n"/>
      <c r="N307" s="106" t="n"/>
      <c r="O307" s="106" t="n"/>
    </row>
    <row r="308" customFormat="1" s="1916">
      <c r="A308" s="3" t="n"/>
      <c r="B308" s="2285" t="n"/>
      <c r="C308" s="3" t="n"/>
      <c r="D308" s="3" t="n"/>
      <c r="E308" s="2285" t="n"/>
      <c r="F308" s="107" t="n"/>
      <c r="H308" s="53" t="n"/>
      <c r="I308" s="540" t="n"/>
      <c r="J308" s="53" t="n"/>
      <c r="K308" s="106" t="n"/>
      <c r="L308" s="106" t="n"/>
      <c r="M308" s="106" t="n"/>
      <c r="N308" s="106" t="n"/>
      <c r="O308" s="106" t="n"/>
    </row>
    <row r="309" customFormat="1" s="1916">
      <c r="A309" s="53" t="n"/>
      <c r="B309" s="53" t="n"/>
      <c r="C309" s="53" t="n"/>
      <c r="D309" s="53" t="n"/>
      <c r="E309" s="53" t="n"/>
      <c r="F309" s="107" t="n"/>
      <c r="H309" s="53" t="n"/>
      <c r="I309" s="53" t="n"/>
      <c r="J309" s="53" t="n"/>
      <c r="K309" s="2145" t="n"/>
      <c r="L309" s="2145" t="n"/>
      <c r="M309" s="2145" t="n"/>
      <c r="N309" s="2145" t="n"/>
      <c r="O309" s="53" t="n"/>
    </row>
    <row r="310" customFormat="1" s="1916">
      <c r="A310" s="53" t="n"/>
      <c r="B310" s="53" t="n"/>
      <c r="C310" s="53" t="n"/>
      <c r="D310" s="53" t="n"/>
      <c r="E310" s="106" t="n"/>
      <c r="F310" s="106" t="n"/>
      <c r="H310" s="53" t="n"/>
      <c r="I310" s="93" t="n"/>
      <c r="J310" s="2145" t="n"/>
      <c r="K310" s="2145" t="n"/>
      <c r="L310" s="2145" t="n"/>
      <c r="M310" s="2145" t="n"/>
      <c r="N310" s="2145" t="n"/>
      <c r="O310" s="106" t="n"/>
    </row>
    <row r="311" customFormat="1" s="1916">
      <c r="A311" s="53" t="n"/>
      <c r="B311" s="53" t="n"/>
      <c r="C311" s="53" t="n"/>
      <c r="D311" s="53" t="n"/>
      <c r="E311" s="53" t="n"/>
      <c r="F311" s="53" t="n"/>
      <c r="H311" s="53" t="n"/>
      <c r="I311" s="93" t="n"/>
      <c r="J311" s="2145" t="n"/>
      <c r="K311" s="2145" t="n"/>
      <c r="L311" s="2145" t="n"/>
      <c r="M311" s="2145" t="n"/>
      <c r="N311" s="2145" t="n"/>
      <c r="O311" s="53" t="n"/>
    </row>
    <row r="312" customFormat="1" s="1916">
      <c r="A312" s="53" t="n"/>
      <c r="B312" s="53" t="n"/>
      <c r="C312" s="53" t="n"/>
      <c r="D312" s="53" t="n"/>
      <c r="E312" s="106" t="n"/>
      <c r="F312" s="106" t="n"/>
      <c r="H312" s="53" t="n"/>
      <c r="I312" s="93" t="n"/>
      <c r="J312" s="2145" t="n"/>
      <c r="K312" s="2145" t="n"/>
      <c r="L312" s="2145" t="n"/>
      <c r="M312" s="2145" t="n"/>
      <c r="N312" s="2145" t="n"/>
      <c r="O312" s="106" t="n"/>
    </row>
    <row r="313" customFormat="1" s="1916">
      <c r="A313" s="53" t="n"/>
      <c r="B313" s="53" t="n"/>
      <c r="C313" s="53" t="n"/>
      <c r="D313" s="53" t="n"/>
      <c r="E313" s="2286" t="n"/>
      <c r="F313" s="2286" t="n"/>
      <c r="G313" s="53" t="n"/>
      <c r="H313" s="103" t="n"/>
      <c r="I313" s="103" t="n"/>
      <c r="J313" s="2147" t="n"/>
      <c r="K313" s="2147" t="n"/>
      <c r="L313" s="2147" t="n"/>
      <c r="M313" s="2145" t="n"/>
      <c r="N313" s="2145" t="n"/>
      <c r="O313" s="106" t="n"/>
    </row>
    <row r="314" customFormat="1" s="1916">
      <c r="A314" s="53" t="n"/>
      <c r="B314" s="53" t="n"/>
      <c r="C314" s="2145" t="n"/>
      <c r="D314" s="2145" t="n"/>
      <c r="E314" s="2145" t="n"/>
      <c r="F314" s="2145" t="n"/>
      <c r="G314" s="53" t="n"/>
      <c r="H314" s="53" t="n"/>
      <c r="I314" s="53" t="n"/>
    </row>
    <row r="315" customFormat="1" s="1916">
      <c r="A315" s="53" t="n"/>
      <c r="B315" s="53" t="n"/>
      <c r="C315" s="53" t="n"/>
      <c r="D315" s="53" t="n"/>
      <c r="E315" s="2145" t="n"/>
      <c r="F315" s="53" t="n"/>
      <c r="G315" s="53" t="n"/>
      <c r="H315" s="110" t="n"/>
      <c r="I315" s="53" t="n"/>
      <c r="J315" s="53" t="n"/>
      <c r="K315" s="2145" t="n"/>
      <c r="L315" s="2145" t="n"/>
      <c r="M315" s="2145" t="n"/>
      <c r="N315" s="2145" t="n"/>
    </row>
    <row r="316" customFormat="1" s="1916">
      <c r="A316" s="53" t="n"/>
      <c r="B316" s="93" t="n"/>
      <c r="C316" s="2145" t="n"/>
      <c r="D316" s="2145" t="n"/>
      <c r="E316" s="2145" t="n"/>
      <c r="F316" s="53" t="n"/>
      <c r="G316" s="53" t="n"/>
      <c r="H316" s="2285" t="n"/>
      <c r="I316" s="93" t="n"/>
      <c r="J316" s="2145" t="n"/>
      <c r="K316" s="2145" t="n"/>
      <c r="L316" s="2145" t="n"/>
      <c r="M316" s="2145" t="n"/>
      <c r="N316" s="2145" t="n"/>
    </row>
    <row r="317" customFormat="1" s="1916">
      <c r="A317" s="53" t="n"/>
      <c r="B317" s="93" t="n"/>
      <c r="C317" s="2145" t="n"/>
      <c r="D317" s="2145" t="n"/>
      <c r="E317" s="2145" t="n"/>
      <c r="F317" s="53" t="n"/>
      <c r="G317" s="53" t="n"/>
      <c r="H317" s="53" t="n"/>
      <c r="I317" s="93" t="n"/>
      <c r="J317" s="2145" t="n"/>
      <c r="K317" s="2145" t="n"/>
      <c r="L317" s="2145" t="n"/>
      <c r="M317" s="2145" t="n"/>
      <c r="N317" s="2145" t="n"/>
    </row>
    <row r="318" customFormat="1" s="1916">
      <c r="A318" s="53" t="n"/>
      <c r="B318" s="93" t="n"/>
      <c r="C318" s="2145" t="n"/>
      <c r="D318" s="2145" t="n"/>
      <c r="E318" s="2145" t="n"/>
      <c r="F318" s="53" t="n"/>
      <c r="G318" s="53" t="n"/>
      <c r="H318" s="53" t="n"/>
      <c r="I318" s="93" t="n"/>
      <c r="J318" s="2145" t="n"/>
      <c r="K318" s="2145" t="n"/>
      <c r="L318" s="2145" t="n"/>
      <c r="M318" s="2145" t="n"/>
      <c r="N318" s="2145" t="n"/>
    </row>
    <row r="319" customFormat="1" s="1916">
      <c r="A319" s="53" t="n"/>
      <c r="B319" s="93" t="n"/>
      <c r="C319" s="2145" t="n"/>
      <c r="D319" s="2145" t="n"/>
      <c r="E319" s="2145" t="n"/>
      <c r="F319" s="111" t="n"/>
      <c r="G319" s="53" t="n"/>
      <c r="H319" s="53" t="n"/>
      <c r="I319" s="93" t="n"/>
      <c r="J319" s="2145" t="n"/>
      <c r="K319" s="2145" t="n"/>
      <c r="L319" s="2145" t="n"/>
      <c r="M319" s="2145" t="n"/>
      <c r="N319" s="2145" t="n"/>
    </row>
    <row r="320" customFormat="1" s="1916">
      <c r="A320" s="53" t="n"/>
      <c r="B320" s="93" t="n"/>
      <c r="C320" s="2145" t="n"/>
      <c r="D320" s="2145" t="n"/>
      <c r="E320" s="2145" t="n"/>
      <c r="F320" s="111" t="n"/>
      <c r="G320" s="53" t="n"/>
      <c r="H320" s="53" t="n"/>
      <c r="I320" s="93" t="n"/>
      <c r="J320" s="2145" t="n"/>
      <c r="K320" s="2145" t="n"/>
      <c r="L320" s="2145" t="n"/>
      <c r="M320" s="2145" t="n"/>
      <c r="N320" s="2145" t="n"/>
    </row>
    <row r="321" customFormat="1" s="1916">
      <c r="A321" s="53" t="n"/>
      <c r="B321" s="93" t="n"/>
      <c r="C321" s="2145" t="n"/>
      <c r="D321" s="2145" t="n"/>
      <c r="E321" s="2145" t="n"/>
      <c r="F321" s="53" t="n"/>
      <c r="G321" s="53" t="n"/>
      <c r="H321" s="53" t="n"/>
      <c r="I321" s="93" t="n"/>
      <c r="J321" s="2145" t="n"/>
      <c r="K321" s="2145" t="n"/>
      <c r="L321" s="2145" t="n"/>
      <c r="M321" s="2145" t="n"/>
      <c r="N321" s="2145" t="n"/>
    </row>
    <row r="322" customFormat="1" s="1916">
      <c r="A322" s="53" t="n"/>
      <c r="B322" s="93" t="n"/>
      <c r="C322" s="2145" t="n"/>
      <c r="D322" s="2145" t="n"/>
      <c r="E322" s="2145" t="n"/>
      <c r="F322" s="53" t="n"/>
      <c r="G322" s="53" t="n"/>
      <c r="H322" s="53" t="n"/>
      <c r="I322" s="93" t="n"/>
      <c r="J322" s="2145" t="n"/>
      <c r="K322" s="2145" t="n"/>
      <c r="L322" s="2145" t="n"/>
      <c r="M322" s="2145" t="n"/>
      <c r="N322" s="2145" t="n"/>
    </row>
    <row r="323" customFormat="1" s="1916">
      <c r="A323" s="103" t="n"/>
      <c r="B323" s="103" t="n"/>
      <c r="C323" s="2147" t="n"/>
      <c r="D323" s="2147" t="n"/>
      <c r="E323" s="2147" t="n"/>
      <c r="F323" s="53" t="n"/>
      <c r="G323" s="53" t="n"/>
      <c r="H323" s="103" t="n"/>
      <c r="I323" s="103" t="n"/>
      <c r="J323" s="2147" t="n"/>
      <c r="K323" s="2147" t="n"/>
      <c r="L323" s="2147" t="n"/>
      <c r="M323" s="2147" t="n"/>
      <c r="N323" s="2147" t="n"/>
    </row>
    <row r="324" customFormat="1" s="1916">
      <c r="A324" s="53" t="n"/>
      <c r="B324" s="53" t="n"/>
      <c r="C324" s="2145" t="n"/>
      <c r="D324" s="2145" t="n"/>
      <c r="E324" s="2145" t="n"/>
      <c r="F324" s="53" t="n"/>
      <c r="G324" s="53" t="n"/>
    </row>
    <row r="325" customFormat="1" s="1916">
      <c r="A325" s="53" t="n"/>
      <c r="B325" s="53" t="n"/>
      <c r="C325" s="2145" t="n"/>
      <c r="D325" s="2145" t="n"/>
      <c r="E325" s="2147" t="n"/>
      <c r="F325" s="53" t="n"/>
      <c r="G325" s="53" t="n"/>
    </row>
    <row r="326" customFormat="1" s="1916">
      <c r="A326" s="53" t="n"/>
      <c r="B326" s="53" t="n"/>
      <c r="C326" s="2145" t="n"/>
      <c r="D326" s="2145" t="n"/>
      <c r="E326" s="2145" t="n"/>
      <c r="F326" s="53" t="n"/>
      <c r="G326" s="53" t="n"/>
    </row>
    <row r="327" customFormat="1" s="1916">
      <c r="A327" s="53" t="n"/>
      <c r="B327" s="53" t="n"/>
      <c r="C327" s="2145" t="n"/>
      <c r="D327" s="2145" t="n"/>
      <c r="E327" s="2145" t="n"/>
      <c r="F327" s="53" t="n"/>
      <c r="G327" s="53" t="n"/>
    </row>
    <row r="328" customFormat="1" s="1916">
      <c r="A328" s="53" t="n"/>
      <c r="B328" s="112" t="n"/>
      <c r="C328" s="2145" t="n"/>
      <c r="D328" s="2145" t="n"/>
      <c r="E328" s="2145" t="n"/>
      <c r="F328" s="53" t="n"/>
      <c r="G328" s="53" t="n"/>
    </row>
    <row r="329" customFormat="1" s="1916">
      <c r="A329" s="53" t="n"/>
      <c r="B329" s="112" t="n"/>
      <c r="C329" s="2145" t="n"/>
      <c r="D329" s="2145" t="n"/>
      <c r="E329" s="2145" t="n"/>
      <c r="F329" s="53" t="n"/>
      <c r="G329" s="53" t="n"/>
    </row>
    <row r="330" customFormat="1" s="1916">
      <c r="A330" s="53" t="n"/>
      <c r="B330" s="113" t="n"/>
      <c r="C330" s="2145" t="n"/>
      <c r="D330" s="2145" t="n"/>
      <c r="E330" s="2145" t="n"/>
      <c r="F330" s="53" t="n"/>
      <c r="G330" s="53" t="n"/>
    </row>
    <row r="331" customFormat="1" s="1916">
      <c r="A331" s="53" t="n"/>
      <c r="B331" s="113" t="n"/>
      <c r="C331" s="2145" t="n"/>
      <c r="D331" s="2145" t="n"/>
      <c r="E331" s="2145" t="n"/>
      <c r="F331" s="53" t="n"/>
      <c r="G331" s="53" t="n"/>
    </row>
    <row r="332" customFormat="1" s="1916">
      <c r="A332" s="53" t="n"/>
      <c r="B332" s="113" t="n"/>
      <c r="C332" s="2145" t="n"/>
      <c r="D332" s="2145" t="n"/>
      <c r="E332" s="2145" t="n"/>
      <c r="F332" s="53" t="n"/>
      <c r="G332" s="53" t="n"/>
    </row>
    <row r="333" customFormat="1" s="1916">
      <c r="A333" s="53" t="n"/>
      <c r="B333" s="113" t="n"/>
      <c r="C333" s="2145" t="n"/>
      <c r="D333" s="2145" t="n"/>
      <c r="E333" s="2145" t="n"/>
      <c r="F333" s="53" t="n"/>
      <c r="G333" s="53" t="n"/>
    </row>
    <row r="334" customFormat="1" s="1916">
      <c r="A334" s="53" t="n"/>
      <c r="B334" s="112" t="n"/>
      <c r="C334" s="2145" t="n"/>
      <c r="D334" s="2145" t="n"/>
      <c r="E334" s="2145" t="n"/>
      <c r="F334" s="53" t="n"/>
      <c r="G334" s="53" t="n"/>
    </row>
    <row r="335" customFormat="1" s="1916">
      <c r="A335" s="53" t="n"/>
      <c r="B335" s="112" t="n"/>
      <c r="C335" s="2145" t="n"/>
      <c r="D335" s="2145" t="n"/>
      <c r="E335" s="2145" t="n"/>
      <c r="F335" s="53" t="n"/>
      <c r="G335" s="53" t="n"/>
    </row>
    <row r="336" customFormat="1" s="1916">
      <c r="A336" s="53" t="n"/>
      <c r="B336" s="112" t="n"/>
      <c r="C336" s="2145" t="n"/>
      <c r="D336" s="2145" t="n"/>
      <c r="E336" s="2149" t="n"/>
      <c r="F336" s="53" t="n"/>
      <c r="G336" s="53" t="n"/>
      <c r="Q336" s="53" t="n"/>
    </row>
    <row r="337" customFormat="1" s="1916">
      <c r="A337" s="53" t="n"/>
      <c r="B337" s="113" t="n"/>
      <c r="C337" s="2145" t="n"/>
      <c r="D337" s="2145" t="n"/>
      <c r="E337" s="2145" t="n"/>
      <c r="F337" s="53" t="n"/>
      <c r="G337" s="53" t="n"/>
      <c r="H337" s="53" t="n"/>
      <c r="J337" s="2154" t="n"/>
      <c r="Q337" s="53" t="n"/>
    </row>
    <row r="338" customFormat="1" s="1916">
      <c r="A338" s="53" t="n"/>
      <c r="B338" s="53" t="n"/>
      <c r="C338" s="2145" t="n"/>
      <c r="D338" s="2145" t="n"/>
      <c r="E338" s="2145" t="n"/>
      <c r="F338" s="2145" t="n"/>
      <c r="G338" s="2145" t="n"/>
      <c r="Q338" s="53" t="n"/>
    </row>
    <row r="339" customFormat="1" s="1916">
      <c r="A339" s="53" t="n"/>
      <c r="B339" s="53" t="n"/>
      <c r="C339" s="2145" t="n"/>
      <c r="D339" s="2145" t="n"/>
      <c r="E339" s="2145" t="n"/>
      <c r="G339" s="540" t="n"/>
      <c r="Q339" s="53" t="n"/>
    </row>
    <row r="340" customFormat="1" s="1916">
      <c r="A340" s="115" t="n"/>
      <c r="E340" s="2145" t="n"/>
    </row>
    <row r="341" customFormat="1" s="1916"/>
    <row r="342" customFormat="1" s="1916">
      <c r="A342" s="116" t="n"/>
    </row>
    <row r="343" customFormat="1" s="1916">
      <c r="A343" s="53" t="n"/>
      <c r="B343" s="53" t="n"/>
      <c r="C343" s="53" t="n"/>
      <c r="D343" s="53" t="n"/>
      <c r="E343" s="53" t="n"/>
      <c r="O343" s="53" t="n"/>
      <c r="P343" s="53" t="n"/>
      <c r="Q343" s="53" t="n"/>
      <c r="R343" s="53" t="n"/>
      <c r="S343" s="53" t="n"/>
    </row>
    <row r="344" customFormat="1" s="1916">
      <c r="A344" s="53" t="n"/>
      <c r="B344" s="53" t="n"/>
      <c r="C344" s="53" t="n"/>
      <c r="D344" s="53" t="n"/>
      <c r="E344" s="53" t="n"/>
      <c r="F344" s="53" t="n"/>
      <c r="G344" s="53" t="n"/>
      <c r="O344" s="53" t="n"/>
      <c r="P344" s="53" t="n"/>
      <c r="Q344" s="53" t="n"/>
      <c r="R344" s="53" t="n"/>
      <c r="S344" s="2145" t="n"/>
    </row>
    <row r="345" customFormat="1" s="1916">
      <c r="A345" s="53" t="n"/>
      <c r="B345" s="2155" t="n"/>
      <c r="C345" s="2145" t="n"/>
      <c r="D345" s="2145" t="n"/>
      <c r="E345" s="2145" t="n"/>
      <c r="F345" s="2285" t="n"/>
      <c r="G345" s="53" t="n"/>
      <c r="O345" s="53" t="n"/>
      <c r="P345" s="53" t="n"/>
      <c r="Q345" s="2145" t="n"/>
      <c r="R345" s="2145" t="n"/>
      <c r="S345" s="2145" t="n"/>
    </row>
    <row r="346" customFormat="1" s="1916">
      <c r="A346" s="53" t="n"/>
      <c r="B346" s="53" t="n"/>
      <c r="C346" s="2145" t="n"/>
      <c r="D346" s="2145" t="n"/>
      <c r="E346" s="2145" t="n"/>
      <c r="F346" s="53" t="n"/>
      <c r="G346" s="53" t="n"/>
      <c r="O346" s="53" t="n"/>
      <c r="P346" s="53" t="n"/>
      <c r="Q346" s="2145" t="n"/>
      <c r="R346" s="2285" t="n"/>
      <c r="S346" s="2145" t="n"/>
    </row>
    <row r="347" customFormat="1" s="1916">
      <c r="A347" s="53" t="n"/>
      <c r="B347" s="53" t="n"/>
      <c r="C347" s="2145" t="n"/>
      <c r="D347" s="2145" t="n"/>
      <c r="E347" s="2145" t="n"/>
      <c r="F347" s="53" t="n"/>
      <c r="G347" s="53" t="n"/>
      <c r="O347" s="53" t="n"/>
      <c r="P347" s="53" t="n"/>
      <c r="Q347" s="2145" t="n"/>
      <c r="R347" s="2285" t="n"/>
      <c r="S347" s="2145" t="n"/>
    </row>
    <row r="348" customFormat="1" s="1916">
      <c r="A348" s="53" t="n"/>
      <c r="B348" s="53" t="n"/>
      <c r="C348" s="2145" t="n"/>
      <c r="D348" s="2145" t="n"/>
      <c r="E348" s="2145" t="n"/>
      <c r="F348" s="53" t="n"/>
      <c r="G348" s="53" t="n"/>
      <c r="O348" s="53" t="n"/>
      <c r="P348" s="2145" t="n"/>
      <c r="Q348" s="2149" t="n"/>
      <c r="R348" s="53" t="n"/>
      <c r="S348" s="53" t="n"/>
      <c r="T348" s="53" t="n"/>
      <c r="U348" s="53" t="n"/>
      <c r="V348" s="53" t="n"/>
    </row>
    <row r="349" customFormat="1" s="1916">
      <c r="A349" s="53" t="n"/>
      <c r="B349" s="53" t="n"/>
      <c r="C349" s="2145" t="n"/>
      <c r="D349" s="2145" t="n"/>
      <c r="E349" s="2145" t="n"/>
      <c r="F349" s="53" t="n"/>
      <c r="G349" s="53" t="n"/>
      <c r="O349" s="53" t="n"/>
      <c r="P349" s="53" t="n"/>
      <c r="Q349" s="2149" t="n"/>
      <c r="R349" s="53" t="n"/>
      <c r="S349" s="53" t="n"/>
      <c r="T349" s="2145" t="n"/>
      <c r="U349" s="2145" t="n"/>
      <c r="V349" s="53" t="n"/>
    </row>
    <row r="350" customFormat="1" s="1916">
      <c r="A350" s="53" t="n"/>
      <c r="B350" s="53" t="n"/>
      <c r="C350" s="2145" t="n"/>
      <c r="D350" s="2145" t="n"/>
      <c r="E350" s="2145" t="n"/>
      <c r="F350" s="53" t="n"/>
      <c r="G350" s="53" t="n"/>
      <c r="O350" s="53" t="n"/>
      <c r="P350" s="53" t="n"/>
      <c r="Q350" s="2149" t="n"/>
      <c r="R350" s="53" t="n"/>
      <c r="S350" s="53" t="n"/>
      <c r="T350" s="2145" t="n"/>
      <c r="U350" s="2145" t="n"/>
      <c r="V350" s="53" t="n"/>
    </row>
    <row r="351" customFormat="1" s="1916">
      <c r="A351" s="53" t="n"/>
      <c r="B351" s="53" t="n"/>
      <c r="C351" s="2145" t="n"/>
      <c r="D351" s="2145" t="n"/>
      <c r="E351" s="2145" t="n"/>
      <c r="F351" s="53" t="n"/>
      <c r="G351" s="53" t="n"/>
      <c r="O351" s="53" t="n"/>
      <c r="P351" s="53" t="n"/>
      <c r="Q351" s="2149" t="n"/>
      <c r="R351" s="53" t="n"/>
      <c r="S351" s="53" t="n"/>
      <c r="T351" s="2145" t="n"/>
      <c r="U351" s="2145" t="n"/>
      <c r="V351" s="53" t="n"/>
    </row>
    <row r="352" customFormat="1" s="1916">
      <c r="A352" s="53" t="n"/>
      <c r="B352" s="53" t="n"/>
      <c r="C352" s="2145" t="n"/>
      <c r="D352" s="2145" t="n"/>
      <c r="E352" s="2145" t="n"/>
      <c r="F352" s="53" t="n"/>
      <c r="G352" s="53" t="n"/>
      <c r="O352" s="53" t="n"/>
      <c r="P352" s="53" t="n"/>
      <c r="Q352" s="2149" t="n"/>
      <c r="R352" s="53" t="n"/>
      <c r="S352" s="53" t="n"/>
      <c r="T352" s="2145" t="n"/>
      <c r="U352" s="2145" t="n"/>
      <c r="V352" s="53" t="n"/>
    </row>
    <row r="353" customFormat="1" s="1916">
      <c r="A353" s="53" t="n"/>
      <c r="B353" s="53" t="n"/>
      <c r="C353" s="2145" t="n"/>
      <c r="D353" s="2145" t="n"/>
      <c r="E353" s="2145" t="n"/>
      <c r="F353" s="53" t="n"/>
      <c r="G353" s="53" t="n"/>
      <c r="O353" s="53" t="n"/>
      <c r="P353" s="53" t="n"/>
      <c r="Q353" s="2149" t="n"/>
      <c r="R353" s="53" t="n"/>
      <c r="S353" s="53" t="n"/>
      <c r="T353" s="53" t="n"/>
      <c r="U353" s="53" t="n"/>
      <c r="V353" s="53" t="n"/>
    </row>
    <row r="354" customFormat="1" s="1916">
      <c r="A354" s="53" t="n"/>
      <c r="B354" s="53" t="n"/>
      <c r="C354" s="2145" t="n"/>
      <c r="D354" s="2145" t="n"/>
      <c r="E354" s="2145" t="n"/>
      <c r="F354" s="53" t="n"/>
      <c r="G354" s="53" t="n"/>
      <c r="O354" s="53" t="n"/>
      <c r="P354" s="53" t="n"/>
      <c r="Q354" s="2149" t="n"/>
      <c r="R354" s="53" t="n"/>
      <c r="S354" s="53" t="n"/>
      <c r="T354" s="53" t="n"/>
      <c r="U354" s="53" t="n"/>
      <c r="V354" s="53" t="n"/>
    </row>
    <row r="355" customFormat="1" s="1916">
      <c r="A355" s="53" t="n"/>
      <c r="B355" s="53" t="n"/>
      <c r="C355" s="2145" t="n"/>
      <c r="D355" s="2145" t="n"/>
      <c r="E355" s="2145" t="n"/>
      <c r="F355" s="53" t="n"/>
      <c r="G355" s="53" t="n"/>
      <c r="T355" s="53" t="n"/>
      <c r="U355" s="53" t="n"/>
      <c r="V355" s="53" t="n"/>
    </row>
    <row r="356" customFormat="1" s="1916">
      <c r="A356" s="53" t="n"/>
      <c r="B356" s="53" t="n"/>
      <c r="C356" s="2145" t="n"/>
      <c r="D356" s="2145" t="n"/>
      <c r="E356" s="2145" t="n"/>
      <c r="F356" s="53" t="n"/>
      <c r="G356" s="53" t="n"/>
      <c r="T356" s="53" t="n"/>
      <c r="U356" s="53" t="n"/>
      <c r="V356" s="53" t="n"/>
    </row>
    <row r="357" customFormat="1" s="1916">
      <c r="A357" s="53" t="n"/>
      <c r="B357" s="53" t="n"/>
      <c r="C357" s="2145" t="n"/>
      <c r="D357" s="2145" t="n"/>
      <c r="E357" s="2145" t="n"/>
      <c r="F357" s="2285" t="n"/>
      <c r="G357" s="53" t="n"/>
      <c r="T357" s="53" t="n"/>
      <c r="U357" s="53" t="n"/>
      <c r="V357" s="53" t="n"/>
    </row>
    <row r="358" customFormat="1" s="1916">
      <c r="A358" s="53" t="n"/>
      <c r="B358" s="53" t="n"/>
      <c r="C358" s="2145" t="n"/>
      <c r="D358" s="2145" t="n"/>
      <c r="E358" s="2145" t="n"/>
      <c r="F358" s="53" t="n"/>
      <c r="G358" s="53" t="n"/>
      <c r="T358" s="53" t="n"/>
      <c r="U358" s="53" t="n"/>
      <c r="V358" s="53" t="n"/>
    </row>
    <row r="359" customFormat="1" s="1916">
      <c r="A359" s="53" t="n"/>
      <c r="B359" s="53" t="n"/>
      <c r="C359" s="2145" t="n"/>
      <c r="D359" s="2145" t="n"/>
      <c r="E359" s="2145" t="n"/>
      <c r="F359" s="53" t="n"/>
      <c r="G359" s="53" t="n"/>
      <c r="T359" s="53" t="n"/>
      <c r="U359" s="53" t="n"/>
      <c r="V359" s="53" t="n"/>
    </row>
    <row r="360" customFormat="1" s="1916">
      <c r="A360" s="53" t="n"/>
      <c r="B360" s="53" t="n"/>
      <c r="C360" s="2145" t="n"/>
      <c r="D360" s="2145" t="n"/>
      <c r="E360" s="2145" t="n"/>
      <c r="F360" s="53" t="n"/>
      <c r="G360" s="53" t="n"/>
    </row>
    <row r="361" customFormat="1" s="1916">
      <c r="A361" s="53" t="n"/>
      <c r="B361" s="53" t="n"/>
      <c r="C361" s="2145" t="n"/>
      <c r="D361" s="2145" t="n"/>
      <c r="E361" s="2145" t="n"/>
      <c r="F361" s="53" t="n"/>
      <c r="G361" s="53" t="n"/>
    </row>
    <row r="362" customFormat="1" s="1916">
      <c r="A362" s="103" t="n"/>
      <c r="B362" s="103" t="n"/>
      <c r="C362" s="2147" t="n"/>
      <c r="D362" s="2147" t="n"/>
      <c r="E362" s="2147" t="n"/>
      <c r="F362" s="53" t="n"/>
      <c r="G362" s="53" t="n"/>
    </row>
    <row r="363" customFormat="1" s="1916">
      <c r="A363" s="103" t="n"/>
      <c r="B363" s="105" t="n"/>
      <c r="C363" s="2147" t="n"/>
      <c r="D363" s="2147" t="n"/>
      <c r="E363" s="2147" t="n"/>
      <c r="F363" s="53" t="n"/>
      <c r="G363" s="53" t="n"/>
    </row>
    <row r="364" customFormat="1" s="1916">
      <c r="A364" s="103" t="n"/>
      <c r="B364" s="103" t="n"/>
      <c r="C364" s="2147" t="n"/>
      <c r="D364" s="2147" t="n"/>
      <c r="E364" s="2147" t="n"/>
      <c r="F364" s="53" t="n"/>
      <c r="G364" s="53" t="n"/>
    </row>
    <row r="365" customFormat="1" s="1916">
      <c r="A365" s="103" t="n"/>
      <c r="B365" s="105" t="n"/>
      <c r="C365" s="2147" t="n"/>
      <c r="D365" s="2147" t="n"/>
      <c r="E365" s="2147" t="n"/>
      <c r="F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</row>
    <row r="366" customFormat="1" s="1916">
      <c r="A366" s="53" t="n"/>
      <c r="B366" s="53" t="n"/>
      <c r="C366" s="2145" t="n"/>
      <c r="D366" s="2145" t="n"/>
      <c r="E366" s="2145" t="n"/>
      <c r="F366" s="53" t="n"/>
      <c r="H366" s="53" t="n"/>
      <c r="I366" s="53" t="n"/>
      <c r="J366" s="53" t="n"/>
      <c r="K366" s="106" t="n"/>
      <c r="L366" s="106" t="n"/>
      <c r="M366" s="106" t="n"/>
      <c r="N366" s="106" t="n"/>
      <c r="O366" s="106" t="n"/>
    </row>
    <row r="367" customFormat="1" s="1916">
      <c r="A367" s="3" t="n"/>
      <c r="B367" s="2285" t="n"/>
      <c r="C367" s="3" t="n"/>
      <c r="D367" s="3" t="n"/>
      <c r="E367" s="2285" t="n"/>
      <c r="F367" s="107" t="n"/>
      <c r="H367" s="53" t="n"/>
      <c r="I367" s="540" t="n"/>
      <c r="J367" s="53" t="n"/>
      <c r="K367" s="106" t="n"/>
      <c r="L367" s="106" t="n"/>
      <c r="M367" s="106" t="n"/>
      <c r="N367" s="106" t="n"/>
      <c r="O367" s="106" t="n"/>
    </row>
    <row r="368" customFormat="1" s="1916">
      <c r="A368" s="53" t="n"/>
      <c r="B368" s="53" t="n"/>
      <c r="C368" s="53" t="n"/>
      <c r="D368" s="53" t="n"/>
      <c r="E368" s="53" t="n"/>
      <c r="F368" s="107" t="n"/>
      <c r="H368" s="53" t="n"/>
      <c r="I368" s="53" t="n"/>
      <c r="J368" s="53" t="n"/>
      <c r="K368" s="2145" t="n"/>
      <c r="L368" s="2145" t="n"/>
      <c r="M368" s="2145" t="n"/>
      <c r="N368" s="2145" t="n"/>
      <c r="O368" s="53" t="n"/>
    </row>
    <row r="369" customFormat="1" s="1916">
      <c r="A369" s="53" t="n"/>
      <c r="B369" s="53" t="n"/>
      <c r="C369" s="53" t="n"/>
      <c r="D369" s="53" t="n"/>
      <c r="E369" s="106" t="n"/>
      <c r="F369" s="106" t="n"/>
      <c r="H369" s="53" t="n"/>
      <c r="I369" s="93" t="n"/>
      <c r="J369" s="2145" t="n"/>
      <c r="K369" s="2145" t="n"/>
      <c r="L369" s="2145" t="n"/>
      <c r="M369" s="2145" t="n"/>
      <c r="N369" s="2145" t="n"/>
      <c r="O369" s="106" t="n"/>
    </row>
    <row r="370" customFormat="1" s="1916">
      <c r="A370" s="53" t="n"/>
      <c r="B370" s="53" t="n"/>
      <c r="C370" s="53" t="n"/>
      <c r="D370" s="53" t="n"/>
      <c r="E370" s="53" t="n"/>
      <c r="F370" s="53" t="n"/>
      <c r="H370" s="53" t="n"/>
      <c r="I370" s="93" t="n"/>
      <c r="J370" s="2145" t="n"/>
      <c r="K370" s="2145" t="n"/>
      <c r="L370" s="2145" t="n"/>
      <c r="M370" s="2145" t="n"/>
      <c r="N370" s="2145" t="n"/>
      <c r="O370" s="53" t="n"/>
    </row>
    <row r="371" customFormat="1" s="1916">
      <c r="A371" s="53" t="n"/>
      <c r="B371" s="53" t="n"/>
      <c r="C371" s="53" t="n"/>
      <c r="D371" s="53" t="n"/>
      <c r="E371" s="106" t="n"/>
      <c r="F371" s="106" t="n"/>
      <c r="H371" s="53" t="n"/>
      <c r="I371" s="93" t="n"/>
      <c r="J371" s="2145" t="n"/>
      <c r="K371" s="2145" t="n"/>
      <c r="L371" s="2145" t="n"/>
      <c r="M371" s="2145" t="n"/>
      <c r="N371" s="2145" t="n"/>
      <c r="O371" s="106" t="n"/>
    </row>
    <row r="372" customFormat="1" s="1916">
      <c r="A372" s="53" t="n"/>
      <c r="B372" s="53" t="n"/>
      <c r="C372" s="53" t="n"/>
      <c r="D372" s="53" t="n"/>
      <c r="E372" s="2286" t="n"/>
      <c r="F372" s="2286" t="n"/>
      <c r="G372" s="53" t="n"/>
      <c r="H372" s="103" t="n"/>
      <c r="I372" s="103" t="n"/>
      <c r="J372" s="2147" t="n"/>
      <c r="K372" s="2147" t="n"/>
      <c r="L372" s="2147" t="n"/>
      <c r="M372" s="2145" t="n"/>
      <c r="N372" s="2145" t="n"/>
      <c r="O372" s="106" t="n"/>
    </row>
    <row r="373" customFormat="1" s="1916">
      <c r="A373" s="53" t="n"/>
      <c r="B373" s="53" t="n"/>
      <c r="C373" s="2145" t="n"/>
      <c r="D373" s="2145" t="n"/>
      <c r="E373" s="2145" t="n"/>
      <c r="F373" s="2145" t="n"/>
      <c r="G373" s="53" t="n"/>
      <c r="H373" s="53" t="n"/>
      <c r="I373" s="53" t="n"/>
    </row>
    <row r="374" customFormat="1" s="1916">
      <c r="A374" s="53" t="n"/>
      <c r="B374" s="53" t="n"/>
      <c r="C374" s="53" t="n"/>
      <c r="D374" s="53" t="n"/>
      <c r="E374" s="2145" t="n"/>
      <c r="F374" s="53" t="n"/>
      <c r="G374" s="53" t="n"/>
      <c r="H374" s="110" t="n"/>
      <c r="I374" s="53" t="n"/>
      <c r="J374" s="53" t="n"/>
      <c r="K374" s="2145" t="n"/>
      <c r="L374" s="2145" t="n"/>
      <c r="M374" s="2145" t="n"/>
      <c r="N374" s="2145" t="n"/>
    </row>
    <row r="375" customFormat="1" s="1916">
      <c r="A375" s="53" t="n"/>
      <c r="B375" s="93" t="n"/>
      <c r="C375" s="2145" t="n"/>
      <c r="D375" s="2145" t="n"/>
      <c r="E375" s="2145" t="n"/>
      <c r="F375" s="53" t="n"/>
      <c r="G375" s="53" t="n"/>
      <c r="H375" s="2285" t="n"/>
      <c r="I375" s="93" t="n"/>
      <c r="J375" s="2145" t="n"/>
      <c r="K375" s="2145" t="n"/>
      <c r="L375" s="2145" t="n"/>
      <c r="M375" s="2145" t="n"/>
      <c r="N375" s="2145" t="n"/>
    </row>
    <row r="376" customFormat="1" s="1916">
      <c r="A376" s="53" t="n"/>
      <c r="B376" s="93" t="n"/>
      <c r="C376" s="2145" t="n"/>
      <c r="D376" s="2145" t="n"/>
      <c r="E376" s="2145" t="n"/>
      <c r="F376" s="53" t="n"/>
      <c r="G376" s="53" t="n"/>
      <c r="H376" s="53" t="n"/>
      <c r="I376" s="93" t="n"/>
      <c r="J376" s="2145" t="n"/>
      <c r="K376" s="2145" t="n"/>
      <c r="L376" s="2145" t="n"/>
      <c r="M376" s="2145" t="n"/>
      <c r="N376" s="2145" t="n"/>
    </row>
    <row r="377" customFormat="1" s="1916">
      <c r="A377" s="53" t="n"/>
      <c r="B377" s="93" t="n"/>
      <c r="C377" s="2145" t="n"/>
      <c r="D377" s="2145" t="n"/>
      <c r="E377" s="2145" t="n"/>
      <c r="F377" s="53" t="n"/>
      <c r="G377" s="53" t="n"/>
      <c r="H377" s="53" t="n"/>
      <c r="I377" s="93" t="n"/>
      <c r="J377" s="2145" t="n"/>
      <c r="K377" s="2145" t="n"/>
      <c r="L377" s="2145" t="n"/>
      <c r="M377" s="2145" t="n"/>
      <c r="N377" s="2145" t="n"/>
    </row>
    <row r="378" customFormat="1" s="1916">
      <c r="A378" s="53" t="n"/>
      <c r="B378" s="93" t="n"/>
      <c r="C378" s="2145" t="n"/>
      <c r="D378" s="2145" t="n"/>
      <c r="E378" s="2145" t="n"/>
      <c r="F378" s="111" t="n"/>
      <c r="G378" s="53" t="n"/>
      <c r="H378" s="53" t="n"/>
      <c r="I378" s="93" t="n"/>
      <c r="J378" s="2145" t="n"/>
      <c r="K378" s="2145" t="n"/>
      <c r="L378" s="2145" t="n"/>
      <c r="M378" s="2145" t="n"/>
      <c r="N378" s="2145" t="n"/>
    </row>
    <row r="379" customFormat="1" s="1916">
      <c r="A379" s="53" t="n"/>
      <c r="B379" s="93" t="n"/>
      <c r="C379" s="2145" t="n"/>
      <c r="D379" s="2145" t="n"/>
      <c r="E379" s="2145" t="n"/>
      <c r="F379" s="53" t="n"/>
      <c r="G379" s="53" t="n"/>
      <c r="H379" s="53" t="n"/>
      <c r="I379" s="93" t="n"/>
      <c r="J379" s="2145" t="n"/>
      <c r="K379" s="2145" t="n"/>
      <c r="L379" s="2145" t="n"/>
      <c r="M379" s="2145" t="n"/>
      <c r="N379" s="2145" t="n"/>
    </row>
    <row r="380" customFormat="1" s="1916">
      <c r="A380" s="53" t="n"/>
      <c r="B380" s="93" t="n"/>
      <c r="C380" s="2145" t="n"/>
      <c r="D380" s="2145" t="n"/>
      <c r="E380" s="2145" t="n"/>
      <c r="F380" s="53" t="n"/>
      <c r="G380" s="53" t="n"/>
      <c r="H380" s="53" t="n"/>
      <c r="I380" s="93" t="n"/>
      <c r="J380" s="2145" t="n"/>
      <c r="K380" s="2145" t="n"/>
      <c r="L380" s="2145" t="n"/>
      <c r="M380" s="2145" t="n"/>
      <c r="N380" s="2145" t="n"/>
    </row>
    <row r="381" customFormat="1" s="1916">
      <c r="A381" s="53" t="n"/>
      <c r="B381" s="93" t="n"/>
      <c r="C381" s="2145" t="n"/>
      <c r="D381" s="2145" t="n"/>
      <c r="E381" s="2145" t="n"/>
      <c r="F381" s="53" t="n"/>
      <c r="G381" s="53" t="n"/>
      <c r="H381" s="53" t="n"/>
      <c r="I381" s="93" t="n"/>
      <c r="J381" s="2145" t="n"/>
      <c r="K381" s="2145" t="n"/>
      <c r="L381" s="2145" t="n"/>
      <c r="M381" s="2145" t="n"/>
      <c r="N381" s="2145" t="n"/>
    </row>
    <row r="382" customFormat="1" s="1916">
      <c r="A382" s="103" t="n"/>
      <c r="B382" s="103" t="n"/>
      <c r="C382" s="2147" t="n"/>
      <c r="D382" s="2147" t="n"/>
      <c r="E382" s="2147" t="n"/>
      <c r="F382" s="53" t="n"/>
      <c r="G382" s="53" t="n"/>
      <c r="H382" s="103" t="n"/>
      <c r="I382" s="103" t="n"/>
      <c r="J382" s="2147" t="n"/>
      <c r="K382" s="2147" t="n"/>
      <c r="L382" s="2147" t="n"/>
      <c r="M382" s="2147" t="n"/>
      <c r="N382" s="2147" t="n"/>
    </row>
    <row r="383" customFormat="1" s="1916">
      <c r="A383" s="53" t="n"/>
      <c r="B383" s="53" t="n"/>
      <c r="C383" s="2145" t="n"/>
      <c r="D383" s="2145" t="n"/>
      <c r="E383" s="2145" t="n"/>
      <c r="F383" s="53" t="n"/>
      <c r="G383" s="53" t="n"/>
    </row>
    <row r="384" customFormat="1" s="1916">
      <c r="A384" s="53" t="n"/>
      <c r="B384" s="53" t="n"/>
      <c r="C384" s="2145" t="n"/>
      <c r="D384" s="2145" t="n"/>
      <c r="E384" s="2147" t="n"/>
      <c r="F384" s="53" t="n"/>
      <c r="G384" s="53" t="n"/>
    </row>
    <row r="385" customFormat="1" s="1916">
      <c r="A385" s="53" t="n"/>
      <c r="B385" s="53" t="n"/>
      <c r="C385" s="2145" t="n"/>
      <c r="D385" s="2145" t="n"/>
      <c r="E385" s="2145" t="n"/>
      <c r="F385" s="53" t="n"/>
      <c r="G385" s="53" t="n"/>
    </row>
    <row r="386" customFormat="1" s="1916">
      <c r="A386" s="53" t="n"/>
      <c r="B386" s="53" t="n"/>
      <c r="C386" s="2145" t="n"/>
      <c r="D386" s="2145" t="n"/>
      <c r="E386" s="2145" t="n"/>
      <c r="F386" s="53" t="n"/>
      <c r="G386" s="53" t="n"/>
    </row>
    <row r="387" customFormat="1" s="1916">
      <c r="A387" s="53" t="n"/>
      <c r="B387" s="112" t="n"/>
      <c r="C387" s="2145" t="n"/>
      <c r="D387" s="2145" t="n"/>
      <c r="E387" s="2145" t="n"/>
      <c r="F387" s="53" t="n"/>
      <c r="G387" s="53" t="n"/>
    </row>
    <row r="388" customFormat="1" s="1916">
      <c r="A388" s="53" t="n"/>
      <c r="B388" s="112" t="n"/>
      <c r="C388" s="2145" t="n"/>
      <c r="D388" s="2145" t="n"/>
      <c r="E388" s="2145" t="n"/>
      <c r="F388" s="53" t="n"/>
      <c r="G388" s="53" t="n"/>
    </row>
    <row r="389" customFormat="1" s="1916">
      <c r="A389" s="53" t="n"/>
      <c r="B389" s="113" t="n"/>
      <c r="C389" s="2145" t="n"/>
      <c r="D389" s="2145" t="n"/>
      <c r="E389" s="2145" t="n"/>
      <c r="F389" s="53" t="n"/>
      <c r="G389" s="53" t="n"/>
    </row>
    <row r="390" customFormat="1" s="1916">
      <c r="A390" s="53" t="n"/>
      <c r="B390" s="113" t="n"/>
      <c r="C390" s="2145" t="n"/>
      <c r="D390" s="2145" t="n"/>
      <c r="E390" s="2145" t="n"/>
      <c r="F390" s="53" t="n"/>
      <c r="G390" s="53" t="n"/>
    </row>
    <row r="391" customFormat="1" s="1916">
      <c r="A391" s="53" t="n"/>
      <c r="B391" s="113" t="n"/>
      <c r="C391" s="2145" t="n"/>
      <c r="D391" s="2145" t="n"/>
      <c r="E391" s="2145" t="n"/>
      <c r="F391" s="53" t="n"/>
      <c r="G391" s="53" t="n"/>
    </row>
    <row r="392" customFormat="1" s="1916">
      <c r="A392" s="53" t="n"/>
      <c r="B392" s="113" t="n"/>
      <c r="C392" s="2145" t="n"/>
      <c r="D392" s="2145" t="n"/>
      <c r="E392" s="2145" t="n"/>
      <c r="F392" s="53" t="n"/>
      <c r="G392" s="53" t="n"/>
    </row>
    <row r="393" customFormat="1" s="1916">
      <c r="A393" s="53" t="n"/>
      <c r="B393" s="112" t="n"/>
      <c r="C393" s="2145" t="n"/>
      <c r="D393" s="2145" t="n"/>
      <c r="E393" s="2145" t="n"/>
      <c r="F393" s="53" t="n"/>
      <c r="G393" s="53" t="n"/>
    </row>
    <row r="394" customFormat="1" s="1916">
      <c r="A394" s="53" t="n"/>
      <c r="B394" s="112" t="n"/>
      <c r="C394" s="2145" t="n"/>
      <c r="D394" s="2145" t="n"/>
      <c r="E394" s="2145" t="n"/>
      <c r="F394" s="53" t="n"/>
      <c r="G394" s="53" t="n"/>
    </row>
    <row r="395" customFormat="1" s="1916">
      <c r="A395" s="53" t="n"/>
      <c r="B395" s="112" t="n"/>
      <c r="C395" s="2145" t="n"/>
      <c r="D395" s="2145" t="n"/>
      <c r="E395" s="2149" t="n"/>
      <c r="F395" s="53" t="n"/>
      <c r="G395" s="53" t="n"/>
      <c r="Q395" s="53" t="n"/>
    </row>
    <row r="396" customFormat="1" s="1916">
      <c r="A396" s="53" t="n"/>
      <c r="B396" s="113" t="n"/>
      <c r="C396" s="2145" t="n"/>
      <c r="D396" s="2145" t="n"/>
      <c r="E396" s="2145" t="n"/>
      <c r="F396" s="53" t="n"/>
      <c r="G396" s="53" t="n"/>
      <c r="H396" s="53" t="n"/>
      <c r="J396" s="2154" t="n"/>
      <c r="Q396" s="53" t="n"/>
    </row>
    <row r="397" customFormat="1" s="1916">
      <c r="A397" s="53" t="n"/>
      <c r="B397" s="53" t="n"/>
      <c r="C397" s="2145" t="n"/>
      <c r="D397" s="2145" t="n"/>
      <c r="E397" s="2145" t="n"/>
      <c r="F397" s="2145" t="n"/>
      <c r="G397" s="2145" t="n"/>
      <c r="Q397" s="53" t="n"/>
    </row>
    <row r="398" customFormat="1" s="1916">
      <c r="A398" s="53" t="n"/>
      <c r="B398" s="53" t="n"/>
      <c r="C398" s="2145" t="n"/>
      <c r="D398" s="2145" t="n"/>
      <c r="E398" s="2145" t="n"/>
      <c r="G398" s="540" t="n"/>
      <c r="Q398" s="53" t="n"/>
    </row>
    <row r="399" customFormat="1" s="1916">
      <c r="E399" s="2145" t="n"/>
    </row>
    <row r="400" customFormat="1" s="1916">
      <c r="A400" s="115" t="n"/>
    </row>
    <row r="401" customFormat="1" s="1916"/>
    <row r="402" customFormat="1" s="1916">
      <c r="A402" s="53" t="n"/>
      <c r="B402" s="53" t="n"/>
      <c r="C402" s="53" t="n"/>
      <c r="D402" s="53" t="n"/>
      <c r="E402" s="53" t="n"/>
      <c r="O402" s="53" t="n"/>
      <c r="P402" s="53" t="n"/>
      <c r="Q402" s="53" t="n"/>
      <c r="R402" s="53" t="n"/>
      <c r="S402" s="53" t="n"/>
    </row>
    <row r="403" customFormat="1" s="1916">
      <c r="A403" s="53" t="n"/>
      <c r="B403" s="53" t="n"/>
      <c r="C403" s="53" t="n"/>
      <c r="D403" s="53" t="n"/>
      <c r="E403" s="53" t="n"/>
      <c r="F403" s="53" t="n"/>
      <c r="G403" s="53" t="n"/>
      <c r="O403" s="53" t="n"/>
      <c r="P403" s="53" t="n"/>
      <c r="Q403" s="53" t="n"/>
      <c r="R403" s="53" t="n"/>
      <c r="S403" s="2145" t="n"/>
    </row>
    <row r="404" customFormat="1" s="1916">
      <c r="A404" s="53" t="n"/>
      <c r="B404" s="2155" t="n"/>
      <c r="C404" s="2145" t="n"/>
      <c r="D404" s="2145" t="n"/>
      <c r="E404" s="2145" t="n"/>
      <c r="F404" s="2285" t="n"/>
      <c r="G404" s="53" t="n"/>
      <c r="O404" s="53" t="n"/>
      <c r="P404" s="53" t="n"/>
      <c r="Q404" s="2145" t="n"/>
      <c r="R404" s="2145" t="n"/>
      <c r="S404" s="2145" t="n"/>
    </row>
    <row r="405" customFormat="1" s="1916">
      <c r="A405" s="53" t="n"/>
      <c r="B405" s="53" t="n"/>
      <c r="C405" s="2145" t="n"/>
      <c r="D405" s="2145" t="n"/>
      <c r="E405" s="2145" t="n"/>
      <c r="F405" s="53" t="n"/>
      <c r="G405" s="53" t="n"/>
      <c r="O405" s="53" t="n"/>
      <c r="P405" s="53" t="n"/>
      <c r="Q405" s="2145" t="n"/>
      <c r="R405" s="2285" t="n"/>
      <c r="S405" s="2145" t="n"/>
    </row>
    <row r="406" customFormat="1" s="1916">
      <c r="A406" s="53" t="n"/>
      <c r="B406" s="53" t="n"/>
      <c r="C406" s="2145" t="n"/>
      <c r="D406" s="2145" t="n"/>
      <c r="E406" s="2145" t="n"/>
      <c r="F406" s="53" t="n"/>
      <c r="G406" s="53" t="n"/>
      <c r="O406" s="53" t="n"/>
      <c r="P406" s="53" t="n"/>
      <c r="Q406" s="2145" t="n"/>
      <c r="R406" s="2285" t="n"/>
      <c r="S406" s="2145" t="n"/>
    </row>
    <row r="407" customFormat="1" s="1916">
      <c r="A407" s="53" t="n"/>
      <c r="B407" s="53" t="n"/>
      <c r="C407" s="2145" t="n"/>
      <c r="D407" s="2145" t="n"/>
      <c r="E407" s="2145" t="n"/>
      <c r="F407" s="53" t="n"/>
      <c r="G407" s="53" t="n"/>
      <c r="O407" s="53" t="n"/>
      <c r="P407" s="2145" t="n"/>
      <c r="Q407" s="2149" t="n"/>
      <c r="R407" s="53" t="n"/>
      <c r="S407" s="53" t="n"/>
      <c r="T407" s="53" t="n"/>
      <c r="U407" s="53" t="n"/>
      <c r="V407" s="53" t="n"/>
    </row>
    <row r="408" customFormat="1" s="1916">
      <c r="A408" s="53" t="n"/>
      <c r="B408" s="53" t="n"/>
      <c r="C408" s="2145" t="n"/>
      <c r="D408" s="2145" t="n"/>
      <c r="E408" s="2145" t="n"/>
      <c r="F408" s="53" t="n"/>
      <c r="G408" s="53" t="n"/>
      <c r="O408" s="53" t="n"/>
      <c r="P408" s="53" t="n"/>
      <c r="Q408" s="2149" t="n"/>
      <c r="R408" s="53" t="n"/>
      <c r="S408" s="53" t="n"/>
      <c r="T408" s="2145" t="n"/>
      <c r="U408" s="2145" t="n"/>
      <c r="V408" s="53" t="n"/>
    </row>
    <row r="409" customFormat="1" s="1916">
      <c r="A409" s="53" t="n"/>
      <c r="B409" s="53" t="n"/>
      <c r="C409" s="2145" t="n"/>
      <c r="D409" s="2145" t="n"/>
      <c r="E409" s="2145" t="n"/>
      <c r="F409" s="53" t="n"/>
      <c r="G409" s="53" t="n"/>
      <c r="O409" s="53" t="n"/>
      <c r="P409" s="53" t="n"/>
      <c r="Q409" s="2149" t="n"/>
      <c r="R409" s="53" t="n"/>
      <c r="S409" s="53" t="n"/>
      <c r="T409" s="2145" t="n"/>
      <c r="U409" s="2145" t="n"/>
      <c r="V409" s="53" t="n"/>
    </row>
    <row r="410" customFormat="1" s="1916">
      <c r="A410" s="53" t="n"/>
      <c r="B410" s="53" t="n"/>
      <c r="C410" s="2145" t="n"/>
      <c r="D410" s="2145" t="n"/>
      <c r="E410" s="2145" t="n"/>
      <c r="F410" s="53" t="n"/>
      <c r="G410" s="53" t="n"/>
      <c r="O410" s="53" t="n"/>
      <c r="P410" s="53" t="n"/>
      <c r="Q410" s="2149" t="n"/>
      <c r="R410" s="53" t="n"/>
      <c r="S410" s="53" t="n"/>
      <c r="T410" s="2145" t="n"/>
      <c r="U410" s="2145" t="n"/>
      <c r="V410" s="53" t="n"/>
    </row>
    <row r="411" customFormat="1" s="1916">
      <c r="A411" s="53" t="n"/>
      <c r="B411" s="53" t="n"/>
      <c r="C411" s="2145" t="n"/>
      <c r="D411" s="2145" t="n"/>
      <c r="E411" s="2145" t="n"/>
      <c r="F411" s="53" t="n"/>
      <c r="G411" s="53" t="n"/>
      <c r="O411" s="53" t="n"/>
      <c r="P411" s="53" t="n"/>
      <c r="Q411" s="2149" t="n"/>
      <c r="R411" s="53" t="n"/>
      <c r="S411" s="53" t="n"/>
      <c r="T411" s="2145" t="n"/>
      <c r="U411" s="2145" t="n"/>
      <c r="V411" s="53" t="n"/>
    </row>
    <row r="412" customFormat="1" s="1916">
      <c r="A412" s="53" t="n"/>
      <c r="B412" s="53" t="n"/>
      <c r="C412" s="2145" t="n"/>
      <c r="D412" s="2145" t="n"/>
      <c r="E412" s="2145" t="n"/>
      <c r="F412" s="53" t="n"/>
      <c r="G412" s="53" t="n"/>
      <c r="O412" s="53" t="n"/>
      <c r="P412" s="53" t="n"/>
      <c r="Q412" s="2149" t="n"/>
      <c r="R412" s="53" t="n"/>
      <c r="S412" s="53" t="n"/>
      <c r="T412" s="53" t="n"/>
      <c r="U412" s="53" t="n"/>
      <c r="V412" s="53" t="n"/>
    </row>
    <row r="413" customFormat="1" s="1916">
      <c r="A413" s="53" t="n"/>
      <c r="B413" s="53" t="n"/>
      <c r="C413" s="2145" t="n"/>
      <c r="D413" s="2145" t="n"/>
      <c r="E413" s="2145" t="n"/>
      <c r="F413" s="53" t="n"/>
      <c r="G413" s="53" t="n"/>
      <c r="O413" s="53" t="n"/>
      <c r="P413" s="53" t="n"/>
      <c r="Q413" s="2149" t="n"/>
      <c r="R413" s="53" t="n"/>
      <c r="S413" s="53" t="n"/>
      <c r="T413" s="53" t="n"/>
      <c r="U413" s="53" t="n"/>
      <c r="V413" s="53" t="n"/>
    </row>
    <row r="414" customFormat="1" s="1916">
      <c r="A414" s="53" t="n"/>
      <c r="B414" s="53" t="n"/>
      <c r="C414" s="2145" t="n"/>
      <c r="D414" s="2145" t="n"/>
      <c r="E414" s="2145" t="n"/>
      <c r="F414" s="53" t="n"/>
      <c r="G414" s="53" t="n"/>
      <c r="T414" s="53" t="n"/>
      <c r="U414" s="53" t="n"/>
      <c r="V414" s="53" t="n"/>
    </row>
    <row r="415" customFormat="1" s="1916">
      <c r="A415" s="53" t="n"/>
      <c r="B415" s="53" t="n"/>
      <c r="C415" s="2145" t="n"/>
      <c r="D415" s="2145" t="n"/>
      <c r="E415" s="2145" t="n"/>
      <c r="F415" s="53" t="n"/>
      <c r="G415" s="53" t="n"/>
      <c r="T415" s="53" t="n"/>
      <c r="U415" s="53" t="n"/>
      <c r="V415" s="53" t="n"/>
    </row>
    <row r="416" customFormat="1" s="1916">
      <c r="A416" s="53" t="n"/>
      <c r="B416" s="53" t="n"/>
      <c r="C416" s="2145" t="n"/>
      <c r="D416" s="2145" t="n"/>
      <c r="E416" s="2145" t="n"/>
      <c r="F416" s="2285" t="n"/>
      <c r="G416" s="53" t="n"/>
      <c r="T416" s="53" t="n"/>
      <c r="U416" s="53" t="n"/>
      <c r="V416" s="53" t="n"/>
    </row>
    <row r="417" customFormat="1" s="1916">
      <c r="A417" s="53" t="n"/>
      <c r="B417" s="53" t="n"/>
      <c r="C417" s="2145" t="n"/>
      <c r="D417" s="2145" t="n"/>
      <c r="E417" s="2145" t="n"/>
      <c r="F417" s="53" t="n"/>
      <c r="G417" s="53" t="n"/>
      <c r="T417" s="53" t="n"/>
      <c r="U417" s="53" t="n"/>
      <c r="V417" s="53" t="n"/>
    </row>
    <row r="418" customFormat="1" s="1916">
      <c r="A418" s="53" t="n"/>
      <c r="B418" s="53" t="n"/>
      <c r="C418" s="2145" t="n"/>
      <c r="D418" s="2145" t="n"/>
      <c r="E418" s="2145" t="n"/>
      <c r="F418" s="53" t="n"/>
      <c r="G418" s="53" t="n"/>
      <c r="T418" s="53" t="n"/>
      <c r="U418" s="53" t="n"/>
      <c r="V418" s="53" t="n"/>
    </row>
    <row r="419" customFormat="1" s="1916">
      <c r="A419" s="53" t="n"/>
      <c r="B419" s="53" t="n"/>
      <c r="C419" s="2145" t="n"/>
      <c r="D419" s="2145" t="n"/>
      <c r="E419" s="2145" t="n"/>
      <c r="F419" s="53" t="n"/>
      <c r="G419" s="53" t="n"/>
    </row>
    <row r="420" customFormat="1" s="1916">
      <c r="A420" s="53" t="n"/>
      <c r="B420" s="53" t="n"/>
      <c r="C420" s="2145" t="n"/>
      <c r="D420" s="2145" t="n"/>
      <c r="E420" s="2145" t="n"/>
      <c r="F420" s="53" t="n"/>
      <c r="G420" s="53" t="n"/>
    </row>
    <row r="421" customFormat="1" s="1916">
      <c r="A421" s="103" t="n"/>
      <c r="B421" s="103" t="n"/>
      <c r="C421" s="2147" t="n"/>
      <c r="D421" s="2147" t="n"/>
      <c r="E421" s="2147" t="n"/>
      <c r="F421" s="53" t="n"/>
      <c r="G421" s="53" t="n"/>
    </row>
    <row r="422" customFormat="1" s="1916">
      <c r="A422" s="103" t="n"/>
      <c r="B422" s="105" t="n"/>
      <c r="C422" s="2147" t="n"/>
      <c r="D422" s="2147" t="n"/>
      <c r="E422" s="2147" t="n"/>
      <c r="F422" s="53" t="n"/>
      <c r="G422" s="53" t="n"/>
    </row>
    <row r="423" customFormat="1" s="1916">
      <c r="A423" s="103" t="n"/>
      <c r="B423" s="103" t="n"/>
      <c r="C423" s="2147" t="n"/>
      <c r="D423" s="2147" t="n"/>
      <c r="E423" s="2147" t="n"/>
      <c r="F423" s="53" t="n"/>
      <c r="G423" s="53" t="n"/>
    </row>
    <row r="424" customFormat="1" s="1916">
      <c r="A424" s="103" t="n"/>
      <c r="B424" s="105" t="n"/>
      <c r="C424" s="2147" t="n"/>
      <c r="D424" s="2147" t="n"/>
      <c r="E424" s="2147" t="n"/>
      <c r="F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</row>
    <row r="425" customFormat="1" s="1916">
      <c r="A425" s="53" t="n"/>
      <c r="B425" s="53" t="n"/>
      <c r="C425" s="2145" t="n"/>
      <c r="D425" s="2145" t="n"/>
      <c r="E425" s="2145" t="n"/>
      <c r="F425" s="53" t="n"/>
      <c r="H425" s="53" t="n"/>
      <c r="I425" s="53" t="n"/>
      <c r="J425" s="53" t="n"/>
      <c r="K425" s="106" t="n"/>
      <c r="L425" s="106" t="n"/>
      <c r="M425" s="106" t="n"/>
      <c r="N425" s="106" t="n"/>
      <c r="O425" s="106" t="n"/>
    </row>
    <row r="426" customFormat="1" s="1916">
      <c r="A426" s="3" t="n"/>
      <c r="B426" s="2285" t="n"/>
      <c r="C426" s="3" t="n"/>
      <c r="D426" s="3" t="n"/>
      <c r="E426" s="2285" t="n"/>
      <c r="F426" s="107" t="n"/>
      <c r="H426" s="53" t="n"/>
      <c r="I426" s="540" t="n"/>
      <c r="J426" s="53" t="n"/>
      <c r="K426" s="106" t="n"/>
      <c r="L426" s="106" t="n"/>
      <c r="M426" s="106" t="n"/>
      <c r="N426" s="106" t="n"/>
      <c r="O426" s="106" t="n"/>
    </row>
    <row r="427" customFormat="1" s="1916">
      <c r="A427" s="53" t="n"/>
      <c r="B427" s="53" t="n"/>
      <c r="C427" s="53" t="n"/>
      <c r="D427" s="53" t="n"/>
      <c r="E427" s="53" t="n"/>
      <c r="F427" s="107" t="n"/>
      <c r="H427" s="53" t="n"/>
      <c r="I427" s="53" t="n"/>
      <c r="J427" s="53" t="n"/>
      <c r="K427" s="2145" t="n"/>
      <c r="L427" s="2145" t="n"/>
      <c r="M427" s="2145" t="n"/>
      <c r="N427" s="2145" t="n"/>
      <c r="O427" s="53" t="n"/>
    </row>
    <row r="428" customFormat="1" s="1916">
      <c r="A428" s="53" t="n"/>
      <c r="B428" s="53" t="n"/>
      <c r="C428" s="53" t="n"/>
      <c r="D428" s="53" t="n"/>
      <c r="E428" s="106" t="n"/>
      <c r="F428" s="106" t="n"/>
      <c r="H428" s="53" t="n"/>
      <c r="I428" s="93" t="n"/>
      <c r="J428" s="2145" t="n"/>
      <c r="K428" s="2145" t="n"/>
      <c r="L428" s="2145" t="n"/>
      <c r="M428" s="2145" t="n"/>
      <c r="N428" s="2145" t="n"/>
      <c r="O428" s="106" t="n"/>
    </row>
    <row r="429" customFormat="1" s="1916">
      <c r="A429" s="53" t="n"/>
      <c r="B429" s="53" t="n"/>
      <c r="C429" s="53" t="n"/>
      <c r="D429" s="53" t="n"/>
      <c r="E429" s="53" t="n"/>
      <c r="F429" s="53" t="n"/>
      <c r="H429" s="53" t="n"/>
      <c r="I429" s="93" t="n"/>
      <c r="J429" s="2145" t="n"/>
      <c r="K429" s="2145" t="n"/>
      <c r="L429" s="2145" t="n"/>
      <c r="M429" s="2145" t="n"/>
      <c r="N429" s="2145" t="n"/>
      <c r="O429" s="53" t="n"/>
    </row>
    <row r="430" customFormat="1" s="1916">
      <c r="A430" s="53" t="n"/>
      <c r="B430" s="53" t="n"/>
      <c r="C430" s="53" t="n"/>
      <c r="D430" s="53" t="n"/>
      <c r="E430" s="106" t="n"/>
      <c r="F430" s="106" t="n"/>
      <c r="H430" s="53" t="n"/>
      <c r="I430" s="93" t="n"/>
      <c r="J430" s="2145" t="n"/>
      <c r="K430" s="2145" t="n"/>
      <c r="L430" s="2145" t="n"/>
      <c r="M430" s="2145" t="n"/>
      <c r="N430" s="2145" t="n"/>
      <c r="O430" s="106" t="n"/>
    </row>
    <row r="431" customFormat="1" s="1916">
      <c r="A431" s="53" t="n"/>
      <c r="B431" s="53" t="n"/>
      <c r="C431" s="53" t="n"/>
      <c r="D431" s="53" t="n"/>
      <c r="E431" s="2286" t="n"/>
      <c r="F431" s="2286" t="n"/>
      <c r="G431" s="53" t="n"/>
      <c r="H431" s="103" t="n"/>
      <c r="I431" s="103" t="n"/>
      <c r="J431" s="2147" t="n"/>
      <c r="K431" s="2147" t="n"/>
      <c r="L431" s="2147" t="n"/>
      <c r="M431" s="2145" t="n"/>
      <c r="N431" s="2145" t="n"/>
      <c r="O431" s="106" t="n"/>
    </row>
    <row r="432" customFormat="1" s="1916">
      <c r="A432" s="53" t="n"/>
      <c r="B432" s="53" t="n"/>
      <c r="C432" s="2145" t="n"/>
      <c r="D432" s="2145" t="n"/>
      <c r="E432" s="2145" t="n"/>
      <c r="F432" s="2145" t="n"/>
      <c r="G432" s="53" t="n"/>
      <c r="H432" s="53" t="n"/>
      <c r="I432" s="53" t="n"/>
    </row>
    <row r="433" customFormat="1" s="1916">
      <c r="A433" s="53" t="n"/>
      <c r="B433" s="53" t="n"/>
      <c r="C433" s="53" t="n"/>
      <c r="D433" s="53" t="n"/>
      <c r="E433" s="2145" t="n"/>
      <c r="F433" s="53" t="n"/>
      <c r="G433" s="53" t="n"/>
      <c r="H433" s="110" t="n"/>
      <c r="I433" s="53" t="n"/>
      <c r="J433" s="53" t="n"/>
      <c r="K433" s="2145" t="n"/>
      <c r="L433" s="2145" t="n"/>
      <c r="M433" s="2145" t="n"/>
      <c r="N433" s="2145" t="n"/>
    </row>
    <row r="434" customFormat="1" s="1916">
      <c r="A434" s="53" t="n"/>
      <c r="B434" s="93" t="n"/>
      <c r="C434" s="2145" t="n"/>
      <c r="D434" s="2145" t="n"/>
      <c r="E434" s="2145" t="n"/>
      <c r="F434" s="53" t="n"/>
      <c r="G434" s="53" t="n"/>
      <c r="H434" s="2285" t="n"/>
      <c r="I434" s="93" t="n"/>
      <c r="J434" s="2145" t="n"/>
      <c r="K434" s="2145" t="n"/>
      <c r="L434" s="2145" t="n"/>
      <c r="M434" s="2145" t="n"/>
      <c r="N434" s="2145" t="n"/>
    </row>
    <row r="435" customFormat="1" s="1916">
      <c r="A435" s="53" t="n"/>
      <c r="B435" s="93" t="n"/>
      <c r="C435" s="2145" t="n"/>
      <c r="D435" s="2145" t="n"/>
      <c r="E435" s="2145" t="n"/>
      <c r="F435" s="53" t="n"/>
      <c r="G435" s="53" t="n"/>
      <c r="H435" s="53" t="n"/>
      <c r="I435" s="93" t="n"/>
      <c r="J435" s="2145" t="n"/>
      <c r="K435" s="2145" t="n"/>
      <c r="L435" s="2145" t="n"/>
      <c r="M435" s="2145" t="n"/>
      <c r="N435" s="2145" t="n"/>
    </row>
    <row r="436" customFormat="1" s="1916">
      <c r="A436" s="53" t="n"/>
      <c r="B436" s="93" t="n"/>
      <c r="C436" s="2145" t="n"/>
      <c r="D436" s="2145" t="n"/>
      <c r="E436" s="2145" t="n"/>
      <c r="F436" s="53" t="n"/>
      <c r="G436" s="53" t="n"/>
      <c r="H436" s="53" t="n"/>
      <c r="I436" s="93" t="n"/>
      <c r="J436" s="2145" t="n"/>
      <c r="K436" s="2145" t="n"/>
      <c r="L436" s="2145" t="n"/>
      <c r="M436" s="2145" t="n"/>
      <c r="N436" s="2145" t="n"/>
    </row>
    <row r="437" customFormat="1" s="1916">
      <c r="A437" s="53" t="n"/>
      <c r="B437" s="93" t="n"/>
      <c r="C437" s="2145" t="n"/>
      <c r="D437" s="2145" t="n"/>
      <c r="E437" s="2145" t="n"/>
      <c r="F437" s="111" t="n"/>
      <c r="G437" s="53" t="n"/>
      <c r="H437" s="53" t="n"/>
      <c r="I437" s="93" t="n"/>
      <c r="J437" s="2145" t="n"/>
      <c r="K437" s="2145" t="n"/>
      <c r="L437" s="2145" t="n"/>
      <c r="M437" s="2145" t="n"/>
      <c r="N437" s="2145" t="n"/>
    </row>
    <row r="438" customFormat="1" s="1916">
      <c r="A438" s="53" t="n"/>
      <c r="B438" s="93" t="n"/>
      <c r="C438" s="2145" t="n"/>
      <c r="D438" s="2145" t="n"/>
      <c r="E438" s="2145" t="n"/>
      <c r="F438" s="53" t="n"/>
      <c r="G438" s="53" t="n"/>
      <c r="H438" s="53" t="n"/>
      <c r="I438" s="93" t="n"/>
      <c r="J438" s="2145" t="n"/>
      <c r="K438" s="2145" t="n"/>
      <c r="L438" s="2145" t="n"/>
      <c r="M438" s="2145" t="n"/>
      <c r="N438" s="2145" t="n"/>
    </row>
    <row r="439" customFormat="1" s="1916">
      <c r="A439" s="53" t="n"/>
      <c r="B439" s="93" t="n"/>
      <c r="C439" s="2145" t="n"/>
      <c r="D439" s="2145" t="n"/>
      <c r="E439" s="2145" t="n"/>
      <c r="F439" s="53" t="n"/>
      <c r="G439" s="53" t="n"/>
      <c r="H439" s="53" t="n"/>
      <c r="I439" s="93" t="n"/>
      <c r="J439" s="2145" t="n"/>
      <c r="K439" s="2145" t="n"/>
      <c r="L439" s="2145" t="n"/>
      <c r="M439" s="2145" t="n"/>
      <c r="N439" s="2145" t="n"/>
    </row>
    <row r="440" customFormat="1" s="1916">
      <c r="A440" s="53" t="n"/>
      <c r="B440" s="93" t="n"/>
      <c r="C440" s="2145" t="n"/>
      <c r="D440" s="2145" t="n"/>
      <c r="E440" s="2145" t="n"/>
      <c r="F440" s="53" t="n"/>
      <c r="G440" s="53" t="n"/>
      <c r="H440" s="53" t="n"/>
      <c r="I440" s="93" t="n"/>
      <c r="J440" s="2145" t="n"/>
      <c r="K440" s="2145" t="n"/>
      <c r="L440" s="2145" t="n"/>
      <c r="M440" s="2145" t="n"/>
      <c r="N440" s="2145" t="n"/>
    </row>
    <row r="441" customFormat="1" s="1916">
      <c r="A441" s="103" t="n"/>
      <c r="B441" s="103" t="n"/>
      <c r="C441" s="2147" t="n"/>
      <c r="D441" s="2147" t="n"/>
      <c r="E441" s="2147" t="n"/>
      <c r="F441" s="53" t="n"/>
      <c r="G441" s="53" t="n"/>
      <c r="H441" s="103" t="n"/>
      <c r="I441" s="103" t="n"/>
      <c r="J441" s="2147" t="n"/>
      <c r="K441" s="2147" t="n"/>
      <c r="L441" s="2147" t="n"/>
      <c r="M441" s="2147" t="n"/>
      <c r="N441" s="2147" t="n"/>
    </row>
    <row r="442" customFormat="1" s="1916">
      <c r="A442" s="53" t="n"/>
      <c r="B442" s="53" t="n"/>
      <c r="C442" s="2145" t="n"/>
      <c r="D442" s="2145" t="n"/>
      <c r="E442" s="2145" t="n"/>
      <c r="F442" s="53" t="n"/>
      <c r="G442" s="53" t="n"/>
    </row>
    <row r="443" customFormat="1" s="1916">
      <c r="A443" s="53" t="n"/>
      <c r="B443" s="53" t="n"/>
      <c r="C443" s="2145" t="n"/>
      <c r="D443" s="2145" t="n"/>
      <c r="E443" s="2147" t="n"/>
      <c r="F443" s="53" t="n"/>
      <c r="G443" s="53" t="n"/>
    </row>
    <row r="444" customFormat="1" s="1916">
      <c r="A444" s="53" t="n"/>
      <c r="B444" s="53" t="n"/>
      <c r="C444" s="2145" t="n"/>
      <c r="D444" s="2145" t="n"/>
      <c r="E444" s="2145" t="n"/>
      <c r="F444" s="53" t="n"/>
      <c r="G444" s="53" t="n"/>
    </row>
    <row r="445" customFormat="1" s="1916">
      <c r="A445" s="53" t="n"/>
      <c r="B445" s="53" t="n"/>
      <c r="C445" s="2145" t="n"/>
      <c r="D445" s="2145" t="n"/>
      <c r="E445" s="2145" t="n"/>
      <c r="F445" s="53" t="n"/>
      <c r="G445" s="53" t="n"/>
    </row>
    <row r="446" customFormat="1" s="1916">
      <c r="A446" s="53" t="n"/>
      <c r="B446" s="112" t="n"/>
      <c r="C446" s="2145" t="n"/>
      <c r="D446" s="2145" t="n"/>
      <c r="E446" s="2145" t="n"/>
      <c r="F446" s="53" t="n"/>
      <c r="G446" s="53" t="n"/>
    </row>
    <row r="447" customFormat="1" s="1916">
      <c r="A447" s="53" t="n"/>
      <c r="B447" s="112" t="n"/>
      <c r="C447" s="2145" t="n"/>
      <c r="D447" s="2145" t="n"/>
      <c r="E447" s="2145" t="n"/>
      <c r="F447" s="53" t="n"/>
      <c r="G447" s="53" t="n"/>
    </row>
    <row r="448" customFormat="1" s="1916">
      <c r="A448" s="53" t="n"/>
      <c r="B448" s="113" t="n"/>
      <c r="C448" s="2145" t="n"/>
      <c r="D448" s="2145" t="n"/>
      <c r="E448" s="2145" t="n"/>
      <c r="F448" s="53" t="n"/>
      <c r="G448" s="53" t="n"/>
    </row>
    <row r="449" customFormat="1" s="1916">
      <c r="A449" s="53" t="n"/>
      <c r="B449" s="113" t="n"/>
      <c r="C449" s="2145" t="n"/>
      <c r="D449" s="2145" t="n"/>
      <c r="E449" s="2145" t="n"/>
      <c r="F449" s="53" t="n"/>
      <c r="G449" s="53" t="n"/>
    </row>
    <row r="450" customFormat="1" s="1916">
      <c r="A450" s="53" t="n"/>
      <c r="B450" s="113" t="n"/>
      <c r="C450" s="2145" t="n"/>
      <c r="D450" s="2145" t="n"/>
      <c r="E450" s="2145" t="n"/>
      <c r="F450" s="53" t="n"/>
      <c r="G450" s="53" t="n"/>
    </row>
    <row r="451" customFormat="1" s="1916">
      <c r="A451" s="53" t="n"/>
      <c r="B451" s="113" t="n"/>
      <c r="C451" s="2145" t="n"/>
      <c r="D451" s="2145" t="n"/>
      <c r="E451" s="2145" t="n"/>
      <c r="F451" s="53" t="n"/>
      <c r="G451" s="53" t="n"/>
    </row>
    <row r="452" customFormat="1" s="1916">
      <c r="A452" s="53" t="n"/>
      <c r="B452" s="112" t="n"/>
      <c r="C452" s="2145" t="n"/>
      <c r="D452" s="2145" t="n"/>
      <c r="E452" s="2145" t="n"/>
      <c r="F452" s="53" t="n"/>
      <c r="G452" s="53" t="n"/>
    </row>
    <row r="453" customFormat="1" s="1916">
      <c r="A453" s="53" t="n"/>
      <c r="B453" s="112" t="n"/>
      <c r="C453" s="2145" t="n"/>
      <c r="D453" s="2145" t="n"/>
      <c r="E453" s="2145" t="n"/>
      <c r="F453" s="53" t="n"/>
      <c r="G453" s="53" t="n"/>
    </row>
    <row r="454" customFormat="1" s="1916">
      <c r="A454" s="53" t="n"/>
      <c r="B454" s="112" t="n"/>
      <c r="C454" s="2145" t="n"/>
      <c r="D454" s="2145" t="n"/>
      <c r="E454" s="2149" t="n"/>
      <c r="F454" s="53" t="n"/>
      <c r="G454" s="53" t="n"/>
      <c r="Q454" s="53" t="n"/>
    </row>
    <row r="455" customFormat="1" s="1916">
      <c r="A455" s="53" t="n"/>
      <c r="B455" s="113" t="n"/>
      <c r="C455" s="2145" t="n"/>
      <c r="D455" s="2145" t="n"/>
      <c r="E455" s="2145" t="n"/>
      <c r="F455" s="53" t="n"/>
      <c r="G455" s="53" t="n"/>
      <c r="H455" s="53" t="n"/>
      <c r="J455" s="2154" t="n"/>
      <c r="Q455" s="53" t="n"/>
    </row>
    <row r="456" customFormat="1" s="1916">
      <c r="A456" s="53" t="n"/>
      <c r="B456" s="53" t="n"/>
      <c r="C456" s="2145" t="n"/>
      <c r="D456" s="2145" t="n"/>
      <c r="E456" s="2145" t="n"/>
      <c r="F456" s="2145" t="n"/>
      <c r="G456" s="2145" t="n"/>
      <c r="Q456" s="53" t="n"/>
    </row>
    <row r="457" customFormat="1" s="1916">
      <c r="A457" s="53" t="n"/>
      <c r="B457" s="53" t="n"/>
      <c r="C457" s="2145" t="n"/>
      <c r="D457" s="2145" t="n"/>
      <c r="E457" s="2145" t="n"/>
      <c r="G457" s="540" t="n"/>
      <c r="Q457" s="53" t="n"/>
    </row>
    <row r="458" customFormat="1" s="1916">
      <c r="E458" s="2145" t="n"/>
    </row>
    <row r="459" customFormat="1" s="1916"/>
    <row r="460" customFormat="1" s="1916"/>
    <row r="461" customFormat="1" s="1916">
      <c r="A461" s="53" t="n"/>
      <c r="B461" s="53" t="n"/>
      <c r="C461" s="53" t="n"/>
      <c r="D461" s="53" t="n"/>
      <c r="E461" s="53" t="n"/>
      <c r="O461" s="53" t="n"/>
      <c r="P461" s="53" t="n"/>
      <c r="Q461" s="53" t="n"/>
      <c r="R461" s="53" t="n"/>
      <c r="S461" s="53" t="n"/>
    </row>
    <row r="462" customFormat="1" s="1916">
      <c r="A462" s="53" t="n"/>
      <c r="B462" s="53" t="n"/>
      <c r="C462" s="53" t="n"/>
      <c r="D462" s="53" t="n"/>
      <c r="E462" s="53" t="n"/>
      <c r="F462" s="53" t="n"/>
      <c r="G462" s="53" t="n"/>
      <c r="O462" s="53" t="n"/>
      <c r="P462" s="53" t="n"/>
      <c r="Q462" s="53" t="n"/>
      <c r="R462" s="53" t="n"/>
      <c r="S462" s="2145" t="n"/>
    </row>
    <row r="463" customFormat="1" s="1916">
      <c r="A463" s="53" t="n"/>
      <c r="B463" s="2155" t="n"/>
      <c r="C463" s="2145" t="n"/>
      <c r="D463" s="2145" t="n"/>
      <c r="E463" s="2145" t="n"/>
      <c r="F463" s="2285" t="n"/>
      <c r="G463" s="53" t="n"/>
      <c r="O463" s="53" t="n"/>
      <c r="P463" s="53" t="n"/>
      <c r="Q463" s="2145" t="n"/>
      <c r="R463" s="2145" t="n"/>
      <c r="S463" s="2145" t="n"/>
    </row>
    <row r="464" customFormat="1" s="1916">
      <c r="A464" s="53" t="n"/>
      <c r="B464" s="53" t="n"/>
      <c r="C464" s="2145" t="n"/>
      <c r="D464" s="2145" t="n"/>
      <c r="E464" s="2145" t="n"/>
      <c r="F464" s="53" t="n"/>
      <c r="G464" s="53" t="n"/>
      <c r="O464" s="53" t="n"/>
      <c r="P464" s="53" t="n"/>
      <c r="Q464" s="2145" t="n"/>
      <c r="R464" s="2285" t="n"/>
      <c r="S464" s="2145" t="n"/>
    </row>
    <row r="465" customFormat="1" s="1916">
      <c r="A465" s="53" t="n"/>
      <c r="B465" s="53" t="n"/>
      <c r="C465" s="2145" t="n"/>
      <c r="D465" s="2145" t="n"/>
      <c r="E465" s="2145" t="n"/>
      <c r="F465" s="53" t="n"/>
      <c r="G465" s="53" t="n"/>
      <c r="O465" s="53" t="n"/>
      <c r="P465" s="53" t="n"/>
      <c r="Q465" s="2145" t="n"/>
      <c r="R465" s="2285" t="n"/>
      <c r="S465" s="2145" t="n"/>
    </row>
    <row r="466" customFormat="1" s="1916">
      <c r="A466" s="53" t="n"/>
      <c r="B466" s="53" t="n"/>
      <c r="C466" s="2145" t="n"/>
      <c r="D466" s="2145" t="n"/>
      <c r="E466" s="2145" t="n"/>
      <c r="F466" s="53" t="n"/>
      <c r="G466" s="53" t="n"/>
      <c r="O466" s="53" t="n"/>
      <c r="P466" s="2145" t="n"/>
      <c r="Q466" s="2149" t="n"/>
      <c r="R466" s="53" t="n"/>
      <c r="S466" s="53" t="n"/>
      <c r="T466" s="53" t="n"/>
      <c r="U466" s="53" t="n"/>
      <c r="V466" s="53" t="n"/>
    </row>
    <row r="467" customFormat="1" s="1916">
      <c r="A467" s="53" t="n"/>
      <c r="B467" s="53" t="n"/>
      <c r="C467" s="2145" t="n"/>
      <c r="D467" s="2145" t="n"/>
      <c r="E467" s="2145" t="n"/>
      <c r="F467" s="53" t="n"/>
      <c r="G467" s="53" t="n"/>
      <c r="O467" s="53" t="n"/>
      <c r="P467" s="53" t="n"/>
      <c r="Q467" s="2149" t="n"/>
      <c r="R467" s="53" t="n"/>
      <c r="S467" s="53" t="n"/>
      <c r="T467" s="2145" t="n"/>
      <c r="U467" s="2145" t="n"/>
      <c r="V467" s="53" t="n"/>
    </row>
    <row r="468" customFormat="1" s="1916">
      <c r="A468" s="53" t="n"/>
      <c r="B468" s="53" t="n"/>
      <c r="C468" s="2145" t="n"/>
      <c r="D468" s="2145" t="n"/>
      <c r="E468" s="2145" t="n"/>
      <c r="F468" s="53" t="n"/>
      <c r="G468" s="53" t="n"/>
      <c r="O468" s="53" t="n"/>
      <c r="P468" s="53" t="n"/>
      <c r="Q468" s="2149" t="n"/>
      <c r="R468" s="53" t="n"/>
      <c r="S468" s="53" t="n"/>
      <c r="T468" s="2145" t="n"/>
      <c r="U468" s="2145" t="n"/>
      <c r="V468" s="53" t="n"/>
    </row>
    <row r="469" customFormat="1" s="1916">
      <c r="A469" s="53" t="n"/>
      <c r="B469" s="53" t="n"/>
      <c r="C469" s="2145" t="n"/>
      <c r="D469" s="2145" t="n"/>
      <c r="E469" s="2145" t="n"/>
      <c r="F469" s="53" t="n"/>
      <c r="G469" s="53" t="n"/>
      <c r="O469" s="53" t="n"/>
      <c r="P469" s="53" t="n"/>
      <c r="Q469" s="2149" t="n"/>
      <c r="R469" s="53" t="n"/>
      <c r="S469" s="53" t="n"/>
      <c r="T469" s="2145" t="n"/>
      <c r="U469" s="2145" t="n"/>
      <c r="V469" s="53" t="n"/>
    </row>
    <row r="470" customFormat="1" s="1916">
      <c r="A470" s="53" t="n"/>
      <c r="B470" s="53" t="n"/>
      <c r="C470" s="2145" t="n"/>
      <c r="D470" s="2145" t="n"/>
      <c r="E470" s="2145" t="n"/>
      <c r="F470" s="53" t="n"/>
      <c r="G470" s="53" t="n"/>
      <c r="O470" s="53" t="n"/>
      <c r="P470" s="53" t="n"/>
      <c r="Q470" s="2149" t="n"/>
      <c r="R470" s="53" t="n"/>
      <c r="S470" s="53" t="n"/>
      <c r="T470" s="2145" t="n"/>
      <c r="U470" s="2145" t="n"/>
      <c r="V470" s="53" t="n"/>
    </row>
    <row r="471" customFormat="1" s="1916">
      <c r="A471" s="53" t="n"/>
      <c r="B471" s="53" t="n"/>
      <c r="C471" s="2145" t="n"/>
      <c r="D471" s="2145" t="n"/>
      <c r="E471" s="2145" t="n"/>
      <c r="F471" s="53" t="n"/>
      <c r="G471" s="53" t="n"/>
      <c r="O471" s="53" t="n"/>
      <c r="P471" s="53" t="n"/>
      <c r="Q471" s="2149" t="n"/>
      <c r="R471" s="53" t="n"/>
      <c r="S471" s="53" t="n"/>
      <c r="T471" s="53" t="n"/>
      <c r="U471" s="53" t="n"/>
      <c r="V471" s="53" t="n"/>
    </row>
    <row r="472" customFormat="1" s="1916">
      <c r="A472" s="53" t="n"/>
      <c r="B472" s="53" t="n"/>
      <c r="C472" s="2145" t="n"/>
      <c r="D472" s="2145" t="n"/>
      <c r="E472" s="2145" t="n"/>
      <c r="F472" s="53" t="n"/>
      <c r="G472" s="53" t="n"/>
      <c r="O472" s="53" t="n"/>
      <c r="P472" s="53" t="n"/>
      <c r="Q472" s="2149" t="n"/>
      <c r="R472" s="53" t="n"/>
      <c r="S472" s="53" t="n"/>
      <c r="T472" s="53" t="n"/>
      <c r="U472" s="53" t="n"/>
      <c r="V472" s="53" t="n"/>
    </row>
    <row r="473" customFormat="1" s="1916">
      <c r="A473" s="53" t="n"/>
      <c r="B473" s="53" t="n"/>
      <c r="C473" s="2145" t="n"/>
      <c r="D473" s="2145" t="n"/>
      <c r="E473" s="2145" t="n"/>
      <c r="F473" s="53" t="n"/>
      <c r="G473" s="53" t="n"/>
      <c r="T473" s="53" t="n"/>
      <c r="U473" s="53" t="n"/>
      <c r="V473" s="53" t="n"/>
    </row>
    <row r="474" customFormat="1" s="1916">
      <c r="A474" s="53" t="n"/>
      <c r="B474" s="53" t="n"/>
      <c r="C474" s="2145" t="n"/>
      <c r="D474" s="2145" t="n"/>
      <c r="E474" s="2145" t="n"/>
      <c r="F474" s="53" t="n"/>
      <c r="G474" s="53" t="n"/>
      <c r="T474" s="53" t="n"/>
      <c r="U474" s="53" t="n"/>
      <c r="V474" s="53" t="n"/>
    </row>
    <row r="475" customFormat="1" s="1916">
      <c r="A475" s="53" t="n"/>
      <c r="B475" s="53" t="n"/>
      <c r="C475" s="2145" t="n"/>
      <c r="D475" s="2145" t="n"/>
      <c r="E475" s="2145" t="n"/>
      <c r="F475" s="2285" t="n"/>
      <c r="G475" s="53" t="n"/>
      <c r="T475" s="53" t="n"/>
      <c r="U475" s="53" t="n"/>
      <c r="V475" s="53" t="n"/>
    </row>
    <row r="476" customFormat="1" s="1916">
      <c r="A476" s="53" t="n"/>
      <c r="B476" s="53" t="n"/>
      <c r="C476" s="2145" t="n"/>
      <c r="D476" s="2145" t="n"/>
      <c r="E476" s="2145" t="n"/>
      <c r="F476" s="53" t="n"/>
      <c r="G476" s="53" t="n"/>
      <c r="T476" s="53" t="n"/>
      <c r="U476" s="53" t="n"/>
      <c r="V476" s="53" t="n"/>
    </row>
    <row r="477" customFormat="1" s="1916">
      <c r="A477" s="53" t="n"/>
      <c r="B477" s="53" t="n"/>
      <c r="C477" s="2145" t="n"/>
      <c r="D477" s="2145" t="n"/>
      <c r="E477" s="2145" t="n"/>
      <c r="F477" s="53" t="n"/>
      <c r="G477" s="53" t="n"/>
      <c r="T477" s="53" t="n"/>
      <c r="U477" s="53" t="n"/>
      <c r="V477" s="53" t="n"/>
    </row>
    <row r="478" customFormat="1" s="1916">
      <c r="A478" s="53" t="n"/>
      <c r="B478" s="53" t="n"/>
      <c r="C478" s="2145" t="n"/>
      <c r="D478" s="2145" t="n"/>
      <c r="E478" s="2145" t="n"/>
      <c r="F478" s="53" t="n"/>
      <c r="G478" s="53" t="n"/>
    </row>
    <row r="479" customFormat="1" s="1916">
      <c r="A479" s="53" t="n"/>
      <c r="B479" s="53" t="n"/>
      <c r="C479" s="2145" t="n"/>
      <c r="D479" s="2145" t="n"/>
      <c r="E479" s="2145" t="n"/>
      <c r="F479" s="53" t="n"/>
      <c r="G479" s="53" t="n"/>
    </row>
    <row r="480" customFormat="1" s="1916">
      <c r="A480" s="103" t="n"/>
      <c r="B480" s="103" t="n"/>
      <c r="C480" s="2147" t="n"/>
      <c r="D480" s="2147" t="n"/>
      <c r="E480" s="2147" t="n"/>
      <c r="F480" s="53" t="n"/>
      <c r="G480" s="53" t="n"/>
    </row>
    <row r="481" customFormat="1" s="1916">
      <c r="A481" s="103" t="n"/>
      <c r="B481" s="105" t="n"/>
      <c r="C481" s="2147" t="n"/>
      <c r="D481" s="2147" t="n"/>
      <c r="E481" s="2147" t="n"/>
      <c r="F481" s="53" t="n"/>
      <c r="G481" s="53" t="n"/>
    </row>
    <row r="482" customFormat="1" s="1916">
      <c r="A482" s="103" t="n"/>
      <c r="B482" s="103" t="n"/>
      <c r="C482" s="2147" t="n"/>
      <c r="D482" s="2147" t="n"/>
      <c r="E482" s="2147" t="n"/>
      <c r="F482" s="53" t="n"/>
      <c r="G482" s="53" t="n"/>
    </row>
    <row r="483" customFormat="1" s="1916">
      <c r="A483" s="103" t="n"/>
      <c r="B483" s="105" t="n"/>
      <c r="C483" s="2147" t="n"/>
      <c r="D483" s="2147" t="n"/>
      <c r="E483" s="2147" t="n"/>
      <c r="F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</row>
    <row r="484" customFormat="1" s="1916">
      <c r="A484" s="53" t="n"/>
      <c r="B484" s="53" t="n"/>
      <c r="C484" s="2145" t="n"/>
      <c r="D484" s="2145" t="n"/>
      <c r="E484" s="2145" t="n"/>
      <c r="F484" s="53" t="n"/>
      <c r="H484" s="53" t="n"/>
      <c r="I484" s="53" t="n"/>
      <c r="J484" s="53" t="n"/>
      <c r="K484" s="106" t="n"/>
      <c r="L484" s="106" t="n"/>
      <c r="M484" s="106" t="n"/>
      <c r="N484" s="106" t="n"/>
      <c r="O484" s="106" t="n"/>
    </row>
    <row r="485" customFormat="1" s="1916">
      <c r="A485" s="3" t="n"/>
      <c r="B485" s="2285" t="n"/>
      <c r="C485" s="3" t="n"/>
      <c r="D485" s="3" t="n"/>
      <c r="E485" s="2285" t="n"/>
      <c r="F485" s="107" t="n"/>
      <c r="H485" s="53" t="n"/>
      <c r="I485" s="540" t="n"/>
      <c r="J485" s="53" t="n"/>
      <c r="K485" s="106" t="n"/>
      <c r="L485" s="106" t="n"/>
      <c r="M485" s="106" t="n"/>
      <c r="N485" s="106" t="n"/>
      <c r="O485" s="106" t="n"/>
    </row>
    <row r="486" customFormat="1" s="1916">
      <c r="A486" s="53" t="n"/>
      <c r="B486" s="53" t="n"/>
      <c r="C486" s="53" t="n"/>
      <c r="D486" s="53" t="n"/>
      <c r="E486" s="53" t="n"/>
      <c r="F486" s="107" t="n"/>
      <c r="H486" s="53" t="n"/>
      <c r="I486" s="53" t="n"/>
      <c r="J486" s="53" t="n"/>
      <c r="K486" s="2145" t="n"/>
      <c r="L486" s="2145" t="n"/>
      <c r="M486" s="2145" t="n"/>
      <c r="N486" s="2145" t="n"/>
      <c r="O486" s="53" t="n"/>
    </row>
    <row r="487" customFormat="1" s="1916">
      <c r="A487" s="53" t="n"/>
      <c r="B487" s="53" t="n"/>
      <c r="C487" s="53" t="n"/>
      <c r="D487" s="53" t="n"/>
      <c r="E487" s="106" t="n"/>
      <c r="F487" s="106" t="n"/>
      <c r="H487" s="53" t="n"/>
      <c r="I487" s="93" t="n"/>
      <c r="J487" s="2145" t="n"/>
      <c r="K487" s="2145" t="n"/>
      <c r="L487" s="2145" t="n"/>
      <c r="M487" s="2145" t="n"/>
      <c r="N487" s="2145" t="n"/>
      <c r="O487" s="106" t="n"/>
    </row>
    <row r="488" customFormat="1" s="1916">
      <c r="A488" s="53" t="n"/>
      <c r="B488" s="53" t="n"/>
      <c r="C488" s="53" t="n"/>
      <c r="D488" s="53" t="n"/>
      <c r="E488" s="53" t="n"/>
      <c r="F488" s="53" t="n"/>
      <c r="H488" s="53" t="n"/>
      <c r="I488" s="93" t="n"/>
      <c r="J488" s="2145" t="n"/>
      <c r="K488" s="2145" t="n"/>
      <c r="L488" s="2145" t="n"/>
      <c r="M488" s="2145" t="n"/>
      <c r="N488" s="2145" t="n"/>
      <c r="O488" s="53" t="n"/>
    </row>
    <row r="489" customFormat="1" s="1916">
      <c r="A489" s="53" t="n"/>
      <c r="B489" s="53" t="n"/>
      <c r="C489" s="53" t="n"/>
      <c r="D489" s="53" t="n"/>
      <c r="E489" s="106" t="n"/>
      <c r="F489" s="106" t="n"/>
      <c r="H489" s="53" t="n"/>
      <c r="I489" s="93" t="n"/>
      <c r="J489" s="2145" t="n"/>
      <c r="K489" s="2145" t="n"/>
      <c r="L489" s="2145" t="n"/>
      <c r="M489" s="2145" t="n"/>
      <c r="N489" s="2145" t="n"/>
      <c r="O489" s="106" t="n"/>
    </row>
    <row r="490" customFormat="1" s="1916">
      <c r="A490" s="53" t="n"/>
      <c r="B490" s="53" t="n"/>
      <c r="C490" s="53" t="n"/>
      <c r="D490" s="53" t="n"/>
      <c r="E490" s="2286" t="n"/>
      <c r="F490" s="2286" t="n"/>
      <c r="G490" s="53" t="n"/>
      <c r="H490" s="103" t="n"/>
      <c r="I490" s="103" t="n"/>
      <c r="J490" s="2147" t="n"/>
      <c r="K490" s="2147" t="n"/>
      <c r="L490" s="2147" t="n"/>
      <c r="M490" s="2145" t="n"/>
      <c r="N490" s="2145" t="n"/>
      <c r="O490" s="106" t="n"/>
    </row>
    <row r="491" customFormat="1" s="1916">
      <c r="A491" s="53" t="n"/>
      <c r="B491" s="53" t="n"/>
      <c r="C491" s="2145" t="n"/>
      <c r="D491" s="2145" t="n"/>
      <c r="E491" s="2145" t="n"/>
      <c r="F491" s="2145" t="n"/>
      <c r="G491" s="53" t="n"/>
      <c r="H491" s="53" t="n"/>
      <c r="I491" s="53" t="n"/>
    </row>
    <row r="492" customFormat="1" s="1916">
      <c r="A492" s="53" t="n"/>
      <c r="B492" s="53" t="n"/>
      <c r="C492" s="53" t="n"/>
      <c r="D492" s="53" t="n"/>
      <c r="E492" s="2145" t="n"/>
      <c r="F492" s="53" t="n"/>
      <c r="G492" s="53" t="n"/>
      <c r="H492" s="110" t="n"/>
      <c r="I492" s="53" t="n"/>
      <c r="J492" s="53" t="n"/>
      <c r="K492" s="2145" t="n"/>
      <c r="L492" s="2145" t="n"/>
      <c r="M492" s="2145" t="n"/>
      <c r="N492" s="2145" t="n"/>
    </row>
    <row r="493" customFormat="1" s="1916">
      <c r="A493" s="53" t="n"/>
      <c r="B493" s="93" t="n"/>
      <c r="C493" s="2145" t="n"/>
      <c r="D493" s="2145" t="n"/>
      <c r="E493" s="2145" t="n"/>
      <c r="F493" s="53" t="n"/>
      <c r="G493" s="53" t="n"/>
      <c r="H493" s="2285" t="n"/>
      <c r="I493" s="93" t="n"/>
      <c r="J493" s="2145" t="n"/>
      <c r="K493" s="2145" t="n"/>
      <c r="L493" s="2145" t="n"/>
      <c r="M493" s="2145" t="n"/>
      <c r="N493" s="2145" t="n"/>
    </row>
    <row r="494" customFormat="1" s="1916">
      <c r="A494" s="53" t="n"/>
      <c r="B494" s="93" t="n"/>
      <c r="C494" s="2145" t="n"/>
      <c r="D494" s="2145" t="n"/>
      <c r="E494" s="2145" t="n"/>
      <c r="F494" s="53" t="n"/>
      <c r="G494" s="53" t="n"/>
      <c r="H494" s="53" t="n"/>
      <c r="I494" s="93" t="n"/>
      <c r="J494" s="2145" t="n"/>
      <c r="K494" s="2145" t="n"/>
      <c r="L494" s="2145" t="n"/>
      <c r="M494" s="2145" t="n"/>
      <c r="N494" s="2145" t="n"/>
    </row>
    <row r="495" customFormat="1" s="1916">
      <c r="A495" s="53" t="n"/>
      <c r="B495" s="93" t="n"/>
      <c r="C495" s="2145" t="n"/>
      <c r="D495" s="2145" t="n"/>
      <c r="E495" s="2145" t="n"/>
      <c r="F495" s="53" t="n"/>
      <c r="G495" s="53" t="n"/>
      <c r="H495" s="53" t="n"/>
      <c r="I495" s="93" t="n"/>
      <c r="J495" s="2145" t="n"/>
      <c r="K495" s="2145" t="n"/>
      <c r="L495" s="2145" t="n"/>
      <c r="M495" s="2145" t="n"/>
      <c r="N495" s="2145" t="n"/>
    </row>
    <row r="496" customFormat="1" s="1916">
      <c r="A496" s="53" t="n"/>
      <c r="B496" s="93" t="n"/>
      <c r="C496" s="2145" t="n"/>
      <c r="D496" s="2145" t="n"/>
      <c r="E496" s="2145" t="n"/>
      <c r="F496" s="111" t="n"/>
      <c r="G496" s="53" t="n"/>
      <c r="H496" s="53" t="n"/>
      <c r="I496" s="93" t="n"/>
      <c r="J496" s="2145" t="n"/>
      <c r="K496" s="2145" t="n"/>
      <c r="L496" s="2145" t="n"/>
      <c r="M496" s="2145" t="n"/>
      <c r="N496" s="2145" t="n"/>
    </row>
    <row r="497" customFormat="1" s="1916">
      <c r="A497" s="53" t="n"/>
      <c r="B497" s="93" t="n"/>
      <c r="C497" s="2145" t="n"/>
      <c r="D497" s="2145" t="n"/>
      <c r="E497" s="2145" t="n"/>
      <c r="F497" s="111" t="n"/>
      <c r="G497" s="53" t="n"/>
      <c r="H497" s="53" t="n"/>
      <c r="I497" s="93" t="n"/>
      <c r="J497" s="2145" t="n"/>
      <c r="K497" s="2145" t="n"/>
      <c r="L497" s="2145" t="n"/>
      <c r="M497" s="2145" t="n"/>
      <c r="N497" s="2145" t="n"/>
    </row>
    <row r="498" customFormat="1" s="1916">
      <c r="A498" s="53" t="n"/>
      <c r="B498" s="93" t="n"/>
      <c r="C498" s="2145" t="n"/>
      <c r="D498" s="2145" t="n"/>
      <c r="E498" s="2145" t="n"/>
      <c r="F498" s="53" t="n"/>
      <c r="G498" s="53" t="n"/>
      <c r="H498" s="53" t="n"/>
      <c r="I498" s="93" t="n"/>
      <c r="J498" s="2145" t="n"/>
      <c r="K498" s="2145" t="n"/>
      <c r="L498" s="2145" t="n"/>
      <c r="M498" s="2145" t="n"/>
      <c r="N498" s="2145" t="n"/>
    </row>
    <row r="499" customFormat="1" s="1916">
      <c r="A499" s="53" t="n"/>
      <c r="B499" s="93" t="n"/>
      <c r="C499" s="2145" t="n"/>
      <c r="D499" s="2145" t="n"/>
      <c r="E499" s="2145" t="n"/>
      <c r="F499" s="53" t="n"/>
      <c r="G499" s="53" t="n"/>
      <c r="H499" s="53" t="n"/>
      <c r="I499" s="93" t="n"/>
      <c r="J499" s="2145" t="n"/>
      <c r="K499" s="2145" t="n"/>
      <c r="L499" s="2145" t="n"/>
      <c r="M499" s="2145" t="n"/>
      <c r="N499" s="2145" t="n"/>
    </row>
    <row r="500" customFormat="1" s="1916">
      <c r="A500" s="103" t="n"/>
      <c r="B500" s="103" t="n"/>
      <c r="C500" s="2147" t="n"/>
      <c r="D500" s="2147" t="n"/>
      <c r="E500" s="2147" t="n"/>
      <c r="F500" s="53" t="n"/>
      <c r="G500" s="53" t="n"/>
      <c r="H500" s="103" t="n"/>
      <c r="I500" s="103" t="n"/>
      <c r="J500" s="2147" t="n"/>
      <c r="K500" s="2147" t="n"/>
      <c r="L500" s="2147" t="n"/>
      <c r="M500" s="2147" t="n"/>
      <c r="N500" s="2147" t="n"/>
    </row>
    <row r="501" customFormat="1" s="1916">
      <c r="A501" s="53" t="n"/>
      <c r="B501" s="53" t="n"/>
      <c r="C501" s="2145" t="n"/>
      <c r="D501" s="2145" t="n"/>
      <c r="E501" s="2145" t="n"/>
      <c r="F501" s="53" t="n"/>
      <c r="G501" s="53" t="n"/>
    </row>
    <row r="502" customFormat="1" s="1916">
      <c r="A502" s="53" t="n"/>
      <c r="B502" s="53" t="n"/>
      <c r="C502" s="2145" t="n"/>
      <c r="D502" s="2145" t="n"/>
      <c r="E502" s="2147" t="n"/>
      <c r="F502" s="53" t="n"/>
      <c r="G502" s="53" t="n"/>
    </row>
    <row r="503" customFormat="1" s="1916">
      <c r="A503" s="53" t="n"/>
      <c r="B503" s="53" t="n"/>
      <c r="C503" s="2145" t="n"/>
      <c r="D503" s="2145" t="n"/>
      <c r="E503" s="2145" t="n"/>
      <c r="F503" s="53" t="n"/>
      <c r="G503" s="53" t="n"/>
    </row>
    <row r="504" customFormat="1" s="1916">
      <c r="A504" s="53" t="n"/>
      <c r="B504" s="53" t="n"/>
      <c r="C504" s="2145" t="n"/>
      <c r="D504" s="2145" t="n"/>
      <c r="E504" s="2145" t="n"/>
      <c r="F504" s="53" t="n"/>
      <c r="G504" s="53" t="n"/>
    </row>
    <row r="505" customFormat="1" s="1916">
      <c r="A505" s="53" t="n"/>
      <c r="B505" s="112" t="n"/>
      <c r="C505" s="2145" t="n"/>
      <c r="D505" s="2145" t="n"/>
      <c r="E505" s="2145" t="n"/>
      <c r="F505" s="53" t="n"/>
      <c r="G505" s="53" t="n"/>
    </row>
    <row r="506" customFormat="1" s="1916">
      <c r="A506" s="53" t="n"/>
      <c r="B506" s="112" t="n"/>
      <c r="C506" s="2145" t="n"/>
      <c r="D506" s="2145" t="n"/>
      <c r="E506" s="2145" t="n"/>
      <c r="F506" s="53" t="n"/>
      <c r="G506" s="53" t="n"/>
    </row>
    <row r="507" customFormat="1" s="1916">
      <c r="A507" s="53" t="n"/>
      <c r="B507" s="113" t="n"/>
      <c r="C507" s="2145" t="n"/>
      <c r="D507" s="2145" t="n"/>
      <c r="E507" s="2145" t="n"/>
      <c r="F507" s="53" t="n"/>
      <c r="G507" s="53" t="n"/>
    </row>
    <row r="508" customFormat="1" s="1916">
      <c r="A508" s="53" t="n"/>
      <c r="B508" s="113" t="n"/>
      <c r="C508" s="2145" t="n"/>
      <c r="D508" s="2145" t="n"/>
      <c r="E508" s="2145" t="n"/>
      <c r="F508" s="53" t="n"/>
      <c r="G508" s="53" t="n"/>
    </row>
    <row r="509" customFormat="1" s="1916">
      <c r="A509" s="53" t="n"/>
      <c r="B509" s="113" t="n"/>
      <c r="C509" s="2145" t="n"/>
      <c r="D509" s="2145" t="n"/>
      <c r="E509" s="2145" t="n"/>
      <c r="F509" s="53" t="n"/>
      <c r="G509" s="53" t="n"/>
    </row>
    <row r="510" customFormat="1" s="1916">
      <c r="A510" s="53" t="n"/>
      <c r="B510" s="113" t="n"/>
      <c r="C510" s="2145" t="n"/>
      <c r="D510" s="2145" t="n"/>
      <c r="E510" s="2145" t="n"/>
      <c r="F510" s="53" t="n"/>
      <c r="G510" s="53" t="n"/>
    </row>
    <row r="511" customFormat="1" s="1916">
      <c r="A511" s="53" t="n"/>
      <c r="B511" s="112" t="n"/>
      <c r="C511" s="2145" t="n"/>
      <c r="D511" s="2145" t="n"/>
      <c r="E511" s="2145" t="n"/>
      <c r="F511" s="53" t="n"/>
      <c r="G511" s="53" t="n"/>
    </row>
    <row r="512" customFormat="1" s="1916">
      <c r="A512" s="53" t="n"/>
      <c r="B512" s="112" t="n"/>
      <c r="C512" s="2145" t="n"/>
      <c r="D512" s="2145" t="n"/>
      <c r="E512" s="2145" t="n"/>
      <c r="F512" s="53" t="n"/>
      <c r="G512" s="53" t="n"/>
    </row>
    <row r="513" customFormat="1" s="1916">
      <c r="A513" s="53" t="n"/>
      <c r="B513" s="112" t="n"/>
      <c r="C513" s="2145" t="n"/>
      <c r="D513" s="2145" t="n"/>
      <c r="E513" s="2149" t="n"/>
      <c r="F513" s="53" t="n"/>
      <c r="G513" s="53" t="n"/>
      <c r="Q513" s="53" t="n"/>
    </row>
    <row r="514" customFormat="1" s="1916">
      <c r="A514" s="53" t="n"/>
      <c r="B514" s="113" t="n"/>
      <c r="C514" s="2145" t="n"/>
      <c r="D514" s="2145" t="n"/>
      <c r="E514" s="2145" t="n"/>
      <c r="F514" s="53" t="n"/>
      <c r="G514" s="53" t="n"/>
      <c r="H514" s="53" t="n"/>
      <c r="J514" s="2154" t="n"/>
      <c r="Q514" s="53" t="n"/>
    </row>
    <row r="515" customFormat="1" s="1916">
      <c r="A515" s="53" t="n"/>
      <c r="B515" s="53" t="n"/>
      <c r="C515" s="2145" t="n"/>
      <c r="D515" s="2145" t="n"/>
      <c r="E515" s="2145" t="n"/>
      <c r="F515" s="2145" t="n"/>
      <c r="G515" s="2145" t="n"/>
      <c r="Q515" s="53" t="n"/>
    </row>
    <row r="516" customFormat="1" s="1916">
      <c r="A516" s="53" t="n"/>
      <c r="B516" s="53" t="n"/>
      <c r="C516" s="2145" t="n"/>
      <c r="D516" s="2145" t="n"/>
      <c r="E516" s="2145" t="n"/>
      <c r="G516" s="540" t="n"/>
      <c r="Q516" s="53" t="n"/>
    </row>
    <row r="517" customFormat="1" s="1916">
      <c r="E517" s="2145" t="n"/>
    </row>
    <row r="518" customFormat="1" s="1916"/>
    <row r="519" customFormat="1" s="1916"/>
    <row r="520" customFormat="1" s="1916">
      <c r="A520" s="53" t="n"/>
      <c r="B520" s="53" t="n"/>
      <c r="C520" s="53" t="n"/>
      <c r="D520" s="53" t="n"/>
      <c r="E520" s="53" t="n"/>
      <c r="O520" s="53" t="n"/>
      <c r="P520" s="53" t="n"/>
      <c r="Q520" s="53" t="n"/>
      <c r="R520" s="53" t="n"/>
      <c r="S520" s="53" t="n"/>
    </row>
    <row r="521" customFormat="1" s="1916">
      <c r="A521" s="53" t="n"/>
      <c r="B521" s="53" t="n"/>
      <c r="C521" s="53" t="n"/>
      <c r="D521" s="53" t="n"/>
      <c r="E521" s="53" t="n"/>
      <c r="F521" s="53" t="n"/>
      <c r="G521" s="53" t="n"/>
      <c r="O521" s="53" t="n"/>
      <c r="P521" s="53" t="n"/>
      <c r="Q521" s="53" t="n"/>
      <c r="R521" s="53" t="n"/>
      <c r="S521" s="2145" t="n"/>
    </row>
    <row r="522" customFormat="1" s="1916">
      <c r="A522" s="53" t="n"/>
      <c r="B522" s="2155" t="n"/>
      <c r="C522" s="2145" t="n"/>
      <c r="D522" s="2145" t="n"/>
      <c r="E522" s="2145" t="n"/>
      <c r="F522" s="2285" t="n"/>
      <c r="G522" s="53" t="n"/>
      <c r="O522" s="53" t="n"/>
      <c r="P522" s="53" t="n"/>
      <c r="Q522" s="2145" t="n"/>
      <c r="R522" s="2145" t="n"/>
      <c r="S522" s="2145" t="n"/>
    </row>
    <row r="523" customFormat="1" s="1916">
      <c r="A523" s="53" t="n"/>
      <c r="B523" s="53" t="n"/>
      <c r="C523" s="2145" t="n"/>
      <c r="D523" s="2145" t="n"/>
      <c r="E523" s="2145" t="n"/>
      <c r="F523" s="53" t="n"/>
      <c r="G523" s="53" t="n"/>
      <c r="O523" s="53" t="n"/>
      <c r="P523" s="53" t="n"/>
      <c r="Q523" s="2145" t="n"/>
      <c r="R523" s="2285" t="n"/>
      <c r="S523" s="2145" t="n"/>
    </row>
    <row r="524" customFormat="1" s="1916">
      <c r="A524" s="53" t="n"/>
      <c r="B524" s="53" t="n"/>
      <c r="C524" s="2145" t="n"/>
      <c r="D524" s="2145" t="n"/>
      <c r="E524" s="2145" t="n"/>
      <c r="F524" s="53" t="n"/>
      <c r="G524" s="53" t="n"/>
      <c r="O524" s="53" t="n"/>
      <c r="P524" s="53" t="n"/>
      <c r="Q524" s="2145" t="n"/>
      <c r="R524" s="2285" t="n"/>
      <c r="S524" s="2145" t="n"/>
    </row>
    <row r="525" customFormat="1" s="1916">
      <c r="A525" s="53" t="n"/>
      <c r="B525" s="53" t="n"/>
      <c r="C525" s="2145" t="n"/>
      <c r="D525" s="2145" t="n"/>
      <c r="E525" s="2145" t="n"/>
      <c r="F525" s="53" t="n"/>
      <c r="G525" s="53" t="n"/>
      <c r="O525" s="53" t="n"/>
      <c r="P525" s="2145" t="n"/>
      <c r="Q525" s="2149" t="n"/>
      <c r="R525" s="53" t="n"/>
      <c r="S525" s="53" t="n"/>
      <c r="T525" s="53" t="n"/>
      <c r="U525" s="53" t="n"/>
      <c r="V525" s="53" t="n"/>
    </row>
    <row r="526" customFormat="1" s="1916">
      <c r="A526" s="53" t="n"/>
      <c r="B526" s="53" t="n"/>
      <c r="C526" s="2145" t="n"/>
      <c r="D526" s="2145" t="n"/>
      <c r="E526" s="2145" t="n"/>
      <c r="F526" s="53" t="n"/>
      <c r="G526" s="53" t="n"/>
      <c r="O526" s="53" t="n"/>
      <c r="P526" s="53" t="n"/>
      <c r="Q526" s="2149" t="n"/>
      <c r="R526" s="53" t="n"/>
      <c r="S526" s="53" t="n"/>
      <c r="T526" s="2145" t="n"/>
      <c r="U526" s="2145" t="n"/>
      <c r="V526" s="53" t="n"/>
    </row>
    <row r="527" customFormat="1" s="1916">
      <c r="A527" s="53" t="n"/>
      <c r="B527" s="53" t="n"/>
      <c r="C527" s="2145" t="n"/>
      <c r="D527" s="2145" t="n"/>
      <c r="E527" s="2145" t="n"/>
      <c r="F527" s="53" t="n"/>
      <c r="G527" s="53" t="n"/>
      <c r="O527" s="53" t="n"/>
      <c r="P527" s="53" t="n"/>
      <c r="Q527" s="2149" t="n"/>
      <c r="R527" s="53" t="n"/>
      <c r="S527" s="53" t="n"/>
      <c r="T527" s="2145" t="n"/>
      <c r="U527" s="2145" t="n"/>
      <c r="V527" s="53" t="n"/>
    </row>
    <row r="528" customFormat="1" s="1916">
      <c r="A528" s="53" t="n"/>
      <c r="B528" s="53" t="n"/>
      <c r="C528" s="2145" t="n"/>
      <c r="D528" s="2145" t="n"/>
      <c r="E528" s="2145" t="n"/>
      <c r="F528" s="53" t="n"/>
      <c r="G528" s="53" t="n"/>
      <c r="O528" s="53" t="n"/>
      <c r="P528" s="53" t="n"/>
      <c r="Q528" s="2149" t="n"/>
      <c r="R528" s="53" t="n"/>
      <c r="S528" s="53" t="n"/>
      <c r="T528" s="2145" t="n"/>
      <c r="U528" s="2145" t="n"/>
      <c r="V528" s="53" t="n"/>
    </row>
    <row r="529" customFormat="1" s="1916">
      <c r="A529" s="53" t="n"/>
      <c r="B529" s="53" t="n"/>
      <c r="C529" s="2145" t="n"/>
      <c r="D529" s="2145" t="n"/>
      <c r="E529" s="2145" t="n"/>
      <c r="F529" s="53" t="n"/>
      <c r="G529" s="53" t="n"/>
      <c r="O529" s="53" t="n"/>
      <c r="P529" s="53" t="n"/>
      <c r="Q529" s="2149" t="n"/>
      <c r="R529" s="53" t="n"/>
      <c r="S529" s="53" t="n"/>
      <c r="T529" s="2145" t="n"/>
      <c r="U529" s="2145" t="n"/>
      <c r="V529" s="53" t="n"/>
    </row>
    <row r="530" customFormat="1" s="1916">
      <c r="A530" s="53" t="n"/>
      <c r="B530" s="53" t="n"/>
      <c r="C530" s="2145" t="n"/>
      <c r="D530" s="2145" t="n"/>
      <c r="E530" s="2145" t="n"/>
      <c r="F530" s="53" t="n"/>
      <c r="G530" s="53" t="n"/>
      <c r="O530" s="53" t="n"/>
      <c r="P530" s="53" t="n"/>
      <c r="Q530" s="2149" t="n"/>
      <c r="R530" s="53" t="n"/>
      <c r="S530" s="53" t="n"/>
      <c r="T530" s="53" t="n"/>
      <c r="U530" s="53" t="n"/>
      <c r="V530" s="53" t="n"/>
    </row>
    <row r="531" customFormat="1" s="1916">
      <c r="A531" s="53" t="n"/>
      <c r="B531" s="53" t="n"/>
      <c r="C531" s="2145" t="n"/>
      <c r="D531" s="2145" t="n"/>
      <c r="E531" s="2145" t="n"/>
      <c r="F531" s="53" t="n"/>
      <c r="G531" s="53" t="n"/>
      <c r="O531" s="53" t="n"/>
      <c r="P531" s="53" t="n"/>
      <c r="Q531" s="2149" t="n"/>
      <c r="R531" s="53" t="n"/>
      <c r="S531" s="53" t="n"/>
      <c r="T531" s="53" t="n"/>
      <c r="U531" s="53" t="n"/>
      <c r="V531" s="53" t="n"/>
    </row>
    <row r="532" customFormat="1" s="1916">
      <c r="A532" s="53" t="n"/>
      <c r="B532" s="53" t="n"/>
      <c r="C532" s="2145" t="n"/>
      <c r="D532" s="2145" t="n"/>
      <c r="E532" s="2145" t="n"/>
      <c r="F532" s="53" t="n"/>
      <c r="G532" s="53" t="n"/>
      <c r="T532" s="53" t="n"/>
      <c r="U532" s="53" t="n"/>
      <c r="V532" s="53" t="n"/>
    </row>
    <row r="533" customFormat="1" s="1916">
      <c r="A533" s="53" t="n"/>
      <c r="B533" s="53" t="n"/>
      <c r="C533" s="2145" t="n"/>
      <c r="D533" s="2145" t="n"/>
      <c r="E533" s="2145" t="n"/>
      <c r="F533" s="53" t="n"/>
      <c r="G533" s="53" t="n"/>
      <c r="T533" s="53" t="n"/>
      <c r="U533" s="53" t="n"/>
      <c r="V533" s="53" t="n"/>
    </row>
    <row r="534" customFormat="1" s="1916">
      <c r="A534" s="53" t="n"/>
      <c r="B534" s="53" t="n"/>
      <c r="C534" s="2145" t="n"/>
      <c r="D534" s="2145" t="n"/>
      <c r="E534" s="2145" t="n"/>
      <c r="F534" s="2285" t="n"/>
      <c r="G534" s="53" t="n"/>
      <c r="T534" s="53" t="n"/>
      <c r="U534" s="53" t="n"/>
      <c r="V534" s="53" t="n"/>
    </row>
    <row r="535" customFormat="1" s="1916">
      <c r="A535" s="53" t="n"/>
      <c r="B535" s="53" t="n"/>
      <c r="C535" s="2145" t="n"/>
      <c r="D535" s="2145" t="n"/>
      <c r="E535" s="2145" t="n"/>
      <c r="F535" s="53" t="n"/>
      <c r="G535" s="53" t="n"/>
      <c r="T535" s="53" t="n"/>
      <c r="U535" s="53" t="n"/>
      <c r="V535" s="53" t="n"/>
    </row>
    <row r="536" customFormat="1" s="1916">
      <c r="A536" s="53" t="n"/>
      <c r="B536" s="53" t="n"/>
      <c r="C536" s="2145" t="n"/>
      <c r="D536" s="2145" t="n"/>
      <c r="E536" s="2145" t="n"/>
      <c r="F536" s="53" t="n"/>
      <c r="G536" s="53" t="n"/>
      <c r="T536" s="53" t="n"/>
      <c r="U536" s="53" t="n"/>
      <c r="V536" s="53" t="n"/>
    </row>
    <row r="537" customFormat="1" s="1916">
      <c r="A537" s="53" t="n"/>
      <c r="B537" s="53" t="n"/>
      <c r="C537" s="2145" t="n"/>
      <c r="D537" s="2145" t="n"/>
      <c r="E537" s="2145" t="n"/>
      <c r="F537" s="53" t="n"/>
      <c r="G537" s="53" t="n"/>
    </row>
    <row r="538" customFormat="1" s="1916">
      <c r="A538" s="53" t="n"/>
      <c r="B538" s="53" t="n"/>
      <c r="C538" s="2145" t="n"/>
      <c r="D538" s="2145" t="n"/>
      <c r="E538" s="2145" t="n"/>
      <c r="F538" s="53" t="n"/>
      <c r="G538" s="53" t="n"/>
    </row>
    <row r="539" customFormat="1" s="1916">
      <c r="A539" s="103" t="n"/>
      <c r="B539" s="103" t="n"/>
      <c r="C539" s="2147" t="n"/>
      <c r="D539" s="2147" t="n"/>
      <c r="E539" s="2147" t="n"/>
      <c r="F539" s="53" t="n"/>
      <c r="G539" s="53" t="n"/>
    </row>
    <row r="540" customFormat="1" s="1916">
      <c r="A540" s="103" t="n"/>
      <c r="B540" s="105" t="n"/>
      <c r="C540" s="2147" t="n"/>
      <c r="D540" s="2147" t="n"/>
      <c r="E540" s="2147" t="n"/>
      <c r="F540" s="53" t="n"/>
      <c r="G540" s="53" t="n"/>
    </row>
    <row r="541" customFormat="1" s="1916">
      <c r="A541" s="103" t="n"/>
      <c r="B541" s="103" t="n"/>
      <c r="C541" s="2147" t="n"/>
      <c r="D541" s="2147" t="n"/>
      <c r="E541" s="2147" t="n"/>
      <c r="F541" s="53" t="n"/>
      <c r="G541" s="53" t="n"/>
    </row>
    <row r="542" customFormat="1" s="1916">
      <c r="A542" s="103" t="n"/>
      <c r="B542" s="105" t="n"/>
      <c r="C542" s="2147" t="n"/>
      <c r="D542" s="2147" t="n"/>
      <c r="E542" s="2147" t="n"/>
      <c r="F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</row>
    <row r="543" customFormat="1" s="1916">
      <c r="A543" s="53" t="n"/>
      <c r="B543" s="53" t="n"/>
      <c r="C543" s="2145" t="n"/>
      <c r="D543" s="2145" t="n"/>
      <c r="E543" s="2145" t="n"/>
      <c r="F543" s="53" t="n"/>
      <c r="H543" s="53" t="n"/>
      <c r="I543" s="53" t="n"/>
      <c r="J543" s="53" t="n"/>
      <c r="K543" s="106" t="n"/>
      <c r="L543" s="106" t="n"/>
      <c r="M543" s="106" t="n"/>
      <c r="N543" s="106" t="n"/>
      <c r="O543" s="106" t="n"/>
    </row>
    <row r="544" customFormat="1" s="1916">
      <c r="A544" s="3" t="n"/>
      <c r="B544" s="2285" t="n"/>
      <c r="C544" s="3" t="n"/>
      <c r="D544" s="3" t="n"/>
      <c r="E544" s="2285" t="n"/>
      <c r="F544" s="107" t="n"/>
      <c r="H544" s="53" t="n"/>
      <c r="I544" s="540" t="n"/>
      <c r="J544" s="53" t="n"/>
      <c r="K544" s="106" t="n"/>
      <c r="L544" s="106" t="n"/>
      <c r="M544" s="106" t="n"/>
      <c r="N544" s="106" t="n"/>
      <c r="O544" s="106" t="n"/>
    </row>
    <row r="545" customFormat="1" s="1916">
      <c r="A545" s="53" t="n"/>
      <c r="B545" s="53" t="n"/>
      <c r="C545" s="53" t="n"/>
      <c r="D545" s="53" t="n"/>
      <c r="E545" s="53" t="n"/>
      <c r="F545" s="107" t="n"/>
      <c r="H545" s="53" t="n"/>
      <c r="I545" s="53" t="n"/>
      <c r="J545" s="53" t="n"/>
      <c r="K545" s="2145" t="n"/>
      <c r="L545" s="2145" t="n"/>
      <c r="M545" s="2145" t="n"/>
      <c r="N545" s="2145" t="n"/>
      <c r="O545" s="53" t="n"/>
    </row>
    <row r="546" customFormat="1" s="1916">
      <c r="A546" s="53" t="n"/>
      <c r="B546" s="53" t="n"/>
      <c r="C546" s="53" t="n"/>
      <c r="D546" s="53" t="n"/>
      <c r="E546" s="106" t="n"/>
      <c r="F546" s="106" t="n"/>
      <c r="H546" s="53" t="n"/>
      <c r="I546" s="93" t="n"/>
      <c r="J546" s="2145" t="n"/>
      <c r="K546" s="2145" t="n"/>
      <c r="L546" s="2145" t="n"/>
      <c r="M546" s="2145" t="n"/>
      <c r="N546" s="2145" t="n"/>
      <c r="O546" s="106" t="n"/>
    </row>
    <row r="547" customFormat="1" s="1916">
      <c r="A547" s="53" t="n"/>
      <c r="B547" s="53" t="n"/>
      <c r="C547" s="53" t="n"/>
      <c r="D547" s="53" t="n"/>
      <c r="E547" s="53" t="n"/>
      <c r="F547" s="53" t="n"/>
      <c r="H547" s="53" t="n"/>
      <c r="I547" s="93" t="n"/>
      <c r="J547" s="2145" t="n"/>
      <c r="K547" s="2145" t="n"/>
      <c r="L547" s="2145" t="n"/>
      <c r="M547" s="2145" t="n"/>
      <c r="N547" s="2145" t="n"/>
      <c r="O547" s="53" t="n"/>
    </row>
    <row r="548" customFormat="1" s="1916">
      <c r="A548" s="53" t="n"/>
      <c r="B548" s="53" t="n"/>
      <c r="C548" s="53" t="n"/>
      <c r="D548" s="53" t="n"/>
      <c r="E548" s="106" t="n"/>
      <c r="F548" s="106" t="n"/>
      <c r="H548" s="53" t="n"/>
      <c r="I548" s="93" t="n"/>
      <c r="J548" s="2145" t="n"/>
      <c r="K548" s="2145" t="n"/>
      <c r="L548" s="2145" t="n"/>
      <c r="M548" s="2145" t="n"/>
      <c r="N548" s="2145" t="n"/>
      <c r="O548" s="106" t="n"/>
    </row>
    <row r="549" customFormat="1" s="1916">
      <c r="A549" s="53" t="n"/>
      <c r="B549" s="53" t="n"/>
      <c r="C549" s="53" t="n"/>
      <c r="D549" s="53" t="n"/>
      <c r="E549" s="2286" t="n"/>
      <c r="F549" s="2286" t="n"/>
      <c r="G549" s="53" t="n"/>
      <c r="H549" s="103" t="n"/>
      <c r="I549" s="103" t="n"/>
      <c r="J549" s="2147" t="n"/>
      <c r="K549" s="2147" t="n"/>
      <c r="L549" s="2147" t="n"/>
      <c r="M549" s="2145" t="n"/>
      <c r="N549" s="2145" t="n"/>
      <c r="O549" s="106" t="n"/>
    </row>
    <row r="550" customFormat="1" s="1916">
      <c r="A550" s="53" t="n"/>
      <c r="B550" s="53" t="n"/>
      <c r="C550" s="2145" t="n"/>
      <c r="D550" s="2145" t="n"/>
      <c r="E550" s="2145" t="n"/>
      <c r="F550" s="2145" t="n"/>
      <c r="G550" s="53" t="n"/>
      <c r="H550" s="53" t="n"/>
      <c r="I550" s="53" t="n"/>
    </row>
    <row r="551" customFormat="1" s="1916">
      <c r="A551" s="53" t="n"/>
      <c r="B551" s="53" t="n"/>
      <c r="C551" s="53" t="n"/>
      <c r="D551" s="53" t="n"/>
      <c r="E551" s="2145" t="n"/>
      <c r="F551" s="53" t="n"/>
      <c r="G551" s="53" t="n"/>
      <c r="H551" s="110" t="n"/>
      <c r="I551" s="53" t="n"/>
      <c r="J551" s="53" t="n"/>
      <c r="K551" s="2145" t="n"/>
      <c r="L551" s="2145" t="n"/>
      <c r="M551" s="2145" t="n"/>
      <c r="N551" s="2145" t="n"/>
    </row>
    <row r="552" customFormat="1" s="1916">
      <c r="A552" s="53" t="n"/>
      <c r="B552" s="93" t="n"/>
      <c r="C552" s="2145" t="n"/>
      <c r="D552" s="2145" t="n"/>
      <c r="E552" s="2145" t="n"/>
      <c r="F552" s="53" t="n"/>
      <c r="G552" s="53" t="n"/>
      <c r="H552" s="2285" t="n"/>
      <c r="I552" s="93" t="n"/>
      <c r="J552" s="2145" t="n"/>
      <c r="K552" s="2145" t="n"/>
      <c r="L552" s="2145" t="n"/>
      <c r="M552" s="2145" t="n"/>
      <c r="N552" s="2145" t="n"/>
    </row>
    <row r="553" customFormat="1" s="1916">
      <c r="A553" s="53" t="n"/>
      <c r="B553" s="93" t="n"/>
      <c r="C553" s="2145" t="n"/>
      <c r="D553" s="2145" t="n"/>
      <c r="E553" s="2145" t="n"/>
      <c r="F553" s="53" t="n"/>
      <c r="G553" s="53" t="n"/>
      <c r="H553" s="53" t="n"/>
      <c r="I553" s="93" t="n"/>
      <c r="J553" s="2145" t="n"/>
      <c r="K553" s="2145" t="n"/>
      <c r="L553" s="2145" t="n"/>
      <c r="M553" s="2145" t="n"/>
      <c r="N553" s="2145" t="n"/>
    </row>
    <row r="554" customFormat="1" s="1916">
      <c r="A554" s="53" t="n"/>
      <c r="B554" s="93" t="n"/>
      <c r="C554" s="2145" t="n"/>
      <c r="D554" s="2145" t="n"/>
      <c r="E554" s="2145" t="n"/>
      <c r="F554" s="53" t="n"/>
      <c r="G554" s="53" t="n"/>
      <c r="H554" s="53" t="n"/>
      <c r="I554" s="93" t="n"/>
      <c r="J554" s="2145" t="n"/>
      <c r="K554" s="2145" t="n"/>
      <c r="L554" s="2145" t="n"/>
      <c r="M554" s="2145" t="n"/>
      <c r="N554" s="2145" t="n"/>
    </row>
    <row r="555" customFormat="1" s="1916">
      <c r="A555" s="53" t="n"/>
      <c r="B555" s="93" t="n"/>
      <c r="C555" s="2145" t="n"/>
      <c r="D555" s="2145" t="n"/>
      <c r="E555" s="2145" t="n"/>
      <c r="F555" s="111" t="n"/>
      <c r="G555" s="53" t="n"/>
      <c r="H555" s="53" t="n"/>
      <c r="I555" s="93" t="n"/>
      <c r="J555" s="2145" t="n"/>
      <c r="K555" s="2145" t="n"/>
      <c r="L555" s="2145" t="n"/>
      <c r="M555" s="2145" t="n"/>
      <c r="N555" s="2145" t="n"/>
    </row>
    <row r="556" customFormat="1" s="1916">
      <c r="A556" s="53" t="n"/>
      <c r="B556" s="93" t="n"/>
      <c r="C556" s="2145" t="n"/>
      <c r="D556" s="2145" t="n"/>
      <c r="E556" s="2145" t="n"/>
      <c r="F556" s="111" t="n"/>
      <c r="G556" s="53" t="n"/>
      <c r="H556" s="53" t="n"/>
      <c r="I556" s="93" t="n"/>
      <c r="J556" s="2145" t="n"/>
      <c r="K556" s="2145" t="n"/>
      <c r="L556" s="2145" t="n"/>
      <c r="M556" s="2145" t="n"/>
      <c r="N556" s="2145" t="n"/>
    </row>
    <row r="557" customFormat="1" s="1916">
      <c r="A557" s="53" t="n"/>
      <c r="B557" s="93" t="n"/>
      <c r="C557" s="2145" t="n"/>
      <c r="D557" s="2145" t="n"/>
      <c r="E557" s="2145" t="n"/>
      <c r="F557" s="53" t="n"/>
      <c r="G557" s="53" t="n"/>
      <c r="H557" s="53" t="n"/>
      <c r="I557" s="93" t="n"/>
      <c r="J557" s="2145" t="n"/>
      <c r="K557" s="2145" t="n"/>
      <c r="L557" s="2145" t="n"/>
      <c r="M557" s="2145" t="n"/>
      <c r="N557" s="2145" t="n"/>
    </row>
    <row r="558" customFormat="1" s="1916">
      <c r="A558" s="53" t="n"/>
      <c r="B558" s="93" t="n"/>
      <c r="C558" s="2145" t="n"/>
      <c r="D558" s="2145" t="n"/>
      <c r="E558" s="2145" t="n"/>
      <c r="F558" s="53" t="n"/>
      <c r="G558" s="53" t="n"/>
      <c r="H558" s="53" t="n"/>
      <c r="I558" s="93" t="n"/>
      <c r="J558" s="2145" t="n"/>
      <c r="K558" s="2145" t="n"/>
      <c r="L558" s="2145" t="n"/>
      <c r="M558" s="2145" t="n"/>
      <c r="N558" s="2145" t="n"/>
    </row>
    <row r="559" customFormat="1" s="1916">
      <c r="A559" s="103" t="n"/>
      <c r="B559" s="103" t="n"/>
      <c r="C559" s="2147" t="n"/>
      <c r="D559" s="2147" t="n"/>
      <c r="E559" s="2147" t="n"/>
      <c r="F559" s="53" t="n"/>
      <c r="G559" s="53" t="n"/>
      <c r="H559" s="103" t="n"/>
      <c r="I559" s="103" t="n"/>
      <c r="J559" s="2147" t="n"/>
      <c r="K559" s="2147" t="n"/>
      <c r="L559" s="2147" t="n"/>
      <c r="M559" s="2147" t="n"/>
      <c r="N559" s="2147" t="n"/>
    </row>
    <row r="560" customFormat="1" s="1916">
      <c r="A560" s="53" t="n"/>
      <c r="B560" s="53" t="n"/>
      <c r="C560" s="2145" t="n"/>
      <c r="D560" s="2145" t="n"/>
      <c r="E560" s="2145" t="n"/>
      <c r="F560" s="53" t="n"/>
      <c r="G560" s="53" t="n"/>
    </row>
    <row r="561" customFormat="1" s="1916">
      <c r="A561" s="53" t="n"/>
      <c r="B561" s="53" t="n"/>
      <c r="C561" s="2145" t="n"/>
      <c r="D561" s="2145" t="n"/>
      <c r="E561" s="2147" t="n"/>
      <c r="F561" s="53" t="n"/>
      <c r="G561" s="53" t="n"/>
    </row>
    <row r="562" customFormat="1" s="1916">
      <c r="A562" s="53" t="n"/>
      <c r="B562" s="53" t="n"/>
      <c r="C562" s="2145" t="n"/>
      <c r="D562" s="2145" t="n"/>
      <c r="E562" s="2145" t="n"/>
      <c r="F562" s="53" t="n"/>
      <c r="G562" s="53" t="n"/>
    </row>
    <row r="563" customFormat="1" s="1916">
      <c r="A563" s="53" t="n"/>
      <c r="B563" s="53" t="n"/>
      <c r="C563" s="2145" t="n"/>
      <c r="D563" s="2145" t="n"/>
      <c r="E563" s="2145" t="n"/>
      <c r="F563" s="53" t="n"/>
      <c r="G563" s="53" t="n"/>
    </row>
    <row r="564" customFormat="1" s="1916">
      <c r="A564" s="53" t="n"/>
      <c r="B564" s="112" t="n"/>
      <c r="C564" s="2145" t="n"/>
      <c r="D564" s="2145" t="n"/>
      <c r="E564" s="2145" t="n"/>
      <c r="F564" s="53" t="n"/>
      <c r="G564" s="53" t="n"/>
    </row>
    <row r="565" customFormat="1" s="1916">
      <c r="A565" s="53" t="n"/>
      <c r="B565" s="112" t="n"/>
      <c r="C565" s="2145" t="n"/>
      <c r="D565" s="2145" t="n"/>
      <c r="E565" s="2145" t="n"/>
      <c r="F565" s="53" t="n"/>
      <c r="G565" s="53" t="n"/>
    </row>
    <row r="566" customFormat="1" s="1916">
      <c r="A566" s="53" t="n"/>
      <c r="B566" s="113" t="n"/>
      <c r="C566" s="2145" t="n"/>
      <c r="D566" s="2145" t="n"/>
      <c r="E566" s="2145" t="n"/>
      <c r="F566" s="53" t="n"/>
      <c r="G566" s="53" t="n"/>
    </row>
    <row r="567" customFormat="1" s="1916">
      <c r="A567" s="53" t="n"/>
      <c r="B567" s="113" t="n"/>
      <c r="C567" s="2145" t="n"/>
      <c r="D567" s="2145" t="n"/>
      <c r="E567" s="2145" t="n"/>
      <c r="F567" s="53" t="n"/>
      <c r="G567" s="53" t="n"/>
    </row>
    <row r="568" customFormat="1" s="1916">
      <c r="A568" s="53" t="n"/>
      <c r="B568" s="113" t="n"/>
      <c r="C568" s="2145" t="n"/>
      <c r="D568" s="2145" t="n"/>
      <c r="E568" s="2145" t="n"/>
      <c r="F568" s="53" t="n"/>
      <c r="G568" s="53" t="n"/>
    </row>
    <row r="569" customFormat="1" s="1916">
      <c r="A569" s="53" t="n"/>
      <c r="B569" s="113" t="n"/>
      <c r="C569" s="2145" t="n"/>
      <c r="D569" s="2145" t="n"/>
      <c r="E569" s="2145" t="n"/>
      <c r="F569" s="53" t="n"/>
      <c r="G569" s="53" t="n"/>
    </row>
    <row r="570" customFormat="1" s="1916">
      <c r="A570" s="53" t="n"/>
      <c r="B570" s="112" t="n"/>
      <c r="C570" s="2145" t="n"/>
      <c r="D570" s="2145" t="n"/>
      <c r="E570" s="2145" t="n"/>
      <c r="F570" s="53" t="n"/>
      <c r="G570" s="53" t="n"/>
    </row>
    <row r="571" customFormat="1" s="1916">
      <c r="A571" s="53" t="n"/>
      <c r="B571" s="112" t="n"/>
      <c r="C571" s="2145" t="n"/>
      <c r="D571" s="2145" t="n"/>
      <c r="E571" s="2145" t="n"/>
      <c r="F571" s="53" t="n"/>
      <c r="G571" s="53" t="n"/>
    </row>
    <row r="572" customFormat="1" s="1916">
      <c r="A572" s="53" t="n"/>
      <c r="B572" s="112" t="n"/>
      <c r="C572" s="2145" t="n"/>
      <c r="D572" s="2145" t="n"/>
      <c r="E572" s="2149" t="n"/>
      <c r="F572" s="53" t="n"/>
      <c r="G572" s="53" t="n"/>
      <c r="Q572" s="53" t="n"/>
    </row>
    <row r="573" customFormat="1" s="1916">
      <c r="A573" s="53" t="n"/>
      <c r="B573" s="113" t="n"/>
      <c r="C573" s="2145" t="n"/>
      <c r="D573" s="2145" t="n"/>
      <c r="E573" s="2145" t="n"/>
      <c r="F573" s="53" t="n"/>
      <c r="G573" s="53" t="n"/>
      <c r="H573" s="53" t="n"/>
      <c r="J573" s="2154" t="n"/>
      <c r="Q573" s="53" t="n"/>
    </row>
    <row r="574" customFormat="1" s="1916">
      <c r="A574" s="53" t="n"/>
      <c r="B574" s="53" t="n"/>
      <c r="C574" s="2145" t="n"/>
      <c r="D574" s="2145" t="n"/>
      <c r="E574" s="2145" t="n"/>
      <c r="F574" s="2145" t="n"/>
      <c r="G574" s="2145" t="n"/>
      <c r="Q574" s="53" t="n"/>
    </row>
    <row r="575" customFormat="1" s="1916">
      <c r="A575" s="53" t="n"/>
      <c r="B575" s="53" t="n"/>
      <c r="C575" s="2145" t="n"/>
      <c r="D575" s="2145" t="n"/>
      <c r="E575" s="2145" t="n"/>
      <c r="G575" s="540" t="n"/>
      <c r="Q575" s="53" t="n"/>
    </row>
    <row r="576" customFormat="1" s="1916">
      <c r="E576" s="2145" t="n"/>
    </row>
    <row r="577" customFormat="1" s="1916"/>
    <row r="578" customFormat="1" s="1916"/>
    <row r="579" customFormat="1" s="1916"/>
    <row r="580" customFormat="1" s="1916"/>
    <row r="581" customFormat="1" s="1916"/>
    <row r="582" customFormat="1" s="1916"/>
    <row r="583" customFormat="1" s="1916"/>
    <row r="584">
      <c r="T584" s="1916" t="n"/>
      <c r="U584" s="1916" t="n"/>
      <c r="V584" s="1916" t="n"/>
      <c r="W584" s="191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5">
    <mergeCell ref="G43:G44"/>
    <mergeCell ref="H8:I8"/>
    <mergeCell ref="H47:I47"/>
    <mergeCell ref="J8:K8"/>
    <mergeCell ref="F8:G8"/>
  </mergeCells>
  <conditionalFormatting sqref="A80">
    <cfRule type="expression" priority="4" dxfId="4">
      <formula>$D$8="yes"</formula>
    </cfRule>
  </conditionalFormatting>
  <conditionalFormatting sqref="A80:B80">
    <cfRule type="expression" priority="1" dxfId="4">
      <formula>$D$6="yes"</formula>
    </cfRule>
  </conditionalFormatting>
  <conditionalFormatting sqref="D7">
    <cfRule type="cellIs" priority="9" operator="equal" dxfId="2">
      <formula>"Yes"</formula>
    </cfRule>
  </conditionalFormatting>
  <conditionalFormatting sqref="D8">
    <cfRule type="containsText" priority="19" operator="containsText" dxfId="10" text="Yes">
      <formula>NOT(ISERROR(SEARCH("Yes",D8)))</formula>
    </cfRule>
  </conditionalFormatting>
  <conditionalFormatting sqref="E43">
    <cfRule type="cellIs" priority="8" operator="equal" dxfId="9" stopIfTrue="1">
      <formula>"PW"</formula>
    </cfRule>
  </conditionalFormatting>
  <conditionalFormatting sqref="E80">
    <cfRule type="expression" priority="6" dxfId="4">
      <formula>$D$6="yes"</formula>
    </cfRule>
  </conditionalFormatting>
  <conditionalFormatting sqref="F43">
    <cfRule type="containsText" priority="12" operator="containsText" dxfId="2" text="10 hour days">
      <formula>NOT(ISERROR(SEARCH("10 hour days",F43)))</formula>
    </cfRule>
    <cfRule type="containsText" priority="13" operator="containsText" dxfId="4" text="8 hour days">
      <formula>NOT(ISERROR(SEARCH("8 hour days",F43)))</formula>
    </cfRule>
    <cfRule type="containsText" priority="14" operator="containsText" dxfId="2" text="10 hour days">
      <formula>NOT(ISERROR(SEARCH("10 hour days",F43)))</formula>
    </cfRule>
    <cfRule type="containsText" priority="15" operator="containsText" dxfId="4" text="8 hour days">
      <formula>NOT(ISERROR(SEARCH("8 hour days",F43)))</formula>
    </cfRule>
  </conditionalFormatting>
  <conditionalFormatting sqref="G88">
    <cfRule type="containsText" priority="20" operator="containsText" dxfId="2" text="owner">
      <formula>NOT(ISERROR(SEARCH("owner",G88)))</formula>
    </cfRule>
  </conditionalFormatting>
  <conditionalFormatting sqref="H74">
    <cfRule type="cellIs" priority="2" operator="lessThan" dxfId="2">
      <formula>0</formula>
    </cfRule>
    <cfRule type="cellIs" priority="3" operator="greaterThanOrEqual" dxfId="1">
      <formula>0</formula>
    </cfRule>
  </conditionalFormatting>
  <conditionalFormatting sqref="H39:I39">
    <cfRule type="cellIs" priority="18" operator="notEqual" dxfId="0">
      <formula>FALSE</formula>
    </cfRule>
  </conditionalFormatting>
  <dataValidations count="3">
    <dataValidation sqref="G11 I11 K11" showDropDown="0" showInputMessage="1" showErrorMessage="1" allowBlank="1" type="list">
      <formula1>$P$52:$P$54</formula1>
    </dataValidation>
    <dataValidation sqref="A36" showDropDown="0" showInputMessage="1" showErrorMessage="1" allowBlank="1" type="list">
      <formula1>$O$36:$O$44</formula1>
    </dataValidation>
    <dataValidation sqref="G10 I10 K10" showDropDown="0" showInputMessage="1" showErrorMessage="1" allowBlank="1" type="list">
      <formula1>$W$51:$W$62</formula1>
    </dataValidation>
  </dataValidations>
  <hyperlinks>
    <hyperlink xmlns:r="http://schemas.openxmlformats.org/officeDocument/2006/relationships" ref="A80" r:id="rId1"/>
  </hyperlinks>
  <pageMargins left="0.75" right="0.75" top="0.5" bottom="0.25" header="0.5" footer="0.5"/>
  <pageSetup orientation="portrait" scale="61" horizontalDpi="4294967292" verticalDpi="4294967292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138"/>
  <sheetViews>
    <sheetView workbookViewId="0">
      <selection activeCell="B14" sqref="B14"/>
    </sheetView>
  </sheetViews>
  <sheetFormatPr baseColWidth="8" defaultColWidth="11.19921875" defaultRowHeight="15.6"/>
  <cols>
    <col width="3.19921875" bestFit="1" customWidth="1" min="1" max="1"/>
    <col width="29.796875" customWidth="1" min="2" max="2"/>
    <col width="12.19921875" customWidth="1" min="5" max="5"/>
    <col width="3.19921875" bestFit="1" customWidth="1" min="8" max="8"/>
    <col width="29.796875" customWidth="1" min="9" max="9"/>
    <col width="3.19921875" bestFit="1" customWidth="1" min="15" max="15"/>
    <col width="16.69921875" customWidth="1" min="16" max="16"/>
    <col width="15.5" customWidth="1" min="20" max="20"/>
    <col width="18.796875" bestFit="1" customWidth="1" min="27" max="27"/>
    <col width="35.19921875" bestFit="1" customWidth="1" min="28" max="28"/>
  </cols>
  <sheetData>
    <row r="2" ht="16.2" customHeight="1" thickBot="1">
      <c r="J2" t="inlineStr">
        <is>
          <t>*make sure all cells are included in SUM</t>
        </is>
      </c>
      <c r="P2" t="inlineStr">
        <is>
          <t>Transition Strip:</t>
        </is>
      </c>
      <c r="T2" s="220" t="inlineStr">
        <is>
          <t>(Hi-Tech; via CDS Contractor Direct Solutions (Jamie Krueger))</t>
        </is>
      </c>
      <c r="X2" s="220" t="n"/>
      <c r="Y2" s="220" t="inlineStr">
        <is>
          <t>(Sturgis - 11/26/2023)</t>
        </is>
      </c>
    </row>
    <row r="3" ht="16.2" customHeight="1" thickBot="1">
      <c r="B3" s="73" t="n"/>
      <c r="I3" s="251" t="n"/>
      <c r="J3" s="2287">
        <f>SUM(J5:J11)</f>
        <v/>
      </c>
      <c r="K3" s="2287">
        <f>SUM(K5:K11)</f>
        <v/>
      </c>
      <c r="L3" s="2288">
        <f>SUM(L5:L11)</f>
        <v/>
      </c>
      <c r="P3" t="inlineStr">
        <is>
          <t>"Nat. Guard" 8' @ ~$130 ea. ($16.25 /lf.)</t>
        </is>
      </c>
      <c r="T3" s="24" t="inlineStr">
        <is>
          <t>Joint Filler</t>
        </is>
      </c>
      <c r="U3" s="2289" t="n">
        <v>475</v>
      </c>
      <c r="V3" s="220" t="inlineStr">
        <is>
          <t>/10 gal kit</t>
        </is>
      </c>
      <c r="X3" s="24" t="inlineStr">
        <is>
          <t>Silica</t>
        </is>
      </c>
      <c r="Y3" s="2290">
        <f>Z3/AA3</f>
        <v/>
      </c>
      <c r="Z3">
        <f>(998.4+150+37.5)</f>
        <v/>
      </c>
      <c r="AA3">
        <f>64*50</f>
        <v/>
      </c>
      <c r="AB3" t="inlineStr">
        <is>
          <t>lbs</t>
        </is>
      </c>
      <c r="AR3" s="387" t="n"/>
    </row>
    <row r="4">
      <c r="B4" s="73" t="n"/>
      <c r="I4" t="inlineStr">
        <is>
          <t>Room</t>
        </is>
      </c>
      <c r="J4" t="inlineStr">
        <is>
          <t>sf</t>
        </is>
      </c>
      <c r="K4" t="inlineStr">
        <is>
          <t>lf</t>
        </is>
      </c>
      <c r="T4" s="1123" t="inlineStr">
        <is>
          <t>pigment pack +</t>
        </is>
      </c>
      <c r="U4" s="2291" t="n">
        <v>17</v>
      </c>
      <c r="Z4" t="n">
        <v>112.36</v>
      </c>
      <c r="AA4" t="inlineStr">
        <is>
          <t>tax</t>
        </is>
      </c>
      <c r="AR4" s="388" t="n"/>
    </row>
    <row r="5">
      <c r="B5" s="386" t="n"/>
      <c r="H5" t="n">
        <v>1</v>
      </c>
      <c r="I5" s="73" t="n"/>
      <c r="P5" s="440" t="inlineStr">
        <is>
          <t>other notes ----&gt;</t>
        </is>
      </c>
      <c r="T5" s="440" t="inlineStr">
        <is>
          <t>Total +pigment</t>
        </is>
      </c>
      <c r="U5" s="2292">
        <f>SUM(U3:U4)</f>
        <v/>
      </c>
      <c r="V5" s="220" t="inlineStr">
        <is>
          <t>(1 kit per 3,500 sf)</t>
        </is>
      </c>
      <c r="Y5" s="397" t="inlineStr">
        <is>
          <t>*per Ted's Trash Website:</t>
        </is>
      </c>
      <c r="AA5" t="inlineStr">
        <is>
          <t>tedstrash.com/rolloff</t>
        </is>
      </c>
      <c r="AR5" s="389" t="n"/>
    </row>
    <row r="6">
      <c r="B6" s="386" t="n"/>
      <c r="H6" t="n">
        <v>2</v>
      </c>
      <c r="I6" s="73" t="n"/>
      <c r="P6" s="23" t="inlineStr">
        <is>
          <t>Grind &amp; Seal Conc (1 pass) (per ops meeting 4/26/19)</t>
        </is>
      </c>
      <c r="X6" s="24" t="inlineStr">
        <is>
          <t>Dumpster</t>
        </is>
      </c>
      <c r="Y6" s="2293" t="n">
        <v>250</v>
      </c>
      <c r="Z6" t="inlineStr">
        <is>
          <t>10 Yard (small jobs)</t>
        </is>
      </c>
      <c r="AB6" s="261" t="inlineStr">
        <is>
          <t>Citra Kut II (5gal bucket)</t>
        </is>
      </c>
      <c r="AC6" s="2294" t="n">
        <v>206</v>
      </c>
      <c r="AD6" t="inlineStr">
        <is>
          <t>per 5 gal</t>
        </is>
      </c>
      <c r="AE6" t="inlineStr">
        <is>
          <t>~300 sf/gal [or ~1,500 sf/5gal]</t>
        </is>
      </c>
      <c r="AR6" s="390" t="n"/>
    </row>
    <row r="7">
      <c r="B7" s="386" t="n"/>
      <c r="H7" t="n">
        <v>3</v>
      </c>
      <c r="I7" s="73" t="n"/>
      <c r="P7" s="1" t="inlineStr">
        <is>
          <t>1000 sf</t>
        </is>
      </c>
      <c r="Q7" s="2295" t="n">
        <v>3.35</v>
      </c>
      <c r="R7" t="inlineStr">
        <is>
          <t>/sf</t>
        </is>
      </c>
      <c r="T7" s="23" t="inlineStr">
        <is>
          <t>Clean &amp; Seal Conc (per ops meeting 4/26/19)</t>
        </is>
      </c>
      <c r="U7" s="37" t="n"/>
      <c r="Y7" s="2293" t="n">
        <v>300</v>
      </c>
      <c r="Z7" t="inlineStr">
        <is>
          <t>20 Yard (~1,500 sf)</t>
        </is>
      </c>
      <c r="AR7" s="391" t="n"/>
    </row>
    <row r="8">
      <c r="B8" s="386" t="n"/>
      <c r="H8" t="n">
        <v>4</v>
      </c>
      <c r="I8" s="73" t="n"/>
      <c r="P8" s="1" t="inlineStr">
        <is>
          <t>1-5k sf</t>
        </is>
      </c>
      <c r="Q8" s="2295" t="n">
        <v>2.8</v>
      </c>
      <c r="R8" t="inlineStr">
        <is>
          <t>/sf</t>
        </is>
      </c>
      <c r="T8" s="1" t="inlineStr">
        <is>
          <t>1000 &amp; below</t>
        </is>
      </c>
      <c r="U8" s="2296" t="n">
        <v>2.5</v>
      </c>
      <c r="V8" t="inlineStr">
        <is>
          <t>/sf</t>
        </is>
      </c>
      <c r="Y8" s="2293" t="n">
        <v>350</v>
      </c>
      <c r="Z8" t="inlineStr">
        <is>
          <t>30 Yard (~2,000+)</t>
        </is>
      </c>
      <c r="AB8" s="261" t="inlineStr">
        <is>
          <t>Speed Cove (wall/ceiling to wall/ceiling)</t>
        </is>
      </c>
      <c r="AC8" s="2294" t="n">
        <v>4</v>
      </c>
      <c r="AD8" t="inlineStr">
        <is>
          <t>per lf  (from SpeedCove Solid Rock Enterprices)</t>
        </is>
      </c>
      <c r="AR8" s="392" t="n"/>
    </row>
    <row r="9">
      <c r="B9" s="386" t="n"/>
      <c r="H9" t="n">
        <v>5</v>
      </c>
      <c r="I9" s="73" t="n"/>
      <c r="P9" s="1" t="inlineStr">
        <is>
          <t>5000 sf ^</t>
        </is>
      </c>
      <c r="Q9" s="2295" t="n">
        <v>2.25</v>
      </c>
      <c r="R9" t="inlineStr">
        <is>
          <t>/sf</t>
        </is>
      </c>
      <c r="T9" s="1" t="inlineStr">
        <is>
          <t>1k-5k sf</t>
        </is>
      </c>
      <c r="U9" s="2297" t="n">
        <v>1.5</v>
      </c>
      <c r="V9" t="inlineStr">
        <is>
          <t>/sf</t>
        </is>
      </c>
      <c r="Y9" s="2293" t="n">
        <v>400</v>
      </c>
      <c r="Z9" t="inlineStr">
        <is>
          <t xml:space="preserve">40 Yard </t>
        </is>
      </c>
      <c r="AR9" s="448" t="n"/>
    </row>
    <row r="10">
      <c r="B10" s="386" t="n"/>
      <c r="C10" s="407" t="n"/>
      <c r="D10" s="407" t="n"/>
      <c r="E10" s="407" t="n"/>
      <c r="F10" s="407" t="n"/>
      <c r="H10" t="n">
        <v>6</v>
      </c>
      <c r="I10" s="73" t="n"/>
      <c r="P10" s="1" t="inlineStr">
        <is>
          <t>10000 sf</t>
        </is>
      </c>
      <c r="Q10" s="2295" t="n">
        <v>2</v>
      </c>
      <c r="R10" t="inlineStr">
        <is>
          <t>/sf</t>
        </is>
      </c>
      <c r="T10" s="1" t="inlineStr">
        <is>
          <t>5k &amp;^sf</t>
        </is>
      </c>
      <c r="U10" s="2297" t="n">
        <v>1.15</v>
      </c>
      <c r="V10" t="inlineStr">
        <is>
          <t>/sf</t>
        </is>
      </c>
      <c r="AR10" s="543" t="n"/>
    </row>
    <row r="11">
      <c r="B11" s="386" t="n"/>
      <c r="C11" s="407" t="n"/>
      <c r="D11" s="407" t="n"/>
      <c r="E11" s="407" t="n"/>
      <c r="F11" s="407" t="n"/>
      <c r="H11" t="n">
        <v>7</v>
      </c>
      <c r="I11" s="73" t="n"/>
      <c r="P11" s="1" t="n"/>
      <c r="Q11" s="2295" t="n"/>
    </row>
    <row r="12">
      <c r="B12" s="386" t="n"/>
      <c r="C12" s="407" t="n"/>
      <c r="D12" s="407" t="n"/>
      <c r="E12" s="407" t="n"/>
      <c r="F12" s="407" t="n"/>
      <c r="I12" s="73" t="n"/>
      <c r="P12" s="1" t="n"/>
      <c r="Q12" s="2295" t="n"/>
    </row>
    <row r="13" ht="16.2" customHeight="1" thickBot="1">
      <c r="B13" s="386" t="n"/>
      <c r="C13" t="inlineStr">
        <is>
          <t>*make sure all cells are included in SUM</t>
        </is>
      </c>
      <c r="J13" t="inlineStr">
        <is>
          <t>*make sure all cells are included in SUM</t>
        </is>
      </c>
      <c r="Q13" t="inlineStr">
        <is>
          <t>*make sure all cells are included in SUM</t>
        </is>
      </c>
    </row>
    <row r="14" ht="16.2" customHeight="1" thickBot="1">
      <c r="B14" s="251" t="n"/>
      <c r="C14" s="2287">
        <f>SUM(C16:C85)</f>
        <v/>
      </c>
      <c r="D14" s="2287">
        <f>SUM(D16:D85)</f>
        <v/>
      </c>
      <c r="E14" s="2288">
        <f>SUM(E16:E85)</f>
        <v/>
      </c>
      <c r="I14" s="254" t="n"/>
      <c r="J14" s="2287">
        <f>SUM(J16:J85)</f>
        <v/>
      </c>
      <c r="K14" s="2287">
        <f>SUM(K16:K85)</f>
        <v/>
      </c>
      <c r="L14" s="2288">
        <f>SUM(L16:L85)</f>
        <v/>
      </c>
      <c r="P14" s="254" t="n"/>
      <c r="Q14" s="2287">
        <f>SUM(Q16:Q85)</f>
        <v/>
      </c>
      <c r="R14" s="2287">
        <f>SUM(R16:R85)</f>
        <v/>
      </c>
      <c r="S14" s="2288">
        <f>SUM(S16:S85)</f>
        <v/>
      </c>
    </row>
    <row r="15">
      <c r="B15" t="inlineStr">
        <is>
          <t>Room</t>
        </is>
      </c>
      <c r="C15" t="inlineStr">
        <is>
          <t>sf</t>
        </is>
      </c>
      <c r="D15" t="inlineStr">
        <is>
          <t>lf</t>
        </is>
      </c>
      <c r="I15" t="inlineStr">
        <is>
          <t>Room</t>
        </is>
      </c>
      <c r="J15" t="inlineStr">
        <is>
          <t>sf</t>
        </is>
      </c>
      <c r="K15" t="inlineStr">
        <is>
          <t>lf</t>
        </is>
      </c>
      <c r="P15" t="inlineStr">
        <is>
          <t>Room</t>
        </is>
      </c>
      <c r="Q15" t="inlineStr">
        <is>
          <t>sf</t>
        </is>
      </c>
      <c r="R15" t="inlineStr">
        <is>
          <t>lf</t>
        </is>
      </c>
    </row>
    <row r="16">
      <c r="A16" t="n">
        <v>1</v>
      </c>
      <c r="B16" s="73" t="n"/>
      <c r="H16" t="n">
        <v>1</v>
      </c>
      <c r="I16" s="73" t="n"/>
      <c r="O16" t="n">
        <v>1</v>
      </c>
      <c r="P16" s="73" t="n"/>
    </row>
    <row r="17">
      <c r="A17" t="n">
        <v>2</v>
      </c>
      <c r="B17" s="73" t="n"/>
      <c r="H17" t="n">
        <v>2</v>
      </c>
      <c r="I17" s="73" t="n"/>
      <c r="O17" t="n">
        <v>2</v>
      </c>
      <c r="P17" s="73" t="n"/>
    </row>
    <row r="18">
      <c r="A18" t="n">
        <v>3</v>
      </c>
      <c r="B18" s="73" t="n"/>
      <c r="H18" t="n">
        <v>3</v>
      </c>
      <c r="I18" s="73" t="n"/>
      <c r="O18" t="n">
        <v>3</v>
      </c>
      <c r="P18" s="73" t="n"/>
    </row>
    <row r="19">
      <c r="A19" t="n">
        <v>4</v>
      </c>
      <c r="B19" s="73" t="n"/>
      <c r="H19" t="n">
        <v>4</v>
      </c>
      <c r="I19" s="73" t="n"/>
      <c r="O19" t="n">
        <v>4</v>
      </c>
      <c r="P19" s="73" t="n"/>
    </row>
    <row r="20">
      <c r="A20" t="n">
        <v>5</v>
      </c>
      <c r="B20" s="73" t="n"/>
      <c r="H20" t="n">
        <v>5</v>
      </c>
      <c r="I20" s="73" t="n"/>
      <c r="O20" t="n">
        <v>5</v>
      </c>
      <c r="P20" s="73" t="n"/>
    </row>
    <row r="21">
      <c r="A21" t="n">
        <v>6</v>
      </c>
      <c r="B21" s="73" t="n"/>
      <c r="H21" t="n">
        <v>6</v>
      </c>
      <c r="I21" s="73" t="n"/>
      <c r="O21" t="n">
        <v>6</v>
      </c>
      <c r="P21" s="73" t="n"/>
    </row>
    <row r="22">
      <c r="A22" t="n">
        <v>7</v>
      </c>
      <c r="B22" s="73" t="n"/>
      <c r="H22" t="n">
        <v>7</v>
      </c>
      <c r="I22" s="73" t="n"/>
      <c r="O22" t="n">
        <v>7</v>
      </c>
      <c r="P22" s="73" t="n"/>
    </row>
    <row r="23">
      <c r="A23" t="n">
        <v>8</v>
      </c>
      <c r="B23" s="73" t="n"/>
      <c r="H23" t="n">
        <v>8</v>
      </c>
      <c r="I23" s="73" t="n"/>
      <c r="O23" t="n">
        <v>8</v>
      </c>
      <c r="P23" s="73" t="n"/>
    </row>
    <row r="24">
      <c r="A24" t="n">
        <v>9</v>
      </c>
      <c r="B24" s="73" t="n"/>
      <c r="H24" t="n">
        <v>9</v>
      </c>
      <c r="I24" s="73" t="n"/>
      <c r="O24" t="n">
        <v>9</v>
      </c>
      <c r="P24" s="73" t="n"/>
    </row>
    <row r="25">
      <c r="A25" t="n">
        <v>10</v>
      </c>
      <c r="B25" s="73" t="n"/>
      <c r="H25" t="n">
        <v>10</v>
      </c>
      <c r="I25" s="73" t="n"/>
      <c r="O25" t="n">
        <v>10</v>
      </c>
      <c r="P25" s="73" t="n"/>
    </row>
    <row r="26">
      <c r="A26" t="n">
        <v>11</v>
      </c>
      <c r="B26" s="73" t="n"/>
      <c r="H26" t="n">
        <v>11</v>
      </c>
      <c r="I26" s="73" t="n"/>
      <c r="O26" t="n">
        <v>11</v>
      </c>
      <c r="P26" s="73" t="n"/>
    </row>
    <row r="27">
      <c r="A27" t="n">
        <v>12</v>
      </c>
      <c r="B27" s="73" t="n"/>
      <c r="H27" t="n">
        <v>12</v>
      </c>
      <c r="I27" s="73" t="n"/>
      <c r="O27" t="n">
        <v>12</v>
      </c>
      <c r="P27" s="73" t="n"/>
    </row>
    <row r="28">
      <c r="A28" t="n">
        <v>13</v>
      </c>
      <c r="B28" s="73" t="n"/>
      <c r="H28" t="n">
        <v>13</v>
      </c>
      <c r="I28" s="73" t="n"/>
      <c r="O28" t="n">
        <v>13</v>
      </c>
      <c r="P28" s="73" t="n"/>
    </row>
    <row r="29">
      <c r="A29" t="n">
        <v>14</v>
      </c>
      <c r="B29" s="73" t="n"/>
      <c r="H29" t="n">
        <v>14</v>
      </c>
      <c r="I29" s="73" t="n"/>
      <c r="O29" t="n">
        <v>14</v>
      </c>
      <c r="P29" s="73" t="n"/>
    </row>
    <row r="30">
      <c r="A30" t="n">
        <v>15</v>
      </c>
      <c r="B30" s="73" t="n"/>
      <c r="H30" t="n">
        <v>15</v>
      </c>
      <c r="I30" s="73" t="n"/>
      <c r="O30" t="n">
        <v>15</v>
      </c>
      <c r="P30" s="73" t="n"/>
    </row>
    <row r="31">
      <c r="A31" t="n">
        <v>16</v>
      </c>
      <c r="B31" s="73" t="n"/>
      <c r="H31" t="n">
        <v>16</v>
      </c>
      <c r="I31" s="73" t="n"/>
      <c r="O31" t="n">
        <v>16</v>
      </c>
      <c r="P31" s="73" t="n"/>
    </row>
    <row r="32">
      <c r="A32" t="n">
        <v>17</v>
      </c>
      <c r="B32" s="73" t="n"/>
      <c r="H32" t="n">
        <v>17</v>
      </c>
      <c r="I32" s="73" t="n"/>
      <c r="O32" t="n">
        <v>17</v>
      </c>
      <c r="P32" s="73" t="n"/>
    </row>
    <row r="33">
      <c r="A33" t="n">
        <v>18</v>
      </c>
      <c r="B33" s="73" t="n"/>
      <c r="H33" t="n">
        <v>18</v>
      </c>
      <c r="I33" s="73" t="n"/>
      <c r="O33" t="n">
        <v>18</v>
      </c>
      <c r="P33" s="73" t="n"/>
    </row>
    <row r="34">
      <c r="A34" t="n">
        <v>19</v>
      </c>
      <c r="B34" s="73" t="n"/>
      <c r="H34" t="n">
        <v>19</v>
      </c>
      <c r="I34" s="73" t="n"/>
      <c r="O34" t="n">
        <v>19</v>
      </c>
      <c r="P34" s="73" t="n"/>
    </row>
    <row r="35">
      <c r="A35" t="n">
        <v>20</v>
      </c>
      <c r="B35" s="73" t="n"/>
      <c r="H35" t="n">
        <v>20</v>
      </c>
      <c r="I35" s="73" t="n"/>
      <c r="O35" t="n">
        <v>20</v>
      </c>
      <c r="P35" s="73" t="n"/>
    </row>
    <row r="36">
      <c r="A36" t="n">
        <v>21</v>
      </c>
      <c r="B36" s="73" t="n"/>
      <c r="H36" t="n">
        <v>21</v>
      </c>
      <c r="I36" s="73" t="n"/>
      <c r="O36" t="n">
        <v>21</v>
      </c>
      <c r="P36" s="73" t="n"/>
    </row>
    <row r="37">
      <c r="A37" t="n">
        <v>22</v>
      </c>
      <c r="B37" s="73" t="n"/>
      <c r="H37" t="n">
        <v>22</v>
      </c>
      <c r="I37" s="73" t="n"/>
      <c r="O37" t="n">
        <v>22</v>
      </c>
      <c r="P37" s="73" t="n"/>
    </row>
    <row r="38">
      <c r="A38" t="n">
        <v>23</v>
      </c>
      <c r="B38" s="73" t="n"/>
      <c r="H38" t="n">
        <v>23</v>
      </c>
      <c r="I38" s="73" t="n"/>
      <c r="O38" t="n">
        <v>23</v>
      </c>
      <c r="P38" s="73" t="n"/>
    </row>
    <row r="39">
      <c r="A39" t="n">
        <v>24</v>
      </c>
      <c r="B39" s="73" t="n"/>
      <c r="H39" t="n">
        <v>24</v>
      </c>
      <c r="I39" s="73" t="n"/>
      <c r="O39" t="n">
        <v>24</v>
      </c>
      <c r="P39" s="73" t="n"/>
    </row>
    <row r="40">
      <c r="A40" t="n">
        <v>25</v>
      </c>
      <c r="B40" s="73" t="n"/>
      <c r="H40" t="n">
        <v>25</v>
      </c>
      <c r="I40" s="73" t="n"/>
      <c r="O40" t="n">
        <v>25</v>
      </c>
      <c r="P40" s="73" t="n"/>
    </row>
    <row r="41">
      <c r="A41" t="n">
        <v>26</v>
      </c>
      <c r="B41" s="73" t="n"/>
      <c r="H41" t="n">
        <v>26</v>
      </c>
      <c r="I41" s="73" t="n"/>
      <c r="O41" t="n">
        <v>26</v>
      </c>
      <c r="P41" s="73" t="n"/>
    </row>
    <row r="42">
      <c r="A42" t="n">
        <v>27</v>
      </c>
      <c r="B42" s="73" t="n"/>
      <c r="H42" t="n">
        <v>27</v>
      </c>
      <c r="I42" s="73" t="n"/>
      <c r="O42" t="n">
        <v>27</v>
      </c>
      <c r="P42" s="73" t="n"/>
    </row>
    <row r="43">
      <c r="A43" t="n">
        <v>28</v>
      </c>
      <c r="B43" s="73" t="n"/>
      <c r="H43" t="n">
        <v>28</v>
      </c>
      <c r="I43" s="73" t="n"/>
      <c r="O43" t="n">
        <v>28</v>
      </c>
      <c r="P43" s="73" t="n"/>
    </row>
    <row r="44">
      <c r="A44" t="n">
        <v>29</v>
      </c>
      <c r="B44" s="73" t="n"/>
      <c r="H44" t="n">
        <v>29</v>
      </c>
      <c r="I44" s="73" t="n"/>
      <c r="O44" t="n">
        <v>29</v>
      </c>
      <c r="P44" s="73" t="n"/>
    </row>
    <row r="45">
      <c r="A45" t="n">
        <v>30</v>
      </c>
      <c r="B45" s="73" t="n"/>
      <c r="H45" t="n">
        <v>30</v>
      </c>
      <c r="I45" s="73" t="n"/>
      <c r="O45" t="n">
        <v>30</v>
      </c>
      <c r="P45" s="73" t="n"/>
    </row>
    <row r="46">
      <c r="A46" t="n">
        <v>31</v>
      </c>
      <c r="B46" s="73" t="n"/>
      <c r="H46" t="n">
        <v>31</v>
      </c>
      <c r="I46" s="73" t="n"/>
      <c r="O46" t="n">
        <v>31</v>
      </c>
      <c r="P46" s="73" t="n"/>
    </row>
    <row r="47">
      <c r="A47" t="n">
        <v>32</v>
      </c>
      <c r="B47" s="73" t="n"/>
      <c r="H47" t="n">
        <v>32</v>
      </c>
      <c r="I47" s="73" t="n"/>
      <c r="O47" t="n">
        <v>32</v>
      </c>
      <c r="P47" s="73" t="n"/>
    </row>
    <row r="48">
      <c r="A48" t="n">
        <v>33</v>
      </c>
      <c r="B48" s="73" t="n"/>
      <c r="H48" t="n">
        <v>33</v>
      </c>
      <c r="I48" s="73" t="n"/>
      <c r="O48" t="n">
        <v>33</v>
      </c>
      <c r="P48" s="73" t="n"/>
    </row>
    <row r="49">
      <c r="A49" t="n">
        <v>34</v>
      </c>
      <c r="B49" s="73" t="n"/>
      <c r="H49" t="n">
        <v>34</v>
      </c>
      <c r="I49" s="73" t="n"/>
      <c r="O49" t="n">
        <v>34</v>
      </c>
      <c r="P49" s="73" t="n"/>
    </row>
    <row r="50">
      <c r="A50" t="n">
        <v>35</v>
      </c>
      <c r="B50" s="73" t="n"/>
      <c r="H50" t="n">
        <v>35</v>
      </c>
      <c r="I50" s="73" t="n"/>
      <c r="O50" t="n">
        <v>35</v>
      </c>
      <c r="P50" s="73" t="n"/>
    </row>
    <row r="51">
      <c r="A51" t="n">
        <v>36</v>
      </c>
      <c r="B51" s="73" t="n"/>
      <c r="H51" t="n">
        <v>36</v>
      </c>
      <c r="I51" s="73" t="n"/>
      <c r="O51" t="n">
        <v>36</v>
      </c>
      <c r="P51" s="73" t="n"/>
    </row>
    <row r="52">
      <c r="A52" t="n">
        <v>37</v>
      </c>
      <c r="B52" s="73" t="n"/>
      <c r="H52" t="n">
        <v>37</v>
      </c>
      <c r="I52" s="73" t="n"/>
      <c r="O52" t="n">
        <v>37</v>
      </c>
      <c r="P52" s="73" t="n"/>
    </row>
    <row r="53">
      <c r="A53" t="n">
        <v>38</v>
      </c>
      <c r="B53" s="73" t="n"/>
      <c r="H53" t="n">
        <v>38</v>
      </c>
      <c r="I53" s="73" t="n"/>
      <c r="O53" t="n">
        <v>38</v>
      </c>
      <c r="P53" s="73" t="n"/>
    </row>
    <row r="54">
      <c r="A54" t="n">
        <v>39</v>
      </c>
      <c r="B54" s="73" t="n"/>
      <c r="H54" t="n">
        <v>39</v>
      </c>
      <c r="I54" s="73" t="n"/>
      <c r="O54" t="n">
        <v>39</v>
      </c>
      <c r="P54" s="73" t="n"/>
    </row>
    <row r="55">
      <c r="A55" t="n">
        <v>40</v>
      </c>
      <c r="B55" s="73" t="n"/>
      <c r="H55" t="n">
        <v>40</v>
      </c>
      <c r="I55" s="73" t="n"/>
      <c r="O55" t="n">
        <v>40</v>
      </c>
      <c r="P55" s="73" t="n"/>
    </row>
    <row r="56">
      <c r="A56" t="n">
        <v>41</v>
      </c>
      <c r="B56" s="73" t="n"/>
      <c r="H56" t="n">
        <v>41</v>
      </c>
      <c r="I56" s="73" t="n"/>
      <c r="O56" t="n">
        <v>41</v>
      </c>
      <c r="P56" s="73" t="n"/>
    </row>
    <row r="57">
      <c r="A57" t="n">
        <v>42</v>
      </c>
      <c r="B57" s="73" t="n"/>
      <c r="H57" t="n">
        <v>42</v>
      </c>
      <c r="I57" s="73" t="n"/>
      <c r="O57" t="n">
        <v>42</v>
      </c>
      <c r="P57" s="73" t="n"/>
    </row>
    <row r="58">
      <c r="A58" t="n">
        <v>43</v>
      </c>
      <c r="B58" s="73" t="n"/>
      <c r="H58" t="n">
        <v>43</v>
      </c>
      <c r="I58" s="73" t="n"/>
      <c r="O58" t="n">
        <v>43</v>
      </c>
      <c r="P58" s="73" t="n"/>
    </row>
    <row r="59">
      <c r="A59" t="n">
        <v>44</v>
      </c>
      <c r="B59" s="73" t="n"/>
      <c r="H59" t="n">
        <v>44</v>
      </c>
      <c r="I59" s="73" t="n"/>
      <c r="O59" t="n">
        <v>44</v>
      </c>
      <c r="P59" s="73" t="n"/>
    </row>
    <row r="60">
      <c r="A60" t="n">
        <v>45</v>
      </c>
      <c r="B60" s="73" t="n"/>
      <c r="H60" t="n">
        <v>45</v>
      </c>
      <c r="I60" s="73" t="n"/>
      <c r="O60" t="n">
        <v>45</v>
      </c>
      <c r="P60" s="73" t="n"/>
    </row>
    <row r="61">
      <c r="A61" t="n">
        <v>46</v>
      </c>
      <c r="B61" s="73" t="n"/>
      <c r="H61" t="n">
        <v>46</v>
      </c>
      <c r="I61" s="73" t="n"/>
      <c r="O61" t="n">
        <v>46</v>
      </c>
      <c r="P61" s="73" t="n"/>
    </row>
    <row r="62">
      <c r="A62" t="n">
        <v>47</v>
      </c>
      <c r="B62" s="73" t="n"/>
      <c r="H62" t="n">
        <v>47</v>
      </c>
      <c r="I62" s="73" t="n"/>
      <c r="O62" t="n">
        <v>47</v>
      </c>
      <c r="P62" s="73" t="n"/>
    </row>
    <row r="63">
      <c r="A63" t="n">
        <v>48</v>
      </c>
      <c r="B63" s="73" t="n"/>
      <c r="H63" t="n">
        <v>48</v>
      </c>
      <c r="I63" s="73" t="n"/>
      <c r="O63" t="n">
        <v>48</v>
      </c>
      <c r="P63" s="73" t="n"/>
    </row>
    <row r="64">
      <c r="A64" t="n">
        <v>49</v>
      </c>
      <c r="B64" s="73" t="n"/>
      <c r="H64" t="n">
        <v>49</v>
      </c>
      <c r="I64" s="73" t="n"/>
      <c r="O64" t="n">
        <v>49</v>
      </c>
      <c r="P64" s="73" t="n"/>
    </row>
    <row r="65">
      <c r="A65" t="n">
        <v>50</v>
      </c>
      <c r="B65" s="73" t="n"/>
      <c r="H65" t="n">
        <v>50</v>
      </c>
      <c r="I65" s="73" t="n"/>
      <c r="O65" t="n">
        <v>50</v>
      </c>
      <c r="P65" s="73" t="n"/>
    </row>
    <row r="66">
      <c r="B66" s="73" t="n"/>
    </row>
    <row r="67">
      <c r="B67" s="73" t="n"/>
    </row>
    <row r="68">
      <c r="B68" s="73" t="n"/>
    </row>
    <row r="69">
      <c r="B69" s="73" t="n"/>
    </row>
    <row r="70">
      <c r="B70" s="73" t="n"/>
    </row>
    <row r="71">
      <c r="B71" s="73" t="n"/>
    </row>
    <row r="72">
      <c r="B72" s="73" t="n"/>
    </row>
    <row r="73">
      <c r="B73" s="73" t="n"/>
    </row>
    <row r="74">
      <c r="B74" s="73" t="n"/>
    </row>
    <row r="75">
      <c r="B75" s="73" t="n"/>
    </row>
    <row r="76">
      <c r="B76" s="73" t="n"/>
    </row>
    <row r="77">
      <c r="B77" s="73" t="n"/>
    </row>
    <row r="78">
      <c r="B78" s="73" t="n"/>
    </row>
    <row r="79">
      <c r="B79" s="73" t="n"/>
    </row>
    <row r="80">
      <c r="B80" s="73" t="n"/>
    </row>
    <row r="81">
      <c r="B81" s="73" t="n"/>
    </row>
    <row r="82">
      <c r="B82" s="73" t="n"/>
    </row>
    <row r="83">
      <c r="B83" s="73" t="n"/>
    </row>
    <row r="84">
      <c r="B84" s="73" t="n"/>
    </row>
    <row r="85">
      <c r="B85" s="73" t="n"/>
    </row>
    <row r="86">
      <c r="B86" s="73" t="n"/>
    </row>
    <row r="87">
      <c r="B87" s="73" t="n"/>
    </row>
    <row r="88">
      <c r="B88" s="73" t="n"/>
    </row>
    <row r="89">
      <c r="B89" s="73" t="n"/>
    </row>
    <row r="90">
      <c r="B90" s="73" t="n"/>
    </row>
    <row r="91">
      <c r="B91" s="73" t="n"/>
    </row>
    <row r="92">
      <c r="B92" s="73" t="n"/>
    </row>
    <row r="93">
      <c r="B93" s="73" t="n"/>
    </row>
    <row r="94">
      <c r="B94" s="73" t="n"/>
    </row>
    <row r="95">
      <c r="B95" s="73" t="n"/>
    </row>
    <row r="96">
      <c r="B96" s="73" t="n"/>
    </row>
    <row r="97">
      <c r="B97" s="73" t="n"/>
    </row>
    <row r="98">
      <c r="B98" s="73" t="n"/>
    </row>
    <row r="99">
      <c r="B99" s="73" t="n"/>
    </row>
    <row r="100">
      <c r="B100" s="73" t="n"/>
    </row>
    <row r="101">
      <c r="B101" s="73" t="n"/>
    </row>
    <row r="102">
      <c r="B102" s="73" t="n"/>
    </row>
    <row r="103">
      <c r="B103" s="73" t="n"/>
    </row>
    <row r="104">
      <c r="B104" s="73" t="n"/>
    </row>
    <row r="105">
      <c r="B105" s="73" t="n"/>
    </row>
    <row r="106">
      <c r="B106" s="73" t="n"/>
    </row>
    <row r="107">
      <c r="B107" s="73" t="n"/>
    </row>
    <row r="108">
      <c r="B108" s="73" t="n"/>
    </row>
    <row r="109">
      <c r="B109" s="73" t="n"/>
    </row>
    <row r="110">
      <c r="B110" s="73" t="n"/>
    </row>
    <row r="111">
      <c r="B111" s="73" t="n"/>
    </row>
    <row r="112">
      <c r="B112" s="73" t="n"/>
    </row>
    <row r="113">
      <c r="B113" s="73" t="n"/>
    </row>
    <row r="114">
      <c r="B114" s="73" t="n"/>
    </row>
    <row r="115">
      <c r="B115" s="73" t="n"/>
    </row>
    <row r="116">
      <c r="B116" s="73" t="n"/>
    </row>
    <row r="117">
      <c r="B117" s="73" t="n"/>
    </row>
    <row r="118">
      <c r="B118" s="73" t="n"/>
    </row>
    <row r="119">
      <c r="B119" s="73" t="n"/>
    </row>
    <row r="120">
      <c r="B120" s="73" t="n"/>
    </row>
    <row r="121">
      <c r="B121" s="73" t="n"/>
    </row>
    <row r="122">
      <c r="B122" s="73" t="n"/>
    </row>
    <row r="123">
      <c r="B123" s="73" t="n"/>
    </row>
    <row r="124">
      <c r="B124" s="73" t="n"/>
    </row>
    <row r="125">
      <c r="B125" s="73" t="n"/>
    </row>
    <row r="126">
      <c r="B126" s="73" t="n"/>
    </row>
    <row r="127">
      <c r="B127" s="73" t="n"/>
    </row>
    <row r="128">
      <c r="B128" s="73" t="n"/>
    </row>
    <row r="129">
      <c r="B129" s="73" t="n"/>
    </row>
    <row r="130">
      <c r="B130" s="73" t="n"/>
    </row>
    <row r="131">
      <c r="B131" s="73" t="n"/>
    </row>
    <row r="132">
      <c r="B132" s="73" t="n"/>
    </row>
    <row r="133">
      <c r="B133" s="73" t="n"/>
    </row>
    <row r="134">
      <c r="B134" s="73" t="n"/>
    </row>
    <row r="135">
      <c r="B135" s="73" t="n"/>
    </row>
    <row r="136">
      <c r="B136" s="73" t="n"/>
    </row>
    <row r="137">
      <c r="B137" s="73" t="n"/>
    </row>
    <row r="138">
      <c r="B138" s="73" t="n"/>
    </row>
  </sheetData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99"/>
  <sheetViews>
    <sheetView zoomScaleNormal="100" workbookViewId="0">
      <selection activeCell="C11" sqref="C11"/>
    </sheetView>
  </sheetViews>
  <sheetFormatPr baseColWidth="8" defaultColWidth="11.19921875" defaultRowHeight="15.6"/>
  <cols>
    <col width="19.796875" customWidth="1" min="1" max="1"/>
    <col width="13.796875" customWidth="1" min="2" max="2"/>
    <col width="13.296875" customWidth="1" min="3" max="3"/>
    <col width="14.296875" customWidth="1" min="4" max="4"/>
    <col width="16.796875" customWidth="1" min="5" max="5"/>
    <col width="18.19921875" customWidth="1" min="6" max="6"/>
    <col width="18" customWidth="1" min="7" max="7"/>
    <col width="19.5" customWidth="1" min="8" max="9"/>
    <col width="14.19921875" customWidth="1" min="10" max="10"/>
    <col width="14" customWidth="1" min="11" max="11"/>
    <col width="12.19921875" customWidth="1" min="12" max="13"/>
    <col width="13.69921875" customWidth="1" min="14" max="14"/>
    <col width="11.796875" customWidth="1" min="15" max="15"/>
    <col width="11.296875" customWidth="1" min="16" max="16"/>
    <col width="13.69921875" customWidth="1" min="17" max="17"/>
    <col width="14.296875" customWidth="1" min="18" max="18"/>
    <col width="14.796875" customWidth="1" min="19" max="19"/>
    <col width="15.796875" customWidth="1" min="23" max="23"/>
    <col width="16.5" customWidth="1" min="24" max="24"/>
  </cols>
  <sheetData>
    <row r="1">
      <c r="A1" s="51" t="inlineStr">
        <is>
          <t>Project</t>
        </is>
      </c>
      <c r="B1" s="585">
        <f>Epoxy!B1</f>
        <v/>
      </c>
      <c r="G1" s="514" t="inlineStr">
        <is>
          <t>Bidding Contacts:</t>
        </is>
      </c>
    </row>
    <row r="2">
      <c r="A2" s="51" t="inlineStr">
        <is>
          <t>Bid Date</t>
        </is>
      </c>
      <c r="B2" s="587">
        <f>Epoxy!B2</f>
        <v/>
      </c>
      <c r="C2" s="250" t="n"/>
      <c r="D2" s="250" t="n"/>
      <c r="G2" s="483" t="n"/>
    </row>
    <row r="3">
      <c r="A3" s="51" t="inlineStr">
        <is>
          <t>Address</t>
        </is>
      </c>
      <c r="B3" s="585">
        <f>Epoxy!B3</f>
        <v/>
      </c>
      <c r="G3" s="483" t="n"/>
    </row>
    <row r="4" ht="16.2" customHeight="1" thickBot="1">
      <c r="A4" s="1638" t="inlineStr">
        <is>
          <t>Local?</t>
        </is>
      </c>
      <c r="B4" t="inlineStr">
        <is>
          <t>Yes</t>
        </is>
      </c>
      <c r="C4" s="220" t="inlineStr">
        <is>
          <t>&lt; 70 miles?</t>
        </is>
      </c>
      <c r="D4" s="4" t="n"/>
      <c r="E4" s="204" t="n"/>
      <c r="F4" s="72" t="n"/>
      <c r="G4" s="483" t="n"/>
      <c r="H4" s="53" t="n"/>
      <c r="I4" s="1916" t="n"/>
      <c r="J4" s="1916" t="n"/>
      <c r="K4" s="1916" t="n"/>
      <c r="L4" s="1916" t="n"/>
      <c r="M4" s="1916" t="n"/>
      <c r="P4" s="1891" t="inlineStr">
        <is>
          <t>Calculator for Polish Days - DO NOT DELETE</t>
        </is>
      </c>
    </row>
    <row r="5">
      <c r="A5" s="2" t="inlineStr">
        <is>
          <t>Hard Bid?</t>
        </is>
      </c>
      <c r="B5" t="inlineStr">
        <is>
          <t>No</t>
        </is>
      </c>
      <c r="C5" s="1010" t="inlineStr">
        <is>
          <t>PrevailingWage?</t>
        </is>
      </c>
      <c r="D5" s="591">
        <f>Epoxy!D5</f>
        <v/>
      </c>
      <c r="E5" s="1727">
        <f>Epoxy!E5</f>
        <v/>
      </c>
      <c r="F5" s="72" t="n"/>
      <c r="G5" s="483" t="n"/>
      <c r="H5" s="53" t="n"/>
      <c r="I5" s="1916" t="n"/>
      <c r="J5" s="1916" t="n"/>
      <c r="K5" s="1916" t="n"/>
      <c r="L5" s="1916" t="n"/>
      <c r="M5" s="1916" t="n"/>
      <c r="P5" s="2298">
        <f>IF((B35/2500)&lt;1,1,(B35/2500))</f>
        <v/>
      </c>
      <c r="Q5" s="139" t="inlineStr">
        <is>
          <t># 2500 sf multiplier</t>
        </is>
      </c>
      <c r="R5" s="140" t="n"/>
      <c r="S5" s="140" t="n"/>
      <c r="T5" s="140" t="n"/>
      <c r="U5" s="140" t="n"/>
      <c r="V5" s="140" t="n"/>
      <c r="W5" s="141" t="n"/>
    </row>
    <row r="6">
      <c r="A6" s="2" t="inlineStr">
        <is>
          <t>Taxable?</t>
        </is>
      </c>
      <c r="B6">
        <f>Polish!B6</f>
        <v/>
      </c>
      <c r="C6" s="1539" t="inlineStr">
        <is>
          <t>Remodel Tax?</t>
        </is>
      </c>
      <c r="D6" s="4">
        <f>Epoxy!D6</f>
        <v/>
      </c>
      <c r="E6" s="1727">
        <f>Epoxy!E6</f>
        <v/>
      </c>
      <c r="F6" s="72" t="n"/>
      <c r="G6" s="483" t="n"/>
      <c r="H6" s="593" t="n"/>
      <c r="I6" s="1916" t="n"/>
      <c r="J6" s="1916" t="n"/>
      <c r="K6" s="1916" t="n"/>
      <c r="L6" s="1916" t="n"/>
      <c r="M6" s="1916" t="n"/>
      <c r="P6" s="142" t="n"/>
      <c r="Q6" s="53" t="inlineStr">
        <is>
          <t>Aggregate?</t>
        </is>
      </c>
      <c r="R6" s="53" t="inlineStr">
        <is>
          <t>Polish System</t>
        </is>
      </c>
      <c r="S6" s="53" t="inlineStr">
        <is>
          <t>Dye</t>
        </is>
      </c>
      <c r="T6" s="53" t="inlineStr">
        <is>
          <t>Grout</t>
        </is>
      </c>
      <c r="U6" s="1" t="inlineStr">
        <is>
          <t>Demo Glue</t>
        </is>
      </c>
      <c r="V6" s="1893" t="inlineStr">
        <is>
          <t>Tooling</t>
        </is>
      </c>
      <c r="W6" s="145" t="n"/>
    </row>
    <row r="7">
      <c r="A7" s="2" t="inlineStr">
        <is>
          <t>Approx Start Date</t>
        </is>
      </c>
      <c r="B7" s="250" t="n"/>
      <c r="D7" s="4" t="n"/>
      <c r="E7" s="204" t="n"/>
      <c r="F7" s="72" t="n"/>
      <c r="G7" s="483" t="n"/>
      <c r="H7" s="593" t="n"/>
      <c r="I7" s="1916" t="n"/>
      <c r="J7" s="1916" t="n"/>
      <c r="K7" s="1916" t="n"/>
      <c r="L7" s="1916" t="n"/>
      <c r="M7" s="1916" t="n"/>
      <c r="P7" s="142" t="n"/>
      <c r="Q7" s="53" t="n"/>
      <c r="R7" s="53" t="n"/>
      <c r="S7" s="53" t="n"/>
      <c r="T7" s="53" t="n"/>
      <c r="U7" s="1" t="n"/>
      <c r="V7" s="1892" t="n"/>
      <c r="W7" s="1893" t="n"/>
    </row>
    <row r="8">
      <c r="A8" s="249" t="inlineStr">
        <is>
          <t>Architect</t>
        </is>
      </c>
      <c r="B8" s="585">
        <f>Epoxy!B8</f>
        <v/>
      </c>
      <c r="D8" s="4" t="n"/>
      <c r="E8" s="1470" t="n"/>
      <c r="F8" s="72" t="n"/>
      <c r="G8" s="483" t="n"/>
      <c r="H8" s="593" t="n"/>
      <c r="I8" s="1916" t="n"/>
      <c r="J8" s="1916" t="n"/>
      <c r="K8" s="1916" t="n"/>
      <c r="L8" s="1916" t="n"/>
      <c r="M8" s="1916" t="n"/>
      <c r="P8" s="142" t="n"/>
      <c r="Q8" s="53" t="n"/>
      <c r="R8" s="53" t="n"/>
      <c r="S8" s="53" t="n"/>
      <c r="T8" s="53" t="n"/>
      <c r="U8" s="1" t="n"/>
      <c r="V8" s="1892" t="n"/>
      <c r="W8" s="1893" t="n"/>
    </row>
    <row r="9">
      <c r="A9" s="249" t="inlineStr">
        <is>
          <t>Drawings Dated</t>
        </is>
      </c>
      <c r="B9" s="587">
        <f>Epoxy!B9</f>
        <v/>
      </c>
      <c r="D9" s="4" t="n"/>
      <c r="E9" s="204" t="n"/>
      <c r="F9" s="72" t="n"/>
      <c r="G9" s="2145" t="n"/>
      <c r="H9" s="593" t="n"/>
      <c r="I9" s="2149" t="n"/>
      <c r="J9" s="2149" t="n"/>
      <c r="K9" s="2149" t="n"/>
      <c r="L9" s="2149" t="n"/>
      <c r="M9" s="1916" t="n"/>
      <c r="P9" s="142" t="n"/>
      <c r="Q9" s="53" t="n"/>
      <c r="R9" s="53" t="n"/>
      <c r="S9" s="53" t="n"/>
      <c r="T9" s="53" t="n"/>
      <c r="U9" s="1" t="n"/>
      <c r="V9" s="1892" t="n"/>
      <c r="W9" s="1893" t="n"/>
    </row>
    <row r="10">
      <c r="A10" s="51" t="inlineStr">
        <is>
          <t>New / Reno:</t>
        </is>
      </c>
      <c r="D10" s="4" t="n"/>
      <c r="E10" s="204" t="n"/>
      <c r="F10" s="72" t="n"/>
      <c r="G10" s="2299" t="n"/>
      <c r="H10" s="593" t="n"/>
      <c r="I10" s="2149" t="n"/>
      <c r="J10" s="2149" t="n"/>
      <c r="K10" s="2149" t="n"/>
      <c r="L10" s="2149" t="n"/>
      <c r="M10" s="1916" t="n"/>
      <c r="P10" s="142" t="n"/>
      <c r="Q10" s="143">
        <f>IF(F36="cream",Q14,IF(F36="S&amp;P",Q15,IF(F36="full",Q16,0)))</f>
        <v/>
      </c>
      <c r="R10" s="143">
        <f>IF(G36="traditional",IF(F36="S&amp;P",R19,IF(F36="full",R20)),IF(G36="hybrid",IF(F36="cream",R14,0)))</f>
        <v/>
      </c>
      <c r="S10" s="143">
        <f>IF(H36="yes dye",S14,0)</f>
        <v/>
      </c>
      <c r="T10" s="143">
        <f>IF(I36="yes grout",T14,0)</f>
        <v/>
      </c>
      <c r="U10" s="143">
        <f>IF(J36="yes demo glue",U14,0)</f>
        <v/>
      </c>
      <c r="V10" s="143">
        <f>IF(F36="cream",V13,IF(F36="S&amp;P",V14,IF(F36="full",V15,0.25)))</f>
        <v/>
      </c>
      <c r="W10" s="144">
        <f>IF(G36="traditional",V16,0)</f>
        <v/>
      </c>
    </row>
    <row r="11">
      <c r="A11" s="3" t="n"/>
      <c r="B11" s="3" t="n"/>
      <c r="C11" s="4" t="n"/>
      <c r="D11" s="4" t="n"/>
      <c r="E11" s="204" t="n"/>
      <c r="F11" s="53" t="n"/>
      <c r="G11" s="2299" t="n"/>
      <c r="H11" s="593" t="n"/>
      <c r="I11" s="2149" t="n"/>
      <c r="J11" s="2149" t="n"/>
      <c r="K11" s="2149" t="n"/>
      <c r="L11" s="2149" t="n"/>
      <c r="M11" s="1916" t="n"/>
      <c r="P11" s="142" t="n"/>
      <c r="Q11" s="143" t="n"/>
      <c r="R11" s="143" t="n"/>
      <c r="S11" s="143" t="n"/>
      <c r="T11" s="143" t="n"/>
      <c r="U11" s="143" t="n"/>
      <c r="V11" s="143" t="n"/>
      <c r="W11" s="144" t="n"/>
    </row>
    <row r="12">
      <c r="A12" s="479" t="inlineStr">
        <is>
          <t>Floor System-    Sealer:</t>
        </is>
      </c>
      <c r="B12" s="1" t="n"/>
      <c r="C12" s="4" t="n"/>
      <c r="D12" s="4" t="n"/>
      <c r="E12" s="204" t="n"/>
      <c r="F12" s="53" t="n"/>
      <c r="G12" s="2300">
        <f>'Seal (+Jnts)'!D84</f>
        <v/>
      </c>
      <c r="H12" s="1676" t="inlineStr">
        <is>
          <t>Add Joint Filler</t>
        </is>
      </c>
      <c r="I12" s="2301">
        <f>G12/E18</f>
        <v/>
      </c>
      <c r="J12" s="1281" t="inlineStr">
        <is>
          <t>(see other tab) --------&gt;</t>
        </is>
      </c>
      <c r="K12" s="2149" t="n"/>
      <c r="L12" s="2149" t="n"/>
      <c r="M12" s="1916" t="n"/>
      <c r="P12" s="142" t="n"/>
      <c r="Q12" s="143" t="n"/>
      <c r="R12" s="143" t="n"/>
      <c r="S12" s="143" t="n"/>
      <c r="T12" s="143" t="n"/>
      <c r="U12" s="143" t="n"/>
      <c r="V12" s="143" t="n"/>
      <c r="W12" s="144" t="n"/>
    </row>
    <row r="13">
      <c r="A13" s="479" t="n"/>
      <c r="B13" s="1" t="n"/>
      <c r="C13" s="4" t="n"/>
      <c r="D13" s="4" t="n"/>
      <c r="E13" s="204" t="n"/>
      <c r="F13" s="53" t="n"/>
      <c r="G13" s="2299" t="n"/>
      <c r="H13" s="593" t="n"/>
      <c r="I13" s="2149" t="n"/>
      <c r="J13" s="2149" t="n"/>
      <c r="K13" s="2149" t="n"/>
      <c r="L13" s="2149" t="n"/>
      <c r="M13" s="1916" t="n"/>
      <c r="P13" s="142" t="n"/>
      <c r="Q13" s="51" t="n"/>
      <c r="R13" s="51" t="inlineStr">
        <is>
          <t>Hybrid</t>
        </is>
      </c>
      <c r="S13" s="51" t="n"/>
      <c r="T13" s="51" t="n"/>
      <c r="U13" s="51" t="n"/>
      <c r="V13" s="399">
        <f>IF($E$18&lt;=4000,validation!$E$32,IF($E$18&lt;7000,validation!$E$33,validation!$E$34))</f>
        <v/>
      </c>
      <c r="W13" s="145" t="inlineStr">
        <is>
          <t>Pads (Cream)</t>
        </is>
      </c>
      <c r="X13" s="438" t="inlineStr">
        <is>
          <t>data on "validation" tab</t>
        </is>
      </c>
    </row>
    <row r="14" ht="16.2" customHeight="1" thickBot="1">
      <c r="A14" s="479" t="n"/>
      <c r="B14" s="1" t="n"/>
      <c r="C14" s="4" t="n"/>
      <c r="D14" s="4" t="n"/>
      <c r="E14" s="204" t="n"/>
      <c r="F14" s="53" t="n"/>
      <c r="G14" s="2299" t="n"/>
      <c r="H14" s="593" t="n"/>
      <c r="I14" s="2145" t="n"/>
      <c r="J14" s="2149" t="n"/>
      <c r="K14" s="2302" t="n"/>
      <c r="L14" s="2302" t="n"/>
      <c r="M14" s="65" t="n"/>
      <c r="P14" s="142" t="inlineStr">
        <is>
          <t>Cream</t>
        </is>
      </c>
      <c r="Q14" t="n">
        <v>3.5</v>
      </c>
      <c r="R14" s="1" t="n">
        <v>0</v>
      </c>
      <c r="S14" s="1" t="n">
        <v>0.5</v>
      </c>
      <c r="T14" s="1" t="n">
        <v>0.75</v>
      </c>
      <c r="U14" s="1" t="n">
        <v>1</v>
      </c>
      <c r="V14" s="399">
        <f>IF($E$18&lt;=4000,validation!$I$32,IF($E$18&lt;7000,validation!$I$33,validation!$I$34))</f>
        <v/>
      </c>
      <c r="W14" s="145" t="inlineStr">
        <is>
          <t>S&amp;P</t>
        </is>
      </c>
      <c r="X14" s="438" t="inlineStr">
        <is>
          <t>data on "validation" tab</t>
        </is>
      </c>
    </row>
    <row r="15" ht="16.2" customHeight="1" thickBot="1">
      <c r="A15" s="182" t="inlineStr">
        <is>
          <t>Total Base Bid:</t>
        </is>
      </c>
      <c r="B15" s="2303">
        <f>D82</f>
        <v/>
      </c>
      <c r="C15" s="184" t="inlineStr">
        <is>
          <t>$ / SF:</t>
        </is>
      </c>
      <c r="D15" s="2304">
        <f>C82</f>
        <v/>
      </c>
      <c r="E15" s="204" t="n"/>
      <c r="F15" s="53" t="n"/>
      <c r="G15" s="53" t="n"/>
      <c r="H15" s="593" t="n"/>
      <c r="I15" s="2145" t="n"/>
      <c r="J15" s="2149" t="n"/>
      <c r="K15" s="2302" t="n"/>
      <c r="L15" s="2149" t="n"/>
      <c r="M15" s="2149" t="n"/>
      <c r="P15" s="142" t="inlineStr">
        <is>
          <t>S&amp;P</t>
        </is>
      </c>
      <c r="Q15" t="n">
        <v>4.5</v>
      </c>
      <c r="R15" t="n">
        <v>0</v>
      </c>
      <c r="V15" s="399">
        <f>IF($E$18&lt;=4000,validation!$M$32,IF($E$18&lt;7000,validation!$M$33,validation!$M$34))</f>
        <v/>
      </c>
      <c r="W15" s="145" t="inlineStr">
        <is>
          <t>Full Aggregate</t>
        </is>
      </c>
      <c r="X15" s="438" t="inlineStr">
        <is>
          <t>data on "validation" tab</t>
        </is>
      </c>
    </row>
    <row r="16" ht="16.95" customHeight="1">
      <c r="A16" s="5" t="inlineStr">
        <is>
          <t>MATERIAL - Patch</t>
        </is>
      </c>
      <c r="B16" s="30" t="inlineStr">
        <is>
          <t>Quantity</t>
        </is>
      </c>
      <c r="C16" s="30" t="inlineStr">
        <is>
          <t>Cost</t>
        </is>
      </c>
      <c r="D16" s="31" t="inlineStr">
        <is>
          <t>Total</t>
        </is>
      </c>
      <c r="E16" s="23" t="n"/>
      <c r="F16" s="89" t="n"/>
      <c r="H16" s="5" t="inlineStr">
        <is>
          <t>Standard  Add's</t>
        </is>
      </c>
      <c r="I16" s="1388" t="inlineStr">
        <is>
          <t>Cost / Unit</t>
        </is>
      </c>
      <c r="J16" s="1388" t="inlineStr">
        <is>
          <t>SF -or- LF</t>
        </is>
      </c>
      <c r="K16" s="2305" t="inlineStr">
        <is>
          <t xml:space="preserve">Total </t>
        </is>
      </c>
      <c r="L16" s="2281" t="n"/>
      <c r="P16" s="142" t="inlineStr">
        <is>
          <t>Full</t>
        </is>
      </c>
      <c r="Q16" t="n">
        <v>9</v>
      </c>
      <c r="R16" t="n">
        <v>0</v>
      </c>
      <c r="V16" t="n">
        <v>0.2</v>
      </c>
      <c r="W16" s="145" t="inlineStr">
        <is>
          <t>Traditoinal Tooling</t>
        </is>
      </c>
    </row>
    <row r="17">
      <c r="A17" s="44" t="n"/>
      <c r="B17" s="2306">
        <f>E18</f>
        <v/>
      </c>
      <c r="C17" s="2307">
        <f>IF(B10="New",0.05,0.15)</f>
        <v/>
      </c>
      <c r="D17" s="2308">
        <f>B17*C17</f>
        <v/>
      </c>
      <c r="E17" s="570" t="inlineStr">
        <is>
          <t>Patching or Not? Exclude Patching ?</t>
        </is>
      </c>
      <c r="F17" s="307" t="n"/>
      <c r="H17" s="6" t="inlineStr">
        <is>
          <t>Ram Board</t>
        </is>
      </c>
      <c r="I17" s="2282">
        <f>IF(J17&lt;=1000,validation!$R$4,IF(J17&lt;1500,validation!$R$6,IF(J17&lt;2000,validation!$R$8,IF(J17&lt;2500,validation!$R$10,IF(J17&lt;=3000,validation!$R$12,IF(J17&lt;3500,validation!$R$14,IF(J17&lt;4000,validation!$R$16,IF(J17&lt;5000,validation!$R$18,validation!$R$20))))))))</f>
        <v/>
      </c>
      <c r="J17" s="2309">
        <f>B35</f>
        <v/>
      </c>
      <c r="K17" s="2310">
        <f>ROUNDUP((I17*J17),0)</f>
        <v/>
      </c>
      <c r="L17" s="2311" t="inlineStr">
        <is>
          <t>LF</t>
        </is>
      </c>
      <c r="M17" s="73" t="inlineStr">
        <is>
          <t>$ / LF</t>
        </is>
      </c>
      <c r="P17" s="142" t="n"/>
      <c r="R17" s="51" t="inlineStr">
        <is>
          <t>Traditional</t>
        </is>
      </c>
      <c r="W17" s="145" t="n"/>
    </row>
    <row r="18">
      <c r="A18" s="44" t="n"/>
      <c r="B18" s="2306" t="n"/>
      <c r="C18" s="2312" t="n"/>
      <c r="D18" s="2308">
        <f>B18*C18</f>
        <v/>
      </c>
      <c r="E18" s="2313" t="n">
        <v>0</v>
      </c>
      <c r="F18" s="82" t="inlineStr">
        <is>
          <t>SF</t>
        </is>
      </c>
      <c r="H18" s="45" t="inlineStr">
        <is>
          <t>Joint Filler</t>
        </is>
      </c>
      <c r="I18" s="2314">
        <f>IF(J18&lt;=1000,validation!$U$4,IF(J18&lt;1500,validation!$U$6,IF(J18&lt;2000,validation!$U$8,IF(J18&lt;2500,validation!$U$10,IF(J18&lt;=3000,validation!$U$12,IF(J18&lt;3500,validation!$U$14,IF(J18&lt;4000,validation!$U$16,IF(J18&lt;5000,validation!$U$18,validation!$U$20))))))))</f>
        <v/>
      </c>
      <c r="J18" s="2315">
        <f>B35</f>
        <v/>
      </c>
      <c r="K18" s="2316">
        <f>ROUNDUP((I18*J18),0)</f>
        <v/>
      </c>
      <c r="L18" s="2317">
        <f>0.2*J18</f>
        <v/>
      </c>
      <c r="M18" s="2318">
        <f>K18/L18</f>
        <v/>
      </c>
      <c r="N18" s="220" t="n"/>
      <c r="P18" s="142" t="inlineStr">
        <is>
          <t>Cream</t>
        </is>
      </c>
      <c r="R18" t="n">
        <v>0</v>
      </c>
      <c r="W18" s="145" t="n"/>
    </row>
    <row r="19">
      <c r="A19" s="549" t="inlineStr">
        <is>
          <t>MATERIAL - Floor</t>
        </is>
      </c>
      <c r="B19" s="2319" t="n"/>
      <c r="C19" s="547" t="n"/>
      <c r="D19" s="546" t="n"/>
      <c r="E19" s="2320" t="n">
        <v>0</v>
      </c>
      <c r="F19" s="84" t="inlineStr">
        <is>
          <t>LF</t>
        </is>
      </c>
      <c r="H19" s="628" t="inlineStr">
        <is>
          <t>4" Rubber Cove    (/LF)</t>
        </is>
      </c>
      <c r="I19" s="2282">
        <f>IF(J19&lt;=100,validation!$R$24,IF(J19&lt;150,validation!$R$26,IF(J19&lt;200,validation!$R$28,IF(J19&lt;250,validation!$R$30,IF(J19&lt;=300,validation!$R$32,IF(J19&lt;350,validation!$R$34,IF(J19&lt;400,validation!$R$36,IF(J19&lt;500,validation!$R$38,validation!$R$40))))))))</f>
        <v/>
      </c>
      <c r="J19" s="2309">
        <f>E19</f>
        <v/>
      </c>
      <c r="K19" s="2310">
        <f>ROUNDUP((I19*J19),0)</f>
        <v/>
      </c>
      <c r="L19" s="2282" t="n"/>
      <c r="M19" s="220" t="inlineStr">
        <is>
          <t>*Double for removal of existing soft joints</t>
        </is>
      </c>
      <c r="P19" s="142" t="inlineStr">
        <is>
          <t>S&amp;P</t>
        </is>
      </c>
      <c r="R19" t="n">
        <v>2</v>
      </c>
      <c r="W19" s="145" t="n"/>
    </row>
    <row r="20" ht="16.2" customHeight="1" thickBot="1">
      <c r="A20" s="47" t="inlineStr">
        <is>
          <t>Sealer</t>
        </is>
      </c>
      <c r="B20" s="2306">
        <f>E18</f>
        <v/>
      </c>
      <c r="C20" s="2282" t="n">
        <v>0.15</v>
      </c>
      <c r="D20" s="2038">
        <f>B20*C20</f>
        <v/>
      </c>
      <c r="E20" s="1" t="n"/>
      <c r="F20" s="307" t="inlineStr">
        <is>
          <t>Clean + Seal = 1 Coat</t>
        </is>
      </c>
      <c r="H20" s="635" t="inlineStr">
        <is>
          <t>6" Rubber Cove    (/LF)</t>
        </is>
      </c>
      <c r="I20" s="2314">
        <f>IF(J19&lt;=100,validation!$U$24,IF(J19&lt;150,validation!$U$26,IF(J19&lt;200,validation!$U$28,IF(J19&lt;250,validation!$U$30,IF(J19&lt;=300,validation!$U$32,IF(J19&lt;350,validation!$U$34,IF(J19&lt;400,validation!$U$36,IF(J19&lt;500,validation!$U$38,validation!$U$40))))))))</f>
        <v/>
      </c>
      <c r="J20" s="2315">
        <f>E19</f>
        <v/>
      </c>
      <c r="K20" s="2316">
        <f>ROUNDUP((I20*J20),0)</f>
        <v/>
      </c>
      <c r="L20" s="2282" t="n"/>
      <c r="P20" s="146" t="inlineStr">
        <is>
          <t>Full</t>
        </is>
      </c>
      <c r="Q20" s="147" t="n"/>
      <c r="R20" s="147" t="n">
        <v>2</v>
      </c>
      <c r="S20" s="147" t="n"/>
      <c r="T20" s="147" t="n"/>
      <c r="U20" s="147" t="n"/>
      <c r="V20" s="147" t="n"/>
      <c r="W20" s="148" t="n"/>
    </row>
    <row r="21">
      <c r="A21" s="47" t="inlineStr">
        <is>
          <t>Sealer</t>
        </is>
      </c>
      <c r="B21" s="2306">
        <f>E18</f>
        <v/>
      </c>
      <c r="C21" s="2282" t="n">
        <v>0.15</v>
      </c>
      <c r="D21" s="2038">
        <f>B21*C21</f>
        <v/>
      </c>
      <c r="E21" s="1" t="n"/>
      <c r="F21" s="307" t="inlineStr">
        <is>
          <t>Grind + Seal = 2 Coats</t>
        </is>
      </c>
      <c r="H21" s="653" t="inlineStr">
        <is>
          <t>4" Line Striping    (/LF)</t>
        </is>
      </c>
      <c r="I21" s="2321">
        <f>IF(J21&lt;=100,validation!$R$44,IF(J21&lt;150,validation!$R$46,IF(J21&lt;200,validation!$R$48,IF(J21&lt;250,validation!$R$50,IF(J21&lt;=300,validation!$R$52,IF(J21&lt;350,validation!$R$54,IF(J21&lt;400,validation!$R$56,IF(J21&lt;500,validation!$R$58,validation!$R$60))))))))</f>
        <v/>
      </c>
      <c r="J21" s="2322" t="n">
        <v>0</v>
      </c>
      <c r="K21" s="2323">
        <f>ROUNDUP((I21*J21),0)</f>
        <v/>
      </c>
      <c r="L21" s="2282" t="n"/>
      <c r="M21" s="565" t="inlineStr">
        <is>
          <t>Polish:</t>
        </is>
      </c>
      <c r="N21" s="2324">
        <f>'Stnd Alts'!E292</f>
        <v/>
      </c>
      <c r="O21" s="564" t="inlineStr">
        <is>
          <t>Mock-Up*</t>
        </is>
      </c>
      <c r="P21" s="1" t="n"/>
    </row>
    <row r="22">
      <c r="A22" s="47" t="n"/>
      <c r="B22" s="2306" t="n"/>
      <c r="C22" s="2282" t="n"/>
      <c r="D22" s="2038">
        <f>B22*C22</f>
        <v/>
      </c>
      <c r="E22" s="1" t="n"/>
      <c r="F22" s="1" t="n"/>
      <c r="H22" s="635" t="inlineStr">
        <is>
          <t>6" Line Striping    (/LF)</t>
        </is>
      </c>
      <c r="I22" s="2314">
        <f>IF(J21&lt;=100,validation!$U$44,IF(J21&lt;150,validation!$U$46,IF(J21&lt;200,validation!$U$48,IF(J21&lt;250,validation!$U$50,IF(J21&lt;=300,validation!$U$52,IF(J21&lt;350,validation!$U$54,IF(J21&lt;400,validation!$U$56,IF(J21&lt;500,validation!$U$58,validation!$U$60))))))))</f>
        <v/>
      </c>
      <c r="J22" s="2315" t="n">
        <v>0</v>
      </c>
      <c r="K22" s="2316">
        <f>ROUNDUP((I22*J22),0)</f>
        <v/>
      </c>
      <c r="L22" s="1" t="n"/>
      <c r="M22" s="569" t="inlineStr">
        <is>
          <t>**In Town**</t>
        </is>
      </c>
      <c r="N22" s="2324">
        <f>'Stnd Alts'!E194</f>
        <v/>
      </c>
      <c r="O22" s="564" t="inlineStr">
        <is>
          <t>Mob Fee*</t>
        </is>
      </c>
      <c r="P22" s="220" t="inlineStr">
        <is>
          <t>*see "Stnd Alts" tab</t>
        </is>
      </c>
      <c r="Q22" s="2312" t="n"/>
    </row>
    <row r="23">
      <c r="A23" s="47" t="n"/>
      <c r="B23" s="2306" t="n"/>
      <c r="C23" s="2282" t="n"/>
      <c r="D23" s="2038">
        <f>B23*C23</f>
        <v/>
      </c>
      <c r="E23" s="1" t="n"/>
      <c r="F23" s="1" t="n"/>
      <c r="H23" s="1" t="n"/>
      <c r="L23" s="74" t="n"/>
      <c r="M23" s="1" t="n"/>
      <c r="N23" s="2282" t="n"/>
      <c r="O23" s="2309" t="n"/>
    </row>
    <row r="24">
      <c r="A24" s="549" t="inlineStr">
        <is>
          <t>MATERIAL - Dye</t>
        </is>
      </c>
      <c r="B24" s="2325" t="n"/>
      <c r="C24" s="2326" t="n"/>
      <c r="D24" s="2327" t="n"/>
      <c r="E24" s="96" t="inlineStr">
        <is>
          <t>Dye?  'Yes' or 'No'</t>
        </is>
      </c>
      <c r="F24" s="1" t="n"/>
      <c r="H24" s="1" t="n"/>
      <c r="L24" s="74" t="n"/>
      <c r="M24" s="1" t="n"/>
      <c r="N24" s="1" t="n"/>
      <c r="O24" s="1945" t="n"/>
    </row>
    <row r="25">
      <c r="A25" s="421" t="inlineStr">
        <is>
          <t>N/A</t>
        </is>
      </c>
      <c r="B25" s="2306" t="n"/>
      <c r="C25" s="2282" t="n"/>
      <c r="D25" s="2038">
        <f>B25*C25</f>
        <v/>
      </c>
      <c r="E25" s="155" t="inlineStr">
        <is>
          <t>No</t>
        </is>
      </c>
      <c r="F25" s="74" t="inlineStr">
        <is>
          <t>N/A</t>
        </is>
      </c>
      <c r="G25" s="1" t="n"/>
      <c r="H25" s="1" t="n"/>
      <c r="I25" s="220" t="n"/>
      <c r="O25" s="663" t="inlineStr">
        <is>
          <t>Takeoff Tab</t>
        </is>
      </c>
      <c r="P25" s="73" t="inlineStr">
        <is>
          <t>sf</t>
        </is>
      </c>
      <c r="Q25" s="73" t="inlineStr">
        <is>
          <t>lf</t>
        </is>
      </c>
      <c r="R25" s="440" t="inlineStr">
        <is>
          <t>extra cell</t>
        </is>
      </c>
      <c r="S25" s="440" t="inlineStr">
        <is>
          <t>extra cell</t>
        </is>
      </c>
      <c r="T25" s="440" t="inlineStr">
        <is>
          <t>extra cell</t>
        </is>
      </c>
    </row>
    <row r="26">
      <c r="A26" s="47" t="n"/>
      <c r="B26" s="2306" t="n"/>
      <c r="C26" s="2282" t="n"/>
      <c r="D26" s="2038">
        <f>B26*C26</f>
        <v/>
      </c>
      <c r="E26" s="1" t="n"/>
      <c r="F26" s="1" t="n"/>
      <c r="G26" s="1" t="n"/>
      <c r="H26" s="1" t="n"/>
      <c r="L26" s="74" t="n"/>
      <c r="M26" s="1" t="n"/>
      <c r="O26" s="444">
        <f>Takeoff!B14</f>
        <v/>
      </c>
      <c r="P26" s="2328">
        <f>Takeoff!C14</f>
        <v/>
      </c>
      <c r="Q26" s="2328">
        <f>Takeoff!D14</f>
        <v/>
      </c>
      <c r="R26" s="2328">
        <f>Takeoff!E14</f>
        <v/>
      </c>
      <c r="S26" s="2309">
        <f>Takeoff!F14</f>
        <v/>
      </c>
      <c r="T26" s="2309">
        <f>Takeoff!G14</f>
        <v/>
      </c>
    </row>
    <row r="27">
      <c r="A27" s="47" t="n"/>
      <c r="B27" s="2306" t="n"/>
      <c r="C27" s="2282" t="n"/>
      <c r="D27" s="2038">
        <f>B27*C27</f>
        <v/>
      </c>
      <c r="E27" s="1" t="n"/>
      <c r="F27" s="1" t="n"/>
      <c r="G27" s="1" t="n"/>
      <c r="H27" s="1" t="n"/>
      <c r="L27" s="74" t="n"/>
      <c r="M27" s="1" t="n"/>
      <c r="O27" s="444">
        <f>Takeoff!I14</f>
        <v/>
      </c>
      <c r="P27" s="2328">
        <f>Takeoff!J14</f>
        <v/>
      </c>
      <c r="Q27" s="2328">
        <f>Takeoff!K14</f>
        <v/>
      </c>
      <c r="R27" s="2328">
        <f>Takeoff!L14</f>
        <v/>
      </c>
      <c r="S27" s="2309">
        <f>Takeoff!M14</f>
        <v/>
      </c>
      <c r="T27" s="2309">
        <f>Takeoff!N14</f>
        <v/>
      </c>
    </row>
    <row r="28">
      <c r="A28" s="549" t="inlineStr">
        <is>
          <t>MATERIAL - Joint Filler</t>
        </is>
      </c>
      <c r="B28" s="2325" t="n"/>
      <c r="C28" s="2326" t="n"/>
      <c r="D28" s="2327" t="n"/>
      <c r="E28" s="96" t="inlineStr">
        <is>
          <t>Joint Filler? 'Yes' or 'No'</t>
        </is>
      </c>
      <c r="F28" s="244" t="inlineStr">
        <is>
          <t>Removal of Existing?</t>
        </is>
      </c>
      <c r="G28" s="1" t="n"/>
      <c r="H28" s="1" t="n"/>
      <c r="L28" s="74" t="n"/>
      <c r="M28" s="1" t="n"/>
      <c r="O28" s="444">
        <f>Takeoff!P14</f>
        <v/>
      </c>
      <c r="P28" s="2328">
        <f>Takeoff!Q14</f>
        <v/>
      </c>
      <c r="Q28" s="2328">
        <f>Takeoff!R14</f>
        <v/>
      </c>
      <c r="R28" s="2328">
        <f>Takeoff!S14</f>
        <v/>
      </c>
      <c r="S28" s="2309">
        <f>Takeoff!T14</f>
        <v/>
      </c>
      <c r="T28" s="2309">
        <f>Takeoff!U14</f>
        <v/>
      </c>
    </row>
    <row r="29">
      <c r="A29" s="647" t="inlineStr">
        <is>
          <t>Joint Filler   (10 gal kit)</t>
        </is>
      </c>
      <c r="B29" s="2329">
        <f>ROUNDUP(IF(E29="yes",(E18/3500),0),0)</f>
        <v/>
      </c>
      <c r="C29" s="1944" t="n">
        <v>500</v>
      </c>
      <c r="D29" s="2038">
        <f>B29*C29</f>
        <v/>
      </c>
      <c r="E29" s="1703" t="inlineStr">
        <is>
          <t>No</t>
        </is>
      </c>
      <c r="F29" s="155" t="inlineStr">
        <is>
          <t>No</t>
        </is>
      </c>
      <c r="G29" s="1" t="n"/>
      <c r="H29" s="1" t="n"/>
      <c r="L29" s="74" t="n"/>
      <c r="M29" s="1" t="n"/>
      <c r="O29" s="675">
        <f>Takeoff!I3</f>
        <v/>
      </c>
      <c r="P29" s="2328">
        <f>Takeoff!J3</f>
        <v/>
      </c>
      <c r="Q29" s="2330">
        <f>Takeoff!K3</f>
        <v/>
      </c>
      <c r="R29" s="2328">
        <f>Takeoff!L3</f>
        <v/>
      </c>
      <c r="S29" s="2309">
        <f>Takeoff!M3</f>
        <v/>
      </c>
      <c r="T29" s="2309">
        <f>Takeoff!N3</f>
        <v/>
      </c>
    </row>
    <row r="30">
      <c r="A30" s="48" t="n"/>
      <c r="B30" s="2331" t="n"/>
      <c r="C30" s="2332" t="n"/>
      <c r="D30" s="2333">
        <f>B30*C30</f>
        <v/>
      </c>
      <c r="E30" s="1" t="n"/>
      <c r="F30" s="1" t="n"/>
      <c r="G30" s="1" t="n"/>
      <c r="H30" s="1" t="n"/>
      <c r="L30" s="74" t="n"/>
      <c r="M30" s="1" t="n"/>
      <c r="P30" s="1" t="n"/>
      <c r="Q30" s="1" t="n"/>
    </row>
    <row r="31">
      <c r="A31" s="1786" t="inlineStr">
        <is>
          <t>Material Sub Total</t>
        </is>
      </c>
      <c r="B31" s="1787" t="n"/>
      <c r="C31" s="2334" t="n"/>
      <c r="D31" s="2335">
        <f>ROUNDUP(SUM(D17:D30),0)</f>
        <v/>
      </c>
      <c r="E31" s="1" t="n"/>
      <c r="F31" s="1" t="n"/>
      <c r="G31" s="1" t="n"/>
      <c r="H31" s="1" t="n"/>
      <c r="M31" s="1091" t="inlineStr">
        <is>
          <t>divided SF</t>
        </is>
      </c>
      <c r="N31" s="2336">
        <f>B35/O31</f>
        <v/>
      </c>
      <c r="O31" s="1983" t="n">
        <v>6</v>
      </c>
      <c r="P31" s="1094" t="inlineStr">
        <is>
          <t># divided by</t>
        </is>
      </c>
    </row>
    <row r="32">
      <c r="A32" s="39" t="inlineStr">
        <is>
          <t>Shipping</t>
        </is>
      </c>
      <c r="B32" s="40" t="n">
        <v>0.02</v>
      </c>
      <c r="C32" s="2337" t="n"/>
      <c r="D32" s="2338">
        <f>ROUNDUP(D31*B32,0)</f>
        <v/>
      </c>
      <c r="E32" s="1" t="n"/>
      <c r="G32" s="38" t="n"/>
      <c r="H32" s="230" t="inlineStr">
        <is>
          <t>Material Budget</t>
        </is>
      </c>
      <c r="I32" s="1" t="n"/>
      <c r="J32" s="76" t="n"/>
      <c r="M32" s="1091" t="inlineStr">
        <is>
          <t>divided SF</t>
        </is>
      </c>
      <c r="N32" s="2336">
        <f>B35/O32</f>
        <v/>
      </c>
      <c r="O32" s="1983" t="n">
        <v>5</v>
      </c>
      <c r="P32" s="1094" t="inlineStr">
        <is>
          <t># divided by</t>
        </is>
      </c>
    </row>
    <row r="33">
      <c r="A33" s="10" t="inlineStr">
        <is>
          <t>Material Total</t>
        </is>
      </c>
      <c r="B33" s="36" t="n"/>
      <c r="C33" s="2339" t="n"/>
      <c r="D33" s="2340">
        <f>SUM(D31:D32)</f>
        <v/>
      </c>
      <c r="E33" s="123">
        <f>D33/B35</f>
        <v/>
      </c>
      <c r="F33" s="124" t="inlineStr">
        <is>
          <t>Material $/SF</t>
        </is>
      </c>
      <c r="G33" s="2282" t="n"/>
      <c r="H33" s="2341">
        <f>D33</f>
        <v/>
      </c>
      <c r="I33" s="1" t="n"/>
      <c r="J33" s="76" t="n"/>
      <c r="M33" s="1091" t="inlineStr">
        <is>
          <t>divided SF</t>
        </is>
      </c>
      <c r="N33" s="2336">
        <f>B35/O33</f>
        <v/>
      </c>
      <c r="O33" s="1983" t="n">
        <v>4</v>
      </c>
      <c r="P33" s="1094" t="inlineStr">
        <is>
          <t># divided by</t>
        </is>
      </c>
    </row>
    <row r="34">
      <c r="A34" s="221" t="n"/>
      <c r="B34" s="1892" t="n"/>
      <c r="C34" s="2282" t="n"/>
      <c r="D34" s="2282" t="n"/>
      <c r="E34" s="1" t="n"/>
      <c r="G34" s="2342" t="n"/>
      <c r="H34" s="1" t="n"/>
      <c r="I34" s="1" t="n"/>
      <c r="J34" s="1" t="n"/>
      <c r="M34" s="1091" t="inlineStr">
        <is>
          <t>divided SF</t>
        </is>
      </c>
      <c r="N34" s="2336">
        <f>B35/O34</f>
        <v/>
      </c>
      <c r="O34" s="1983" t="n">
        <v>3</v>
      </c>
      <c r="P34" s="1094" t="inlineStr">
        <is>
          <t># divided by</t>
        </is>
      </c>
    </row>
    <row r="35">
      <c r="A35" s="75" t="inlineStr">
        <is>
          <t>Square Footage:</t>
        </is>
      </c>
      <c r="B35" s="2343">
        <f>E18</f>
        <v/>
      </c>
      <c r="C35" s="75" t="inlineStr">
        <is>
          <t>Linear Footage:</t>
        </is>
      </c>
      <c r="D35" s="2344">
        <f>E19</f>
        <v/>
      </c>
      <c r="E35" s="561" t="inlineStr">
        <is>
          <t>8 hour days</t>
        </is>
      </c>
      <c r="F35" s="135">
        <f>D35/B35</f>
        <v/>
      </c>
      <c r="G35" s="136" t="inlineStr">
        <is>
          <t>: Ratio of Cove-Floor</t>
        </is>
      </c>
      <c r="H35" s="137" t="inlineStr">
        <is>
          <t>10%-20% = Normal</t>
        </is>
      </c>
      <c r="I35" s="212" t="inlineStr">
        <is>
          <t>(Grout for Full Agg Only)</t>
        </is>
      </c>
      <c r="J35" s="76" t="n"/>
      <c r="K35" s="76" t="n"/>
      <c r="L35" s="76" t="n"/>
      <c r="M35" s="1091" t="inlineStr">
        <is>
          <t>divided SF</t>
        </is>
      </c>
      <c r="N35" s="2336">
        <f>B35/O35</f>
        <v/>
      </c>
      <c r="O35" s="1983" t="n">
        <v>2</v>
      </c>
      <c r="P35" s="1094" t="inlineStr">
        <is>
          <t># divided by</t>
        </is>
      </c>
    </row>
    <row r="36">
      <c r="A36" s="85" t="inlineStr">
        <is>
          <t>Labor:              Guys</t>
        </is>
      </c>
      <c r="B36" s="68" t="inlineStr">
        <is>
          <t>Days</t>
        </is>
      </c>
      <c r="C36" s="68" t="inlineStr">
        <is>
          <t>Rate (PW?)</t>
        </is>
      </c>
      <c r="D36" s="87" t="inlineStr">
        <is>
          <t>Totals</t>
        </is>
      </c>
      <c r="E36" s="1540">
        <f>(IF(D5="Yes","PW","TOTAL DAYS"))</f>
        <v/>
      </c>
      <c r="F36" s="149" t="inlineStr">
        <is>
          <t>Aggregate?</t>
        </is>
      </c>
      <c r="G36" s="149" t="inlineStr">
        <is>
          <t>Hybrid</t>
        </is>
      </c>
      <c r="H36" s="149" t="inlineStr">
        <is>
          <t>Dye?</t>
        </is>
      </c>
      <c r="I36" s="149" t="inlineStr">
        <is>
          <t>Grout?</t>
        </is>
      </c>
      <c r="J36" s="150" t="inlineStr">
        <is>
          <t>Demo Glue?</t>
        </is>
      </c>
      <c r="K36" s="518" t="inlineStr">
        <is>
          <t>Estimated SF/MH</t>
        </is>
      </c>
      <c r="L36" s="1698" t="inlineStr">
        <is>
          <t>SF/MH Benchmark</t>
        </is>
      </c>
      <c r="M36" s="76" t="n"/>
    </row>
    <row r="37">
      <c r="A37" s="1090" t="n">
        <v>3</v>
      </c>
      <c r="B37" s="600" t="n">
        <v>0</v>
      </c>
      <c r="C37" s="2174" t="n">
        <v>33</v>
      </c>
      <c r="D37" s="70">
        <f>(A37*B37*C37)*IF($E$35="8 hour days",8,10)</f>
        <v/>
      </c>
      <c r="E37" s="151">
        <f>ROUNDUP(SUM(F37:J37),0)</f>
        <v/>
      </c>
      <c r="F37" s="2345">
        <f>ROUNDUP(Q10*$P$5,1)</f>
        <v/>
      </c>
      <c r="G37" s="2345">
        <f>ROUNDUP(R10*$P$5,1)</f>
        <v/>
      </c>
      <c r="H37" s="2345">
        <f>ROUNDUP(S10*$P$5,1)</f>
        <v/>
      </c>
      <c r="I37" s="2345">
        <f>ROUNDUP(T10*$P$5,1)</f>
        <v/>
      </c>
      <c r="J37" s="2345">
        <f>ROUNDUP(U10*$P$5,1)</f>
        <v/>
      </c>
      <c r="K37" s="153">
        <f>B35/(D37/C37)</f>
        <v/>
      </c>
      <c r="L37" s="481" t="inlineStr">
        <is>
          <t>Cream: 22-30</t>
        </is>
      </c>
      <c r="M37" s="76" t="n"/>
      <c r="N37" s="1683" t="inlineStr">
        <is>
          <t>sf</t>
        </is>
      </c>
    </row>
    <row r="38">
      <c r="A38" s="1090" t="n">
        <v>3</v>
      </c>
      <c r="B38" s="600" t="n">
        <v>0</v>
      </c>
      <c r="C38" s="2346">
        <f>C37</f>
        <v/>
      </c>
      <c r="D38" s="70">
        <f>(A38*B38*C38)*IF($E$35="8 hour days",8,10)</f>
        <v/>
      </c>
      <c r="E38" s="151">
        <f>ROUNDUP(SUM(F38:J38),0)</f>
        <v/>
      </c>
      <c r="F38" s="2345">
        <f>ROUNDUP(Q11*$P$5,1)</f>
        <v/>
      </c>
      <c r="G38" s="2345">
        <f>ROUNDUP(R11*$P$5,1)</f>
        <v/>
      </c>
      <c r="H38" s="2345">
        <f>ROUNDUP(S11*$P$5,1)</f>
        <v/>
      </c>
      <c r="I38" s="2345">
        <f>ROUNDUP(T11*$P$5,1)</f>
        <v/>
      </c>
      <c r="J38" s="2345">
        <f>ROUNDUP(U11*$P$5,1)</f>
        <v/>
      </c>
      <c r="K38" s="153">
        <f>B34/(D38/C38)</f>
        <v/>
      </c>
      <c r="L38" s="481" t="inlineStr">
        <is>
          <t>Cream: 22-30</t>
        </is>
      </c>
      <c r="M38" s="76" t="n"/>
      <c r="N38" s="1684">
        <f>B35</f>
        <v/>
      </c>
    </row>
    <row r="39">
      <c r="A39" s="86" t="inlineStr">
        <is>
          <t>Mock-Up:         Guys</t>
        </is>
      </c>
      <c r="B39" s="67" t="inlineStr">
        <is>
          <t>Days</t>
        </is>
      </c>
      <c r="C39" s="67" t="inlineStr">
        <is>
          <t>Rate</t>
        </is>
      </c>
      <c r="D39" s="71" t="n"/>
      <c r="E39" s="453" t="n"/>
      <c r="F39" s="575" t="inlineStr">
        <is>
          <t># of 10,000</t>
        </is>
      </c>
      <c r="G39" s="576" t="inlineStr">
        <is>
          <t>Clean + Seal</t>
        </is>
      </c>
      <c r="H39" s="572" t="n"/>
      <c r="I39" s="576" t="inlineStr">
        <is>
          <t>Grind + Seal</t>
        </is>
      </c>
      <c r="J39" s="573" t="n"/>
      <c r="K39" s="1699" t="inlineStr">
        <is>
          <t>Clean + Seal</t>
        </is>
      </c>
      <c r="L39" s="1700" t="inlineStr">
        <is>
          <t>Days</t>
        </is>
      </c>
      <c r="M39" s="1699" t="inlineStr">
        <is>
          <t>Clean + Seal</t>
        </is>
      </c>
      <c r="N39" s="1701" t="inlineStr">
        <is>
          <t>&lt;--factors--&gt;</t>
        </is>
      </c>
      <c r="O39" s="1702" t="inlineStr">
        <is>
          <t>GRIND + Seal</t>
        </is>
      </c>
      <c r="P39" s="1699" t="inlineStr">
        <is>
          <t>Days</t>
        </is>
      </c>
      <c r="Q39" s="1702" t="inlineStr">
        <is>
          <t>GRIND + Seal</t>
        </is>
      </c>
    </row>
    <row r="40">
      <c r="A40" s="2347" t="n">
        <v>3</v>
      </c>
      <c r="B40" s="2348" t="n">
        <v>0.5</v>
      </c>
      <c r="C40" s="2346">
        <f>C37</f>
        <v/>
      </c>
      <c r="D40" s="70">
        <f>(A40*B40*C40)*IF($E$35="8 hour days",8,10)</f>
        <v/>
      </c>
      <c r="E40" s="758" t="inlineStr">
        <is>
          <t>( = 1.5 guys  x 1 day)</t>
        </is>
      </c>
      <c r="F40" s="574">
        <f>B35/10000</f>
        <v/>
      </c>
      <c r="G40" s="577" t="inlineStr">
        <is>
          <t>1,000 sf</t>
        </is>
      </c>
      <c r="H40" s="578" t="inlineStr">
        <is>
          <t>2 guys x 1 day</t>
        </is>
      </c>
      <c r="I40" s="581" t="inlineStr">
        <is>
          <t>1,000 sf</t>
        </is>
      </c>
      <c r="J40" s="578" t="inlineStr">
        <is>
          <t>2 guys x 2.5 days</t>
        </is>
      </c>
      <c r="K40" s="1688" t="inlineStr">
        <is>
          <t>2 guys</t>
        </is>
      </c>
      <c r="L40" s="1689">
        <f>N38*M40</f>
        <v/>
      </c>
      <c r="M40" s="1690">
        <f>((2*1)/1000)/2</f>
        <v/>
      </c>
      <c r="N40" s="1691" t="inlineStr">
        <is>
          <t>1,000 sf</t>
        </is>
      </c>
      <c r="O40" s="1692">
        <f>((2*2.5)/1000)/2</f>
        <v/>
      </c>
      <c r="P40" s="1689">
        <f>N38*O40</f>
        <v/>
      </c>
      <c r="Q40" s="1692" t="inlineStr">
        <is>
          <t>2 guys</t>
        </is>
      </c>
    </row>
    <row r="41">
      <c r="A41" s="86" t="inlineStr">
        <is>
          <t>Joint Filler:         Guys</t>
        </is>
      </c>
      <c r="B41" s="67" t="inlineStr">
        <is>
          <t>Days</t>
        </is>
      </c>
      <c r="C41" s="67" t="inlineStr">
        <is>
          <t>Rate</t>
        </is>
      </c>
      <c r="D41" s="71" t="n"/>
      <c r="E41" s="453" t="n"/>
      <c r="F41" s="1523" t="inlineStr">
        <is>
          <t># of 5,000</t>
        </is>
      </c>
      <c r="G41" s="69" t="inlineStr">
        <is>
          <t>5,000 sf</t>
        </is>
      </c>
      <c r="H41" s="579" t="inlineStr">
        <is>
          <t>2 guys x 3 days</t>
        </is>
      </c>
      <c r="I41" s="69" t="inlineStr">
        <is>
          <t>5,000 sf</t>
        </is>
      </c>
      <c r="J41" s="579" t="inlineStr">
        <is>
          <t>3 guys x 5 days</t>
        </is>
      </c>
      <c r="K41" s="1693" t="inlineStr">
        <is>
          <t>2 guys</t>
        </is>
      </c>
      <c r="L41" s="1694">
        <f>N38*M41</f>
        <v/>
      </c>
      <c r="M41" s="1695">
        <f>((2*3)/5000)/2</f>
        <v/>
      </c>
      <c r="N41" s="1696" t="inlineStr">
        <is>
          <t>5,000 sf</t>
        </is>
      </c>
      <c r="O41" s="1697">
        <f>((3*5)/5000)/3</f>
        <v/>
      </c>
      <c r="P41" s="1694">
        <f>N38*O41</f>
        <v/>
      </c>
      <c r="Q41" s="1697" t="inlineStr">
        <is>
          <t>3 guys</t>
        </is>
      </c>
    </row>
    <row r="42">
      <c r="A42" s="1090">
        <f>IF(F29="NO",2,4)</f>
        <v/>
      </c>
      <c r="B42" s="532">
        <f>MROUND(IF(E29="no",0,IF(E18&lt;1000,1,IF(E18&lt;2500,2,IF(E18&lt;10000,3,IF(E18&lt;15000,4,E18/3750))))),0.5)</f>
        <v/>
      </c>
      <c r="C42" s="2346">
        <f>C37</f>
        <v/>
      </c>
      <c r="D42" s="70">
        <f>(A42*B42*C42)*IF($E$35="8 hour days",8,10)</f>
        <v/>
      </c>
      <c r="E42" s="453" t="n"/>
      <c r="F42" s="1524">
        <f>B35/5000</f>
        <v/>
      </c>
      <c r="G42" s="533" t="inlineStr">
        <is>
          <t>10,000 sf</t>
        </is>
      </c>
      <c r="H42" s="580" t="inlineStr">
        <is>
          <t>3 guys x 3 - 4 days</t>
        </is>
      </c>
      <c r="I42" s="533" t="inlineStr">
        <is>
          <t>10,000 sf</t>
        </is>
      </c>
      <c r="J42" s="580" t="inlineStr">
        <is>
          <t>4 guys x 7 days</t>
        </is>
      </c>
      <c r="K42" s="1687" t="inlineStr">
        <is>
          <t>3 guys</t>
        </is>
      </c>
      <c r="L42" s="1685">
        <f>N38*M42</f>
        <v/>
      </c>
      <c r="M42" s="1681">
        <f>((3*3.5)/10000)/3</f>
        <v/>
      </c>
      <c r="N42" s="1680" t="inlineStr">
        <is>
          <t>10,000 sf</t>
        </is>
      </c>
      <c r="O42" s="1682">
        <f>((4*7)/10000)/4</f>
        <v/>
      </c>
      <c r="P42" s="1686">
        <f>N38*O42</f>
        <v/>
      </c>
      <c r="Q42" s="1682" t="inlineStr">
        <is>
          <t>4 guys</t>
        </is>
      </c>
    </row>
    <row r="43">
      <c r="A43" s="88" t="inlineStr">
        <is>
          <t>Travel:             Guys</t>
        </is>
      </c>
      <c r="B43" s="67" t="inlineStr">
        <is>
          <t>Hours</t>
        </is>
      </c>
      <c r="C43" s="67" t="n"/>
      <c r="D43" s="71" t="n"/>
      <c r="E43" s="453" t="n"/>
      <c r="G43" s="2349" t="inlineStr">
        <is>
          <t>Always Consider Labor in Terms of How Cut-Up the Job is.</t>
        </is>
      </c>
      <c r="H43" s="2350" t="n"/>
      <c r="I43" s="2350" t="n"/>
      <c r="J43" s="237" t="n"/>
      <c r="K43" s="1" t="n"/>
      <c r="L43" s="1" t="n"/>
      <c r="M43" s="1" t="n"/>
    </row>
    <row r="44">
      <c r="A44" s="2351">
        <f>(A37*B37)+(A38*B38)+(A40*B40)+(A42*B42)</f>
        <v/>
      </c>
      <c r="B44" s="1087">
        <f>Polish!B44</f>
        <v/>
      </c>
      <c r="C44" s="2174" t="n">
        <v>33</v>
      </c>
      <c r="D44" s="70">
        <f>(A44*B44*C44)</f>
        <v/>
      </c>
      <c r="E44" s="758">
        <f>Polish!E44</f>
        <v/>
      </c>
      <c r="G44" s="585" t="n"/>
      <c r="H44" s="774" t="n"/>
      <c r="I44" s="158">
        <f>(((D45-D44)/C37)/A37)/40</f>
        <v/>
      </c>
      <c r="J44" s="234" t="inlineStr">
        <is>
          <t># of 40 hour weeks</t>
        </is>
      </c>
      <c r="K44" s="235" t="n"/>
    </row>
    <row r="45">
      <c r="A45" s="226" t="inlineStr">
        <is>
          <t>Labor Total</t>
        </is>
      </c>
      <c r="B45" s="164" t="n"/>
      <c r="C45" s="164" t="n"/>
      <c r="D45" s="2352">
        <f>ROUNDUP(SUM(D37:D44),0)</f>
        <v/>
      </c>
      <c r="E45" s="123">
        <f>D45/B35</f>
        <v/>
      </c>
      <c r="F45" s="124" t="inlineStr">
        <is>
          <t>Labor $/SF</t>
        </is>
      </c>
      <c r="G45" s="705" t="n"/>
      <c r="H45" s="1143" t="n"/>
      <c r="I45" s="222">
        <f>ROUNDUP(I44,0)</f>
        <v/>
      </c>
      <c r="J45" s="236" t="inlineStr">
        <is>
          <t># of weeks rounded up</t>
        </is>
      </c>
      <c r="K45" s="237" t="n"/>
    </row>
    <row r="46" ht="16.2" customHeight="1" thickBot="1">
      <c r="A46" s="1527" t="inlineStr">
        <is>
          <t>Labor Escalation</t>
        </is>
      </c>
      <c r="B46" s="1533" t="inlineStr">
        <is>
          <t>(rate esc. only)</t>
        </is>
      </c>
      <c r="C46" s="1557">
        <f>IF(D5="Yes",5%,0)</f>
        <v/>
      </c>
      <c r="D46" s="2013">
        <f>ROUNDUP((D45*C46),0)</f>
        <v/>
      </c>
      <c r="E46" s="1556" t="inlineStr">
        <is>
          <t>+5%IFPWorLong Lead Job (12+ months)</t>
        </is>
      </c>
      <c r="F46" s="1558" t="n"/>
      <c r="G46" s="705" t="n"/>
      <c r="H46" s="705" t="n"/>
      <c r="I46" s="1531" t="n"/>
      <c r="J46" s="1532" t="n"/>
    </row>
    <row r="47">
      <c r="A47" s="226" t="inlineStr">
        <is>
          <t>Labor Burden</t>
        </is>
      </c>
      <c r="B47" s="164" t="n"/>
      <c r="C47" s="227" t="n">
        <v>0.12</v>
      </c>
      <c r="D47" s="2352">
        <f>ROUNDUP((D45+D46)*C47,0)</f>
        <v/>
      </c>
      <c r="E47" s="1" t="n"/>
      <c r="F47" s="1" t="n"/>
      <c r="G47" s="705" t="n"/>
      <c r="I47" s="1585" t="inlineStr">
        <is>
          <t xml:space="preserve">               ** Cement Mason **              </t>
        </is>
      </c>
      <c r="J47" s="1586" t="n"/>
      <c r="K47" s="1587" t="inlineStr">
        <is>
          <t xml:space="preserve">                ** Painter **             </t>
        </is>
      </c>
      <c r="L47" s="1588" t="n"/>
      <c r="N47" s="76" t="n"/>
      <c r="O47" s="571" t="inlineStr">
        <is>
          <t>Holidays - Double Time</t>
        </is>
      </c>
    </row>
    <row r="48">
      <c r="A48" s="1" t="n"/>
      <c r="B48" s="1892" t="n"/>
      <c r="C48" s="2282" t="n"/>
      <c r="D48" s="2282" t="n"/>
      <c r="E48" s="2282" t="n"/>
      <c r="F48" s="1" t="n"/>
      <c r="H48" s="834" t="n"/>
      <c r="I48" s="1576" t="inlineStr">
        <is>
          <t>Prevailing Wage Rate:</t>
        </is>
      </c>
      <c r="J48" s="2018">
        <f>SUM(J49:J50)</f>
        <v/>
      </c>
      <c r="K48" s="1576" t="inlineStr">
        <is>
          <t>P. Wage Rate:</t>
        </is>
      </c>
      <c r="L48" s="2018">
        <f>SUM(L49:L50)</f>
        <v/>
      </c>
      <c r="N48" s="76" t="n"/>
      <c r="O48" s="76" t="inlineStr">
        <is>
          <t>New Year's Day</t>
        </is>
      </c>
    </row>
    <row r="49">
      <c r="A49" s="5" t="inlineStr">
        <is>
          <t>TOOLING &amp; CONSUMABLES</t>
        </is>
      </c>
      <c r="B49" s="30" t="inlineStr">
        <is>
          <t>Quantity</t>
        </is>
      </c>
      <c r="C49" s="11" t="inlineStr">
        <is>
          <t>Cost</t>
        </is>
      </c>
      <c r="D49" s="2019" t="inlineStr">
        <is>
          <t>Totals</t>
        </is>
      </c>
      <c r="E49" s="1" t="n"/>
      <c r="F49" s="1" t="n"/>
      <c r="G49" s="97" t="n"/>
      <c r="H49" s="834" t="n"/>
      <c r="I49" s="1578" t="inlineStr">
        <is>
          <t>rate =</t>
        </is>
      </c>
      <c r="J49" s="2020" t="n">
        <v>0</v>
      </c>
      <c r="K49" s="1578" t="inlineStr">
        <is>
          <t>rate =</t>
        </is>
      </c>
      <c r="L49" s="2020" t="n">
        <v>0</v>
      </c>
      <c r="N49" s="76" t="n"/>
      <c r="O49" s="76" t="inlineStr">
        <is>
          <t>Memorial Day</t>
        </is>
      </c>
    </row>
    <row r="50">
      <c r="A50" s="6" t="n"/>
      <c r="B50" s="37" t="n"/>
      <c r="C50" s="2282" t="n"/>
      <c r="D50" s="2038" t="n"/>
      <c r="E50" s="1" t="n"/>
      <c r="F50" s="307" t="inlineStr">
        <is>
          <t>Clean + Seal = $0.17</t>
        </is>
      </c>
      <c r="G50" s="583" t="inlineStr">
        <is>
          <t>(if ~20k+ sf = $0.11)</t>
        </is>
      </c>
      <c r="H50" s="93" t="n"/>
      <c r="I50" s="1580" t="inlineStr">
        <is>
          <t>+ fringes =</t>
        </is>
      </c>
      <c r="J50" s="2022" t="n">
        <v>0</v>
      </c>
      <c r="K50" s="1580" t="inlineStr">
        <is>
          <t>+ fringes =</t>
        </is>
      </c>
      <c r="L50" s="2022" t="n">
        <v>0</v>
      </c>
      <c r="N50" s="76" t="n"/>
      <c r="O50" s="76" t="inlineStr">
        <is>
          <t>July 4th</t>
        </is>
      </c>
    </row>
    <row r="51">
      <c r="A51" s="6" t="inlineStr">
        <is>
          <t>Tooling &amp; Consumables</t>
        </is>
      </c>
      <c r="B51" s="37">
        <f>B35</f>
        <v/>
      </c>
      <c r="C51" s="2353" t="n">
        <v>0.27</v>
      </c>
      <c r="D51" s="2038">
        <f>ROUNDUP(IF((B51*C51)&gt;150,(B51*C51),150),0)</f>
        <v/>
      </c>
      <c r="E51" s="1" t="n"/>
      <c r="F51" s="307" t="inlineStr">
        <is>
          <t>Grind + Seal = $0.27</t>
        </is>
      </c>
      <c r="G51" s="1" t="n"/>
      <c r="H51" s="154" t="n"/>
      <c r="I51" s="864" t="inlineStr">
        <is>
          <t xml:space="preserve">    Foreman *min. $32 Cement Mason</t>
        </is>
      </c>
      <c r="J51" s="2023" t="n"/>
      <c r="K51" s="864" t="inlineStr">
        <is>
          <t xml:space="preserve">  Foreman *min. $32 Painter</t>
        </is>
      </c>
      <c r="L51" s="2023" t="n"/>
      <c r="N51" s="76" t="n"/>
      <c r="O51" s="76" t="inlineStr">
        <is>
          <t>Labor Day</t>
        </is>
      </c>
    </row>
    <row r="52" ht="16.2" customHeight="1" thickBot="1">
      <c r="A52" s="6" t="inlineStr">
        <is>
          <t>Demo Tooling (/sf)</t>
        </is>
      </c>
      <c r="B52" s="37" t="n"/>
      <c r="C52" s="2282" t="n">
        <v>0.33</v>
      </c>
      <c r="D52" s="2038">
        <f>ROUNDUP(B52*C52,0)</f>
        <v/>
      </c>
      <c r="E52" s="787" t="inlineStr">
        <is>
          <t>($0.17 glue/VCT/carpet or $0.33 demo tile)</t>
        </is>
      </c>
      <c r="F52" s="1" t="n"/>
      <c r="G52" s="74" t="inlineStr">
        <is>
          <t>If glue demo also + Citra-Kut above</t>
        </is>
      </c>
      <c r="H52" s="154" t="n"/>
      <c r="I52" s="1583" t="inlineStr">
        <is>
          <t xml:space="preserve">    (Entry *min. $23 Cement Mason)</t>
        </is>
      </c>
      <c r="J52" s="2024" t="n"/>
      <c r="K52" s="1583" t="inlineStr">
        <is>
          <t xml:space="preserve">  (Entry *min. $23 Painter)</t>
        </is>
      </c>
      <c r="L52" s="2024" t="n"/>
      <c r="N52" s="76" t="n"/>
      <c r="O52" s="76" t="inlineStr">
        <is>
          <t>Thanksgiving</t>
        </is>
      </c>
    </row>
    <row r="53" ht="16.2" customHeight="1" thickBot="1">
      <c r="A53" s="6" t="inlineStr">
        <is>
          <t>Slurry Hardener</t>
        </is>
      </c>
      <c r="B53" s="37" t="n">
        <v>0</v>
      </c>
      <c r="C53" s="2282" t="n">
        <v>210</v>
      </c>
      <c r="D53" s="2038">
        <f>ROUNDUP(B53*C53,0)</f>
        <v/>
      </c>
      <c r="E53" s="570" t="inlineStr">
        <is>
          <t>No Slurry Hardener</t>
        </is>
      </c>
      <c r="F53" s="1" t="n"/>
      <c r="G53" s="1" t="n"/>
      <c r="H53" s="37" t="n"/>
      <c r="I53" s="2025" t="inlineStr">
        <is>
          <t>1:1 "Entry" Half Wage</t>
        </is>
      </c>
      <c r="J53" s="2026">
        <f>IF((J48/2)&lt;23,23,(J48/2))</f>
        <v/>
      </c>
      <c r="K53" s="2180" t="inlineStr">
        <is>
          <t>1:1 "Entry" Half Wage</t>
        </is>
      </c>
      <c r="L53" s="2026">
        <f>IF((L48/2)&lt;23,23,(L48/2))</f>
        <v/>
      </c>
      <c r="N53" s="76" t="n"/>
      <c r="O53" s="76" t="inlineStr">
        <is>
          <t>Christmas</t>
        </is>
      </c>
    </row>
    <row r="54" ht="16.2" customHeight="1" thickBot="1">
      <c r="A54" s="6" t="inlineStr">
        <is>
          <t>Plastic (per LF)</t>
        </is>
      </c>
      <c r="B54" s="37">
        <f>IF(E25="yes",D35,IF(B35&gt;4999,IF(B10="reno",D35)))</f>
        <v/>
      </c>
      <c r="C54" s="2282" t="n">
        <v>0.25</v>
      </c>
      <c r="D54" s="2038">
        <f>ROUNDUP(B54*C54,0)</f>
        <v/>
      </c>
      <c r="E54" s="1" t="inlineStr">
        <is>
          <t>Dye or Reno 5k sf+?</t>
        </is>
      </c>
      <c r="F54" s="1" t="n"/>
      <c r="G54" s="1" t="n"/>
      <c r="H54" s="37" t="n"/>
      <c r="I54" s="1600" t="n"/>
      <c r="J54" s="1600" t="inlineStr">
        <is>
          <t xml:space="preserve"> "Entry" Laborer for MO "State" Wage ONLY</t>
        </is>
      </c>
      <c r="K54" s="1594" t="n"/>
      <c r="L54" s="590" t="inlineStr">
        <is>
          <t>NOT davis-bacon</t>
        </is>
      </c>
    </row>
    <row r="55">
      <c r="A55" s="1570" t="inlineStr">
        <is>
          <t>Tooling and Consumables Total</t>
        </is>
      </c>
      <c r="B55" s="1571" t="n"/>
      <c r="C55" s="2354" t="n"/>
      <c r="D55" s="2355">
        <f>SUM(D50:D54)</f>
        <v/>
      </c>
      <c r="E55" s="1" t="n"/>
      <c r="F55" s="1" t="n"/>
      <c r="G55" s="74" t="n"/>
      <c r="H55" s="1450">
        <f>E35</f>
        <v/>
      </c>
      <c r="I55" s="714" t="n"/>
      <c r="J55" s="2031" t="n"/>
      <c r="K55" s="585" t="n"/>
      <c r="L55" s="1" t="n"/>
    </row>
    <row r="56">
      <c r="A56" s="1" t="n"/>
      <c r="B56" s="1892" t="n"/>
      <c r="C56" s="2282" t="n"/>
      <c r="D56" s="2282" t="n"/>
      <c r="E56" s="1" t="n"/>
      <c r="F56" s="1" t="n"/>
      <c r="G56" s="1409" t="inlineStr">
        <is>
          <t xml:space="preserve">Total Man Hours </t>
        </is>
      </c>
      <c r="H56" s="1410">
        <f>(((A37*B37)+(A38*B38)+(A40*B40)+(A42*B42))*IF($E$35="8 hour days",8,10))+(A44*B44)</f>
        <v/>
      </c>
      <c r="I56" s="600" t="n"/>
      <c r="J56" s="1936" t="n"/>
      <c r="K56" s="1936" t="n"/>
      <c r="N56" s="458" t="inlineStr">
        <is>
          <t>Grind + Seal: (2 passes) 50, 100</t>
        </is>
      </c>
      <c r="O56" s="458" t="n"/>
    </row>
    <row r="57">
      <c r="A57" s="5" t="inlineStr">
        <is>
          <t>TRAVEL</t>
        </is>
      </c>
      <c r="B57" s="30" t="inlineStr">
        <is>
          <t>Quantity</t>
        </is>
      </c>
      <c r="C57" s="11" t="inlineStr">
        <is>
          <t>Cost</t>
        </is>
      </c>
      <c r="D57" s="2019" t="inlineStr">
        <is>
          <t>Totals</t>
        </is>
      </c>
      <c r="E57" s="1" t="n"/>
      <c r="F57" s="1" t="n"/>
      <c r="G57" s="1048" t="inlineStr">
        <is>
          <t xml:space="preserve">Total Days </t>
        </is>
      </c>
      <c r="H57" s="1389">
        <f>H56/IF($E$35="8 hour days",8,10)/H58</f>
        <v/>
      </c>
      <c r="I57" s="1944" t="n"/>
      <c r="J57" s="1928" t="n"/>
      <c r="K57" s="585" t="n"/>
      <c r="L57" s="585" t="n"/>
      <c r="N57" s="389" t="inlineStr">
        <is>
          <t>Cream: (3 passes) 100 resin, 200 resin, 400 resin</t>
        </is>
      </c>
      <c r="O57" s="389" t="n"/>
      <c r="P57" s="389" t="n"/>
      <c r="Q57" s="389" t="n"/>
    </row>
    <row r="58">
      <c r="A58" s="6" t="inlineStr">
        <is>
          <t>Travel - Lodging</t>
        </is>
      </c>
      <c r="B58" s="37">
        <f>IF(B4="No",((D45-D44)/C37)/8)</f>
        <v/>
      </c>
      <c r="C58" s="2282" t="n">
        <v>70</v>
      </c>
      <c r="D58" s="2038">
        <f>ROUNDUP(B58*C58,0)</f>
        <v/>
      </c>
      <c r="E58" s="1" t="n"/>
      <c r="F58" s="1" t="n"/>
      <c r="G58" s="1444" t="inlineStr">
        <is>
          <t>^based on X crew size:</t>
        </is>
      </c>
      <c r="H58" s="2030">
        <f>A37</f>
        <v/>
      </c>
      <c r="I58" s="662" t="n"/>
      <c r="J58" s="1928" t="n"/>
      <c r="K58" s="585" t="n"/>
      <c r="L58" s="585" t="n"/>
      <c r="N58" s="398" t="inlineStr">
        <is>
          <t>S&amp;P: (5 passes) 60/80 metal, 50 resin, 100 resin, 200 resin, 400 resin</t>
        </is>
      </c>
      <c r="O58" s="398" t="n"/>
      <c r="P58" s="398" t="n"/>
      <c r="Q58" s="398" t="n"/>
      <c r="R58" s="398" t="n"/>
    </row>
    <row r="59">
      <c r="A59" s="6" t="inlineStr">
        <is>
          <t>Travel - Food</t>
        </is>
      </c>
      <c r="B59" s="37">
        <f>B58</f>
        <v/>
      </c>
      <c r="C59" s="2282" t="n">
        <v>45</v>
      </c>
      <c r="D59" s="2038">
        <f>ROUNDUP(B59*C59,0)</f>
        <v/>
      </c>
      <c r="E59" s="43" t="n"/>
      <c r="F59" s="1" t="n"/>
      <c r="G59" s="1" t="n"/>
      <c r="H59" s="93" t="n"/>
      <c r="I59" s="1944" t="n"/>
      <c r="J59" s="1928" t="n"/>
      <c r="K59" s="585" t="n"/>
      <c r="L59" s="585" t="n"/>
      <c r="N59" s="458" t="inlineStr">
        <is>
          <t>Full/Large: (9[+] passes) BushHammers, 16 metal, 30 metal, (grout) 60/80 metal,</t>
        </is>
      </c>
      <c r="O59" s="458" t="n"/>
      <c r="P59" s="458" t="n"/>
      <c r="Q59" s="458" t="n"/>
      <c r="R59" s="458" t="n"/>
    </row>
    <row r="60">
      <c r="A60" s="6" t="n"/>
      <c r="B60" s="37" t="n"/>
      <c r="C60" s="2282" t="n"/>
      <c r="D60" s="2038">
        <f>ROUNDUP(B60*C60,0)</f>
        <v/>
      </c>
      <c r="E60" s="1" t="n"/>
      <c r="F60" s="1" t="n"/>
      <c r="G60" s="1" t="n"/>
      <c r="H60" s="37" t="n"/>
      <c r="I60" s="714" t="n"/>
      <c r="J60" s="2031" t="n"/>
      <c r="K60" s="585" t="n"/>
      <c r="L60" s="585" t="n"/>
      <c r="O60" s="458" t="inlineStr">
        <is>
          <t>50 resin, (grout) 100 resin, 200 resin, 400 resin, 800 resin, etc..?</t>
        </is>
      </c>
      <c r="P60" s="458" t="n"/>
      <c r="Q60" s="458" t="n"/>
      <c r="R60" s="458" t="n"/>
    </row>
    <row r="61">
      <c r="A61" s="1570" t="inlineStr">
        <is>
          <t>Travel Costs Total</t>
        </is>
      </c>
      <c r="B61" s="1571" t="n"/>
      <c r="C61" s="2354" t="n"/>
      <c r="D61" s="2355">
        <f>SUM(D58:D60)</f>
        <v/>
      </c>
      <c r="E61" s="1" t="n"/>
      <c r="F61" s="1" t="n"/>
      <c r="G61" s="74" t="n"/>
      <c r="H61" s="80" t="n"/>
      <c r="I61" s="714" t="n"/>
      <c r="J61" s="2031" t="n"/>
      <c r="K61" s="585" t="n"/>
      <c r="L61" s="585" t="n"/>
    </row>
    <row r="62">
      <c r="A62" s="1" t="n"/>
      <c r="B62" s="1892" t="n"/>
      <c r="C62" s="2282" t="n"/>
      <c r="D62" s="2282" t="n"/>
      <c r="E62" s="1" t="n"/>
      <c r="F62" s="1" t="n"/>
      <c r="G62" s="1" t="n"/>
    </row>
    <row r="63">
      <c r="A63" s="1" t="n"/>
      <c r="B63" s="1892" t="n"/>
      <c r="C63" s="2282" t="n"/>
      <c r="D63" s="2282" t="n"/>
      <c r="E63" s="1" t="n"/>
      <c r="F63" s="1" t="n"/>
      <c r="G63" s="1" t="n"/>
    </row>
    <row r="64">
      <c r="A64" s="165" t="inlineStr">
        <is>
          <t>SUB-TOTAL COSTS</t>
        </is>
      </c>
      <c r="B64" s="166" t="n"/>
      <c r="C64" s="2356" t="n"/>
      <c r="D64" s="2357">
        <f>ROUNDUP(SUM(D33,D45:D47,D55,D61),0)</f>
        <v/>
      </c>
      <c r="E64" s="2358">
        <f>D64/B35</f>
        <v/>
      </c>
      <c r="F64" s="235" t="inlineStr">
        <is>
          <t>Sub-Total $/SF</t>
        </is>
      </c>
      <c r="G64" s="1" t="n"/>
    </row>
    <row r="65">
      <c r="A65" s="1" t="n"/>
      <c r="B65" s="1892" t="n"/>
      <c r="C65" s="2282" t="n"/>
      <c r="D65" s="2282" t="n"/>
      <c r="E65" s="1" t="n"/>
      <c r="F65" s="1" t="n"/>
      <c r="G65" s="1" t="n"/>
    </row>
    <row r="66">
      <c r="A66" s="621" t="inlineStr">
        <is>
          <t>MARKUP</t>
        </is>
      </c>
      <c r="B66" s="622" t="inlineStr">
        <is>
          <t>%</t>
        </is>
      </c>
      <c r="C66" s="2035" t="n"/>
      <c r="D66" s="2019" t="inlineStr">
        <is>
          <t>Totals</t>
        </is>
      </c>
      <c r="E66" s="600" t="n"/>
      <c r="F66" s="2036">
        <f>SUM(D64,D76,D79)</f>
        <v/>
      </c>
      <c r="G66" s="811" t="inlineStr">
        <is>
          <t>Total "Estimated Costs" w/taxes + fees + bond</t>
        </is>
      </c>
      <c r="H66" s="812" t="n"/>
      <c r="I66" s="2037">
        <f>F66/C81</f>
        <v/>
      </c>
    </row>
    <row r="67">
      <c r="A67" s="817" t="inlineStr">
        <is>
          <t>GP (before lines below)</t>
        </is>
      </c>
      <c r="B67" s="122">
        <f>IF(D64&lt;6500,0.52,IF(D64&lt;15000,0.45,IF(D64&lt;22500,0.35,IF(D64&lt;32500,0.32,IF(D64&lt;42500,0.3,0.28)))))</f>
        <v/>
      </c>
      <c r="C67" s="1944" t="n"/>
      <c r="D67" s="2038">
        <f>ROUNDUP(SUM(D64,D74,D77)/(1-B67),0)-ROUNDUP(SUM(D64,D74,D77),0)</f>
        <v/>
      </c>
      <c r="E67" s="600" t="n"/>
      <c r="F67" s="2039">
        <f>(((A37*B37)+(A38*B38)+(A40*B40)+(A42*B42))*IF($E$35="8 hour days",8,10))+(A44*B44)</f>
        <v/>
      </c>
      <c r="G67" s="815" t="inlineStr">
        <is>
          <t>Man Hour Budget (Raken)</t>
        </is>
      </c>
      <c r="H67" s="815" t="n"/>
      <c r="I67" s="585" t="n"/>
    </row>
    <row r="68">
      <c r="A68" s="817" t="inlineStr">
        <is>
          <t>Hard Bid Discount</t>
        </is>
      </c>
      <c r="B68" s="2040">
        <f>IF(B5="yes",IF(D64&gt;=60000,-0.04,IF(B4="yes",IF(D64&gt;=13000,-0.025,0))))</f>
        <v/>
      </c>
      <c r="C68" s="1944" t="n"/>
      <c r="D68" s="1962">
        <f>ROUNDUP(SUM(D64,D67)*B68,0)</f>
        <v/>
      </c>
      <c r="E68" s="600" t="n"/>
      <c r="F68" s="2041">
        <f>F81/H57</f>
        <v/>
      </c>
      <c r="G68" s="1447" t="inlineStr">
        <is>
          <t>GP per Day</t>
        </is>
      </c>
      <c r="H68" s="809">
        <f>E35</f>
        <v/>
      </c>
      <c r="I68" s="585" t="n"/>
    </row>
    <row r="69">
      <c r="A69" s="628" t="inlineStr">
        <is>
          <t>Superintendent &amp; PTO</t>
        </is>
      </c>
      <c r="B69" s="819" t="n">
        <v>0.027</v>
      </c>
      <c r="C69" s="2042" t="n"/>
      <c r="D69" s="1962">
        <f>ROUNDUP(SUM(D64:D68,D71,D74,D77)*B69,0)</f>
        <v/>
      </c>
      <c r="E69" s="600" t="n"/>
      <c r="F69" s="585" t="n"/>
      <c r="G69" s="585" t="n"/>
      <c r="H69" s="585" t="n"/>
      <c r="I69" s="585" t="n"/>
    </row>
    <row r="70">
      <c r="A70" s="628" t="inlineStr">
        <is>
          <t>Soft Costs</t>
        </is>
      </c>
      <c r="B70" s="241" t="n">
        <v>0.16</v>
      </c>
      <c r="C70" s="2042" t="n"/>
      <c r="D70" s="1962">
        <f>(ROUNDUP(SUM(D64:D69,D71,D74,D77)*B70,0))+0</f>
        <v/>
      </c>
      <c r="E70" s="600" t="n"/>
      <c r="F70" s="600" t="n"/>
      <c r="G70" s="1877" t="n"/>
      <c r="H70" s="585" t="n"/>
      <c r="I70" s="585" t="n"/>
    </row>
    <row r="71">
      <c r="A71" s="820" t="inlineStr">
        <is>
          <t>Contingency</t>
        </is>
      </c>
      <c r="B71" s="1575" t="inlineStr">
        <is>
          <t>-- ?? --&gt;</t>
        </is>
      </c>
      <c r="C71" s="2044" t="n"/>
      <c r="D71" s="2045" t="n">
        <v>0</v>
      </c>
      <c r="E71" s="600" t="n"/>
      <c r="F71" s="585" t="n"/>
      <c r="G71" s="585" t="n"/>
      <c r="H71" s="585" t="n"/>
      <c r="I71" s="2043" t="n"/>
      <c r="J71" s="98" t="n"/>
    </row>
    <row r="72">
      <c r="A72" s="600" t="n"/>
      <c r="B72" s="1877" t="n"/>
      <c r="C72" s="1944" t="n"/>
      <c r="D72" s="1944" t="n"/>
      <c r="E72" s="600" t="n"/>
      <c r="F72" s="585" t="n"/>
      <c r="G72" s="585" t="n"/>
      <c r="H72" s="585" t="n"/>
      <c r="I72" s="2043" t="n"/>
    </row>
    <row r="73">
      <c r="A73" s="621" t="inlineStr">
        <is>
          <t>TAXES &amp; FEES</t>
        </is>
      </c>
      <c r="B73" s="622" t="inlineStr">
        <is>
          <t>%</t>
        </is>
      </c>
      <c r="C73" s="778" t="n"/>
      <c r="D73" s="2019" t="inlineStr">
        <is>
          <t>Totals</t>
        </is>
      </c>
      <c r="E73" s="600" t="n"/>
      <c r="H73" s="585" t="n"/>
      <c r="I73" s="585" t="n"/>
      <c r="J73" s="2046">
        <f>(J76-J74-J75)</f>
        <v/>
      </c>
      <c r="K73" s="590" t="n"/>
    </row>
    <row r="74">
      <c r="A74" s="628" t="inlineStr">
        <is>
          <t>Sales Tax</t>
        </is>
      </c>
      <c r="B74" s="2047">
        <f>IF($B$6="no",0,0.09475)</f>
        <v/>
      </c>
      <c r="C74" s="2042" t="n"/>
      <c r="D74" s="1962">
        <f>ROUNDUP(SUM(D33)*B74,0)</f>
        <v/>
      </c>
      <c r="E74" s="600" t="n"/>
      <c r="H74" s="585" t="n"/>
      <c r="I74" s="585" t="n"/>
      <c r="J74" s="2046" t="n"/>
      <c r="K74" s="585" t="inlineStr">
        <is>
          <t>sales tax (enter rounded)</t>
        </is>
      </c>
    </row>
    <row r="75">
      <c r="A75" s="804">
        <f>Polish!A75</f>
        <v/>
      </c>
      <c r="B75" s="2048">
        <f>IF(D6="yes",0.1,0)</f>
        <v/>
      </c>
      <c r="C75" s="1944" t="n"/>
      <c r="D75" s="1962">
        <f>ROUNDUP(SUM(D45:D47,D55,D61,D67:D71,D77)*B75,0)</f>
        <v/>
      </c>
      <c r="E75" s="758">
        <f>IF(D6="yes","*10% is placeholder. Adjust to actual if project awarded"," ")</f>
        <v/>
      </c>
      <c r="H75" s="585" t="n"/>
      <c r="J75" s="2049" t="n"/>
      <c r="K75" s="784" t="inlineStr">
        <is>
          <t>ks remodel (enter rounded)</t>
        </is>
      </c>
    </row>
    <row r="76">
      <c r="A76" s="1565" t="inlineStr">
        <is>
          <t>Total Taxes</t>
        </is>
      </c>
      <c r="B76" s="1566" t="n"/>
      <c r="C76" s="2028" t="n"/>
      <c r="D76" s="2029">
        <f>SUM(D74:D75)</f>
        <v/>
      </c>
      <c r="E76" s="758" t="n"/>
      <c r="H76" s="585" t="n"/>
      <c r="J76" s="2046">
        <f>D82</f>
        <v/>
      </c>
      <c r="K76" s="590" t="inlineStr">
        <is>
          <t>total</t>
        </is>
      </c>
    </row>
    <row r="77">
      <c r="A77" s="628" t="inlineStr">
        <is>
          <t>Fees + Textura + ?</t>
        </is>
      </c>
      <c r="B77" s="2047" t="n"/>
      <c r="C77" s="1944" t="n"/>
      <c r="D77" s="1962">
        <f>ROUNDUP(B77*C77,0)</f>
        <v/>
      </c>
      <c r="E77" s="600" t="n"/>
      <c r="F77" s="600" t="n"/>
      <c r="G77" s="600" t="n"/>
      <c r="H77" s="585" t="n"/>
    </row>
    <row r="78">
      <c r="A78" s="635" t="inlineStr">
        <is>
          <t>Bond</t>
        </is>
      </c>
      <c r="B78" s="806" t="n">
        <v>0</v>
      </c>
      <c r="C78" s="1948" t="n"/>
      <c r="D78" s="2050">
        <f>ROUNDUP(SUM(D64,D67,D68,D69:D71,D74,D75:D77)*B78,0)</f>
        <v/>
      </c>
      <c r="E78" s="600" t="n"/>
      <c r="F78" s="600" t="n"/>
      <c r="G78" s="600" t="n"/>
      <c r="H78" s="585" t="n"/>
    </row>
    <row r="79">
      <c r="A79" s="789" t="inlineStr">
        <is>
          <t>Total Fees + Bond</t>
        </is>
      </c>
      <c r="B79" s="790" t="n"/>
      <c r="C79" s="2051" t="n"/>
      <c r="D79" s="2052">
        <f>ROUNDUP(SUM(D77:D78),0)</f>
        <v/>
      </c>
      <c r="E79" s="600" t="n"/>
      <c r="F79" s="600" t="n"/>
      <c r="G79" s="585" t="n"/>
      <c r="H79" s="585" t="n"/>
      <c r="I79" s="1" t="n"/>
      <c r="J79" s="1" t="n"/>
      <c r="K79" s="1" t="n"/>
    </row>
    <row r="80">
      <c r="A80" s="1" t="n"/>
      <c r="B80" s="8" t="n"/>
      <c r="C80" s="2282" t="n"/>
      <c r="D80" s="2282" t="n"/>
      <c r="E80" s="1" t="n"/>
      <c r="F80" s="191" t="inlineStr">
        <is>
          <t>Mark Up + Conting.</t>
        </is>
      </c>
      <c r="G80" s="232" t="inlineStr">
        <is>
          <t>GP / MH</t>
        </is>
      </c>
      <c r="H80" s="1618" t="inlineStr">
        <is>
          <t>MarkUp + Soft Costs</t>
        </is>
      </c>
      <c r="I80" s="823" t="n"/>
      <c r="J80" s="180" t="n"/>
      <c r="K80" s="1434" t="inlineStr">
        <is>
          <t>For PM's Reference</t>
        </is>
      </c>
      <c r="L80" s="1466" t="n"/>
    </row>
    <row r="81" ht="16.2" customHeight="1" thickBot="1">
      <c r="A81" s="1" t="n"/>
      <c r="B81" s="190" t="inlineStr">
        <is>
          <t>Square Footage:</t>
        </is>
      </c>
      <c r="C81" s="2359">
        <f>B35</f>
        <v/>
      </c>
      <c r="D81" s="2282" t="n"/>
      <c r="E81" s="38" t="inlineStr">
        <is>
          <t>Less Sales Tax</t>
        </is>
      </c>
      <c r="F81" s="2360">
        <f>SUM(D67,D68,D71)</f>
        <v/>
      </c>
      <c r="G81" s="2361">
        <f>F81/F67</f>
        <v/>
      </c>
      <c r="H81" s="2056">
        <f>SUM(D67:D71)</f>
        <v/>
      </c>
      <c r="I81" s="585" t="n"/>
      <c r="J81" s="480" t="inlineStr">
        <is>
          <t>Material + Tooling %</t>
        </is>
      </c>
      <c r="K81" s="232" t="inlineStr">
        <is>
          <t>Labor %</t>
        </is>
      </c>
      <c r="L81" s="232" t="inlineStr">
        <is>
          <t>Travel %</t>
        </is>
      </c>
      <c r="M81" s="1" t="n"/>
    </row>
    <row r="82" ht="16.2" customHeight="1" thickBot="1">
      <c r="A82" s="186" t="inlineStr">
        <is>
          <t>TOTAL</t>
        </is>
      </c>
      <c r="B82" s="187" t="n"/>
      <c r="C82" s="2362">
        <f>D82/C81</f>
        <v/>
      </c>
      <c r="D82" s="2058">
        <f>SUM(D64,D67:D71,D76,D79)</f>
        <v/>
      </c>
      <c r="E82" s="1944">
        <f>D82-(D74+D75)</f>
        <v/>
      </c>
      <c r="F82" s="2363">
        <f>F81/(D82)</f>
        <v/>
      </c>
      <c r="G82" s="2361">
        <f>C37</f>
        <v/>
      </c>
      <c r="H82" s="2060">
        <f>H81/D82</f>
        <v/>
      </c>
      <c r="I82" s="1625" t="inlineStr">
        <is>
          <t>45% = Polish Goal</t>
        </is>
      </c>
      <c r="J82" s="242">
        <f>(H33+D55)/D82</f>
        <v/>
      </c>
      <c r="K82" s="828">
        <f>(SUM(D45:D47)/D82)</f>
        <v/>
      </c>
      <c r="L82" s="242">
        <f>D61/D82</f>
        <v/>
      </c>
      <c r="M82" s="1" t="n"/>
      <c r="N82" s="1" t="n"/>
    </row>
    <row r="83">
      <c r="A83" s="221" t="n"/>
      <c r="B83" s="1" t="n"/>
      <c r="C83" s="2282">
        <f>D83/C81</f>
        <v/>
      </c>
      <c r="D83" s="1944">
        <f>D82-D75</f>
        <v/>
      </c>
      <c r="E83" s="753" t="inlineStr">
        <is>
          <t>(less ks remodel tax, no joints)</t>
        </is>
      </c>
      <c r="G83" s="2364">
        <f>C37</f>
        <v/>
      </c>
      <c r="H83" s="220" t="n"/>
      <c r="I83" s="1631" t="inlineStr">
        <is>
          <t>(epx: 42% &amp; pol: 45%)</t>
        </is>
      </c>
      <c r="J83" s="220" t="n"/>
      <c r="L83" s="1" t="n"/>
      <c r="M83" s="1" t="n"/>
      <c r="N83" s="1" t="n"/>
      <c r="O83" s="1" t="n"/>
    </row>
    <row r="84">
      <c r="A84" s="221" t="n"/>
      <c r="B84" s="1" t="n"/>
      <c r="C84" s="2365" t="n"/>
      <c r="D84" s="211" t="n"/>
      <c r="E84" s="189" t="n"/>
      <c r="J84" s="2061">
        <f>SUM(D33,D55)</f>
        <v/>
      </c>
      <c r="K84" s="1099">
        <f>J84/J87</f>
        <v/>
      </c>
      <c r="L84" s="1100" t="inlineStr">
        <is>
          <t>Material+Tooling</t>
        </is>
      </c>
      <c r="M84" s="759" t="inlineStr">
        <is>
          <t>% Breakdown</t>
        </is>
      </c>
      <c r="N84" s="1" t="n"/>
      <c r="O84" s="1" t="n"/>
    </row>
    <row r="85">
      <c r="A85" s="221" t="n"/>
      <c r="B85" s="1" t="n"/>
      <c r="C85" s="2365" t="n"/>
      <c r="D85" s="211" t="n"/>
      <c r="E85" s="189" t="n"/>
      <c r="J85" s="2063">
        <f>SUM(D45:D47,D61)</f>
        <v/>
      </c>
      <c r="K85" s="1102">
        <f>J85/J87</f>
        <v/>
      </c>
      <c r="L85" s="1103" t="inlineStr">
        <is>
          <t>Labor + Travel</t>
        </is>
      </c>
      <c r="M85" s="600" t="n"/>
      <c r="N85" s="1" t="n"/>
      <c r="O85" s="1" t="n"/>
    </row>
    <row r="86">
      <c r="A86" s="1" t="n"/>
      <c r="B86" s="1" t="n"/>
      <c r="C86" s="2366" t="n"/>
      <c r="D86" s="2366" t="n"/>
      <c r="E86" s="189" t="n"/>
      <c r="J86" s="2064">
        <f>SUM(D67:D71,D76,D79)</f>
        <v/>
      </c>
      <c r="K86" s="1105">
        <f>J86/J87</f>
        <v/>
      </c>
      <c r="L86" s="1106" t="inlineStr">
        <is>
          <t>Mark-Up+Tax</t>
        </is>
      </c>
      <c r="M86" s="600" t="n"/>
      <c r="N86" s="1" t="n"/>
      <c r="O86" s="1" t="n"/>
      <c r="P86" s="1" t="n"/>
      <c r="Q86" s="1" t="n"/>
    </row>
    <row r="87">
      <c r="A87" s="1" t="n"/>
      <c r="B87" s="1" t="n"/>
      <c r="C87" s="2366" t="n"/>
      <c r="D87" s="2366" t="n"/>
      <c r="E87" s="189" t="n"/>
      <c r="J87" s="2064">
        <f>SUM(J84:J86)</f>
        <v/>
      </c>
      <c r="K87" s="1107">
        <f>SUM(K84:K86)</f>
        <v/>
      </c>
      <c r="L87" s="1106" t="inlineStr">
        <is>
          <t>Total</t>
        </is>
      </c>
      <c r="M87" s="585" t="n"/>
      <c r="N87" s="1" t="n"/>
      <c r="O87" s="1" t="n"/>
      <c r="P87" s="1" t="n"/>
      <c r="Q87" s="1" t="n"/>
    </row>
    <row r="88">
      <c r="A88" s="103" t="n"/>
      <c r="B88" s="103" t="n"/>
      <c r="C88" s="2147" t="n"/>
      <c r="D88" s="2147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1916" t="n"/>
      <c r="N88" s="1916" t="n"/>
      <c r="O88" s="1916" t="n"/>
      <c r="P88" s="1" t="n"/>
      <c r="Q88" s="1" t="n"/>
    </row>
    <row r="89">
      <c r="A89" s="103" t="n"/>
      <c r="B89" s="105" t="n"/>
      <c r="C89" s="2147" t="n"/>
      <c r="D89" s="2147" t="n"/>
      <c r="E89" s="53" t="n"/>
      <c r="F89" s="53" t="n"/>
      <c r="G89" s="53" t="n"/>
      <c r="H89" s="53" t="n"/>
      <c r="I89" s="53" t="n"/>
      <c r="J89" s="106" t="n"/>
      <c r="K89" s="106" t="n"/>
      <c r="L89" s="106" t="n"/>
      <c r="M89" s="1916" t="n"/>
      <c r="N89" s="1916" t="n"/>
      <c r="O89" s="1916" t="n"/>
      <c r="P89" s="1" t="n"/>
      <c r="Q89" s="1" t="n"/>
    </row>
    <row r="90">
      <c r="A90" s="53" t="n"/>
      <c r="B90" s="53" t="n"/>
      <c r="C90" s="2145" t="n"/>
      <c r="D90" s="2145" t="n"/>
      <c r="E90" s="53" t="n"/>
      <c r="F90" s="53" t="n"/>
      <c r="G90" s="2191" t="n"/>
      <c r="H90" s="53" t="n"/>
      <c r="I90" s="53" t="n"/>
      <c r="J90" s="53" t="n"/>
      <c r="K90" s="53" t="n"/>
      <c r="L90" s="53" t="n"/>
      <c r="M90" s="1916" t="n"/>
      <c r="N90" s="1916" t="n"/>
      <c r="O90" s="1916" t="n"/>
      <c r="P90" s="1" t="n"/>
      <c r="Q90" s="1" t="n"/>
    </row>
    <row r="91">
      <c r="A91" s="3" t="n"/>
      <c r="B91" s="2156" t="n"/>
      <c r="C91" s="3" t="n"/>
      <c r="D91" s="2156" t="n"/>
      <c r="E91" s="1916" t="n"/>
      <c r="F91" s="1916" t="n"/>
      <c r="G91" s="53" t="n"/>
      <c r="H91" s="108" t="n"/>
      <c r="I91" s="53" t="n"/>
      <c r="J91" s="106" t="n"/>
      <c r="K91" s="106" t="n"/>
      <c r="L91" s="106" t="n"/>
      <c r="M91" s="1916" t="n"/>
      <c r="N91" s="1916" t="n"/>
      <c r="O91" s="1916" t="n"/>
      <c r="P91" s="1" t="n"/>
      <c r="Q91" s="1" t="n"/>
      <c r="AA91" s="1916" t="n"/>
      <c r="AB91" s="1916" t="n"/>
    </row>
    <row r="92">
      <c r="A92" s="53" t="n"/>
      <c r="B92" s="53" t="n"/>
      <c r="C92" s="53" t="n"/>
      <c r="D92" s="53" t="n"/>
      <c r="E92" s="106" t="n"/>
      <c r="F92" s="1916" t="n"/>
      <c r="G92" s="53" t="n"/>
      <c r="H92" s="53" t="n"/>
      <c r="I92" s="53" t="n"/>
      <c r="J92" s="2145" t="n"/>
      <c r="K92" s="53" t="n"/>
      <c r="L92" s="53" t="n"/>
      <c r="M92" s="1916" t="n"/>
      <c r="N92" s="1916" t="n"/>
      <c r="O92" s="1916" t="n"/>
      <c r="P92" s="1" t="n"/>
      <c r="Q92" s="1" t="n"/>
      <c r="AA92" s="1916" t="n"/>
      <c r="AB92" s="1916" t="n"/>
    </row>
    <row r="93">
      <c r="A93" s="53" t="n"/>
      <c r="B93" s="53" t="n"/>
      <c r="C93" s="2192" t="n"/>
      <c r="D93" s="106" t="n"/>
      <c r="E93" s="106" t="n"/>
      <c r="F93" s="1916" t="n"/>
      <c r="G93" s="53" t="n"/>
      <c r="H93" s="93" t="n"/>
      <c r="I93" s="2145" t="n"/>
      <c r="J93" s="2145" t="n"/>
      <c r="K93" s="53" t="n"/>
      <c r="L93" s="53" t="n"/>
      <c r="M93" s="1916" t="n"/>
      <c r="N93" s="1916" t="n"/>
      <c r="O93" s="1916" t="n"/>
      <c r="P93" s="1" t="n"/>
      <c r="Q93" s="1" t="n"/>
      <c r="AA93" s="1916" t="n"/>
      <c r="AB93" s="1916" t="n"/>
    </row>
    <row r="94" customFormat="1" s="1916">
      <c r="A94" s="53" t="n"/>
      <c r="B94" s="53" t="n"/>
      <c r="C94" s="53" t="n"/>
      <c r="D94" s="53" t="n"/>
      <c r="E94" s="53" t="n"/>
      <c r="G94" s="53" t="n"/>
      <c r="H94" s="93" t="n"/>
      <c r="I94" s="2145" t="n"/>
      <c r="J94" s="2145" t="n"/>
      <c r="K94" s="53" t="n"/>
      <c r="L94" s="53" t="n"/>
      <c r="P94" s="53" t="n"/>
      <c r="Q94" s="53" t="n"/>
    </row>
    <row r="95" customFormat="1" s="1916">
      <c r="A95" s="53" t="n"/>
      <c r="B95" s="53" t="n"/>
      <c r="C95" s="2192" t="n"/>
      <c r="D95" s="106" t="n"/>
      <c r="E95" s="106" t="n"/>
      <c r="G95" s="53" t="n"/>
      <c r="H95" s="93" t="n"/>
      <c r="I95" s="2145" t="n"/>
      <c r="J95" s="2145" t="n"/>
      <c r="K95" s="53" t="n"/>
      <c r="L95" s="53" t="n"/>
    </row>
    <row r="96" customFormat="1" s="1916">
      <c r="A96" s="111" t="n"/>
      <c r="B96" s="53" t="n"/>
      <c r="C96" s="53" t="n"/>
      <c r="D96" s="53" t="n"/>
      <c r="E96" s="53" t="n"/>
      <c r="G96" s="53" t="n"/>
      <c r="H96" s="93" t="n"/>
      <c r="I96" s="2145" t="n"/>
      <c r="J96" s="2145" t="n"/>
      <c r="K96" s="53" t="n"/>
      <c r="L96" s="53" t="n"/>
    </row>
    <row r="97" customFormat="1" s="1916">
      <c r="A97" s="53" t="n"/>
      <c r="B97" s="53" t="n"/>
      <c r="C97" s="2192" t="n"/>
      <c r="D97" s="106" t="n"/>
      <c r="E97" s="106" t="n"/>
      <c r="G97" s="53" t="n"/>
      <c r="H97" s="93" t="n"/>
      <c r="I97" s="2145" t="n"/>
      <c r="J97" s="2145" t="n"/>
      <c r="K97" s="53" t="n"/>
      <c r="L97" s="53" t="n"/>
    </row>
    <row r="98" customFormat="1" s="1916">
      <c r="A98" s="387" t="n"/>
      <c r="B98" s="53" t="n"/>
      <c r="C98" s="53" t="n"/>
      <c r="D98" s="2157" t="n"/>
      <c r="E98" s="2157" t="n"/>
      <c r="F98" s="53" t="n"/>
      <c r="G98" s="103" t="n"/>
      <c r="H98" s="103" t="n"/>
      <c r="I98" s="2147" t="n"/>
      <c r="J98" s="2147" t="n"/>
    </row>
    <row r="99" customFormat="1" s="1916">
      <c r="A99" s="388" t="n"/>
      <c r="B99" s="53" t="n"/>
      <c r="C99" s="2145" t="n"/>
      <c r="D99" s="2145" t="n"/>
      <c r="E99" s="2145" t="n"/>
      <c r="F99" s="53" t="n"/>
      <c r="G99" s="53" t="n"/>
      <c r="H99" s="53" t="n"/>
    </row>
    <row r="100" customFormat="1" s="1916">
      <c r="A100" s="389" t="n"/>
      <c r="B100" s="53" t="n"/>
      <c r="C100" s="53" t="n"/>
      <c r="D100" s="2145" t="n"/>
      <c r="E100" s="53" t="n"/>
      <c r="F100" s="53" t="n"/>
      <c r="G100" s="53" t="n"/>
      <c r="H100" s="53" t="n"/>
      <c r="K100" s="53" t="n"/>
      <c r="L100" s="53" t="n"/>
    </row>
    <row r="101" customFormat="1" s="1916">
      <c r="A101" s="390" t="n"/>
      <c r="B101" s="93" t="n"/>
      <c r="C101" s="2145" t="n"/>
      <c r="D101" s="2145" t="n"/>
      <c r="E101" s="53" t="n"/>
      <c r="F101" s="53" t="n"/>
      <c r="G101" s="2156" t="n"/>
      <c r="H101" s="93" t="n"/>
      <c r="I101" s="53" t="n"/>
      <c r="J101" s="2145" t="n"/>
      <c r="K101" s="53" t="n"/>
      <c r="L101" s="53" t="n"/>
    </row>
    <row r="102" customFormat="1" s="1916">
      <c r="A102" s="391" t="n"/>
      <c r="B102" s="93" t="n"/>
      <c r="C102" s="2145" t="n"/>
      <c r="D102" s="2145" t="n"/>
      <c r="E102" s="53" t="n"/>
      <c r="F102" s="53" t="n"/>
      <c r="G102" s="53" t="n"/>
      <c r="H102" s="93" t="n"/>
      <c r="I102" s="2145" t="n"/>
      <c r="J102" s="2145" t="n"/>
      <c r="K102" s="53" t="n"/>
      <c r="L102" s="53" t="n"/>
    </row>
    <row r="103" customFormat="1" s="1916">
      <c r="A103" s="392" t="n"/>
      <c r="B103" s="93" t="n"/>
      <c r="C103" s="2145" t="n"/>
      <c r="D103" s="2145" t="n"/>
      <c r="E103" s="53" t="n"/>
      <c r="F103" s="53" t="n"/>
      <c r="G103" s="53" t="n"/>
      <c r="H103" s="93" t="n"/>
      <c r="I103" s="2145" t="n"/>
      <c r="J103" s="2145" t="n"/>
      <c r="K103" s="53" t="n"/>
      <c r="L103" s="53" t="n"/>
    </row>
    <row r="104" customFormat="1" s="1916">
      <c r="A104" s="449" t="n"/>
      <c r="B104" s="93" t="n"/>
      <c r="C104" s="2145" t="n"/>
      <c r="D104" s="2145" t="n"/>
      <c r="E104" s="111" t="n"/>
      <c r="F104" s="53" t="n"/>
      <c r="G104" s="53" t="n"/>
      <c r="H104" s="93" t="n"/>
      <c r="I104" s="2145" t="n"/>
      <c r="J104" s="2145" t="n"/>
      <c r="K104" s="53" t="n"/>
      <c r="L104" s="53" t="n"/>
    </row>
    <row r="105" customFormat="1" s="1916">
      <c r="A105" s="544" t="n"/>
      <c r="B105" s="93" t="n"/>
      <c r="C105" s="2145" t="n"/>
      <c r="D105" s="2145" t="n"/>
      <c r="E105" s="111" t="n"/>
      <c r="F105" s="53" t="n"/>
      <c r="G105" s="53" t="n"/>
      <c r="H105" s="93" t="n"/>
      <c r="I105" s="2145" t="n"/>
      <c r="J105" s="2145" t="n"/>
      <c r="K105" s="53" t="n"/>
      <c r="L105" s="53" t="n"/>
    </row>
    <row r="106" customFormat="1" s="1916">
      <c r="A106" s="53" t="n"/>
      <c r="B106" s="93" t="n"/>
      <c r="C106" s="2145" t="n"/>
      <c r="D106" s="2145" t="n"/>
      <c r="E106" s="53" t="n"/>
      <c r="F106" s="53" t="n"/>
      <c r="G106" s="53" t="n"/>
      <c r="H106" s="93" t="n"/>
      <c r="I106" s="2145" t="n"/>
      <c r="J106" s="2145" t="n"/>
      <c r="K106" s="53" t="n"/>
      <c r="L106" s="53" t="n"/>
    </row>
    <row r="107" customFormat="1" s="1916">
      <c r="A107" s="53" t="n"/>
      <c r="B107" s="93" t="n"/>
      <c r="C107" s="2145" t="n"/>
      <c r="D107" s="2145" t="n"/>
      <c r="E107" s="53" t="n"/>
      <c r="F107" s="53" t="n"/>
      <c r="G107" s="53" t="n"/>
      <c r="H107" s="93" t="n"/>
      <c r="I107" s="2145" t="n"/>
      <c r="J107" s="2145" t="n"/>
      <c r="K107" s="53" t="n"/>
      <c r="L107" s="53" t="n"/>
    </row>
    <row r="108" customFormat="1" s="1916">
      <c r="A108" s="53" t="n"/>
      <c r="B108" s="93" t="n"/>
      <c r="C108" s="2145" t="n"/>
      <c r="D108" s="2145" t="n"/>
      <c r="E108" s="53" t="n"/>
      <c r="F108" s="53" t="n"/>
      <c r="G108" s="53" t="n"/>
      <c r="H108" s="93" t="n"/>
      <c r="I108" s="2145" t="n"/>
      <c r="J108" s="2145" t="n"/>
      <c r="K108" s="53" t="n"/>
      <c r="L108" s="53" t="n"/>
    </row>
    <row r="109" customFormat="1" s="1916">
      <c r="A109" s="53" t="n"/>
      <c r="B109" s="93" t="n"/>
      <c r="C109" s="2145" t="n"/>
      <c r="D109" s="2145" t="n"/>
      <c r="E109" s="53" t="n"/>
      <c r="F109" s="53" t="n"/>
      <c r="G109" s="53" t="n"/>
      <c r="H109" s="93" t="n"/>
      <c r="I109" s="2145" t="n"/>
      <c r="J109" s="2145" t="n"/>
      <c r="K109" s="53" t="n"/>
      <c r="L109" s="53" t="n"/>
    </row>
    <row r="110" customFormat="1" s="1916">
      <c r="A110" s="103" t="n"/>
      <c r="B110" s="103" t="n"/>
      <c r="C110" s="2147" t="n"/>
      <c r="D110" s="2147" t="n"/>
      <c r="E110" s="53" t="n"/>
      <c r="F110" s="53" t="n"/>
      <c r="G110" s="103" t="n"/>
      <c r="H110" s="103" t="n"/>
      <c r="I110" s="2147" t="n"/>
      <c r="J110" s="2147" t="n"/>
      <c r="K110" s="53" t="n"/>
      <c r="L110" s="53" t="n"/>
    </row>
    <row r="111" customFormat="1" s="1916">
      <c r="A111" s="53" t="n"/>
      <c r="B111" s="53" t="n"/>
      <c r="C111" s="2145" t="n"/>
      <c r="D111" s="2145" t="n"/>
      <c r="E111" s="53" t="n"/>
      <c r="F111" s="53" t="n"/>
      <c r="G111" s="53" t="n"/>
      <c r="H111" s="53" t="n"/>
      <c r="I111" s="53" t="n"/>
      <c r="K111" s="106" t="n"/>
      <c r="L111" s="106" t="n"/>
    </row>
    <row r="112" customFormat="1" s="1916">
      <c r="A112" s="53" t="n"/>
      <c r="B112" s="53" t="n"/>
      <c r="C112" s="2145" t="n"/>
      <c r="D112" s="2145" t="n"/>
      <c r="E112" s="53" t="n"/>
      <c r="F112" s="53" t="n"/>
    </row>
    <row r="113" customFormat="1" s="1916">
      <c r="A113" s="53" t="n"/>
      <c r="B113" s="53" t="n"/>
      <c r="C113" s="2145" t="n"/>
      <c r="D113" s="2147" t="n"/>
      <c r="E113" s="53" t="n"/>
      <c r="F113" s="53" t="n"/>
    </row>
    <row r="114" customFormat="1" s="1916">
      <c r="A114" s="53" t="n"/>
      <c r="B114" s="53" t="n"/>
      <c r="C114" s="2145" t="n"/>
      <c r="D114" s="2145" t="n"/>
      <c r="E114" s="53" t="n"/>
      <c r="F114" s="53" t="n"/>
    </row>
    <row r="115" customFormat="1" s="1916">
      <c r="A115" s="53" t="n"/>
      <c r="B115" s="53" t="n"/>
      <c r="C115" s="2145" t="n"/>
      <c r="D115" s="2145" t="n"/>
      <c r="E115" s="53" t="n"/>
      <c r="F115" s="53" t="n"/>
    </row>
    <row r="116" customFormat="1" s="1916">
      <c r="A116" s="53" t="n"/>
      <c r="B116" s="112" t="n"/>
      <c r="C116" s="2145" t="n"/>
      <c r="D116" s="2145" t="n"/>
      <c r="E116" s="53" t="n"/>
      <c r="F116" s="53" t="n"/>
    </row>
    <row r="117" customFormat="1" s="1916">
      <c r="A117" s="53" t="n"/>
      <c r="B117" s="112" t="n"/>
      <c r="C117" s="2145" t="n"/>
      <c r="D117" s="2145" t="n"/>
      <c r="E117" s="53" t="n"/>
      <c r="F117" s="53" t="n"/>
    </row>
    <row r="118" customFormat="1" s="1916">
      <c r="A118" s="53" t="n"/>
      <c r="B118" s="113" t="n"/>
      <c r="C118" s="2145" t="n"/>
      <c r="D118" s="2145" t="n"/>
      <c r="E118" s="53" t="n"/>
      <c r="F118" s="53" t="n"/>
    </row>
    <row r="119" customFormat="1" s="1916">
      <c r="A119" s="53" t="n"/>
      <c r="B119" s="113" t="n"/>
      <c r="C119" s="2145" t="n"/>
      <c r="D119" s="2145" t="n"/>
      <c r="E119" s="53" t="n"/>
      <c r="F119" s="53" t="n"/>
    </row>
    <row r="120" customFormat="1" s="1916">
      <c r="A120" s="53" t="n"/>
      <c r="B120" s="113" t="n"/>
      <c r="C120" s="2145" t="n"/>
      <c r="D120" s="2145" t="n"/>
      <c r="E120" s="53" t="n"/>
      <c r="F120" s="53" t="n"/>
    </row>
    <row r="121" customFormat="1" s="1916">
      <c r="A121" s="53" t="n"/>
      <c r="B121" s="2189" t="n"/>
      <c r="C121" s="2145" t="n"/>
      <c r="D121" s="2145" t="n"/>
      <c r="E121" s="53" t="n"/>
      <c r="F121" s="53" t="n"/>
    </row>
    <row r="122" customFormat="1" s="1916">
      <c r="A122" s="53" t="n"/>
      <c r="B122" s="112" t="n"/>
      <c r="C122" s="2145" t="n"/>
      <c r="D122" s="2145" t="n"/>
      <c r="E122" s="53" t="n"/>
      <c r="F122" s="53" t="n"/>
    </row>
    <row r="123" customFormat="1" s="1916">
      <c r="A123" s="53" t="n"/>
      <c r="B123" s="112" t="n"/>
      <c r="C123" s="2145" t="n"/>
      <c r="D123" s="2149" t="n"/>
      <c r="E123" s="53" t="n"/>
      <c r="F123" s="53" t="n"/>
    </row>
    <row r="124" customFormat="1" s="1916">
      <c r="A124" s="53" t="n"/>
      <c r="B124" s="113" t="n"/>
      <c r="C124" s="2145" t="n"/>
      <c r="D124" s="2145" t="n"/>
      <c r="E124" s="53" t="n"/>
      <c r="F124" s="53" t="n"/>
      <c r="G124" s="53" t="n"/>
      <c r="I124" s="2154" t="n"/>
    </row>
    <row r="125" customFormat="1" s="1916">
      <c r="A125" s="53" t="n"/>
      <c r="B125" s="53" t="n"/>
      <c r="C125" s="2156" t="n"/>
      <c r="D125" s="2145" t="n"/>
      <c r="E125" s="2145" t="n"/>
      <c r="F125" s="2145" t="n"/>
    </row>
    <row r="126" customFormat="1" s="1916">
      <c r="A126" s="53" t="n"/>
      <c r="B126" s="53" t="n"/>
      <c r="C126" s="2145" t="n"/>
      <c r="D126" s="2145" t="n"/>
      <c r="F126" s="108" t="n"/>
    </row>
    <row r="127" customFormat="1" s="1916">
      <c r="D127" s="2145" t="n"/>
    </row>
    <row r="128" customFormat="1" s="1916"/>
    <row r="129" customFormat="1" s="1916"/>
    <row r="130" customFormat="1" s="1916">
      <c r="A130" s="53" t="n"/>
      <c r="B130" s="53" t="n"/>
      <c r="C130" s="53" t="n"/>
      <c r="D130" s="53" t="n"/>
      <c r="G130" s="53" t="n"/>
      <c r="H130" s="53" t="n"/>
      <c r="I130" s="53" t="n"/>
      <c r="J130" s="2149" t="n"/>
      <c r="K130" s="2149" t="n"/>
      <c r="L130" s="2149" t="n"/>
      <c r="M130" s="53" t="n"/>
      <c r="N130" s="53" t="n"/>
    </row>
    <row r="131" customFormat="1" s="1916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2149" t="n"/>
      <c r="J131" s="2149" t="n"/>
      <c r="K131" s="2149" t="n"/>
      <c r="L131" s="2149" t="n"/>
      <c r="M131" s="53" t="n"/>
      <c r="N131" s="53" t="n"/>
      <c r="O131" s="53" t="n"/>
    </row>
    <row r="132" customFormat="1" s="1916">
      <c r="A132" s="53" t="n"/>
      <c r="B132" s="2155" t="n"/>
      <c r="C132" s="2145" t="n"/>
      <c r="D132" s="2145" t="n"/>
      <c r="E132" s="2156" t="n"/>
      <c r="F132" s="53" t="n"/>
      <c r="G132" s="53" t="n"/>
      <c r="H132" s="2145" t="n"/>
      <c r="I132" s="2190" t="n"/>
      <c r="J132" s="2149" t="n"/>
      <c r="K132" s="2149" t="n"/>
      <c r="L132" s="2149" t="n"/>
      <c r="M132" s="53" t="n"/>
      <c r="N132" s="2145" t="n"/>
      <c r="O132" s="2145" t="n"/>
    </row>
    <row r="133" customFormat="1" s="1916">
      <c r="A133" s="53" t="n"/>
      <c r="B133" s="53" t="n"/>
      <c r="C133" s="2145" t="n"/>
      <c r="D133" s="2145" t="n"/>
      <c r="E133" s="2190" t="n"/>
      <c r="G133" s="53" t="n"/>
      <c r="H133" s="2145" t="n"/>
      <c r="I133" s="2190" t="n"/>
      <c r="J133" s="2149" t="n"/>
      <c r="L133" s="2149" t="n"/>
      <c r="M133" s="53" t="n"/>
      <c r="N133" s="2156" t="n"/>
      <c r="O133" s="2145" t="n"/>
    </row>
    <row r="134" customFormat="1" s="1916">
      <c r="A134" s="53" t="n"/>
      <c r="B134" s="53" t="n"/>
      <c r="C134" s="2145" t="n"/>
      <c r="D134" s="2145" t="n"/>
      <c r="E134" s="53" t="n"/>
      <c r="F134" s="53" t="n"/>
      <c r="L134" s="53" t="n"/>
      <c r="M134" s="53" t="n"/>
      <c r="N134" s="2156" t="n"/>
      <c r="O134" s="2145" t="n"/>
    </row>
    <row r="135" customFormat="1" s="1916">
      <c r="A135" s="53" t="n"/>
      <c r="B135" s="53" t="n"/>
      <c r="C135" s="2145" t="n"/>
      <c r="D135" s="2145" t="n"/>
      <c r="E135" s="53" t="n"/>
      <c r="F135" s="53" t="n"/>
      <c r="L135" s="53" t="n"/>
      <c r="M135" s="2145" t="n"/>
      <c r="N135" s="53" t="n"/>
      <c r="O135" s="2145" t="n"/>
    </row>
    <row r="136" customFormat="1" s="1916">
      <c r="A136" s="53" t="n"/>
      <c r="B136" s="53" t="n"/>
      <c r="C136" s="2145" t="n"/>
      <c r="D136" s="2145" t="n"/>
      <c r="E136" s="53" t="n"/>
      <c r="F136" s="53" t="n"/>
      <c r="L136" s="53" t="n"/>
      <c r="M136" s="53" t="n"/>
      <c r="N136" s="53" t="n"/>
      <c r="O136" s="53" t="n"/>
    </row>
    <row r="137" customFormat="1" s="1916">
      <c r="A137" s="53" t="n"/>
      <c r="B137" s="53" t="n"/>
      <c r="C137" s="2145" t="n"/>
      <c r="D137" s="2145" t="n"/>
      <c r="E137" s="53" t="n"/>
      <c r="F137" s="53" t="n"/>
      <c r="L137" s="53" t="n"/>
      <c r="M137" s="53" t="n"/>
      <c r="N137" s="53" t="n"/>
      <c r="O137" s="53" t="n"/>
    </row>
    <row r="138" customFormat="1" s="1916">
      <c r="A138" s="53" t="n"/>
      <c r="B138" s="53" t="n"/>
      <c r="C138" s="2145" t="n"/>
      <c r="D138" s="2145" t="n"/>
      <c r="E138" s="53" t="n"/>
      <c r="F138" s="53" t="n"/>
      <c r="L138" s="53" t="n"/>
      <c r="M138" s="53" t="n"/>
      <c r="N138" s="53" t="n"/>
      <c r="O138" s="53" t="n"/>
      <c r="P138" s="53" t="n"/>
      <c r="Q138" s="53" t="n"/>
    </row>
    <row r="139" customFormat="1" s="1916">
      <c r="A139" s="53" t="n"/>
      <c r="B139" s="53" t="n"/>
      <c r="C139" s="2145" t="n"/>
      <c r="D139" s="2145" t="n"/>
      <c r="E139" s="53" t="n"/>
      <c r="F139" s="53" t="n"/>
      <c r="L139" s="53" t="n"/>
      <c r="M139" s="53" t="n"/>
      <c r="N139" s="53" t="n"/>
      <c r="O139" s="53" t="n"/>
      <c r="P139" s="2145" t="n"/>
      <c r="Q139" s="2145" t="n"/>
    </row>
    <row r="140" customFormat="1" s="1916">
      <c r="A140" s="53" t="n"/>
      <c r="B140" s="53" t="n"/>
      <c r="C140" s="2145" t="n"/>
      <c r="D140" s="2145" t="n"/>
      <c r="E140" s="53" t="n"/>
      <c r="F140" s="53" t="n"/>
      <c r="L140" s="53" t="n"/>
      <c r="M140" s="53" t="n"/>
      <c r="N140" s="53" t="n"/>
      <c r="O140" s="53" t="n"/>
      <c r="P140" s="2145" t="n"/>
      <c r="Q140" s="2145" t="n"/>
    </row>
    <row r="141" customFormat="1" s="1916">
      <c r="A141" s="53" t="n"/>
      <c r="B141" s="53" t="n"/>
      <c r="C141" s="2145" t="n"/>
      <c r="D141" s="2145" t="n"/>
      <c r="E141" s="53" t="n"/>
      <c r="F141" s="53" t="n"/>
      <c r="L141" s="53" t="n"/>
      <c r="M141" s="53" t="n"/>
      <c r="N141" s="53" t="n"/>
      <c r="O141" s="53" t="n"/>
      <c r="P141" s="2145" t="n"/>
      <c r="Q141" s="2145" t="n"/>
    </row>
    <row r="142" customFormat="1" s="1916">
      <c r="A142" s="103" t="n"/>
      <c r="B142" s="103" t="n"/>
      <c r="C142" s="2147" t="n"/>
      <c r="D142" s="2147" t="n"/>
      <c r="E142" s="53" t="n"/>
      <c r="F142" s="53" t="n"/>
      <c r="O142" s="53" t="n"/>
      <c r="P142" s="2145" t="n"/>
      <c r="Q142" s="2145" t="n"/>
    </row>
    <row r="143" customFormat="1" s="1916">
      <c r="A143" s="103" t="n"/>
      <c r="B143" s="103" t="n"/>
      <c r="C143" s="2147" t="n"/>
      <c r="D143" s="2147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P143" s="53" t="n"/>
      <c r="Q143" s="53" t="n"/>
    </row>
    <row r="144" customFormat="1" s="1916">
      <c r="A144" s="103" t="n"/>
      <c r="B144" s="105" t="n"/>
      <c r="C144" s="2147" t="n"/>
      <c r="D144" s="2147" t="n"/>
      <c r="E144" s="53" t="n"/>
      <c r="F144" s="53" t="n"/>
      <c r="G144" s="53" t="n"/>
      <c r="H144" s="53" t="n"/>
      <c r="I144" s="53" t="n"/>
      <c r="J144" s="106" t="n"/>
      <c r="K144" s="106" t="n"/>
      <c r="L144" s="106" t="n"/>
      <c r="P144" s="53" t="n"/>
      <c r="Q144" s="53" t="n"/>
    </row>
    <row r="145" customFormat="1" s="1916">
      <c r="A145" s="53" t="n"/>
      <c r="B145" s="53" t="n"/>
      <c r="C145" s="2145" t="n"/>
      <c r="D145" s="2145" t="n"/>
      <c r="E145" s="53" t="n"/>
      <c r="F145" s="53" t="n"/>
      <c r="G145" s="2191" t="n"/>
      <c r="H145" s="53" t="n"/>
      <c r="I145" s="53" t="n"/>
      <c r="J145" s="53" t="n"/>
      <c r="K145" s="53" t="n"/>
      <c r="L145" s="53" t="n"/>
      <c r="P145" s="53" t="n"/>
      <c r="Q145" s="53" t="n"/>
    </row>
    <row r="146" customFormat="1" s="1916">
      <c r="A146" s="3" t="n"/>
      <c r="B146" s="2156" t="n"/>
      <c r="C146" s="3" t="n"/>
      <c r="D146" s="2156" t="n"/>
      <c r="G146" s="53" t="n"/>
      <c r="H146" s="108" t="n"/>
      <c r="I146" s="53" t="n"/>
      <c r="J146" s="106" t="n"/>
      <c r="K146" s="106" t="n"/>
      <c r="L146" s="106" t="n"/>
      <c r="P146" s="53" t="n"/>
      <c r="Q146" s="53" t="n"/>
    </row>
    <row r="147" customFormat="1" s="1916">
      <c r="A147" s="53" t="n"/>
      <c r="B147" s="53" t="n"/>
      <c r="C147" s="53" t="n"/>
      <c r="D147" s="53" t="n"/>
      <c r="E147" s="106" t="n"/>
      <c r="G147" s="53" t="n"/>
      <c r="H147" s="53" t="n"/>
      <c r="I147" s="53" t="n"/>
      <c r="J147" s="2145" t="n"/>
      <c r="K147" s="53" t="n"/>
      <c r="L147" s="53" t="n"/>
      <c r="P147" s="53" t="n"/>
      <c r="Q147" s="53" t="n"/>
    </row>
    <row r="148" customFormat="1" s="1916">
      <c r="A148" s="53" t="n"/>
      <c r="B148" s="53" t="n"/>
      <c r="C148" s="2192" t="n"/>
      <c r="D148" s="106" t="n"/>
      <c r="E148" s="106" t="n"/>
      <c r="G148" s="53" t="n"/>
      <c r="H148" s="93" t="n"/>
      <c r="I148" s="2145" t="n"/>
      <c r="J148" s="2145" t="n"/>
      <c r="K148" s="53" t="n"/>
      <c r="L148" s="53" t="n"/>
      <c r="P148" s="53" t="n"/>
      <c r="Q148" s="53" t="n"/>
    </row>
    <row r="149" customFormat="1" s="1916">
      <c r="A149" s="53" t="n"/>
      <c r="B149" s="53" t="n"/>
      <c r="C149" s="53" t="n"/>
      <c r="D149" s="53" t="n"/>
      <c r="E149" s="53" t="n"/>
      <c r="G149" s="53" t="n"/>
      <c r="H149" s="93" t="n"/>
      <c r="I149" s="2145" t="n"/>
      <c r="J149" s="2145" t="n"/>
      <c r="K149" s="53" t="n"/>
      <c r="L149" s="53" t="n"/>
      <c r="P149" s="53" t="n"/>
      <c r="Q149" s="53" t="n"/>
    </row>
    <row r="150" customFormat="1" s="1916">
      <c r="A150" s="53" t="n"/>
      <c r="B150" s="53" t="n"/>
      <c r="C150" s="2192" t="n"/>
      <c r="D150" s="106" t="n"/>
      <c r="E150" s="106" t="n"/>
      <c r="G150" s="53" t="n"/>
      <c r="H150" s="93" t="n"/>
      <c r="I150" s="2145" t="n"/>
      <c r="J150" s="2145" t="n"/>
      <c r="K150" s="53" t="n"/>
      <c r="L150" s="53" t="n"/>
    </row>
    <row r="151" customFormat="1" s="1916">
      <c r="A151" s="111" t="n"/>
      <c r="B151" s="53" t="n"/>
      <c r="C151" s="53" t="n"/>
      <c r="D151" s="53" t="n"/>
      <c r="E151" s="53" t="n"/>
      <c r="G151" s="53" t="n"/>
      <c r="H151" s="93" t="n"/>
      <c r="I151" s="2145" t="n"/>
      <c r="J151" s="2145" t="n"/>
      <c r="K151" s="53" t="n"/>
      <c r="L151" s="53" t="n"/>
    </row>
    <row r="152" customFormat="1" s="1916">
      <c r="A152" s="53" t="n"/>
      <c r="B152" s="53" t="n"/>
      <c r="C152" s="2192" t="n"/>
      <c r="D152" s="106" t="n"/>
      <c r="E152" s="106" t="n"/>
      <c r="G152" s="53" t="n"/>
      <c r="H152" s="93" t="n"/>
      <c r="I152" s="2145" t="n"/>
      <c r="J152" s="2145" t="n"/>
      <c r="K152" s="53" t="n"/>
      <c r="L152" s="53" t="n"/>
    </row>
    <row r="153" customFormat="1" s="1916">
      <c r="A153" s="53" t="n"/>
      <c r="B153" s="53" t="n"/>
      <c r="C153" s="53" t="n"/>
      <c r="D153" s="2157" t="n"/>
      <c r="E153" s="2157" t="n"/>
      <c r="F153" s="53" t="n"/>
      <c r="G153" s="103" t="n"/>
      <c r="H153" s="103" t="n"/>
      <c r="I153" s="2147" t="n"/>
      <c r="J153" s="2147" t="n"/>
    </row>
    <row r="154" customFormat="1" s="1916">
      <c r="A154" s="53" t="n"/>
      <c r="B154" s="53" t="n"/>
      <c r="C154" s="2145" t="n"/>
      <c r="D154" s="2145" t="n"/>
      <c r="E154" s="2145" t="n"/>
      <c r="F154" s="53" t="n"/>
      <c r="G154" s="53" t="n"/>
      <c r="H154" s="53" t="n"/>
    </row>
    <row r="155" customFormat="1" s="1916">
      <c r="A155" s="53" t="n"/>
      <c r="B155" s="53" t="n"/>
      <c r="C155" s="53" t="n"/>
      <c r="D155" s="2145" t="n"/>
      <c r="E155" s="53" t="n"/>
      <c r="F155" s="53" t="n"/>
      <c r="G155" s="53" t="n"/>
      <c r="H155" s="53" t="n"/>
      <c r="K155" s="53" t="n"/>
      <c r="L155" s="53" t="n"/>
    </row>
    <row r="156" customFormat="1" s="1916">
      <c r="A156" s="53" t="n"/>
      <c r="B156" s="93" t="n"/>
      <c r="C156" s="2145" t="n"/>
      <c r="D156" s="2145" t="n"/>
      <c r="E156" s="53" t="n"/>
      <c r="F156" s="53" t="n"/>
      <c r="G156" s="2156" t="n"/>
      <c r="H156" s="93" t="n"/>
      <c r="I156" s="53" t="n"/>
      <c r="J156" s="2145" t="n"/>
      <c r="K156" s="53" t="n"/>
      <c r="L156" s="53" t="n"/>
    </row>
    <row r="157" customFormat="1" s="1916">
      <c r="A157" s="111" t="n"/>
      <c r="B157" s="93" t="n"/>
      <c r="C157" s="2145" t="n"/>
      <c r="D157" s="2145" t="n"/>
      <c r="E157" s="53" t="n"/>
      <c r="F157" s="53" t="n"/>
      <c r="G157" s="53" t="n"/>
      <c r="H157" s="93" t="n"/>
      <c r="I157" s="2145" t="n"/>
      <c r="J157" s="2145" t="n"/>
      <c r="K157" s="53" t="n"/>
      <c r="L157" s="53" t="n"/>
    </row>
    <row r="158" customFormat="1" s="1916">
      <c r="A158" s="53" t="n"/>
      <c r="B158" s="93" t="n"/>
      <c r="C158" s="2145" t="n"/>
      <c r="D158" s="2145" t="n"/>
      <c r="E158" s="53" t="n"/>
      <c r="F158" s="53" t="n"/>
      <c r="G158" s="53" t="n"/>
      <c r="H158" s="93" t="n"/>
      <c r="I158" s="2145" t="n"/>
      <c r="J158" s="2145" t="n"/>
      <c r="K158" s="53" t="n"/>
      <c r="L158" s="53" t="n"/>
    </row>
    <row r="159" customFormat="1" s="1916">
      <c r="A159" s="53" t="n"/>
      <c r="B159" s="93" t="n"/>
      <c r="C159" s="2145" t="n"/>
      <c r="D159" s="2145" t="n"/>
      <c r="E159" s="111" t="n"/>
      <c r="F159" s="53" t="n"/>
      <c r="G159" s="53" t="n"/>
      <c r="H159" s="93" t="n"/>
      <c r="I159" s="2145" t="n"/>
      <c r="J159" s="2145" t="n"/>
      <c r="K159" s="53" t="n"/>
      <c r="L159" s="53" t="n"/>
    </row>
    <row r="160" customFormat="1" s="1916">
      <c r="A160" s="53" t="n"/>
      <c r="B160" s="93" t="n"/>
      <c r="C160" s="2145" t="n"/>
      <c r="D160" s="2145" t="n"/>
      <c r="E160" s="111" t="n"/>
      <c r="F160" s="53" t="n"/>
      <c r="G160" s="53" t="n"/>
      <c r="H160" s="93" t="n"/>
      <c r="I160" s="2145" t="n"/>
      <c r="J160" s="2145" t="n"/>
      <c r="K160" s="53" t="n"/>
      <c r="L160" s="53" t="n"/>
    </row>
    <row r="161" customFormat="1" s="1916">
      <c r="A161" s="53" t="n"/>
      <c r="B161" s="93" t="n"/>
      <c r="C161" s="2145" t="n"/>
      <c r="D161" s="2145" t="n"/>
      <c r="E161" s="53" t="n"/>
      <c r="F161" s="53" t="n"/>
      <c r="G161" s="53" t="n"/>
      <c r="H161" s="93" t="n"/>
      <c r="I161" s="2145" t="n"/>
      <c r="J161" s="2145" t="n"/>
      <c r="K161" s="53" t="n"/>
      <c r="L161" s="53" t="n"/>
    </row>
    <row r="162" customFormat="1" s="1916">
      <c r="A162" s="53" t="n"/>
      <c r="B162" s="93" t="n"/>
      <c r="C162" s="2145" t="n"/>
      <c r="D162" s="2145" t="n"/>
      <c r="E162" s="53" t="n"/>
      <c r="F162" s="53" t="n"/>
      <c r="G162" s="53" t="n"/>
      <c r="H162" s="93" t="n"/>
      <c r="I162" s="2145" t="n"/>
      <c r="J162" s="2145" t="n"/>
      <c r="K162" s="53" t="n"/>
      <c r="L162" s="53" t="n"/>
    </row>
    <row r="163" customFormat="1" s="1916">
      <c r="A163" s="53" t="n"/>
      <c r="B163" s="93" t="n"/>
      <c r="C163" s="2145" t="n"/>
      <c r="D163" s="2145" t="n"/>
      <c r="E163" s="53" t="n"/>
      <c r="F163" s="53" t="n"/>
      <c r="G163" s="53" t="n"/>
      <c r="H163" s="93" t="n"/>
      <c r="I163" s="2145" t="n"/>
      <c r="J163" s="2145" t="n"/>
      <c r="K163" s="53" t="n"/>
      <c r="L163" s="53" t="n"/>
    </row>
    <row r="164" customFormat="1" s="1916">
      <c r="A164" s="53" t="n"/>
      <c r="B164" s="93" t="n"/>
      <c r="C164" s="2145" t="n"/>
      <c r="D164" s="2145" t="n"/>
      <c r="E164" s="53" t="n"/>
      <c r="F164" s="53" t="n"/>
      <c r="G164" s="53" t="n"/>
      <c r="H164" s="93" t="n"/>
      <c r="I164" s="2145" t="n"/>
      <c r="J164" s="2145" t="n"/>
      <c r="K164" s="53" t="n"/>
      <c r="L164" s="53" t="n"/>
    </row>
    <row r="165" customFormat="1" s="1916">
      <c r="A165" s="103" t="n"/>
      <c r="B165" s="103" t="n"/>
      <c r="C165" s="2147" t="n"/>
      <c r="D165" s="2147" t="n"/>
      <c r="E165" s="53" t="n"/>
      <c r="F165" s="53" t="n"/>
      <c r="G165" s="103" t="n"/>
      <c r="H165" s="103" t="n"/>
      <c r="I165" s="2147" t="n"/>
      <c r="J165" s="2147" t="n"/>
      <c r="K165" s="53" t="n"/>
      <c r="L165" s="53" t="n"/>
    </row>
    <row r="166" customFormat="1" s="1916">
      <c r="A166" s="53" t="n"/>
      <c r="B166" s="53" t="n"/>
      <c r="C166" s="2145" t="n"/>
      <c r="D166" s="2145" t="n"/>
      <c r="E166" s="53" t="n"/>
      <c r="F166" s="53" t="n"/>
      <c r="G166" s="53" t="n"/>
      <c r="H166" s="53" t="n"/>
      <c r="I166" s="53" t="n"/>
      <c r="K166" s="106" t="n"/>
      <c r="L166" s="106" t="n"/>
    </row>
    <row r="167" customFormat="1" s="1916">
      <c r="A167" s="53" t="n"/>
      <c r="B167" s="53" t="n"/>
      <c r="C167" s="2145" t="n"/>
      <c r="D167" s="2145" t="n"/>
      <c r="E167" s="53" t="n"/>
      <c r="F167" s="53" t="n"/>
    </row>
    <row r="168" customFormat="1" s="1916">
      <c r="A168" s="53" t="n"/>
      <c r="B168" s="53" t="n"/>
      <c r="C168" s="2145" t="n"/>
      <c r="D168" s="2147" t="n"/>
      <c r="E168" s="53" t="n"/>
      <c r="F168" s="53" t="n"/>
    </row>
    <row r="169" customFormat="1" s="1916">
      <c r="A169" s="53" t="n"/>
      <c r="B169" s="53" t="n"/>
      <c r="C169" s="2145" t="n"/>
      <c r="D169" s="2145" t="n"/>
      <c r="E169" s="53" t="n"/>
      <c r="F169" s="53" t="n"/>
    </row>
    <row r="170" customFormat="1" s="1916">
      <c r="A170" s="53" t="n"/>
      <c r="B170" s="53" t="n"/>
      <c r="C170" s="2145" t="n"/>
      <c r="D170" s="2145" t="n"/>
      <c r="E170" s="53" t="n"/>
      <c r="F170" s="53" t="n"/>
    </row>
    <row r="171" customFormat="1" s="1916">
      <c r="A171" s="53" t="n"/>
      <c r="B171" s="112" t="n"/>
      <c r="C171" s="2145" t="n"/>
      <c r="D171" s="2145" t="n"/>
      <c r="E171" s="53" t="n"/>
      <c r="F171" s="53" t="n"/>
    </row>
    <row r="172" customFormat="1" s="1916">
      <c r="A172" s="53" t="n"/>
      <c r="B172" s="112" t="n"/>
      <c r="C172" s="2145" t="n"/>
      <c r="D172" s="2145" t="n"/>
      <c r="E172" s="53" t="n"/>
      <c r="F172" s="53" t="n"/>
    </row>
    <row r="173" customFormat="1" s="1916">
      <c r="A173" s="53" t="n"/>
      <c r="B173" s="113" t="n"/>
      <c r="C173" s="2145" t="n"/>
      <c r="D173" s="2145" t="n"/>
      <c r="E173" s="53" t="n"/>
      <c r="F173" s="53" t="n"/>
    </row>
    <row r="174" customFormat="1" s="1916">
      <c r="A174" s="53" t="n"/>
      <c r="B174" s="113" t="n"/>
      <c r="C174" s="2145" t="n"/>
      <c r="D174" s="2145" t="n"/>
      <c r="E174" s="53" t="n"/>
      <c r="F174" s="53" t="n"/>
    </row>
    <row r="175" customFormat="1" s="1916">
      <c r="A175" s="53" t="n"/>
      <c r="B175" s="113" t="n"/>
      <c r="C175" s="2145" t="n"/>
      <c r="D175" s="2145" t="n"/>
      <c r="E175" s="53" t="n"/>
      <c r="F175" s="53" t="n"/>
    </row>
    <row r="176" customFormat="1" s="1916">
      <c r="A176" s="53" t="n"/>
      <c r="B176" s="113" t="n"/>
      <c r="C176" s="2145" t="n"/>
      <c r="D176" s="2145" t="n"/>
      <c r="E176" s="53" t="n"/>
      <c r="F176" s="53" t="n"/>
    </row>
    <row r="177" customFormat="1" s="1916">
      <c r="A177" s="53" t="n"/>
      <c r="B177" s="112" t="n"/>
      <c r="C177" s="2145" t="n"/>
      <c r="D177" s="2145" t="n"/>
      <c r="E177" s="53" t="n"/>
      <c r="F177" s="53" t="n"/>
    </row>
    <row r="178" customFormat="1" s="1916">
      <c r="A178" s="53" t="n"/>
      <c r="B178" s="112" t="n"/>
      <c r="C178" s="2145" t="n"/>
      <c r="D178" s="2145" t="n"/>
      <c r="E178" s="53" t="n"/>
      <c r="F178" s="53" t="n"/>
    </row>
    <row r="179" customFormat="1" s="1916">
      <c r="A179" s="53" t="n"/>
      <c r="B179" s="112" t="n"/>
      <c r="C179" s="2145" t="n"/>
      <c r="D179" s="2149" t="n"/>
      <c r="E179" s="53" t="n"/>
      <c r="F179" s="53" t="n"/>
    </row>
    <row r="180" customFormat="1" s="1916">
      <c r="A180" s="53" t="n"/>
      <c r="B180" s="113" t="n"/>
      <c r="C180" s="2145" t="n"/>
      <c r="D180" s="2145" t="n"/>
      <c r="E180" s="53" t="n"/>
      <c r="F180" s="53" t="n"/>
      <c r="G180" s="53" t="n"/>
      <c r="I180" s="2154" t="n"/>
    </row>
    <row r="181" customFormat="1" s="1916">
      <c r="A181" s="53" t="n"/>
      <c r="B181" s="53" t="n"/>
      <c r="C181" s="2145" t="n"/>
      <c r="D181" s="2145" t="n"/>
      <c r="E181" s="2145" t="n"/>
      <c r="F181" s="2145" t="n"/>
    </row>
    <row r="182" customFormat="1" s="1916">
      <c r="A182" s="53" t="n"/>
      <c r="B182" s="53" t="n"/>
      <c r="C182" s="2145" t="n"/>
      <c r="D182" s="2145" t="n"/>
      <c r="F182" s="108" t="n"/>
    </row>
    <row r="183" customFormat="1" s="1916">
      <c r="A183" s="103" t="n"/>
      <c r="B183" s="103" t="n"/>
      <c r="C183" s="2147" t="n"/>
      <c r="D183" s="2145" t="n"/>
      <c r="F183" s="53" t="n"/>
    </row>
    <row r="184" customFormat="1" s="1916">
      <c r="A184" s="103" t="n"/>
      <c r="B184" s="103" t="n"/>
      <c r="C184" s="2147" t="n"/>
      <c r="D184" s="2147" t="n"/>
      <c r="E184" s="53" t="n"/>
      <c r="F184" s="53" t="n"/>
    </row>
    <row r="185" customFormat="1" s="1916"/>
    <row r="186" customFormat="1" s="1916">
      <c r="A186" s="53" t="n"/>
      <c r="B186" s="53" t="n"/>
      <c r="C186" s="53" t="n"/>
      <c r="D186" s="53" t="n"/>
      <c r="G186" s="53" t="n"/>
      <c r="H186" s="53" t="n"/>
      <c r="I186" s="53" t="n"/>
      <c r="J186" s="2149" t="n"/>
      <c r="K186" s="2149" t="n"/>
      <c r="L186" s="2149" t="n"/>
      <c r="M186" s="53" t="n"/>
      <c r="N186" s="53" t="n"/>
    </row>
    <row r="187" customFormat="1" s="1916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2149" t="n"/>
      <c r="J187" s="2149" t="n"/>
      <c r="K187" s="2149" t="n"/>
      <c r="L187" s="2149" t="n"/>
      <c r="M187" s="53" t="n"/>
      <c r="N187" s="53" t="n"/>
      <c r="O187" s="53" t="n"/>
    </row>
    <row r="188" customFormat="1" s="1916">
      <c r="A188" s="53" t="n"/>
      <c r="B188" s="2155" t="n"/>
      <c r="C188" s="2145" t="n"/>
      <c r="D188" s="2145" t="n"/>
      <c r="E188" s="2156" t="n"/>
      <c r="F188" s="53" t="n"/>
      <c r="G188" s="53" t="n"/>
      <c r="H188" s="2145" t="n"/>
      <c r="I188" s="2190" t="n"/>
      <c r="J188" s="2149" t="n"/>
      <c r="K188" s="2149" t="n"/>
      <c r="L188" s="2149" t="n"/>
      <c r="M188" s="53" t="n"/>
      <c r="N188" s="2145" t="n"/>
      <c r="O188" s="2145" t="n"/>
    </row>
    <row r="189" customFormat="1" s="1916">
      <c r="A189" s="53" t="n"/>
      <c r="B189" s="53" t="n"/>
      <c r="C189" s="2145" t="n"/>
      <c r="D189" s="2145" t="n"/>
      <c r="E189" s="2190" t="n"/>
      <c r="G189" s="53" t="n"/>
      <c r="H189" s="2145" t="n"/>
      <c r="I189" s="2190" t="n"/>
      <c r="J189" s="2149" t="n"/>
      <c r="L189" s="2149" t="n"/>
      <c r="M189" s="53" t="n"/>
      <c r="N189" s="2156" t="n"/>
      <c r="O189" s="2145" t="n"/>
    </row>
    <row r="190" customFormat="1" s="1916">
      <c r="A190" s="53" t="n"/>
      <c r="B190" s="53" t="n"/>
      <c r="C190" s="2145" t="n"/>
      <c r="D190" s="2145" t="n"/>
      <c r="E190" s="53" t="n"/>
      <c r="F190" s="53" t="n"/>
      <c r="L190" s="53" t="n"/>
      <c r="M190" s="53" t="n"/>
      <c r="N190" s="2156" t="n"/>
      <c r="O190" s="2145" t="n"/>
    </row>
    <row r="191" customFormat="1" s="1916">
      <c r="A191" s="53" t="n"/>
      <c r="B191" s="53" t="n"/>
      <c r="C191" s="2145" t="n"/>
      <c r="D191" s="2145" t="n"/>
      <c r="E191" s="53" t="n"/>
      <c r="F191" s="53" t="n"/>
      <c r="L191" s="53" t="n"/>
      <c r="M191" s="2145" t="n"/>
      <c r="N191" s="53" t="n"/>
      <c r="O191" s="2145" t="n"/>
    </row>
    <row r="192" customFormat="1" s="1916">
      <c r="A192" s="53" t="n"/>
      <c r="B192" s="53" t="n"/>
      <c r="C192" s="2145" t="n"/>
      <c r="D192" s="2145" t="n"/>
      <c r="E192" s="53" t="n"/>
      <c r="F192" s="53" t="n"/>
      <c r="L192" s="53" t="n"/>
      <c r="M192" s="53" t="n"/>
      <c r="N192" s="53" t="n"/>
      <c r="O192" s="53" t="n"/>
    </row>
    <row r="193" customFormat="1" s="1916">
      <c r="A193" s="53" t="n"/>
      <c r="B193" s="53" t="n"/>
      <c r="C193" s="2145" t="n"/>
      <c r="D193" s="2145" t="n"/>
      <c r="E193" s="53" t="n"/>
      <c r="F193" s="53" t="n"/>
      <c r="L193" s="53" t="n"/>
      <c r="M193" s="53" t="n"/>
      <c r="N193" s="53" t="n"/>
      <c r="O193" s="53" t="n"/>
    </row>
    <row r="194" customFormat="1" s="1916">
      <c r="A194" s="53" t="n"/>
      <c r="B194" s="53" t="n"/>
      <c r="C194" s="2145" t="n"/>
      <c r="D194" s="2145" t="n"/>
      <c r="E194" s="53" t="n"/>
      <c r="F194" s="53" t="n"/>
      <c r="L194" s="53" t="n"/>
      <c r="M194" s="53" t="n"/>
      <c r="N194" s="53" t="n"/>
      <c r="O194" s="53" t="n"/>
      <c r="P194" s="53" t="n"/>
      <c r="Q194" s="53" t="n"/>
    </row>
    <row r="195" customFormat="1" s="1916">
      <c r="A195" s="53" t="n"/>
      <c r="B195" s="53" t="n"/>
      <c r="C195" s="2145" t="n"/>
      <c r="D195" s="2145" t="n"/>
      <c r="E195" s="53" t="n"/>
      <c r="F195" s="53" t="n"/>
      <c r="L195" s="53" t="n"/>
      <c r="M195" s="53" t="n"/>
      <c r="N195" s="53" t="n"/>
      <c r="O195" s="53" t="n"/>
      <c r="P195" s="2145" t="n"/>
      <c r="Q195" s="2145" t="n"/>
    </row>
    <row r="196" customFormat="1" s="1916">
      <c r="A196" s="53" t="n"/>
      <c r="B196" s="53" t="n"/>
      <c r="C196" s="2145" t="n"/>
      <c r="D196" s="2145" t="n"/>
      <c r="E196" s="53" t="n"/>
      <c r="F196" s="53" t="n"/>
      <c r="L196" s="53" t="n"/>
      <c r="M196" s="53" t="n"/>
      <c r="N196" s="53" t="n"/>
      <c r="O196" s="53" t="n"/>
      <c r="P196" s="2145" t="n"/>
      <c r="Q196" s="2145" t="n"/>
    </row>
    <row r="197" customFormat="1" s="1916">
      <c r="A197" s="53" t="n"/>
      <c r="B197" s="53" t="n"/>
      <c r="C197" s="2145" t="n"/>
      <c r="D197" s="2145" t="n"/>
      <c r="E197" s="53" t="n"/>
      <c r="F197" s="53" t="n"/>
      <c r="L197" s="53" t="n"/>
      <c r="M197" s="53" t="n"/>
      <c r="N197" s="53" t="n"/>
      <c r="O197" s="53" t="n"/>
      <c r="P197" s="2145" t="n"/>
      <c r="Q197" s="2145" t="n"/>
    </row>
    <row r="198" customFormat="1" s="1916">
      <c r="A198" s="103" t="n"/>
      <c r="B198" s="103" t="n"/>
      <c r="C198" s="2147" t="n"/>
      <c r="D198" s="2147" t="n"/>
      <c r="E198" s="53" t="n"/>
      <c r="F198" s="53" t="n"/>
      <c r="O198" s="53" t="n"/>
      <c r="P198" s="2145" t="n"/>
      <c r="Q198" s="2145" t="n"/>
    </row>
    <row r="199" customFormat="1" s="1916">
      <c r="A199" s="103" t="n"/>
      <c r="B199" s="103" t="n"/>
      <c r="C199" s="2147" t="n"/>
      <c r="D199" s="2147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P199" s="53" t="n"/>
      <c r="Q199" s="53" t="n"/>
    </row>
    <row r="200" customFormat="1" s="1916">
      <c r="A200" s="103" t="n"/>
      <c r="B200" s="105" t="n"/>
      <c r="C200" s="2147" t="n"/>
      <c r="D200" s="2147" t="n"/>
      <c r="E200" s="53" t="n"/>
      <c r="F200" s="53" t="n"/>
      <c r="G200" s="53" t="n"/>
      <c r="H200" s="53" t="n"/>
      <c r="I200" s="53" t="n"/>
      <c r="J200" s="106" t="n"/>
      <c r="K200" s="106" t="n"/>
      <c r="L200" s="106" t="n"/>
      <c r="P200" s="53" t="n"/>
      <c r="Q200" s="53" t="n"/>
    </row>
    <row r="201" customFormat="1" s="1916">
      <c r="A201" s="53" t="n"/>
      <c r="B201" s="53" t="n"/>
      <c r="C201" s="2145" t="n"/>
      <c r="D201" s="2145" t="n"/>
      <c r="E201" s="53" t="n"/>
      <c r="F201" s="53" t="n"/>
      <c r="G201" s="2191" t="n"/>
      <c r="H201" s="53" t="n"/>
      <c r="I201" s="53" t="n"/>
      <c r="J201" s="53" t="n"/>
      <c r="K201" s="53" t="n"/>
      <c r="L201" s="53" t="n"/>
      <c r="P201" s="53" t="n"/>
      <c r="Q201" s="53" t="n"/>
    </row>
    <row r="202" customFormat="1" s="1916">
      <c r="A202" s="3" t="n"/>
      <c r="B202" s="2156" t="n"/>
      <c r="C202" s="3" t="n"/>
      <c r="D202" s="2156" t="n"/>
      <c r="G202" s="53" t="n"/>
      <c r="H202" s="108" t="n"/>
      <c r="I202" s="53" t="n"/>
      <c r="J202" s="106" t="n"/>
      <c r="K202" s="106" t="n"/>
      <c r="L202" s="106" t="n"/>
      <c r="P202" s="53" t="n"/>
      <c r="Q202" s="53" t="n"/>
    </row>
    <row r="203" customFormat="1" s="1916">
      <c r="A203" s="53" t="n"/>
      <c r="B203" s="53" t="n"/>
      <c r="C203" s="53" t="n"/>
      <c r="D203" s="53" t="n"/>
      <c r="E203" s="106" t="n"/>
      <c r="G203" s="53" t="n"/>
      <c r="H203" s="53" t="n"/>
      <c r="I203" s="53" t="n"/>
      <c r="J203" s="2145" t="n"/>
      <c r="K203" s="53" t="n"/>
      <c r="L203" s="53" t="n"/>
      <c r="P203" s="53" t="n"/>
      <c r="Q203" s="53" t="n"/>
    </row>
    <row r="204" customFormat="1" s="1916">
      <c r="A204" s="53" t="n"/>
      <c r="B204" s="53" t="n"/>
      <c r="C204" s="2192" t="n"/>
      <c r="D204" s="106" t="n"/>
      <c r="E204" s="106" t="n"/>
      <c r="G204" s="53" t="n"/>
      <c r="H204" s="93" t="n"/>
      <c r="I204" s="2145" t="n"/>
      <c r="J204" s="2145" t="n"/>
      <c r="K204" s="53" t="n"/>
      <c r="L204" s="53" t="n"/>
      <c r="P204" s="53" t="n"/>
      <c r="Q204" s="53" t="n"/>
    </row>
    <row r="205" customFormat="1" s="1916">
      <c r="A205" s="53" t="n"/>
      <c r="B205" s="53" t="n"/>
      <c r="C205" s="53" t="n"/>
      <c r="D205" s="53" t="n"/>
      <c r="E205" s="53" t="n"/>
      <c r="G205" s="53" t="n"/>
      <c r="H205" s="93" t="n"/>
      <c r="I205" s="2145" t="n"/>
      <c r="J205" s="2145" t="n"/>
      <c r="K205" s="53" t="n"/>
      <c r="L205" s="53" t="n"/>
      <c r="P205" s="53" t="n"/>
      <c r="Q205" s="53" t="n"/>
    </row>
    <row r="206" customFormat="1" s="1916">
      <c r="A206" s="53" t="n"/>
      <c r="B206" s="53" t="n"/>
      <c r="C206" s="2192" t="n"/>
      <c r="D206" s="106" t="n"/>
      <c r="E206" s="106" t="n"/>
      <c r="G206" s="53" t="n"/>
      <c r="H206" s="93" t="n"/>
      <c r="I206" s="2145" t="n"/>
      <c r="J206" s="2145" t="n"/>
      <c r="K206" s="53" t="n"/>
      <c r="L206" s="53" t="n"/>
    </row>
    <row r="207" customFormat="1" s="1916">
      <c r="A207" s="111" t="n"/>
      <c r="B207" s="53" t="n"/>
      <c r="C207" s="53" t="n"/>
      <c r="D207" s="53" t="n"/>
      <c r="E207" s="53" t="n"/>
      <c r="G207" s="53" t="n"/>
      <c r="H207" s="93" t="n"/>
      <c r="I207" s="2145" t="n"/>
      <c r="J207" s="2145" t="n"/>
      <c r="K207" s="53" t="n"/>
      <c r="L207" s="53" t="n"/>
    </row>
    <row r="208" customFormat="1" s="1916">
      <c r="A208" s="53" t="n"/>
      <c r="B208" s="53" t="n"/>
      <c r="C208" s="2192" t="n"/>
      <c r="D208" s="106" t="n"/>
      <c r="E208" s="106" t="n"/>
      <c r="G208" s="53" t="n"/>
      <c r="H208" s="93" t="n"/>
      <c r="I208" s="2145" t="n"/>
      <c r="J208" s="2145" t="n"/>
      <c r="K208" s="53" t="n"/>
      <c r="L208" s="53" t="n"/>
    </row>
    <row r="209" customFormat="1" s="1916">
      <c r="A209" s="53" t="n"/>
      <c r="B209" s="53" t="n"/>
      <c r="C209" s="53" t="n"/>
      <c r="D209" s="2157" t="n"/>
      <c r="E209" s="2157" t="n"/>
      <c r="F209" s="53" t="n"/>
      <c r="G209" s="103" t="n"/>
      <c r="H209" s="103" t="n"/>
      <c r="I209" s="2147" t="n"/>
      <c r="J209" s="2147" t="n"/>
    </row>
    <row r="210" customFormat="1" s="1916">
      <c r="A210" s="53" t="n"/>
      <c r="B210" s="53" t="n"/>
      <c r="C210" s="2145" t="n"/>
      <c r="D210" s="2145" t="n"/>
      <c r="E210" s="2145" t="n"/>
      <c r="F210" s="53" t="n"/>
      <c r="G210" s="53" t="n"/>
      <c r="H210" s="53" t="n"/>
    </row>
    <row r="211" customFormat="1" s="1916">
      <c r="A211" s="53" t="n"/>
      <c r="B211" s="53" t="n"/>
      <c r="C211" s="53" t="n"/>
      <c r="D211" s="2145" t="n"/>
      <c r="E211" s="53" t="n"/>
      <c r="F211" s="53" t="n"/>
      <c r="G211" s="53" t="n"/>
      <c r="H211" s="53" t="n"/>
      <c r="K211" s="53" t="n"/>
      <c r="L211" s="53" t="n"/>
    </row>
    <row r="212" customFormat="1" s="1916">
      <c r="A212" s="53" t="n"/>
      <c r="B212" s="93" t="n"/>
      <c r="C212" s="2145" t="n"/>
      <c r="D212" s="2145" t="n"/>
      <c r="E212" s="53" t="n"/>
      <c r="F212" s="53" t="n"/>
      <c r="G212" s="2156" t="n"/>
      <c r="H212" s="93" t="n"/>
      <c r="I212" s="53" t="n"/>
      <c r="J212" s="2145" t="n"/>
      <c r="K212" s="53" t="n"/>
      <c r="L212" s="53" t="n"/>
    </row>
    <row r="213" customFormat="1" s="1916">
      <c r="A213" s="111" t="n"/>
      <c r="B213" s="93" t="n"/>
      <c r="C213" s="2145" t="n"/>
      <c r="D213" s="2145" t="n"/>
      <c r="E213" s="53" t="n"/>
      <c r="F213" s="53" t="n"/>
      <c r="G213" s="53" t="n"/>
      <c r="H213" s="93" t="n"/>
      <c r="I213" s="2145" t="n"/>
      <c r="J213" s="2145" t="n"/>
      <c r="K213" s="53" t="n"/>
      <c r="L213" s="53" t="n"/>
    </row>
    <row r="214" customFormat="1" s="1916">
      <c r="A214" s="53" t="n"/>
      <c r="B214" s="93" t="n"/>
      <c r="C214" s="2145" t="n"/>
      <c r="D214" s="2145" t="n"/>
      <c r="E214" s="53" t="n"/>
      <c r="F214" s="53" t="n"/>
      <c r="G214" s="53" t="n"/>
      <c r="H214" s="93" t="n"/>
      <c r="I214" s="2145" t="n"/>
      <c r="J214" s="2145" t="n"/>
      <c r="K214" s="53" t="n"/>
      <c r="L214" s="53" t="n"/>
    </row>
    <row r="215" customFormat="1" s="1916">
      <c r="A215" s="53" t="n"/>
      <c r="B215" s="93" t="n"/>
      <c r="C215" s="2145" t="n"/>
      <c r="D215" s="2145" t="n"/>
      <c r="E215" s="111" t="n"/>
      <c r="F215" s="53" t="n"/>
      <c r="G215" s="53" t="n"/>
      <c r="H215" s="93" t="n"/>
      <c r="I215" s="2145" t="n"/>
      <c r="J215" s="2145" t="n"/>
      <c r="K215" s="53" t="n"/>
      <c r="L215" s="53" t="n"/>
    </row>
    <row r="216" customFormat="1" s="1916">
      <c r="A216" s="53" t="n"/>
      <c r="B216" s="93" t="n"/>
      <c r="C216" s="2145" t="n"/>
      <c r="D216" s="2145" t="n"/>
      <c r="E216" s="111" t="n"/>
      <c r="F216" s="53" t="n"/>
      <c r="G216" s="53" t="n"/>
      <c r="H216" s="93" t="n"/>
      <c r="I216" s="2145" t="n"/>
      <c r="J216" s="2145" t="n"/>
      <c r="K216" s="53" t="n"/>
      <c r="L216" s="53" t="n"/>
    </row>
    <row r="217" customFormat="1" s="1916">
      <c r="A217" s="53" t="n"/>
      <c r="B217" s="93" t="n"/>
      <c r="C217" s="2145" t="n"/>
      <c r="D217" s="2145" t="n"/>
      <c r="E217" s="53" t="n"/>
      <c r="F217" s="53" t="n"/>
      <c r="G217" s="53" t="n"/>
      <c r="H217" s="93" t="n"/>
      <c r="I217" s="2145" t="n"/>
      <c r="J217" s="2145" t="n"/>
      <c r="K217" s="53" t="n"/>
      <c r="L217" s="53" t="n"/>
    </row>
    <row r="218" customFormat="1" s="1916">
      <c r="A218" s="53" t="n"/>
      <c r="B218" s="93" t="n"/>
      <c r="C218" s="2145" t="n"/>
      <c r="D218" s="2145" t="n"/>
      <c r="E218" s="53" t="n"/>
      <c r="F218" s="53" t="n"/>
      <c r="G218" s="53" t="n"/>
      <c r="H218" s="93" t="n"/>
      <c r="I218" s="2145" t="n"/>
      <c r="J218" s="2145" t="n"/>
      <c r="K218" s="53" t="n"/>
      <c r="L218" s="53" t="n"/>
    </row>
    <row r="219" customFormat="1" s="1916">
      <c r="A219" s="53" t="n"/>
      <c r="B219" s="93" t="n"/>
      <c r="C219" s="2145" t="n"/>
      <c r="D219" s="2145" t="n"/>
      <c r="E219" s="53" t="n"/>
      <c r="F219" s="53" t="n"/>
      <c r="G219" s="53" t="n"/>
      <c r="H219" s="93" t="n"/>
      <c r="I219" s="2145" t="n"/>
      <c r="J219" s="2145" t="n"/>
      <c r="K219" s="53" t="n"/>
      <c r="L219" s="53" t="n"/>
    </row>
    <row r="220" customFormat="1" s="1916">
      <c r="A220" s="53" t="n"/>
      <c r="B220" s="93" t="n"/>
      <c r="C220" s="2145" t="n"/>
      <c r="D220" s="2145" t="n"/>
      <c r="E220" s="53" t="n"/>
      <c r="F220" s="53" t="n"/>
      <c r="G220" s="53" t="n"/>
      <c r="H220" s="93" t="n"/>
      <c r="I220" s="2145" t="n"/>
      <c r="J220" s="2145" t="n"/>
      <c r="K220" s="53" t="n"/>
      <c r="L220" s="53" t="n"/>
    </row>
    <row r="221" customFormat="1" s="1916">
      <c r="A221" s="103" t="n"/>
      <c r="B221" s="103" t="n"/>
      <c r="C221" s="2147" t="n"/>
      <c r="D221" s="2147" t="n"/>
      <c r="E221" s="53" t="n"/>
      <c r="F221" s="53" t="n"/>
      <c r="G221" s="103" t="n"/>
      <c r="H221" s="103" t="n"/>
      <c r="I221" s="2147" t="n"/>
      <c r="J221" s="2147" t="n"/>
      <c r="K221" s="53" t="n"/>
      <c r="L221" s="53" t="n"/>
    </row>
    <row r="222" customFormat="1" s="1916">
      <c r="A222" s="53" t="n"/>
      <c r="B222" s="53" t="n"/>
      <c r="C222" s="2145" t="n"/>
      <c r="D222" s="2145" t="n"/>
      <c r="E222" s="53" t="n"/>
      <c r="F222" s="53" t="n"/>
      <c r="G222" s="53" t="n"/>
      <c r="H222" s="53" t="n"/>
      <c r="I222" s="53" t="n"/>
      <c r="K222" s="106" t="n"/>
      <c r="L222" s="106" t="n"/>
    </row>
    <row r="223" customFormat="1" s="1916">
      <c r="A223" s="53" t="n"/>
      <c r="B223" s="53" t="n"/>
      <c r="C223" s="2145" t="n"/>
      <c r="D223" s="2145" t="n"/>
      <c r="E223" s="53" t="n"/>
      <c r="F223" s="53" t="n"/>
    </row>
    <row r="224" customFormat="1" s="1916">
      <c r="A224" s="53" t="n"/>
      <c r="B224" s="53" t="n"/>
      <c r="C224" s="2145" t="n"/>
      <c r="D224" s="2147" t="n"/>
      <c r="E224" s="53" t="n"/>
      <c r="F224" s="53" t="n"/>
    </row>
    <row r="225" customFormat="1" s="1916">
      <c r="A225" s="53" t="n"/>
      <c r="B225" s="53" t="n"/>
      <c r="C225" s="2145" t="n"/>
      <c r="D225" s="2145" t="n"/>
      <c r="E225" s="53" t="n"/>
      <c r="F225" s="53" t="n"/>
    </row>
    <row r="226" customFormat="1" s="1916">
      <c r="A226" s="53" t="n"/>
      <c r="B226" s="53" t="n"/>
      <c r="C226" s="2145" t="n"/>
      <c r="D226" s="2145" t="n"/>
      <c r="E226" s="53" t="n"/>
      <c r="F226" s="53" t="n"/>
    </row>
    <row r="227" customFormat="1" s="1916">
      <c r="A227" s="53" t="n"/>
      <c r="B227" s="112" t="n"/>
      <c r="C227" s="2145" t="n"/>
      <c r="D227" s="2145" t="n"/>
      <c r="E227" s="53" t="n"/>
      <c r="F227" s="53" t="n"/>
    </row>
    <row r="228" customFormat="1" s="1916">
      <c r="A228" s="53" t="n"/>
      <c r="B228" s="112" t="n"/>
      <c r="C228" s="2145" t="n"/>
      <c r="D228" s="2145" t="n"/>
      <c r="E228" s="53" t="n"/>
      <c r="F228" s="53" t="n"/>
    </row>
    <row r="229" customFormat="1" s="1916">
      <c r="A229" s="53" t="n"/>
      <c r="B229" s="113" t="n"/>
      <c r="C229" s="2145" t="n"/>
      <c r="D229" s="2145" t="n"/>
      <c r="E229" s="53" t="n"/>
      <c r="F229" s="53" t="n"/>
    </row>
    <row r="230" customFormat="1" s="1916">
      <c r="A230" s="53" t="n"/>
      <c r="B230" s="113" t="n"/>
      <c r="C230" s="2145" t="n"/>
      <c r="D230" s="2145" t="n"/>
      <c r="E230" s="53" t="n"/>
      <c r="F230" s="53" t="n"/>
    </row>
    <row r="231" customFormat="1" s="1916">
      <c r="A231" s="53" t="n"/>
      <c r="B231" s="113" t="n"/>
      <c r="C231" s="2145" t="n"/>
      <c r="D231" s="2145" t="n"/>
      <c r="E231" s="53" t="n"/>
      <c r="F231" s="53" t="n"/>
    </row>
    <row r="232" customFormat="1" s="1916">
      <c r="A232" s="53" t="n"/>
      <c r="B232" s="113" t="n"/>
      <c r="C232" s="2145" t="n"/>
      <c r="D232" s="2145" t="n"/>
      <c r="E232" s="53" t="n"/>
      <c r="F232" s="53" t="n"/>
    </row>
    <row r="233" customFormat="1" s="1916">
      <c r="A233" s="53" t="n"/>
      <c r="B233" s="112" t="n"/>
      <c r="C233" s="2145" t="n"/>
      <c r="D233" s="2145" t="n"/>
      <c r="E233" s="53" t="n"/>
      <c r="F233" s="53" t="n"/>
    </row>
    <row r="234" customFormat="1" s="1916">
      <c r="A234" s="53" t="n"/>
      <c r="B234" s="112" t="n"/>
      <c r="C234" s="2145" t="n"/>
      <c r="D234" s="2145" t="n"/>
      <c r="E234" s="53" t="n"/>
      <c r="F234" s="53" t="n"/>
    </row>
    <row r="235" customFormat="1" s="1916">
      <c r="A235" s="53" t="n"/>
      <c r="B235" s="112" t="n"/>
      <c r="C235" s="2145" t="n"/>
      <c r="D235" s="2149" t="n"/>
      <c r="E235" s="53" t="n"/>
      <c r="F235" s="53" t="n"/>
    </row>
    <row r="236" customFormat="1" s="1916">
      <c r="A236" s="53" t="n"/>
      <c r="B236" s="113" t="n"/>
      <c r="C236" s="2145" t="n"/>
      <c r="D236" s="2145" t="n"/>
      <c r="E236" s="53" t="n"/>
      <c r="F236" s="53" t="n"/>
      <c r="G236" s="53" t="n"/>
      <c r="I236" s="2154" t="n"/>
    </row>
    <row r="237" customFormat="1" s="1916">
      <c r="A237" s="53" t="n"/>
      <c r="B237" s="53" t="n"/>
      <c r="C237" s="2145" t="n"/>
      <c r="D237" s="2145" t="n"/>
      <c r="E237" s="2145" t="n"/>
      <c r="F237" s="2145" t="n"/>
    </row>
    <row r="238" customFormat="1" s="1916">
      <c r="A238" s="53" t="n"/>
      <c r="B238" s="53" t="n"/>
      <c r="C238" s="2145" t="n"/>
      <c r="D238" s="2145" t="n"/>
      <c r="F238" s="108" t="n"/>
    </row>
    <row r="239" customFormat="1" s="1916">
      <c r="A239" s="103" t="n"/>
      <c r="B239" s="103" t="n"/>
      <c r="C239" s="2147" t="n"/>
      <c r="D239" s="2145" t="n"/>
      <c r="F239" s="53" t="n"/>
    </row>
    <row r="240" customFormat="1" s="1916">
      <c r="A240" s="103" t="n"/>
      <c r="B240" s="103" t="n"/>
      <c r="C240" s="2147" t="n"/>
      <c r="D240" s="2147" t="n"/>
      <c r="E240" s="53" t="n"/>
      <c r="F240" s="53" t="n"/>
    </row>
    <row r="241" customFormat="1" s="1916">
      <c r="A241" s="116" t="n"/>
    </row>
    <row r="242" customFormat="1" s="1916">
      <c r="A242" s="53" t="n"/>
      <c r="B242" s="53" t="n"/>
      <c r="C242" s="53" t="n"/>
      <c r="D242" s="53" t="n"/>
      <c r="G242" s="53" t="n"/>
      <c r="H242" s="53" t="n"/>
      <c r="I242" s="53" t="n"/>
      <c r="J242" s="2149" t="n"/>
      <c r="K242" s="2149" t="n"/>
      <c r="L242" s="2149" t="n"/>
      <c r="M242" s="53" t="n"/>
      <c r="N242" s="53" t="n"/>
    </row>
    <row r="243" customFormat="1" s="1916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2149" t="n"/>
      <c r="J243" s="2149" t="n"/>
      <c r="K243" s="2149" t="n"/>
      <c r="L243" s="2149" t="n"/>
      <c r="M243" s="53" t="n"/>
      <c r="N243" s="53" t="n"/>
      <c r="O243" s="53" t="n"/>
    </row>
    <row r="244" customFormat="1" s="1916">
      <c r="A244" s="53" t="n"/>
      <c r="B244" s="2155" t="n"/>
      <c r="C244" s="2145" t="n"/>
      <c r="D244" s="2145" t="n"/>
      <c r="E244" s="2156" t="n"/>
      <c r="F244" s="53" t="n"/>
      <c r="G244" s="53" t="n"/>
      <c r="H244" s="2145" t="n"/>
      <c r="I244" s="2190" t="n"/>
      <c r="J244" s="2149" t="n"/>
      <c r="K244" s="2149" t="n"/>
      <c r="L244" s="2149" t="n"/>
      <c r="M244" s="53" t="n"/>
      <c r="N244" s="2145" t="n"/>
      <c r="O244" s="2145" t="n"/>
    </row>
    <row r="245" customFormat="1" s="1916">
      <c r="A245" s="53" t="n"/>
      <c r="B245" s="53" t="n"/>
      <c r="C245" s="2145" t="n"/>
      <c r="D245" s="2145" t="n"/>
      <c r="E245" s="2190" t="n"/>
      <c r="G245" s="53" t="n"/>
      <c r="H245" s="2145" t="n"/>
      <c r="I245" s="2190" t="n"/>
      <c r="J245" s="2149" t="n"/>
      <c r="L245" s="2149" t="n"/>
      <c r="M245" s="53" t="n"/>
      <c r="N245" s="2156" t="n"/>
      <c r="O245" s="2145" t="n"/>
    </row>
    <row r="246" customFormat="1" s="1916">
      <c r="A246" s="53" t="n"/>
      <c r="B246" s="53" t="n"/>
      <c r="C246" s="2145" t="n"/>
      <c r="D246" s="2145" t="n"/>
      <c r="E246" s="53" t="n"/>
      <c r="F246" s="53" t="n"/>
      <c r="L246" s="53" t="n"/>
      <c r="M246" s="53" t="n"/>
      <c r="N246" s="2156" t="n"/>
      <c r="O246" s="2145" t="n"/>
    </row>
    <row r="247" customFormat="1" s="1916">
      <c r="A247" s="53" t="n"/>
      <c r="B247" s="53" t="n"/>
      <c r="C247" s="2145" t="n"/>
      <c r="D247" s="2145" t="n"/>
      <c r="E247" s="53" t="n"/>
      <c r="F247" s="53" t="n"/>
      <c r="L247" s="53" t="n"/>
      <c r="M247" s="2145" t="n"/>
      <c r="N247" s="53" t="n"/>
      <c r="O247" s="2145" t="n"/>
    </row>
    <row r="248" customFormat="1" s="1916">
      <c r="A248" s="53" t="n"/>
      <c r="B248" s="53" t="n"/>
      <c r="C248" s="2145" t="n"/>
      <c r="D248" s="2145" t="n"/>
      <c r="E248" s="53" t="n"/>
      <c r="F248" s="53" t="n"/>
      <c r="L248" s="53" t="n"/>
      <c r="M248" s="53" t="n"/>
      <c r="N248" s="53" t="n"/>
      <c r="O248" s="53" t="n"/>
    </row>
    <row r="249" customFormat="1" s="1916">
      <c r="A249" s="53" t="n"/>
      <c r="B249" s="53" t="n"/>
      <c r="C249" s="2145" t="n"/>
      <c r="D249" s="2145" t="n"/>
      <c r="E249" s="53" t="n"/>
      <c r="F249" s="53" t="n"/>
      <c r="L249" s="53" t="n"/>
      <c r="M249" s="53" t="n"/>
      <c r="N249" s="53" t="n"/>
      <c r="O249" s="53" t="n"/>
    </row>
    <row r="250" customFormat="1" s="1916">
      <c r="A250" s="53" t="n"/>
      <c r="B250" s="53" t="n"/>
      <c r="C250" s="2145" t="n"/>
      <c r="D250" s="2145" t="n"/>
      <c r="E250" s="53" t="n"/>
      <c r="F250" s="53" t="n"/>
      <c r="L250" s="53" t="n"/>
      <c r="M250" s="53" t="n"/>
      <c r="N250" s="53" t="n"/>
      <c r="O250" s="53" t="n"/>
      <c r="P250" s="53" t="n"/>
      <c r="Q250" s="53" t="n"/>
    </row>
    <row r="251" customFormat="1" s="1916">
      <c r="A251" s="53" t="n"/>
      <c r="B251" s="53" t="n"/>
      <c r="C251" s="2145" t="n"/>
      <c r="D251" s="2145" t="n"/>
      <c r="E251" s="53" t="n"/>
      <c r="F251" s="53" t="n"/>
      <c r="L251" s="53" t="n"/>
      <c r="M251" s="53" t="n"/>
      <c r="N251" s="53" t="n"/>
      <c r="O251" s="53" t="n"/>
      <c r="P251" s="2145" t="n"/>
      <c r="Q251" s="2145" t="n"/>
    </row>
    <row r="252" customFormat="1" s="1916">
      <c r="A252" s="53" t="n"/>
      <c r="B252" s="53" t="n"/>
      <c r="C252" s="2145" t="n"/>
      <c r="D252" s="2145" t="n"/>
      <c r="E252" s="53" t="n"/>
      <c r="F252" s="53" t="n"/>
      <c r="L252" s="53" t="n"/>
      <c r="M252" s="53" t="n"/>
      <c r="N252" s="53" t="n"/>
      <c r="O252" s="53" t="n"/>
      <c r="P252" s="2145" t="n"/>
      <c r="Q252" s="2145" t="n"/>
    </row>
    <row r="253" customFormat="1" s="1916">
      <c r="A253" s="53" t="n"/>
      <c r="B253" s="53" t="n"/>
      <c r="C253" s="2145" t="n"/>
      <c r="D253" s="2145" t="n"/>
      <c r="E253" s="53" t="n"/>
      <c r="F253" s="53" t="n"/>
      <c r="L253" s="53" t="n"/>
      <c r="M253" s="53" t="n"/>
      <c r="N253" s="53" t="n"/>
      <c r="O253" s="53" t="n"/>
      <c r="P253" s="2145" t="n"/>
      <c r="Q253" s="2145" t="n"/>
    </row>
    <row r="254" customFormat="1" s="1916">
      <c r="A254" s="103" t="n"/>
      <c r="B254" s="103" t="n"/>
      <c r="C254" s="2147" t="n"/>
      <c r="D254" s="2147" t="n"/>
      <c r="E254" s="53" t="n"/>
      <c r="F254" s="53" t="n"/>
      <c r="O254" s="53" t="n"/>
      <c r="P254" s="2145" t="n"/>
      <c r="Q254" s="2145" t="n"/>
    </row>
    <row r="255" customFormat="1" s="1916">
      <c r="A255" s="103" t="n"/>
      <c r="B255" s="103" t="n"/>
      <c r="C255" s="2147" t="n"/>
      <c r="D255" s="2147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P255" s="53" t="n"/>
      <c r="Q255" s="53" t="n"/>
    </row>
    <row r="256" customFormat="1" s="1916">
      <c r="A256" s="103" t="n"/>
      <c r="B256" s="105" t="n"/>
      <c r="C256" s="2147" t="n"/>
      <c r="D256" s="2147" t="n"/>
      <c r="E256" s="53" t="n"/>
      <c r="F256" s="53" t="n"/>
      <c r="G256" s="53" t="n"/>
      <c r="H256" s="53" t="n"/>
      <c r="I256" s="53" t="n"/>
      <c r="J256" s="106" t="n"/>
      <c r="K256" s="106" t="n"/>
      <c r="L256" s="106" t="n"/>
      <c r="P256" s="53" t="n"/>
      <c r="Q256" s="53" t="n"/>
    </row>
    <row r="257" customFormat="1" s="1916">
      <c r="A257" s="53" t="n"/>
      <c r="B257" s="53" t="n"/>
      <c r="C257" s="2145" t="n"/>
      <c r="D257" s="2145" t="n"/>
      <c r="E257" s="53" t="n"/>
      <c r="F257" s="53" t="n"/>
      <c r="G257" s="2191" t="n"/>
      <c r="H257" s="53" t="n"/>
      <c r="I257" s="53" t="n"/>
      <c r="J257" s="53" t="n"/>
      <c r="K257" s="53" t="n"/>
      <c r="L257" s="53" t="n"/>
      <c r="P257" s="53" t="n"/>
      <c r="Q257" s="53" t="n"/>
    </row>
    <row r="258" customFormat="1" s="1916">
      <c r="A258" s="3" t="n"/>
      <c r="B258" s="2156" t="n"/>
      <c r="C258" s="3" t="n"/>
      <c r="D258" s="2156" t="n"/>
      <c r="G258" s="53" t="n"/>
      <c r="H258" s="108" t="n"/>
      <c r="I258" s="53" t="n"/>
      <c r="J258" s="106" t="n"/>
      <c r="K258" s="106" t="n"/>
      <c r="L258" s="106" t="n"/>
      <c r="P258" s="53" t="n"/>
      <c r="Q258" s="53" t="n"/>
    </row>
    <row r="259" customFormat="1" s="1916">
      <c r="A259" s="53" t="n"/>
      <c r="B259" s="53" t="n"/>
      <c r="C259" s="53" t="n"/>
      <c r="D259" s="53" t="n"/>
      <c r="E259" s="106" t="n"/>
      <c r="G259" s="53" t="n"/>
      <c r="H259" s="53" t="n"/>
      <c r="I259" s="53" t="n"/>
      <c r="J259" s="2145" t="n"/>
      <c r="K259" s="53" t="n"/>
      <c r="L259" s="53" t="n"/>
      <c r="P259" s="53" t="n"/>
      <c r="Q259" s="53" t="n"/>
    </row>
    <row r="260" customFormat="1" s="1916">
      <c r="A260" s="53" t="n"/>
      <c r="B260" s="53" t="n"/>
      <c r="C260" s="2192" t="n"/>
      <c r="D260" s="106" t="n"/>
      <c r="E260" s="106" t="n"/>
      <c r="G260" s="53" t="n"/>
      <c r="H260" s="93" t="n"/>
      <c r="I260" s="2145" t="n"/>
      <c r="J260" s="2145" t="n"/>
      <c r="K260" s="53" t="n"/>
      <c r="L260" s="53" t="n"/>
      <c r="P260" s="53" t="n"/>
      <c r="Q260" s="53" t="n"/>
    </row>
    <row r="261" customFormat="1" s="1916">
      <c r="A261" s="53" t="n"/>
      <c r="B261" s="53" t="n"/>
      <c r="C261" s="53" t="n"/>
      <c r="D261" s="53" t="n"/>
      <c r="E261" s="53" t="n"/>
      <c r="G261" s="53" t="n"/>
      <c r="H261" s="93" t="n"/>
      <c r="I261" s="2145" t="n"/>
      <c r="J261" s="2145" t="n"/>
      <c r="K261" s="53" t="n"/>
      <c r="L261" s="53" t="n"/>
      <c r="P261" s="53" t="n"/>
      <c r="Q261" s="53" t="n"/>
    </row>
    <row r="262" customFormat="1" s="1916">
      <c r="A262" s="53" t="n"/>
      <c r="B262" s="53" t="n"/>
      <c r="C262" s="2192" t="n"/>
      <c r="D262" s="106" t="n"/>
      <c r="E262" s="106" t="n"/>
      <c r="G262" s="53" t="n"/>
      <c r="H262" s="93" t="n"/>
      <c r="I262" s="2145" t="n"/>
      <c r="J262" s="2145" t="n"/>
      <c r="K262" s="53" t="n"/>
      <c r="L262" s="53" t="n"/>
    </row>
    <row r="263" customFormat="1" s="1916">
      <c r="A263" s="111" t="n"/>
      <c r="B263" s="53" t="n"/>
      <c r="C263" s="53" t="n"/>
      <c r="D263" s="53" t="n"/>
      <c r="E263" s="53" t="n"/>
      <c r="G263" s="53" t="n"/>
      <c r="H263" s="93" t="n"/>
      <c r="I263" s="2145" t="n"/>
      <c r="J263" s="2145" t="n"/>
      <c r="K263" s="53" t="n"/>
      <c r="L263" s="53" t="n"/>
    </row>
    <row r="264" customFormat="1" s="1916">
      <c r="A264" s="53" t="n"/>
      <c r="B264" s="53" t="n"/>
      <c r="C264" s="2192" t="n"/>
      <c r="D264" s="106" t="n"/>
      <c r="E264" s="106" t="n"/>
      <c r="G264" s="53" t="n"/>
      <c r="H264" s="93" t="n"/>
      <c r="I264" s="2145" t="n"/>
      <c r="J264" s="2145" t="n"/>
      <c r="K264" s="53" t="n"/>
      <c r="L264" s="53" t="n"/>
    </row>
    <row r="265" customFormat="1" s="1916">
      <c r="A265" s="53" t="n"/>
      <c r="B265" s="53" t="n"/>
      <c r="C265" s="53" t="n"/>
      <c r="D265" s="2157" t="n"/>
      <c r="E265" s="2157" t="n"/>
      <c r="F265" s="53" t="n"/>
      <c r="G265" s="103" t="n"/>
      <c r="H265" s="103" t="n"/>
      <c r="I265" s="2147" t="n"/>
      <c r="J265" s="2147" t="n"/>
    </row>
    <row r="266" customFormat="1" s="1916">
      <c r="A266" s="53" t="n"/>
      <c r="B266" s="53" t="n"/>
      <c r="C266" s="2145" t="n"/>
      <c r="D266" s="2145" t="n"/>
      <c r="E266" s="2145" t="n"/>
      <c r="F266" s="53" t="n"/>
      <c r="G266" s="53" t="n"/>
      <c r="H266" s="53" t="n"/>
    </row>
    <row r="267" customFormat="1" s="1916">
      <c r="A267" s="53" t="n"/>
      <c r="B267" s="53" t="n"/>
      <c r="C267" s="53" t="n"/>
      <c r="D267" s="2145" t="n"/>
      <c r="E267" s="53" t="n"/>
      <c r="F267" s="53" t="n"/>
      <c r="G267" s="53" t="n"/>
      <c r="H267" s="53" t="n"/>
      <c r="K267" s="53" t="n"/>
      <c r="L267" s="53" t="n"/>
    </row>
    <row r="268" customFormat="1" s="1916">
      <c r="A268" s="53" t="n"/>
      <c r="B268" s="93" t="n"/>
      <c r="C268" s="2145" t="n"/>
      <c r="D268" s="2145" t="n"/>
      <c r="E268" s="53" t="n"/>
      <c r="F268" s="53" t="n"/>
      <c r="G268" s="2156" t="n"/>
      <c r="H268" s="93" t="n"/>
      <c r="I268" s="53" t="n"/>
      <c r="J268" s="2145" t="n"/>
      <c r="K268" s="53" t="n"/>
      <c r="L268" s="53" t="n"/>
    </row>
    <row r="269" customFormat="1" s="1916">
      <c r="A269" s="111" t="n"/>
      <c r="B269" s="93" t="n"/>
      <c r="C269" s="2145" t="n"/>
      <c r="D269" s="2145" t="n"/>
      <c r="E269" s="53" t="n"/>
      <c r="F269" s="53" t="n"/>
      <c r="G269" s="53" t="n"/>
      <c r="H269" s="93" t="n"/>
      <c r="I269" s="2145" t="n"/>
      <c r="J269" s="2145" t="n"/>
      <c r="K269" s="53" t="n"/>
      <c r="L269" s="53" t="n"/>
    </row>
    <row r="270" customFormat="1" s="1916">
      <c r="A270" s="53" t="n"/>
      <c r="B270" s="93" t="n"/>
      <c r="C270" s="2145" t="n"/>
      <c r="D270" s="2145" t="n"/>
      <c r="E270" s="53" t="n"/>
      <c r="F270" s="53" t="n"/>
      <c r="G270" s="53" t="n"/>
      <c r="H270" s="93" t="n"/>
      <c r="I270" s="2145" t="n"/>
      <c r="J270" s="2145" t="n"/>
      <c r="K270" s="53" t="n"/>
      <c r="L270" s="53" t="n"/>
    </row>
    <row r="271" customFormat="1" s="1916">
      <c r="A271" s="53" t="n"/>
      <c r="B271" s="93" t="n"/>
      <c r="C271" s="2145" t="n"/>
      <c r="D271" s="2145" t="n"/>
      <c r="E271" s="111" t="n"/>
      <c r="F271" s="53" t="n"/>
      <c r="G271" s="53" t="n"/>
      <c r="H271" s="93" t="n"/>
      <c r="I271" s="2145" t="n"/>
      <c r="J271" s="2145" t="n"/>
      <c r="K271" s="53" t="n"/>
      <c r="L271" s="53" t="n"/>
    </row>
    <row r="272" customFormat="1" s="1916">
      <c r="A272" s="53" t="n"/>
      <c r="B272" s="93" t="n"/>
      <c r="C272" s="2145" t="n"/>
      <c r="D272" s="2145" t="n"/>
      <c r="E272" s="111" t="n"/>
      <c r="F272" s="53" t="n"/>
      <c r="G272" s="53" t="n"/>
      <c r="H272" s="93" t="n"/>
      <c r="I272" s="2145" t="n"/>
      <c r="J272" s="2145" t="n"/>
      <c r="K272" s="53" t="n"/>
      <c r="L272" s="53" t="n"/>
    </row>
    <row r="273" customFormat="1" s="1916">
      <c r="A273" s="53" t="n"/>
      <c r="B273" s="93" t="n"/>
      <c r="C273" s="2145" t="n"/>
      <c r="D273" s="2145" t="n"/>
      <c r="E273" s="53" t="n"/>
      <c r="F273" s="53" t="n"/>
      <c r="G273" s="53" t="n"/>
      <c r="H273" s="93" t="n"/>
      <c r="I273" s="2145" t="n"/>
      <c r="J273" s="2145" t="n"/>
      <c r="K273" s="53" t="n"/>
      <c r="L273" s="53" t="n"/>
    </row>
    <row r="274" customFormat="1" s="1916">
      <c r="A274" s="53" t="n"/>
      <c r="B274" s="93" t="n"/>
      <c r="C274" s="2145" t="n"/>
      <c r="D274" s="2145" t="n"/>
      <c r="E274" s="53" t="n"/>
      <c r="F274" s="53" t="n"/>
      <c r="G274" s="53" t="n"/>
      <c r="H274" s="93" t="n"/>
      <c r="I274" s="2145" t="n"/>
      <c r="J274" s="2145" t="n"/>
      <c r="K274" s="53" t="n"/>
      <c r="L274" s="53" t="n"/>
    </row>
    <row r="275" customFormat="1" s="1916">
      <c r="A275" s="53" t="n"/>
      <c r="B275" s="93" t="n"/>
      <c r="C275" s="2145" t="n"/>
      <c r="D275" s="2145" t="n"/>
      <c r="E275" s="53" t="n"/>
      <c r="F275" s="53" t="n"/>
      <c r="G275" s="53" t="n"/>
      <c r="H275" s="93" t="n"/>
      <c r="I275" s="2145" t="n"/>
      <c r="J275" s="2145" t="n"/>
      <c r="K275" s="53" t="n"/>
      <c r="L275" s="53" t="n"/>
    </row>
    <row r="276" customFormat="1" s="1916">
      <c r="A276" s="53" t="n"/>
      <c r="B276" s="93" t="n"/>
      <c r="C276" s="2145" t="n"/>
      <c r="D276" s="2145" t="n"/>
      <c r="E276" s="53" t="n"/>
      <c r="F276" s="53" t="n"/>
      <c r="G276" s="53" t="n"/>
      <c r="H276" s="93" t="n"/>
      <c r="I276" s="2145" t="n"/>
      <c r="J276" s="2145" t="n"/>
      <c r="K276" s="53" t="n"/>
      <c r="L276" s="53" t="n"/>
    </row>
    <row r="277" customFormat="1" s="1916">
      <c r="A277" s="103" t="n"/>
      <c r="B277" s="103" t="n"/>
      <c r="C277" s="2147" t="n"/>
      <c r="D277" s="2147" t="n"/>
      <c r="E277" s="53" t="n"/>
      <c r="F277" s="53" t="n"/>
      <c r="G277" s="103" t="n"/>
      <c r="H277" s="103" t="n"/>
      <c r="I277" s="2147" t="n"/>
      <c r="J277" s="2147" t="n"/>
      <c r="K277" s="53" t="n"/>
      <c r="L277" s="53" t="n"/>
    </row>
    <row r="278" customFormat="1" s="1916">
      <c r="A278" s="53" t="n"/>
      <c r="B278" s="53" t="n"/>
      <c r="C278" s="2145" t="n"/>
      <c r="D278" s="2145" t="n"/>
      <c r="E278" s="53" t="n"/>
      <c r="F278" s="53" t="n"/>
      <c r="G278" s="53" t="n"/>
      <c r="H278" s="53" t="n"/>
      <c r="I278" s="53" t="n"/>
      <c r="K278" s="106" t="n"/>
      <c r="L278" s="106" t="n"/>
    </row>
    <row r="279" customFormat="1" s="1916">
      <c r="A279" s="53" t="n"/>
      <c r="B279" s="53" t="n"/>
      <c r="C279" s="2145" t="n"/>
      <c r="D279" s="2145" t="n"/>
      <c r="E279" s="53" t="n"/>
      <c r="F279" s="53" t="n"/>
    </row>
    <row r="280" customFormat="1" s="1916">
      <c r="A280" s="53" t="n"/>
      <c r="B280" s="53" t="n"/>
      <c r="C280" s="2145" t="n"/>
      <c r="D280" s="2147" t="n"/>
      <c r="E280" s="53" t="n"/>
      <c r="F280" s="53" t="n"/>
    </row>
    <row r="281" customFormat="1" s="1916">
      <c r="A281" s="53" t="n"/>
      <c r="B281" s="53" t="n"/>
      <c r="C281" s="2145" t="n"/>
      <c r="D281" s="2145" t="n"/>
      <c r="E281" s="53" t="n"/>
      <c r="F281" s="53" t="n"/>
    </row>
    <row r="282" customFormat="1" s="1916">
      <c r="A282" s="53" t="n"/>
      <c r="B282" s="53" t="n"/>
      <c r="C282" s="2145" t="n"/>
      <c r="D282" s="2145" t="n"/>
      <c r="E282" s="53" t="n"/>
      <c r="F282" s="53" t="n"/>
    </row>
    <row r="283" customFormat="1" s="1916">
      <c r="A283" s="53" t="n"/>
      <c r="B283" s="112" t="n"/>
      <c r="C283" s="2145" t="n"/>
      <c r="D283" s="2145" t="n"/>
      <c r="E283" s="53" t="n"/>
      <c r="F283" s="53" t="n"/>
    </row>
    <row r="284" customFormat="1" s="1916">
      <c r="A284" s="53" t="n"/>
      <c r="B284" s="112" t="n"/>
      <c r="C284" s="2145" t="n"/>
      <c r="D284" s="2145" t="n"/>
      <c r="E284" s="53" t="n"/>
      <c r="F284" s="53" t="n"/>
    </row>
    <row r="285" customFormat="1" s="1916">
      <c r="A285" s="53" t="n"/>
      <c r="B285" s="113" t="n"/>
      <c r="C285" s="2145" t="n"/>
      <c r="D285" s="2145" t="n"/>
      <c r="E285" s="53" t="n"/>
      <c r="F285" s="53" t="n"/>
    </row>
    <row r="286" customFormat="1" s="1916">
      <c r="A286" s="53" t="n"/>
      <c r="B286" s="113" t="n"/>
      <c r="C286" s="2145" t="n"/>
      <c r="D286" s="2145" t="n"/>
      <c r="E286" s="53" t="n"/>
      <c r="F286" s="53" t="n"/>
    </row>
    <row r="287" customFormat="1" s="1916">
      <c r="A287" s="53" t="n"/>
      <c r="B287" s="113" t="n"/>
      <c r="C287" s="2145" t="n"/>
      <c r="D287" s="2145" t="n"/>
      <c r="E287" s="53" t="n"/>
      <c r="F287" s="53" t="n"/>
    </row>
    <row r="288" customFormat="1" s="1916">
      <c r="A288" s="53" t="n"/>
      <c r="B288" s="113" t="n"/>
      <c r="C288" s="2145" t="n"/>
      <c r="D288" s="2145" t="n"/>
      <c r="E288" s="53" t="n"/>
      <c r="F288" s="53" t="n"/>
    </row>
    <row r="289" customFormat="1" s="1916">
      <c r="A289" s="53" t="n"/>
      <c r="B289" s="112" t="n"/>
      <c r="C289" s="2145" t="n"/>
      <c r="D289" s="2145" t="n"/>
      <c r="E289" s="53" t="n"/>
      <c r="F289" s="53" t="n"/>
    </row>
    <row r="290" customFormat="1" s="1916">
      <c r="A290" s="53" t="n"/>
      <c r="B290" s="112" t="n"/>
      <c r="C290" s="2145" t="n"/>
      <c r="D290" s="2145" t="n"/>
      <c r="E290" s="53" t="n"/>
      <c r="F290" s="53" t="n"/>
    </row>
    <row r="291" customFormat="1" s="1916">
      <c r="A291" s="53" t="n"/>
      <c r="B291" s="112" t="n"/>
      <c r="C291" s="2145" t="n"/>
      <c r="D291" s="2149" t="n"/>
      <c r="E291" s="53" t="n"/>
      <c r="F291" s="53" t="n"/>
    </row>
    <row r="292" customFormat="1" s="1916">
      <c r="A292" s="53" t="n"/>
      <c r="B292" s="113" t="n"/>
      <c r="C292" s="2145" t="n"/>
      <c r="D292" s="2145" t="n"/>
      <c r="E292" s="53" t="n"/>
      <c r="F292" s="53" t="n"/>
      <c r="G292" s="53" t="n"/>
      <c r="I292" s="2154" t="n"/>
    </row>
    <row r="293" customFormat="1" s="1916">
      <c r="A293" s="53" t="n"/>
      <c r="B293" s="53" t="n"/>
      <c r="C293" s="2145" t="n"/>
      <c r="D293" s="2145" t="n"/>
      <c r="E293" s="2145" t="n"/>
      <c r="F293" s="2145" t="n"/>
    </row>
    <row r="294" customFormat="1" s="1916">
      <c r="A294" s="53" t="n"/>
      <c r="B294" s="53" t="n"/>
      <c r="C294" s="2145" t="n"/>
      <c r="D294" s="2145" t="n"/>
      <c r="F294" s="108" t="n"/>
    </row>
    <row r="295" customFormat="1" s="1916">
      <c r="A295" s="115" t="n"/>
      <c r="D295" s="2145" t="n"/>
    </row>
    <row r="296" customFormat="1" s="1916"/>
    <row r="297" customFormat="1" s="1916">
      <c r="A297" s="116" t="n"/>
    </row>
    <row r="298" customFormat="1" s="1916">
      <c r="A298" s="53" t="n"/>
      <c r="B298" s="53" t="n"/>
      <c r="C298" s="53" t="n"/>
      <c r="D298" s="53" t="n"/>
      <c r="G298" s="53" t="n"/>
      <c r="H298" s="53" t="n"/>
      <c r="I298" s="53" t="n"/>
      <c r="J298" s="2149" t="n"/>
      <c r="K298" s="2149" t="n"/>
      <c r="L298" s="2149" t="n"/>
      <c r="M298" s="53" t="n"/>
      <c r="N298" s="53" t="n"/>
    </row>
    <row r="299" customFormat="1" s="1916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2149" t="n"/>
      <c r="J299" s="2149" t="n"/>
      <c r="K299" s="2149" t="n"/>
      <c r="L299" s="2149" t="n"/>
      <c r="M299" s="53" t="n"/>
      <c r="N299" s="53" t="n"/>
      <c r="O299" s="53" t="n"/>
    </row>
    <row r="300" customFormat="1" s="1916">
      <c r="A300" s="53" t="n"/>
      <c r="B300" s="2155" t="n"/>
      <c r="C300" s="2145" t="n"/>
      <c r="D300" s="2145" t="n"/>
      <c r="E300" s="2156" t="n"/>
      <c r="F300" s="53" t="n"/>
      <c r="G300" s="53" t="n"/>
      <c r="H300" s="2145" t="n"/>
      <c r="I300" s="2190" t="n"/>
      <c r="J300" s="2149" t="n"/>
      <c r="K300" s="2149" t="n"/>
      <c r="L300" s="2149" t="n"/>
      <c r="M300" s="53" t="n"/>
      <c r="N300" s="2145" t="n"/>
      <c r="O300" s="2145" t="n"/>
    </row>
    <row r="301" customFormat="1" s="1916">
      <c r="A301" s="53" t="n"/>
      <c r="B301" s="53" t="n"/>
      <c r="C301" s="2145" t="n"/>
      <c r="D301" s="2145" t="n"/>
      <c r="E301" s="2190" t="n"/>
      <c r="G301" s="53" t="n"/>
      <c r="H301" s="2145" t="n"/>
      <c r="I301" s="2190" t="n"/>
      <c r="J301" s="2149" t="n"/>
      <c r="L301" s="2149" t="n"/>
      <c r="M301" s="53" t="n"/>
      <c r="N301" s="2156" t="n"/>
      <c r="O301" s="2145" t="n"/>
    </row>
    <row r="302" customFormat="1" s="1916">
      <c r="A302" s="53" t="n"/>
      <c r="B302" s="53" t="n"/>
      <c r="C302" s="2145" t="n"/>
      <c r="D302" s="2145" t="n"/>
      <c r="E302" s="53" t="n"/>
      <c r="F302" s="53" t="n"/>
      <c r="L302" s="53" t="n"/>
      <c r="M302" s="53" t="n"/>
      <c r="N302" s="2156" t="n"/>
      <c r="O302" s="2145" t="n"/>
    </row>
    <row r="303" customFormat="1" s="1916">
      <c r="A303" s="53" t="n"/>
      <c r="B303" s="53" t="n"/>
      <c r="C303" s="2145" t="n"/>
      <c r="D303" s="2145" t="n"/>
      <c r="E303" s="53" t="n"/>
      <c r="F303" s="53" t="n"/>
      <c r="L303" s="53" t="n"/>
      <c r="M303" s="2145" t="n"/>
      <c r="N303" s="53" t="n"/>
      <c r="O303" s="2145" t="n"/>
    </row>
    <row r="304" customFormat="1" s="1916">
      <c r="A304" s="53" t="n"/>
      <c r="B304" s="53" t="n"/>
      <c r="C304" s="2145" t="n"/>
      <c r="D304" s="2145" t="n"/>
      <c r="E304" s="53" t="n"/>
      <c r="F304" s="53" t="n"/>
      <c r="L304" s="53" t="n"/>
      <c r="M304" s="53" t="n"/>
      <c r="N304" s="53" t="n"/>
      <c r="O304" s="53" t="n"/>
    </row>
    <row r="305" customFormat="1" s="1916">
      <c r="A305" s="53" t="n"/>
      <c r="B305" s="53" t="n"/>
      <c r="C305" s="2145" t="n"/>
      <c r="D305" s="2145" t="n"/>
      <c r="E305" s="53" t="n"/>
      <c r="F305" s="53" t="n"/>
      <c r="L305" s="53" t="n"/>
      <c r="M305" s="53" t="n"/>
      <c r="N305" s="53" t="n"/>
      <c r="O305" s="53" t="n"/>
    </row>
    <row r="306" customFormat="1" s="1916">
      <c r="A306" s="53" t="n"/>
      <c r="B306" s="53" t="n"/>
      <c r="C306" s="2145" t="n"/>
      <c r="D306" s="2145" t="n"/>
      <c r="E306" s="53" t="n"/>
      <c r="F306" s="53" t="n"/>
      <c r="L306" s="53" t="n"/>
      <c r="M306" s="53" t="n"/>
      <c r="N306" s="53" t="n"/>
      <c r="O306" s="53" t="n"/>
      <c r="P306" s="53" t="n"/>
      <c r="Q306" s="53" t="n"/>
    </row>
    <row r="307" customFormat="1" s="1916">
      <c r="A307" s="53" t="n"/>
      <c r="B307" s="53" t="n"/>
      <c r="C307" s="2145" t="n"/>
      <c r="D307" s="2145" t="n"/>
      <c r="E307" s="53" t="n"/>
      <c r="F307" s="53" t="n"/>
      <c r="L307" s="53" t="n"/>
      <c r="M307" s="53" t="n"/>
      <c r="N307" s="53" t="n"/>
      <c r="O307" s="53" t="n"/>
      <c r="P307" s="2145" t="n"/>
      <c r="Q307" s="2145" t="n"/>
    </row>
    <row r="308" customFormat="1" s="1916">
      <c r="A308" s="53" t="n"/>
      <c r="B308" s="53" t="n"/>
      <c r="C308" s="2145" t="n"/>
      <c r="D308" s="2145" t="n"/>
      <c r="E308" s="53" t="n"/>
      <c r="F308" s="53" t="n"/>
      <c r="L308" s="53" t="n"/>
      <c r="M308" s="53" t="n"/>
      <c r="N308" s="53" t="n"/>
      <c r="O308" s="53" t="n"/>
      <c r="P308" s="2145" t="n"/>
      <c r="Q308" s="2145" t="n"/>
    </row>
    <row r="309" customFormat="1" s="1916">
      <c r="A309" s="53" t="n"/>
      <c r="B309" s="53" t="n"/>
      <c r="C309" s="2145" t="n"/>
      <c r="D309" s="2145" t="n"/>
      <c r="E309" s="53" t="n"/>
      <c r="F309" s="53" t="n"/>
      <c r="L309" s="53" t="n"/>
      <c r="M309" s="53" t="n"/>
      <c r="N309" s="53" t="n"/>
      <c r="O309" s="53" t="n"/>
      <c r="P309" s="2145" t="n"/>
      <c r="Q309" s="2145" t="n"/>
    </row>
    <row r="310" customFormat="1" s="1916">
      <c r="A310" s="103" t="n"/>
      <c r="B310" s="103" t="n"/>
      <c r="C310" s="2147" t="n"/>
      <c r="D310" s="2147" t="n"/>
      <c r="E310" s="53" t="n"/>
      <c r="F310" s="53" t="n"/>
      <c r="O310" s="53" t="n"/>
      <c r="P310" s="2145" t="n"/>
      <c r="Q310" s="2145" t="n"/>
    </row>
    <row r="311" customFormat="1" s="1916">
      <c r="A311" s="103" t="n"/>
      <c r="B311" s="103" t="n"/>
      <c r="C311" s="2147" t="n"/>
      <c r="D311" s="2147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P311" s="53" t="n"/>
      <c r="Q311" s="53" t="n"/>
    </row>
    <row r="312" customFormat="1" s="1916">
      <c r="A312" s="103" t="n"/>
      <c r="B312" s="105" t="n"/>
      <c r="C312" s="2147" t="n"/>
      <c r="D312" s="2147" t="n"/>
      <c r="E312" s="53" t="n"/>
      <c r="F312" s="53" t="n"/>
      <c r="G312" s="53" t="n"/>
      <c r="H312" s="53" t="n"/>
      <c r="I312" s="53" t="n"/>
      <c r="J312" s="106" t="n"/>
      <c r="K312" s="106" t="n"/>
      <c r="L312" s="106" t="n"/>
      <c r="P312" s="53" t="n"/>
      <c r="Q312" s="53" t="n"/>
    </row>
    <row r="313" customFormat="1" s="1916">
      <c r="A313" s="53" t="n"/>
      <c r="B313" s="53" t="n"/>
      <c r="C313" s="2145" t="n"/>
      <c r="D313" s="2145" t="n"/>
      <c r="E313" s="53" t="n"/>
      <c r="F313" s="53" t="n"/>
      <c r="G313" s="2191" t="n"/>
      <c r="H313" s="53" t="n"/>
      <c r="I313" s="53" t="n"/>
      <c r="J313" s="53" t="n"/>
      <c r="K313" s="53" t="n"/>
      <c r="L313" s="53" t="n"/>
      <c r="P313" s="53" t="n"/>
      <c r="Q313" s="53" t="n"/>
    </row>
    <row r="314" customFormat="1" s="1916">
      <c r="A314" s="3" t="n"/>
      <c r="B314" s="2156" t="n"/>
      <c r="C314" s="3" t="n"/>
      <c r="D314" s="2156" t="n"/>
      <c r="G314" s="53" t="n"/>
      <c r="H314" s="108" t="n"/>
      <c r="I314" s="53" t="n"/>
      <c r="J314" s="106" t="n"/>
      <c r="K314" s="106" t="n"/>
      <c r="L314" s="106" t="n"/>
      <c r="P314" s="53" t="n"/>
      <c r="Q314" s="53" t="n"/>
    </row>
    <row r="315" customFormat="1" s="1916">
      <c r="A315" s="53" t="n"/>
      <c r="B315" s="53" t="n"/>
      <c r="C315" s="53" t="n"/>
      <c r="D315" s="53" t="n"/>
      <c r="E315" s="106" t="n"/>
      <c r="G315" s="53" t="n"/>
      <c r="H315" s="53" t="n"/>
      <c r="I315" s="53" t="n"/>
      <c r="J315" s="2145" t="n"/>
      <c r="K315" s="53" t="n"/>
      <c r="L315" s="53" t="n"/>
      <c r="P315" s="53" t="n"/>
      <c r="Q315" s="53" t="n"/>
    </row>
    <row r="316" customFormat="1" s="1916">
      <c r="A316" s="53" t="n"/>
      <c r="B316" s="53" t="n"/>
      <c r="C316" s="2192" t="n"/>
      <c r="D316" s="106" t="n"/>
      <c r="E316" s="106" t="n"/>
      <c r="G316" s="53" t="n"/>
      <c r="H316" s="93" t="n"/>
      <c r="I316" s="2145" t="n"/>
      <c r="J316" s="2145" t="n"/>
      <c r="K316" s="53" t="n"/>
      <c r="L316" s="53" t="n"/>
      <c r="P316" s="53" t="n"/>
      <c r="Q316" s="53" t="n"/>
    </row>
    <row r="317" customFormat="1" s="1916">
      <c r="A317" s="53" t="n"/>
      <c r="B317" s="53" t="n"/>
      <c r="C317" s="53" t="n"/>
      <c r="D317" s="53" t="n"/>
      <c r="E317" s="53" t="n"/>
      <c r="G317" s="53" t="n"/>
      <c r="H317" s="93" t="n"/>
      <c r="I317" s="2145" t="n"/>
      <c r="J317" s="2145" t="n"/>
      <c r="K317" s="53" t="n"/>
      <c r="L317" s="53" t="n"/>
      <c r="P317" s="53" t="n"/>
      <c r="Q317" s="53" t="n"/>
    </row>
    <row r="318" customFormat="1" s="1916">
      <c r="A318" s="53" t="n"/>
      <c r="B318" s="53" t="n"/>
      <c r="C318" s="2192" t="n"/>
      <c r="D318" s="106" t="n"/>
      <c r="E318" s="106" t="n"/>
      <c r="G318" s="53" t="n"/>
      <c r="H318" s="93" t="n"/>
      <c r="I318" s="2145" t="n"/>
      <c r="J318" s="2145" t="n"/>
      <c r="K318" s="53" t="n"/>
      <c r="L318" s="53" t="n"/>
    </row>
    <row r="319" customFormat="1" s="1916">
      <c r="A319" s="111" t="n"/>
      <c r="B319" s="53" t="n"/>
      <c r="C319" s="53" t="n"/>
      <c r="D319" s="53" t="n"/>
      <c r="E319" s="53" t="n"/>
      <c r="G319" s="53" t="n"/>
      <c r="H319" s="93" t="n"/>
      <c r="I319" s="2145" t="n"/>
      <c r="J319" s="2145" t="n"/>
      <c r="K319" s="53" t="n"/>
      <c r="L319" s="53" t="n"/>
    </row>
    <row r="320" customFormat="1" s="1916">
      <c r="A320" s="53" t="n"/>
      <c r="B320" s="53" t="n"/>
      <c r="C320" s="2192" t="n"/>
      <c r="D320" s="106" t="n"/>
      <c r="E320" s="106" t="n"/>
      <c r="G320" s="53" t="n"/>
      <c r="H320" s="93" t="n"/>
      <c r="I320" s="2145" t="n"/>
      <c r="J320" s="2145" t="n"/>
      <c r="K320" s="53" t="n"/>
      <c r="L320" s="53" t="n"/>
    </row>
    <row r="321" customFormat="1" s="1916">
      <c r="A321" s="53" t="n"/>
      <c r="B321" s="53" t="n"/>
      <c r="C321" s="53" t="n"/>
      <c r="D321" s="2157" t="n"/>
      <c r="E321" s="2157" t="n"/>
      <c r="F321" s="53" t="n"/>
      <c r="G321" s="103" t="n"/>
      <c r="H321" s="103" t="n"/>
      <c r="I321" s="2147" t="n"/>
      <c r="J321" s="2147" t="n"/>
    </row>
    <row r="322" customFormat="1" s="1916">
      <c r="A322" s="53" t="n"/>
      <c r="B322" s="53" t="n"/>
      <c r="C322" s="2145" t="n"/>
      <c r="D322" s="2145" t="n"/>
      <c r="E322" s="2145" t="n"/>
      <c r="F322" s="111" t="n"/>
      <c r="G322" s="53" t="n"/>
      <c r="H322" s="53" t="n"/>
    </row>
    <row r="323" customFormat="1" s="1916">
      <c r="A323" s="53" t="n"/>
      <c r="B323" s="53" t="n"/>
      <c r="C323" s="53" t="n"/>
      <c r="D323" s="2145" t="n"/>
      <c r="E323" s="53" t="n"/>
      <c r="F323" s="53" t="n"/>
      <c r="G323" s="53" t="n"/>
      <c r="H323" s="53" t="n"/>
      <c r="K323" s="53" t="n"/>
      <c r="L323" s="53" t="n"/>
    </row>
    <row r="324" customFormat="1" s="1916">
      <c r="A324" s="53" t="n"/>
      <c r="B324" s="93" t="n"/>
      <c r="C324" s="2145" t="n"/>
      <c r="D324" s="2145" t="n"/>
      <c r="E324" s="53" t="n"/>
      <c r="F324" s="53" t="n"/>
      <c r="G324" s="2156" t="n"/>
      <c r="H324" s="93" t="n"/>
      <c r="I324" s="53" t="n"/>
      <c r="J324" s="2145" t="n"/>
      <c r="K324" s="53" t="n"/>
      <c r="L324" s="53" t="n"/>
    </row>
    <row r="325" customFormat="1" s="1916">
      <c r="A325" s="111" t="n"/>
      <c r="B325" s="93" t="n"/>
      <c r="C325" s="2145" t="n"/>
      <c r="D325" s="2145" t="n"/>
      <c r="E325" s="53" t="n"/>
      <c r="F325" s="53" t="n"/>
      <c r="G325" s="53" t="n"/>
      <c r="H325" s="93" t="n"/>
      <c r="I325" s="2145" t="n"/>
      <c r="J325" s="2145" t="n"/>
      <c r="K325" s="53" t="n"/>
      <c r="L325" s="53" t="n"/>
    </row>
    <row r="326" customFormat="1" s="1916">
      <c r="A326" s="53" t="n"/>
      <c r="B326" s="93" t="n"/>
      <c r="C326" s="2145" t="n"/>
      <c r="D326" s="2145" t="n"/>
      <c r="E326" s="53" t="n"/>
      <c r="F326" s="53" t="n"/>
      <c r="G326" s="53" t="n"/>
      <c r="H326" s="93" t="n"/>
      <c r="I326" s="2145" t="n"/>
      <c r="J326" s="2145" t="n"/>
      <c r="K326" s="53" t="n"/>
      <c r="L326" s="53" t="n"/>
    </row>
    <row r="327" customFormat="1" s="1916">
      <c r="A327" s="53" t="n"/>
      <c r="B327" s="93" t="n"/>
      <c r="C327" s="2145" t="n"/>
      <c r="D327" s="2145" t="n"/>
      <c r="E327" s="111" t="n"/>
      <c r="F327" s="53" t="n"/>
      <c r="G327" s="53" t="n"/>
      <c r="H327" s="93" t="n"/>
      <c r="I327" s="2145" t="n"/>
      <c r="J327" s="2145" t="n"/>
      <c r="K327" s="53" t="n"/>
      <c r="L327" s="53" t="n"/>
    </row>
    <row r="328" customFormat="1" s="1916">
      <c r="A328" s="53" t="n"/>
      <c r="B328" s="93" t="n"/>
      <c r="C328" s="2145" t="n"/>
      <c r="D328" s="2145" t="n"/>
      <c r="E328" s="111" t="n"/>
      <c r="F328" s="53" t="n"/>
      <c r="G328" s="53" t="n"/>
      <c r="H328" s="93" t="n"/>
      <c r="I328" s="2145" t="n"/>
      <c r="J328" s="2145" t="n"/>
      <c r="K328" s="53" t="n"/>
      <c r="L328" s="53" t="n"/>
    </row>
    <row r="329" customFormat="1" s="1916">
      <c r="A329" s="53" t="n"/>
      <c r="B329" s="93" t="n"/>
      <c r="C329" s="2145" t="n"/>
      <c r="D329" s="2145" t="n"/>
      <c r="E329" s="53" t="n"/>
      <c r="F329" s="53" t="n"/>
      <c r="G329" s="53" t="n"/>
      <c r="H329" s="93" t="n"/>
      <c r="I329" s="2145" t="n"/>
      <c r="J329" s="2145" t="n"/>
      <c r="K329" s="53" t="n"/>
      <c r="L329" s="53" t="n"/>
    </row>
    <row r="330" customFormat="1" s="1916">
      <c r="A330" s="53" t="n"/>
      <c r="B330" s="93" t="n"/>
      <c r="C330" s="2145" t="n"/>
      <c r="D330" s="2145" t="n"/>
      <c r="E330" s="53" t="n"/>
      <c r="F330" s="53" t="n"/>
      <c r="G330" s="53" t="n"/>
      <c r="H330" s="93" t="n"/>
      <c r="I330" s="2145" t="n"/>
      <c r="J330" s="2145" t="n"/>
      <c r="K330" s="53" t="n"/>
      <c r="L330" s="53" t="n"/>
    </row>
    <row r="331" customFormat="1" s="1916">
      <c r="A331" s="53" t="n"/>
      <c r="B331" s="93" t="n"/>
      <c r="C331" s="2145" t="n"/>
      <c r="D331" s="2145" t="n"/>
      <c r="E331" s="53" t="n"/>
      <c r="F331" s="53" t="n"/>
      <c r="G331" s="53" t="n"/>
      <c r="H331" s="93" t="n"/>
      <c r="I331" s="2145" t="n"/>
      <c r="J331" s="2145" t="n"/>
      <c r="K331" s="53" t="n"/>
      <c r="L331" s="53" t="n"/>
    </row>
    <row r="332" customFormat="1" s="1916">
      <c r="A332" s="53" t="n"/>
      <c r="B332" s="93" t="n"/>
      <c r="C332" s="2145" t="n"/>
      <c r="D332" s="2145" t="n"/>
      <c r="E332" s="53" t="n"/>
      <c r="F332" s="53" t="n"/>
      <c r="G332" s="53" t="n"/>
      <c r="H332" s="93" t="n"/>
      <c r="I332" s="2145" t="n"/>
      <c r="J332" s="2145" t="n"/>
      <c r="K332" s="53" t="n"/>
      <c r="L332" s="53" t="n"/>
    </row>
    <row r="333" customFormat="1" s="1916">
      <c r="A333" s="103" t="n"/>
      <c r="B333" s="103" t="n"/>
      <c r="C333" s="2147" t="n"/>
      <c r="D333" s="2147" t="n"/>
      <c r="E333" s="53" t="n"/>
      <c r="F333" s="53" t="n"/>
      <c r="G333" s="103" t="n"/>
      <c r="H333" s="103" t="n"/>
      <c r="I333" s="2147" t="n"/>
      <c r="J333" s="2147" t="n"/>
      <c r="K333" s="53" t="n"/>
      <c r="L333" s="53" t="n"/>
    </row>
    <row r="334" customFormat="1" s="1916">
      <c r="A334" s="53" t="n"/>
      <c r="B334" s="53" t="n"/>
      <c r="C334" s="2145" t="n"/>
      <c r="D334" s="2145" t="n"/>
      <c r="E334" s="53" t="n"/>
      <c r="F334" s="53" t="n"/>
      <c r="G334" s="53" t="n"/>
      <c r="H334" s="53" t="n"/>
      <c r="I334" s="53" t="n"/>
      <c r="K334" s="106" t="n"/>
      <c r="L334" s="106" t="n"/>
    </row>
    <row r="335" customFormat="1" s="1916">
      <c r="A335" s="53" t="n"/>
      <c r="B335" s="53" t="n"/>
      <c r="C335" s="2145" t="n"/>
      <c r="D335" s="2145" t="n"/>
      <c r="E335" s="53" t="n"/>
      <c r="F335" s="53" t="n"/>
    </row>
    <row r="336" customFormat="1" s="1916">
      <c r="A336" s="53" t="n"/>
      <c r="B336" s="53" t="n"/>
      <c r="C336" s="2145" t="n"/>
      <c r="D336" s="2147" t="n"/>
      <c r="E336" s="53" t="n"/>
      <c r="F336" s="53" t="n"/>
    </row>
    <row r="337" customFormat="1" s="1916">
      <c r="A337" s="53" t="n"/>
      <c r="B337" s="53" t="n"/>
      <c r="C337" s="2145" t="n"/>
      <c r="D337" s="2145" t="n"/>
      <c r="E337" s="53" t="n"/>
      <c r="F337" s="53" t="n"/>
    </row>
    <row r="338" customFormat="1" s="1916">
      <c r="A338" s="53" t="n"/>
      <c r="B338" s="53" t="n"/>
      <c r="C338" s="2145" t="n"/>
      <c r="D338" s="2145" t="n"/>
      <c r="E338" s="53" t="n"/>
      <c r="F338" s="53" t="n"/>
    </row>
    <row r="339" customFormat="1" s="1916">
      <c r="A339" s="53" t="n"/>
      <c r="B339" s="112" t="n"/>
      <c r="C339" s="2145" t="n"/>
      <c r="D339" s="2145" t="n"/>
      <c r="E339" s="53" t="n"/>
      <c r="F339" s="53" t="n"/>
    </row>
    <row r="340" customFormat="1" s="1916">
      <c r="A340" s="53" t="n"/>
      <c r="B340" s="112" t="n"/>
      <c r="C340" s="2145" t="n"/>
      <c r="D340" s="2145" t="n"/>
      <c r="E340" s="53" t="n"/>
      <c r="F340" s="53" t="n"/>
    </row>
    <row r="341" customFormat="1" s="1916">
      <c r="A341" s="53" t="n"/>
      <c r="B341" s="113" t="n"/>
      <c r="C341" s="2145" t="n"/>
      <c r="D341" s="2145" t="n"/>
      <c r="E341" s="53" t="n"/>
      <c r="F341" s="53" t="n"/>
    </row>
    <row r="342" customFormat="1" s="1916">
      <c r="A342" s="53" t="n"/>
      <c r="B342" s="113" t="n"/>
      <c r="C342" s="2145" t="n"/>
      <c r="D342" s="2145" t="n"/>
      <c r="E342" s="53" t="n"/>
      <c r="F342" s="53" t="n"/>
    </row>
    <row r="343" customFormat="1" s="1916">
      <c r="A343" s="53" t="n"/>
      <c r="B343" s="113" t="n"/>
      <c r="C343" s="2145" t="n"/>
      <c r="D343" s="2145" t="n"/>
      <c r="E343" s="53" t="n"/>
      <c r="F343" s="53" t="n"/>
    </row>
    <row r="344" customFormat="1" s="1916">
      <c r="A344" s="53" t="n"/>
      <c r="B344" s="113" t="n"/>
      <c r="C344" s="2145" t="n"/>
      <c r="D344" s="2145" t="n"/>
      <c r="E344" s="53" t="n"/>
      <c r="F344" s="53" t="n"/>
    </row>
    <row r="345" customFormat="1" s="1916">
      <c r="A345" s="53" t="n"/>
      <c r="B345" s="112" t="n"/>
      <c r="C345" s="2145" t="n"/>
      <c r="D345" s="2145" t="n"/>
      <c r="E345" s="53" t="n"/>
      <c r="F345" s="53" t="n"/>
    </row>
    <row r="346" customFormat="1" s="1916">
      <c r="A346" s="53" t="n"/>
      <c r="B346" s="112" t="n"/>
      <c r="C346" s="2145" t="n"/>
      <c r="D346" s="2145" t="n"/>
      <c r="E346" s="53" t="n"/>
      <c r="F346" s="53" t="n"/>
    </row>
    <row r="347" customFormat="1" s="1916">
      <c r="A347" s="53" t="n"/>
      <c r="B347" s="112" t="n"/>
      <c r="C347" s="2145" t="n"/>
      <c r="D347" s="2149" t="n"/>
      <c r="E347" s="53" t="n"/>
      <c r="F347" s="53" t="n"/>
    </row>
    <row r="348" customFormat="1" s="1916">
      <c r="A348" s="53" t="n"/>
      <c r="B348" s="113" t="n"/>
      <c r="C348" s="2145" t="n"/>
      <c r="D348" s="2145" t="n"/>
      <c r="E348" s="53" t="n"/>
      <c r="F348" s="53" t="n"/>
      <c r="G348" s="53" t="n"/>
      <c r="I348" s="2154" t="n"/>
    </row>
    <row r="349" customFormat="1" s="1916">
      <c r="A349" s="53" t="n"/>
      <c r="B349" s="53" t="n"/>
      <c r="C349" s="2145" t="n"/>
      <c r="D349" s="2145" t="n"/>
      <c r="E349" s="2145" t="n"/>
      <c r="F349" s="2145" t="n"/>
    </row>
    <row r="350" customFormat="1" s="1916">
      <c r="A350" s="53" t="n"/>
      <c r="B350" s="53" t="n"/>
      <c r="C350" s="2145" t="n"/>
      <c r="D350" s="2145" t="n"/>
      <c r="F350" s="108" t="n"/>
    </row>
    <row r="351" customFormat="1" s="1916">
      <c r="A351" s="116" t="n"/>
      <c r="D351" s="2145" t="n"/>
    </row>
    <row r="352" customFormat="1" s="1916"/>
    <row r="353" customFormat="1" s="1916">
      <c r="A353" s="115" t="n"/>
    </row>
    <row r="354" customFormat="1" s="1916">
      <c r="A354" s="53" t="n"/>
      <c r="B354" s="53" t="n"/>
      <c r="C354" s="53" t="n"/>
      <c r="D354" s="53" t="n"/>
      <c r="G354" s="53" t="n"/>
      <c r="H354" s="53" t="n"/>
      <c r="I354" s="53" t="n"/>
      <c r="J354" s="2149" t="n"/>
      <c r="K354" s="2149" t="n"/>
      <c r="L354" s="2149" t="n"/>
      <c r="M354" s="53" t="n"/>
      <c r="N354" s="53" t="n"/>
    </row>
    <row r="355" customFormat="1" s="1916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2149" t="n"/>
      <c r="J355" s="2149" t="n"/>
      <c r="K355" s="2149" t="n"/>
      <c r="L355" s="2149" t="n"/>
      <c r="M355" s="53" t="n"/>
      <c r="N355" s="53" t="n"/>
      <c r="O355" s="53" t="n"/>
    </row>
    <row r="356" customFormat="1" s="1916">
      <c r="A356" s="53" t="n"/>
      <c r="B356" s="2155" t="n"/>
      <c r="C356" s="2145" t="n"/>
      <c r="D356" s="2145" t="n"/>
      <c r="E356" s="2156" t="n"/>
      <c r="F356" s="53" t="n"/>
      <c r="G356" s="53" t="n"/>
      <c r="H356" s="2145" t="n"/>
      <c r="I356" s="2190" t="n"/>
      <c r="J356" s="2149" t="n"/>
      <c r="K356" s="2149" t="n"/>
      <c r="L356" s="2149" t="n"/>
      <c r="M356" s="53" t="n"/>
      <c r="N356" s="2145" t="n"/>
      <c r="O356" s="2145" t="n"/>
    </row>
    <row r="357" customFormat="1" s="1916">
      <c r="A357" s="53" t="n"/>
      <c r="B357" s="53" t="n"/>
      <c r="C357" s="2145" t="n"/>
      <c r="D357" s="2145" t="n"/>
      <c r="E357" s="2190" t="n"/>
      <c r="G357" s="53" t="n"/>
      <c r="H357" s="2145" t="n"/>
      <c r="I357" s="2190" t="n"/>
      <c r="J357" s="2149" t="n"/>
      <c r="L357" s="2149" t="n"/>
      <c r="M357" s="53" t="n"/>
      <c r="N357" s="2156" t="n"/>
      <c r="O357" s="2145" t="n"/>
    </row>
    <row r="358" customFormat="1" s="1916">
      <c r="A358" s="53" t="n"/>
      <c r="B358" s="53" t="n"/>
      <c r="C358" s="2145" t="n"/>
      <c r="D358" s="2145" t="n"/>
      <c r="E358" s="53" t="n"/>
      <c r="F358" s="53" t="n"/>
      <c r="L358" s="53" t="n"/>
      <c r="M358" s="53" t="n"/>
      <c r="N358" s="2156" t="n"/>
      <c r="O358" s="2145" t="n"/>
    </row>
    <row r="359" customFormat="1" s="1916">
      <c r="A359" s="53" t="n"/>
      <c r="B359" s="53" t="n"/>
      <c r="C359" s="2145" t="n"/>
      <c r="D359" s="2145" t="n"/>
      <c r="E359" s="53" t="n"/>
      <c r="F359" s="53" t="n"/>
      <c r="L359" s="53" t="n"/>
      <c r="M359" s="2145" t="n"/>
      <c r="N359" s="53" t="n"/>
      <c r="O359" s="2145" t="n"/>
    </row>
    <row r="360" customFormat="1" s="1916">
      <c r="A360" s="53" t="n"/>
      <c r="B360" s="53" t="n"/>
      <c r="C360" s="2145" t="n"/>
      <c r="D360" s="2145" t="n"/>
      <c r="E360" s="53" t="n"/>
      <c r="F360" s="53" t="n"/>
      <c r="L360" s="53" t="n"/>
      <c r="M360" s="53" t="n"/>
      <c r="N360" s="53" t="n"/>
      <c r="O360" s="53" t="n"/>
    </row>
    <row r="361" customFormat="1" s="1916">
      <c r="A361" s="53" t="n"/>
      <c r="B361" s="53" t="n"/>
      <c r="C361" s="2145" t="n"/>
      <c r="D361" s="2145" t="n"/>
      <c r="E361" s="53" t="n"/>
      <c r="F361" s="53" t="n"/>
      <c r="L361" s="53" t="n"/>
      <c r="M361" s="53" t="n"/>
      <c r="N361" s="53" t="n"/>
      <c r="O361" s="53" t="n"/>
    </row>
    <row r="362" customFormat="1" s="1916">
      <c r="A362" s="53" t="n"/>
      <c r="B362" s="53" t="n"/>
      <c r="C362" s="2145" t="n"/>
      <c r="D362" s="2145" t="n"/>
      <c r="E362" s="53" t="n"/>
      <c r="F362" s="53" t="n"/>
      <c r="L362" s="53" t="n"/>
      <c r="M362" s="53" t="n"/>
      <c r="N362" s="53" t="n"/>
      <c r="O362" s="53" t="n"/>
      <c r="P362" s="53" t="n"/>
      <c r="Q362" s="53" t="n"/>
    </row>
    <row r="363" customFormat="1" s="1916">
      <c r="A363" s="53" t="n"/>
      <c r="B363" s="53" t="n"/>
      <c r="C363" s="2145" t="n"/>
      <c r="D363" s="2145" t="n"/>
      <c r="E363" s="53" t="n"/>
      <c r="F363" s="53" t="n"/>
      <c r="L363" s="53" t="n"/>
      <c r="M363" s="53" t="n"/>
      <c r="N363" s="53" t="n"/>
      <c r="O363" s="53" t="n"/>
      <c r="P363" s="2145" t="n"/>
      <c r="Q363" s="2145" t="n"/>
    </row>
    <row r="364" customFormat="1" s="1916">
      <c r="A364" s="53" t="n"/>
      <c r="B364" s="53" t="n"/>
      <c r="C364" s="2145" t="n"/>
      <c r="D364" s="2145" t="n"/>
      <c r="E364" s="53" t="n"/>
      <c r="F364" s="53" t="n"/>
      <c r="L364" s="53" t="n"/>
      <c r="M364" s="53" t="n"/>
      <c r="N364" s="53" t="n"/>
      <c r="O364" s="53" t="n"/>
      <c r="P364" s="2145" t="n"/>
      <c r="Q364" s="2145" t="n"/>
    </row>
    <row r="365" customFormat="1" s="1916">
      <c r="A365" s="53" t="n"/>
      <c r="B365" s="53" t="n"/>
      <c r="C365" s="2145" t="n"/>
      <c r="D365" s="2145" t="n"/>
      <c r="E365" s="53" t="n"/>
      <c r="F365" s="53" t="n"/>
      <c r="L365" s="53" t="n"/>
      <c r="M365" s="53" t="n"/>
      <c r="N365" s="53" t="n"/>
      <c r="O365" s="53" t="n"/>
      <c r="P365" s="2145" t="n"/>
      <c r="Q365" s="2145" t="n"/>
    </row>
    <row r="366" customFormat="1" s="1916">
      <c r="A366" s="103" t="n"/>
      <c r="B366" s="103" t="n"/>
      <c r="C366" s="2147" t="n"/>
      <c r="D366" s="2147" t="n"/>
      <c r="E366" s="53" t="n"/>
      <c r="F366" s="53" t="n"/>
      <c r="O366" s="53" t="n"/>
      <c r="P366" s="2145" t="n"/>
      <c r="Q366" s="2145" t="n"/>
    </row>
    <row r="367" customFormat="1" s="1916">
      <c r="A367" s="103" t="n"/>
      <c r="B367" s="103" t="n"/>
      <c r="C367" s="2147" t="n"/>
      <c r="D367" s="2147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P367" s="53" t="n"/>
      <c r="Q367" s="53" t="n"/>
    </row>
    <row r="368" customFormat="1" s="1916">
      <c r="A368" s="103" t="n"/>
      <c r="B368" s="105" t="n"/>
      <c r="C368" s="2147" t="n"/>
      <c r="D368" s="2147" t="n"/>
      <c r="E368" s="53" t="n"/>
      <c r="F368" s="53" t="n"/>
      <c r="G368" s="53" t="n"/>
      <c r="H368" s="53" t="n"/>
      <c r="I368" s="53" t="n"/>
      <c r="J368" s="106" t="n"/>
      <c r="K368" s="106" t="n"/>
      <c r="L368" s="106" t="n"/>
      <c r="P368" s="53" t="n"/>
      <c r="Q368" s="53" t="n"/>
    </row>
    <row r="369" customFormat="1" s="1916">
      <c r="A369" s="53" t="n"/>
      <c r="B369" s="53" t="n"/>
      <c r="C369" s="2145" t="n"/>
      <c r="D369" s="2145" t="n"/>
      <c r="E369" s="53" t="n"/>
      <c r="F369" s="53" t="n"/>
      <c r="G369" s="2191" t="n"/>
      <c r="H369" s="53" t="n"/>
      <c r="I369" s="53" t="n"/>
      <c r="J369" s="53" t="n"/>
      <c r="K369" s="53" t="n"/>
      <c r="L369" s="53" t="n"/>
      <c r="P369" s="53" t="n"/>
      <c r="Q369" s="53" t="n"/>
    </row>
    <row r="370" customFormat="1" s="1916">
      <c r="A370" s="3" t="n"/>
      <c r="B370" s="2156" t="n"/>
      <c r="C370" s="3" t="n"/>
      <c r="D370" s="2156" t="n"/>
      <c r="G370" s="53" t="n"/>
      <c r="H370" s="108" t="n"/>
      <c r="I370" s="53" t="n"/>
      <c r="J370" s="106" t="n"/>
      <c r="K370" s="106" t="n"/>
      <c r="L370" s="106" t="n"/>
      <c r="P370" s="53" t="n"/>
      <c r="Q370" s="53" t="n"/>
    </row>
    <row r="371" customFormat="1" s="1916">
      <c r="A371" s="53" t="n"/>
      <c r="B371" s="53" t="n"/>
      <c r="C371" s="53" t="n"/>
      <c r="D371" s="53" t="n"/>
      <c r="E371" s="106" t="n"/>
      <c r="G371" s="53" t="n"/>
      <c r="H371" s="53" t="n"/>
      <c r="I371" s="53" t="n"/>
      <c r="J371" s="2145" t="n"/>
      <c r="K371" s="53" t="n"/>
      <c r="L371" s="53" t="n"/>
      <c r="P371" s="53" t="n"/>
      <c r="Q371" s="53" t="n"/>
    </row>
    <row r="372" customFormat="1" s="1916">
      <c r="A372" s="53" t="n"/>
      <c r="B372" s="53" t="n"/>
      <c r="C372" s="2192" t="n"/>
      <c r="D372" s="106" t="n"/>
      <c r="E372" s="106" t="n"/>
      <c r="G372" s="53" t="n"/>
      <c r="H372" s="93" t="n"/>
      <c r="I372" s="2145" t="n"/>
      <c r="J372" s="2145" t="n"/>
      <c r="K372" s="53" t="n"/>
      <c r="L372" s="53" t="n"/>
      <c r="P372" s="53" t="n"/>
      <c r="Q372" s="53" t="n"/>
    </row>
    <row r="373" customFormat="1" s="1916">
      <c r="A373" s="53" t="n"/>
      <c r="B373" s="53" t="n"/>
      <c r="C373" s="53" t="n"/>
      <c r="D373" s="53" t="n"/>
      <c r="E373" s="53" t="n"/>
      <c r="G373" s="53" t="n"/>
      <c r="H373" s="93" t="n"/>
      <c r="I373" s="2145" t="n"/>
      <c r="J373" s="2145" t="n"/>
      <c r="K373" s="53" t="n"/>
      <c r="L373" s="53" t="n"/>
      <c r="P373" s="53" t="n"/>
      <c r="Q373" s="53" t="n"/>
    </row>
    <row r="374" customFormat="1" s="1916">
      <c r="A374" s="53" t="n"/>
      <c r="B374" s="53" t="n"/>
      <c r="C374" s="2192" t="n"/>
      <c r="D374" s="106" t="n"/>
      <c r="E374" s="106" t="n"/>
      <c r="G374" s="53" t="n"/>
      <c r="H374" s="93" t="n"/>
      <c r="I374" s="2145" t="n"/>
      <c r="J374" s="2145" t="n"/>
      <c r="K374" s="53" t="n"/>
      <c r="L374" s="53" t="n"/>
    </row>
    <row r="375" customFormat="1" s="1916">
      <c r="A375" s="111" t="n"/>
      <c r="B375" s="53" t="n"/>
      <c r="C375" s="53" t="n"/>
      <c r="D375" s="53" t="n"/>
      <c r="E375" s="53" t="n"/>
      <c r="G375" s="53" t="n"/>
      <c r="H375" s="93" t="n"/>
      <c r="I375" s="2145" t="n"/>
      <c r="J375" s="2145" t="n"/>
      <c r="K375" s="53" t="n"/>
      <c r="L375" s="53" t="n"/>
    </row>
    <row r="376" customFormat="1" s="1916">
      <c r="A376" s="53" t="n"/>
      <c r="B376" s="53" t="n"/>
      <c r="C376" s="2192" t="n"/>
      <c r="D376" s="106" t="n"/>
      <c r="E376" s="106" t="n"/>
      <c r="G376" s="53" t="n"/>
      <c r="H376" s="93" t="n"/>
      <c r="I376" s="2145" t="n"/>
      <c r="J376" s="2145" t="n"/>
      <c r="K376" s="53" t="n"/>
      <c r="L376" s="53" t="n"/>
    </row>
    <row r="377" customFormat="1" s="1916">
      <c r="A377" s="53" t="n"/>
      <c r="B377" s="53" t="n"/>
      <c r="C377" s="53" t="n"/>
      <c r="D377" s="2157" t="n"/>
      <c r="E377" s="2157" t="n"/>
      <c r="F377" s="53" t="n"/>
      <c r="G377" s="103" t="n"/>
      <c r="H377" s="103" t="n"/>
      <c r="I377" s="2147" t="n"/>
      <c r="J377" s="2147" t="n"/>
    </row>
    <row r="378" customFormat="1" s="1916">
      <c r="A378" s="53" t="n"/>
      <c r="B378" s="53" t="n"/>
      <c r="C378" s="2145" t="n"/>
      <c r="D378" s="2145" t="n"/>
      <c r="E378" s="2145" t="n"/>
      <c r="F378" s="111" t="n"/>
      <c r="G378" s="53" t="n"/>
      <c r="H378" s="53" t="n"/>
    </row>
    <row r="379" customFormat="1" s="1916">
      <c r="A379" s="53" t="n"/>
      <c r="B379" s="53" t="n"/>
      <c r="C379" s="53" t="n"/>
      <c r="D379" s="2145" t="n"/>
      <c r="E379" s="53" t="n"/>
      <c r="F379" s="53" t="n"/>
      <c r="G379" s="53" t="n"/>
      <c r="H379" s="53" t="n"/>
      <c r="K379" s="53" t="n"/>
      <c r="L379" s="53" t="n"/>
    </row>
    <row r="380" customFormat="1" s="1916">
      <c r="A380" s="53" t="n"/>
      <c r="B380" s="93" t="n"/>
      <c r="C380" s="2145" t="n"/>
      <c r="D380" s="2145" t="n"/>
      <c r="E380" s="53" t="n"/>
      <c r="F380" s="53" t="n"/>
      <c r="G380" s="2156" t="n"/>
      <c r="H380" s="93" t="n"/>
      <c r="I380" s="53" t="n"/>
      <c r="J380" s="2145" t="n"/>
      <c r="K380" s="53" t="n"/>
      <c r="L380" s="53" t="n"/>
    </row>
    <row r="381" customFormat="1" s="1916">
      <c r="A381" s="111" t="n"/>
      <c r="B381" s="93" t="n"/>
      <c r="C381" s="2145" t="n"/>
      <c r="D381" s="2145" t="n"/>
      <c r="E381" s="53" t="n"/>
      <c r="F381" s="53" t="n"/>
      <c r="G381" s="53" t="n"/>
      <c r="H381" s="93" t="n"/>
      <c r="I381" s="2145" t="n"/>
      <c r="J381" s="2145" t="n"/>
      <c r="K381" s="53" t="n"/>
      <c r="L381" s="53" t="n"/>
    </row>
    <row r="382" customFormat="1" s="1916">
      <c r="A382" s="53" t="n"/>
      <c r="B382" s="93" t="n"/>
      <c r="C382" s="2145" t="n"/>
      <c r="D382" s="2145" t="n"/>
      <c r="E382" s="53" t="n"/>
      <c r="F382" s="53" t="n"/>
      <c r="G382" s="53" t="n"/>
      <c r="H382" s="93" t="n"/>
      <c r="I382" s="2145" t="n"/>
      <c r="J382" s="2145" t="n"/>
      <c r="K382" s="53" t="n"/>
      <c r="L382" s="53" t="n"/>
    </row>
    <row r="383" customFormat="1" s="1916">
      <c r="A383" s="53" t="n"/>
      <c r="B383" s="93" t="n"/>
      <c r="C383" s="2145" t="n"/>
      <c r="D383" s="2145" t="n"/>
      <c r="E383" s="111" t="n"/>
      <c r="F383" s="53" t="n"/>
      <c r="G383" s="53" t="n"/>
      <c r="H383" s="93" t="n"/>
      <c r="I383" s="2145" t="n"/>
      <c r="J383" s="2145" t="n"/>
      <c r="K383" s="53" t="n"/>
      <c r="L383" s="53" t="n"/>
    </row>
    <row r="384" customFormat="1" s="1916">
      <c r="A384" s="53" t="n"/>
      <c r="B384" s="93" t="n"/>
      <c r="C384" s="2145" t="n"/>
      <c r="D384" s="2145" t="n"/>
      <c r="E384" s="111" t="n"/>
      <c r="F384" s="53" t="n"/>
      <c r="G384" s="53" t="n"/>
      <c r="H384" s="93" t="n"/>
      <c r="I384" s="2145" t="n"/>
      <c r="J384" s="2145" t="n"/>
      <c r="K384" s="53" t="n"/>
      <c r="L384" s="53" t="n"/>
    </row>
    <row r="385" customFormat="1" s="1916">
      <c r="A385" s="53" t="n"/>
      <c r="B385" s="93" t="n"/>
      <c r="C385" s="2145" t="n"/>
      <c r="D385" s="2145" t="n"/>
      <c r="E385" s="53" t="n"/>
      <c r="F385" s="53" t="n"/>
      <c r="G385" s="53" t="n"/>
      <c r="H385" s="93" t="n"/>
      <c r="I385" s="2145" t="n"/>
      <c r="J385" s="2145" t="n"/>
      <c r="K385" s="53" t="n"/>
      <c r="L385" s="53" t="n"/>
    </row>
    <row r="386" customFormat="1" s="1916">
      <c r="A386" s="53" t="n"/>
      <c r="B386" s="93" t="n"/>
      <c r="C386" s="2145" t="n"/>
      <c r="D386" s="2145" t="n"/>
      <c r="E386" s="53" t="n"/>
      <c r="F386" s="53" t="n"/>
      <c r="G386" s="53" t="n"/>
      <c r="H386" s="93" t="n"/>
      <c r="I386" s="2145" t="n"/>
      <c r="J386" s="2145" t="n"/>
      <c r="K386" s="53" t="n"/>
      <c r="L386" s="53" t="n"/>
    </row>
    <row r="387" customFormat="1" s="1916">
      <c r="A387" s="53" t="n"/>
      <c r="B387" s="93" t="n"/>
      <c r="C387" s="2145" t="n"/>
      <c r="D387" s="2145" t="n"/>
      <c r="E387" s="53" t="n"/>
      <c r="F387" s="53" t="n"/>
      <c r="G387" s="53" t="n"/>
      <c r="H387" s="93" t="n"/>
      <c r="I387" s="2145" t="n"/>
      <c r="J387" s="2145" t="n"/>
      <c r="K387" s="53" t="n"/>
      <c r="L387" s="53" t="n"/>
    </row>
    <row r="388" customFormat="1" s="1916">
      <c r="A388" s="53" t="n"/>
      <c r="B388" s="93" t="n"/>
      <c r="C388" s="2145" t="n"/>
      <c r="D388" s="2145" t="n"/>
      <c r="E388" s="53" t="n"/>
      <c r="F388" s="53" t="n"/>
      <c r="G388" s="53" t="n"/>
      <c r="H388" s="93" t="n"/>
      <c r="I388" s="2145" t="n"/>
      <c r="J388" s="2145" t="n"/>
      <c r="K388" s="53" t="n"/>
      <c r="L388" s="53" t="n"/>
    </row>
    <row r="389" customFormat="1" s="1916">
      <c r="A389" s="103" t="n"/>
      <c r="B389" s="103" t="n"/>
      <c r="C389" s="2147" t="n"/>
      <c r="D389" s="2147" t="n"/>
      <c r="E389" s="53" t="n"/>
      <c r="F389" s="53" t="n"/>
      <c r="G389" s="103" t="n"/>
      <c r="H389" s="103" t="n"/>
      <c r="I389" s="2147" t="n"/>
      <c r="J389" s="2147" t="n"/>
      <c r="K389" s="53" t="n"/>
      <c r="L389" s="53" t="n"/>
    </row>
    <row r="390" customFormat="1" s="1916">
      <c r="A390" s="53" t="n"/>
      <c r="B390" s="53" t="n"/>
      <c r="C390" s="2145" t="n"/>
      <c r="D390" s="2145" t="n"/>
      <c r="E390" s="53" t="n"/>
      <c r="F390" s="53" t="n"/>
      <c r="G390" s="53" t="n"/>
      <c r="H390" s="53" t="n"/>
      <c r="I390" s="53" t="n"/>
      <c r="K390" s="106" t="n"/>
      <c r="L390" s="106" t="n"/>
    </row>
    <row r="391" customFormat="1" s="1916">
      <c r="A391" s="53" t="n"/>
      <c r="B391" s="53" t="n"/>
      <c r="C391" s="2145" t="n"/>
      <c r="D391" s="2145" t="n"/>
      <c r="E391" s="53" t="n"/>
      <c r="F391" s="53" t="n"/>
    </row>
    <row r="392" customFormat="1" s="1916">
      <c r="A392" s="53" t="n"/>
      <c r="B392" s="53" t="n"/>
      <c r="C392" s="2145" t="n"/>
      <c r="D392" s="2147" t="n"/>
      <c r="E392" s="53" t="n"/>
      <c r="F392" s="53" t="n"/>
    </row>
    <row r="393" customFormat="1" s="1916">
      <c r="A393" s="53" t="n"/>
      <c r="B393" s="53" t="n"/>
      <c r="C393" s="2145" t="n"/>
      <c r="D393" s="2145" t="n"/>
      <c r="E393" s="53" t="n"/>
      <c r="F393" s="53" t="n"/>
    </row>
    <row r="394" customFormat="1" s="1916">
      <c r="A394" s="53" t="n"/>
      <c r="B394" s="53" t="n"/>
      <c r="C394" s="2145" t="n"/>
      <c r="D394" s="2145" t="n"/>
      <c r="E394" s="53" t="n"/>
      <c r="F394" s="53" t="n"/>
    </row>
    <row r="395" customFormat="1" s="1916">
      <c r="A395" s="53" t="n"/>
      <c r="B395" s="112" t="n"/>
      <c r="C395" s="2145" t="n"/>
      <c r="D395" s="2145" t="n"/>
      <c r="E395" s="53" t="n"/>
      <c r="F395" s="53" t="n"/>
    </row>
    <row r="396" customFormat="1" s="1916">
      <c r="A396" s="53" t="n"/>
      <c r="B396" s="112" t="n"/>
      <c r="C396" s="2145" t="n"/>
      <c r="D396" s="2145" t="n"/>
      <c r="E396" s="53" t="n"/>
      <c r="F396" s="53" t="n"/>
    </row>
    <row r="397" customFormat="1" s="1916">
      <c r="A397" s="53" t="n"/>
      <c r="B397" s="113" t="n"/>
      <c r="C397" s="2145" t="n"/>
      <c r="D397" s="2145" t="n"/>
      <c r="E397" s="53" t="n"/>
      <c r="F397" s="53" t="n"/>
    </row>
    <row r="398" customFormat="1" s="1916">
      <c r="A398" s="53" t="n"/>
      <c r="B398" s="113" t="n"/>
      <c r="C398" s="2145" t="n"/>
      <c r="D398" s="2145" t="n"/>
      <c r="E398" s="53" t="n"/>
      <c r="F398" s="53" t="n"/>
    </row>
    <row r="399" customFormat="1" s="1916">
      <c r="A399" s="53" t="n"/>
      <c r="B399" s="113" t="n"/>
      <c r="C399" s="2145" t="n"/>
      <c r="D399" s="2145" t="n"/>
      <c r="E399" s="53" t="n"/>
      <c r="F399" s="53" t="n"/>
    </row>
    <row r="400" customFormat="1" s="1916">
      <c r="A400" s="53" t="n"/>
      <c r="B400" s="113" t="n"/>
      <c r="C400" s="2145" t="n"/>
      <c r="D400" s="2145" t="n"/>
      <c r="E400" s="53" t="n"/>
      <c r="F400" s="53" t="n"/>
    </row>
    <row r="401" customFormat="1" s="1916">
      <c r="A401" s="53" t="n"/>
      <c r="B401" s="112" t="n"/>
      <c r="C401" s="2145" t="n"/>
      <c r="D401" s="2145" t="n"/>
      <c r="E401" s="53" t="n"/>
      <c r="F401" s="53" t="n"/>
    </row>
    <row r="402" customFormat="1" s="1916">
      <c r="A402" s="53" t="n"/>
      <c r="B402" s="112" t="n"/>
      <c r="C402" s="2145" t="n"/>
      <c r="D402" s="2145" t="n"/>
      <c r="E402" s="53" t="n"/>
      <c r="F402" s="53" t="n"/>
    </row>
    <row r="403" customFormat="1" s="1916">
      <c r="A403" s="53" t="n"/>
      <c r="B403" s="112" t="n"/>
      <c r="C403" s="2145" t="n"/>
      <c r="D403" s="2149" t="n"/>
      <c r="E403" s="53" t="n"/>
      <c r="F403" s="53" t="n"/>
    </row>
    <row r="404" customFormat="1" s="1916">
      <c r="A404" s="53" t="n"/>
      <c r="B404" s="113" t="n"/>
      <c r="C404" s="2145" t="n"/>
      <c r="D404" s="2145" t="n"/>
      <c r="E404" s="53" t="n"/>
      <c r="F404" s="53" t="n"/>
      <c r="G404" s="53" t="n"/>
      <c r="I404" s="2154" t="n"/>
    </row>
    <row r="405" customFormat="1" s="1916">
      <c r="A405" s="53" t="n"/>
      <c r="B405" s="53" t="n"/>
      <c r="C405" s="2145" t="n"/>
      <c r="D405" s="2145" t="n"/>
      <c r="E405" s="2145" t="n"/>
      <c r="F405" s="2145" t="n"/>
    </row>
    <row r="406" customFormat="1" s="1916">
      <c r="A406" s="53" t="n"/>
      <c r="B406" s="53" t="n"/>
      <c r="C406" s="2145" t="n"/>
      <c r="D406" s="2145" t="n"/>
      <c r="F406" s="108" t="n"/>
    </row>
    <row r="407" customFormat="1" s="1916">
      <c r="D407" s="2145" t="n"/>
    </row>
    <row r="408" customFormat="1" s="1916"/>
    <row r="409" customFormat="1" s="1916"/>
    <row r="410" customFormat="1" s="1916"/>
    <row r="411" customFormat="1" s="1916"/>
    <row r="412" customFormat="1" s="1916"/>
    <row r="413" customFormat="1" s="1916"/>
    <row r="414" customFormat="1" s="1916"/>
    <row r="415" customFormat="1" s="1916"/>
    <row r="416">
      <c r="P416" s="1916" t="n"/>
      <c r="Q416" s="1916" t="n"/>
      <c r="R416" s="1916" t="n"/>
      <c r="S416" s="1916" t="n"/>
      <c r="T416" s="1916" t="n"/>
      <c r="U416" s="1916" t="n"/>
      <c r="V416" s="1916" t="n"/>
      <c r="AA416" s="1916" t="n"/>
      <c r="AB416" s="1916" t="n"/>
    </row>
    <row r="417">
      <c r="P417" s="1916" t="n"/>
      <c r="Q417" s="1916" t="n"/>
      <c r="R417" s="1916" t="n"/>
      <c r="S417" s="1916" t="n"/>
      <c r="T417" s="1916" t="n"/>
      <c r="U417" s="1916" t="n"/>
      <c r="V417" s="1916" t="n"/>
      <c r="AA417" s="1916" t="n"/>
      <c r="AB417" s="1916" t="n"/>
    </row>
    <row r="418">
      <c r="AA418" s="1916" t="n"/>
      <c r="AB418" s="1916" t="n"/>
    </row>
    <row r="419">
      <c r="AA419" s="1916" t="n"/>
      <c r="AB419" s="1916" t="n"/>
    </row>
    <row r="420">
      <c r="AA420" s="1916" t="n"/>
      <c r="AB420" s="1916" t="n"/>
    </row>
    <row r="421">
      <c r="AA421" s="1916" t="n"/>
      <c r="AB421" s="1916" t="n"/>
    </row>
    <row r="422">
      <c r="AA422" s="1916" t="n"/>
      <c r="AB422" s="1916" t="n"/>
    </row>
    <row r="423">
      <c r="AA423" s="1916" t="n"/>
      <c r="AB423" s="1916" t="n"/>
    </row>
    <row r="424">
      <c r="AA424" s="1916" t="n"/>
      <c r="AB424" s="1916" t="n"/>
    </row>
    <row r="425">
      <c r="AA425" s="1916" t="n"/>
      <c r="AB425" s="1916" t="n"/>
    </row>
    <row r="426">
      <c r="AA426" s="1916" t="n"/>
      <c r="AB426" s="1916" t="n"/>
    </row>
    <row r="427">
      <c r="AA427" s="1916" t="n"/>
      <c r="AB427" s="1916" t="n"/>
    </row>
    <row r="428">
      <c r="AA428" s="1916" t="n"/>
      <c r="AB428" s="1916" t="n"/>
    </row>
    <row r="429">
      <c r="AA429" s="1916" t="n"/>
      <c r="AB429" s="1916" t="n"/>
    </row>
    <row r="430">
      <c r="AA430" s="1916" t="n"/>
      <c r="AB430" s="1916" t="n"/>
    </row>
    <row r="431">
      <c r="AA431" s="1916" t="n"/>
      <c r="AB431" s="1916" t="n"/>
    </row>
    <row r="432">
      <c r="AA432" s="1916" t="n"/>
      <c r="AB432" s="1916" t="n"/>
    </row>
    <row r="433">
      <c r="AA433" s="1916" t="n"/>
      <c r="AB433" s="1916" t="n"/>
    </row>
    <row r="434">
      <c r="AA434" s="1916" t="n"/>
      <c r="AB434" s="1916" t="n"/>
    </row>
    <row r="435">
      <c r="AA435" s="1916" t="n"/>
      <c r="AB435" s="1916" t="n"/>
    </row>
    <row r="436">
      <c r="AA436" s="1916" t="n"/>
      <c r="AB436" s="1916" t="n"/>
    </row>
    <row r="437">
      <c r="AA437" s="1916" t="n"/>
      <c r="AB437" s="1916" t="n"/>
    </row>
    <row r="438">
      <c r="AA438" s="1916" t="n"/>
      <c r="AB438" s="1916" t="n"/>
    </row>
    <row r="439">
      <c r="AA439" s="1916" t="n"/>
      <c r="AB439" s="1916" t="n"/>
    </row>
    <row r="440">
      <c r="AA440" s="1916" t="n"/>
      <c r="AB440" s="1916" t="n"/>
    </row>
    <row r="441">
      <c r="AA441" s="1916" t="n"/>
      <c r="AB441" s="1916" t="n"/>
    </row>
    <row r="442">
      <c r="AA442" s="1916" t="n"/>
      <c r="AB442" s="1916" t="n"/>
    </row>
    <row r="443">
      <c r="AA443" s="1916" t="n"/>
      <c r="AB443" s="1916" t="n"/>
    </row>
    <row r="444">
      <c r="AA444" s="1916" t="n"/>
      <c r="AB444" s="1916" t="n"/>
    </row>
    <row r="445">
      <c r="AA445" s="1916" t="n"/>
      <c r="AB445" s="1916" t="n"/>
    </row>
    <row r="446">
      <c r="AA446" s="1916" t="n"/>
      <c r="AB446" s="1916" t="n"/>
    </row>
    <row r="447">
      <c r="AA447" s="1916" t="n"/>
      <c r="AB447" s="1916" t="n"/>
    </row>
    <row r="448">
      <c r="AA448" s="1916" t="n"/>
      <c r="AB448" s="1916" t="n"/>
    </row>
    <row r="449">
      <c r="AA449" s="1916" t="n"/>
      <c r="AB449" s="1916" t="n"/>
    </row>
    <row r="450">
      <c r="AA450" s="1916" t="n"/>
      <c r="AB450" s="1916" t="n"/>
    </row>
    <row r="451">
      <c r="AA451" s="1916" t="n"/>
      <c r="AB451" s="1916" t="n"/>
    </row>
    <row r="452">
      <c r="AA452" s="1916" t="n"/>
      <c r="AB452" s="1916" t="n"/>
    </row>
    <row r="453">
      <c r="AA453" s="1916" t="n"/>
      <c r="AB453" s="1916" t="n"/>
    </row>
    <row r="454">
      <c r="AA454" s="1916" t="n"/>
      <c r="AB454" s="1916" t="n"/>
    </row>
    <row r="455">
      <c r="AA455" s="1916" t="n"/>
      <c r="AB455" s="1916" t="n"/>
    </row>
    <row r="456">
      <c r="AA456" s="1916" t="n"/>
      <c r="AB456" s="1916" t="n"/>
    </row>
    <row r="457">
      <c r="AA457" s="1916" t="n"/>
      <c r="AB457" s="1916" t="n"/>
    </row>
    <row r="458">
      <c r="AA458" s="1916" t="n"/>
      <c r="AB458" s="1916" t="n"/>
    </row>
    <row r="459">
      <c r="AA459" s="1916" t="n"/>
      <c r="AB459" s="1916" t="n"/>
    </row>
    <row r="460">
      <c r="AA460" s="1916" t="n"/>
      <c r="AB460" s="1916" t="n"/>
    </row>
    <row r="461">
      <c r="AA461" s="1916" t="n"/>
      <c r="AB461" s="1916" t="n"/>
    </row>
    <row r="462">
      <c r="AA462" s="1916" t="n"/>
      <c r="AB462" s="1916" t="n"/>
    </row>
    <row r="463">
      <c r="AA463" s="1916" t="n"/>
      <c r="AB463" s="1916" t="n"/>
    </row>
    <row r="464">
      <c r="AA464" s="1916" t="n"/>
      <c r="AB464" s="1916" t="n"/>
    </row>
    <row r="465">
      <c r="AA465" s="1916" t="n"/>
      <c r="AB465" s="1916" t="n"/>
    </row>
    <row r="466">
      <c r="AA466" s="1916" t="n"/>
      <c r="AB466" s="1916" t="n"/>
    </row>
    <row r="467">
      <c r="AA467" s="1916" t="n"/>
      <c r="AB467" s="1916" t="n"/>
    </row>
    <row r="468">
      <c r="AA468" s="1916" t="n"/>
      <c r="AB468" s="1916" t="n"/>
    </row>
    <row r="469">
      <c r="AA469" s="1916" t="n"/>
      <c r="AB469" s="1916" t="n"/>
    </row>
    <row r="470">
      <c r="AA470" s="1916" t="n"/>
      <c r="AB470" s="1916" t="n"/>
    </row>
    <row r="471">
      <c r="AA471" s="1916" t="n"/>
      <c r="AB471" s="1916" t="n"/>
    </row>
    <row r="472">
      <c r="AA472" s="1916" t="n"/>
      <c r="AB472" s="1916" t="n"/>
    </row>
    <row r="473">
      <c r="AA473" s="1916" t="n"/>
      <c r="AB473" s="1916" t="n"/>
    </row>
    <row r="474">
      <c r="AA474" s="1916" t="n"/>
      <c r="AB474" s="1916" t="n"/>
    </row>
    <row r="475">
      <c r="AA475" s="1916" t="n"/>
      <c r="AB475" s="1916" t="n"/>
    </row>
    <row r="476">
      <c r="AA476" s="1916" t="n"/>
      <c r="AB476" s="1916" t="n"/>
    </row>
    <row r="477">
      <c r="AA477" s="1916" t="n"/>
      <c r="AB477" s="1916" t="n"/>
    </row>
    <row r="478">
      <c r="AA478" s="1916" t="n"/>
      <c r="AB478" s="1916" t="n"/>
    </row>
    <row r="479">
      <c r="AA479" s="1916" t="n"/>
      <c r="AB479" s="1916" t="n"/>
    </row>
    <row r="480">
      <c r="AA480" s="1916" t="n"/>
      <c r="AB480" s="1916" t="n"/>
    </row>
    <row r="481">
      <c r="AA481" s="1916" t="n"/>
      <c r="AB481" s="1916" t="n"/>
    </row>
    <row r="482">
      <c r="AA482" s="1916" t="n"/>
      <c r="AB482" s="1916" t="n"/>
    </row>
    <row r="483">
      <c r="AA483" s="1916" t="n"/>
      <c r="AB483" s="1916" t="n"/>
    </row>
    <row r="484">
      <c r="AA484" s="1916" t="n"/>
      <c r="AB484" s="1916" t="n"/>
    </row>
    <row r="485">
      <c r="AA485" s="1916" t="n"/>
      <c r="AB485" s="1916" t="n"/>
    </row>
    <row r="486">
      <c r="AA486" s="1916" t="n"/>
      <c r="AB486" s="1916" t="n"/>
    </row>
    <row r="487">
      <c r="AA487" s="1916" t="n"/>
      <c r="AB487" s="1916" t="n"/>
    </row>
    <row r="488">
      <c r="AA488" s="1916" t="n"/>
      <c r="AB488" s="1916" t="n"/>
    </row>
    <row r="489">
      <c r="AA489" s="1916" t="n"/>
      <c r="AB489" s="1916" t="n"/>
    </row>
    <row r="490">
      <c r="AA490" s="1916" t="n"/>
      <c r="AB490" s="1916" t="n"/>
    </row>
    <row r="491">
      <c r="AA491" s="1916" t="n"/>
      <c r="AB491" s="1916" t="n"/>
    </row>
    <row r="492">
      <c r="AA492" s="1916" t="n"/>
      <c r="AB492" s="1916" t="n"/>
    </row>
    <row r="493">
      <c r="AA493" s="1916" t="n"/>
      <c r="AB493" s="1916" t="n"/>
    </row>
    <row r="494">
      <c r="AA494" s="1916" t="n"/>
      <c r="AB494" s="1916" t="n"/>
    </row>
    <row r="495">
      <c r="AA495" s="1916" t="n"/>
      <c r="AB495" s="1916" t="n"/>
    </row>
    <row r="496">
      <c r="AA496" s="1916" t="n"/>
      <c r="AB496" s="1916" t="n"/>
    </row>
    <row r="497">
      <c r="AA497" s="1916" t="n"/>
      <c r="AB497" s="1916" t="n"/>
    </row>
    <row r="498">
      <c r="AA498" s="1916" t="n"/>
      <c r="AB498" s="1916" t="n"/>
    </row>
    <row r="499">
      <c r="AA499" s="1916" t="n"/>
      <c r="AB499" s="1916" t="n"/>
    </row>
  </sheetData>
  <mergeCells count="3">
    <mergeCell ref="P4:V4"/>
    <mergeCell ref="V6:W6"/>
    <mergeCell ref="G43:J43"/>
  </mergeCells>
  <conditionalFormatting sqref="A75:B75">
    <cfRule type="expression" priority="1" dxfId="4">
      <formula>$D$6="yes"</formula>
    </cfRule>
  </conditionalFormatting>
  <conditionalFormatting sqref="D5">
    <cfRule type="cellIs" priority="4" operator="equal" dxfId="2">
      <formula>"Yes"</formula>
    </cfRule>
  </conditionalFormatting>
  <conditionalFormatting sqref="D6">
    <cfRule type="containsText" priority="8" operator="containsText" dxfId="10" text="Yes">
      <formula>NOT(ISERROR(SEARCH("Yes",D6)))</formula>
    </cfRule>
  </conditionalFormatting>
  <conditionalFormatting sqref="D14">
    <cfRule type="containsText" priority="13" operator="containsText" dxfId="2" text="owner">
      <formula>NOT(ISERROR(SEARCH("owner",D14)))</formula>
    </cfRule>
  </conditionalFormatting>
  <conditionalFormatting sqref="D75">
    <cfRule type="expression" priority="2" dxfId="4">
      <formula>$D$6="yes"</formula>
    </cfRule>
  </conditionalFormatting>
  <conditionalFormatting sqref="E35">
    <cfRule type="containsText" priority="5" operator="containsText" dxfId="2" text="10 hour days">
      <formula>NOT(ISERROR(SEARCH("10 hour days",E35)))</formula>
    </cfRule>
    <cfRule type="containsText" priority="6" operator="containsText" dxfId="4" text="8 hour days">
      <formula>NOT(ISERROR(SEARCH("8 hour days",E35)))</formula>
    </cfRule>
  </conditionalFormatting>
  <conditionalFormatting sqref="E36">
    <cfRule type="cellIs" priority="3" operator="equal" dxfId="9" stopIfTrue="1">
      <formula>"PW"</formula>
    </cfRule>
  </conditionalFormatting>
  <conditionalFormatting sqref="F35">
    <cfRule type="cellIs" priority="9" operator="lessThan" dxfId="1">
      <formula>0.1</formula>
    </cfRule>
    <cfRule type="cellIs" priority="10" operator="greaterThan" dxfId="2">
      <formula>0.2</formula>
    </cfRule>
    <cfRule type="cellIs" priority="11" operator="greaterThan" dxfId="2">
      <formula>0.25</formula>
    </cfRule>
    <cfRule type="cellIs" priority="12" operator="lessThan" dxfId="1">
      <formula>0.15</formula>
    </cfRule>
  </conditionalFormatting>
  <hyperlinks>
    <hyperlink xmlns:r="http://schemas.openxmlformats.org/officeDocument/2006/relationships" ref="A75" display="Kansas Remodel Tax" r:id="rId1"/>
  </hyperlinks>
  <pageMargins left="0.75" right="0.75" top="0.5" bottom="0.25" header="0.5" footer="0.5"/>
  <pageSetup orientation="portrait" scale="68" horizontalDpi="4294967292" verticalDpi="4294967292"/>
  <colBreaks count="1" manualBreakCount="1">
    <brk id="6" min="0" max="1048575" man="1"/>
  </col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99"/>
  <sheetViews>
    <sheetView zoomScaleNormal="100" workbookViewId="0">
      <selection activeCell="C11" sqref="C11"/>
    </sheetView>
  </sheetViews>
  <sheetFormatPr baseColWidth="8" defaultColWidth="11.19921875" defaultRowHeight="15.6"/>
  <cols>
    <col width="19.796875" customWidth="1" min="1" max="1"/>
    <col width="13.796875" customWidth="1" min="2" max="2"/>
    <col width="13.296875" customWidth="1" min="3" max="3"/>
    <col width="14.296875" customWidth="1" min="4" max="4"/>
    <col width="16.796875" customWidth="1" min="5" max="5"/>
    <col width="18.19921875" customWidth="1" min="6" max="6"/>
    <col width="18" customWidth="1" min="7" max="7"/>
    <col width="19.5" customWidth="1" min="8" max="9"/>
    <col width="14.19921875" customWidth="1" min="10" max="10"/>
    <col width="14" customWidth="1" min="11" max="11"/>
    <col width="12.19921875" customWidth="1" min="12" max="13"/>
    <col width="13.69921875" customWidth="1" min="14" max="14"/>
    <col width="11.796875" customWidth="1" min="15" max="15"/>
    <col width="11.296875" customWidth="1" min="16" max="16"/>
    <col width="13.69921875" customWidth="1" min="17" max="17"/>
    <col width="14.296875" customWidth="1" min="18" max="18"/>
    <col width="14.796875" customWidth="1" min="19" max="19"/>
    <col width="15.796875" customWidth="1" min="23" max="23"/>
    <col width="16.5" customWidth="1" min="24" max="24"/>
  </cols>
  <sheetData>
    <row r="1">
      <c r="A1" s="51" t="inlineStr">
        <is>
          <t>Project</t>
        </is>
      </c>
      <c r="B1">
        <f>Seal!B1</f>
        <v/>
      </c>
      <c r="G1" s="514" t="inlineStr">
        <is>
          <t>Bidding Contacts:</t>
        </is>
      </c>
    </row>
    <row r="2">
      <c r="A2" s="51" t="inlineStr">
        <is>
          <t>Bid Date</t>
        </is>
      </c>
      <c r="B2" s="250">
        <f>Seal!B2</f>
        <v/>
      </c>
      <c r="C2" s="250" t="n"/>
      <c r="D2" s="250" t="n"/>
      <c r="G2" s="483">
        <f>Seal!G2</f>
        <v/>
      </c>
      <c r="H2">
        <f>Seal!H2</f>
        <v/>
      </c>
      <c r="I2">
        <f>Seal!I2</f>
        <v/>
      </c>
    </row>
    <row r="3">
      <c r="A3" s="51" t="inlineStr">
        <is>
          <t>Address</t>
        </is>
      </c>
      <c r="B3">
        <f>Seal!B3</f>
        <v/>
      </c>
      <c r="G3" s="483">
        <f>Seal!G3</f>
        <v/>
      </c>
      <c r="H3">
        <f>Seal!H3</f>
        <v/>
      </c>
      <c r="I3">
        <f>Seal!I3</f>
        <v/>
      </c>
    </row>
    <row r="4" ht="16.2" customHeight="1" thickBot="1">
      <c r="A4" s="1638" t="inlineStr">
        <is>
          <t>Local?</t>
        </is>
      </c>
      <c r="B4">
        <f>Seal!B4</f>
        <v/>
      </c>
      <c r="C4" s="220" t="inlineStr">
        <is>
          <t>&lt; 70 miles?</t>
        </is>
      </c>
      <c r="D4" s="4" t="n"/>
      <c r="E4" s="204" t="n"/>
      <c r="F4" s="72" t="n"/>
      <c r="G4" s="483">
        <f>Seal!G4</f>
        <v/>
      </c>
      <c r="H4">
        <f>Seal!H4</f>
        <v/>
      </c>
      <c r="I4">
        <f>Seal!I4</f>
        <v/>
      </c>
      <c r="J4" s="1916" t="n"/>
      <c r="K4" s="1916" t="n"/>
      <c r="L4" s="1916" t="n"/>
      <c r="M4" s="1916" t="n"/>
      <c r="P4" s="1891" t="inlineStr">
        <is>
          <t>Calculator for Polish Days - DO NOT DELETE</t>
        </is>
      </c>
    </row>
    <row r="5">
      <c r="A5" s="2" t="inlineStr">
        <is>
          <t>Hard Bid?</t>
        </is>
      </c>
      <c r="B5">
        <f>Seal!B5</f>
        <v/>
      </c>
      <c r="C5" s="1010" t="inlineStr">
        <is>
          <t>PrevailingWage?</t>
        </is>
      </c>
      <c r="D5" s="591">
        <f>Seal!D5</f>
        <v/>
      </c>
      <c r="E5" s="1727">
        <f>Seal!E5</f>
        <v/>
      </c>
      <c r="F5" s="72" t="n"/>
      <c r="G5" s="483">
        <f>Seal!G5</f>
        <v/>
      </c>
      <c r="H5">
        <f>Seal!H5</f>
        <v/>
      </c>
      <c r="I5">
        <f>Seal!I5</f>
        <v/>
      </c>
      <c r="J5" s="1916" t="n"/>
      <c r="K5" s="1916" t="n"/>
      <c r="L5" s="1916" t="n"/>
      <c r="M5" s="1916" t="n"/>
      <c r="P5" s="2298">
        <f>IF((B35/2500)&lt;1,1,(B35/2500))</f>
        <v/>
      </c>
      <c r="Q5" s="139" t="inlineStr">
        <is>
          <t># 2500 sf multiplier</t>
        </is>
      </c>
      <c r="R5" s="140" t="n"/>
      <c r="S5" s="140" t="n"/>
      <c r="T5" s="140" t="n"/>
      <c r="U5" s="140" t="n"/>
      <c r="V5" s="140" t="n"/>
      <c r="W5" s="141" t="n"/>
    </row>
    <row r="6">
      <c r="A6" s="2" t="inlineStr">
        <is>
          <t>Taxable?</t>
        </is>
      </c>
      <c r="B6">
        <f>Seal!B6</f>
        <v/>
      </c>
      <c r="C6" s="1539" t="inlineStr">
        <is>
          <t>Remodel Tax?</t>
        </is>
      </c>
      <c r="D6" s="4">
        <f>Seal!D6</f>
        <v/>
      </c>
      <c r="E6" s="1727">
        <f>Seal!E6</f>
        <v/>
      </c>
      <c r="F6" s="72" t="n"/>
      <c r="G6" s="483">
        <f>Seal!G6</f>
        <v/>
      </c>
      <c r="H6">
        <f>Seal!H6</f>
        <v/>
      </c>
      <c r="I6">
        <f>Seal!I6</f>
        <v/>
      </c>
      <c r="J6" s="1916" t="n"/>
      <c r="K6" s="1916" t="n"/>
      <c r="L6" s="1916" t="n"/>
      <c r="M6" s="1916" t="n"/>
      <c r="P6" s="142" t="n"/>
      <c r="Q6" s="53" t="inlineStr">
        <is>
          <t>Aggregate?</t>
        </is>
      </c>
      <c r="R6" s="53" t="inlineStr">
        <is>
          <t>Polish System</t>
        </is>
      </c>
      <c r="S6" s="53" t="inlineStr">
        <is>
          <t>Dye</t>
        </is>
      </c>
      <c r="T6" s="53" t="inlineStr">
        <is>
          <t>Grout</t>
        </is>
      </c>
      <c r="U6" s="1" t="inlineStr">
        <is>
          <t>Demo Glue</t>
        </is>
      </c>
      <c r="V6" s="1893" t="inlineStr">
        <is>
          <t>Tooling</t>
        </is>
      </c>
      <c r="W6" s="145" t="n"/>
    </row>
    <row r="7">
      <c r="A7" s="2" t="inlineStr">
        <is>
          <t>Approx Start Date</t>
        </is>
      </c>
      <c r="B7" s="250">
        <f>Seal!B7</f>
        <v/>
      </c>
      <c r="D7" s="4" t="n"/>
      <c r="E7" s="204" t="n"/>
      <c r="F7" s="72" t="n"/>
      <c r="G7" s="483" t="n"/>
      <c r="H7" s="593" t="n"/>
      <c r="I7" s="1916" t="n"/>
      <c r="J7" s="1916" t="n"/>
      <c r="K7" s="1916" t="n"/>
      <c r="L7" s="1916" t="n"/>
      <c r="M7" s="1916" t="n"/>
      <c r="P7" s="142" t="n"/>
      <c r="Q7" s="53" t="n"/>
      <c r="R7" s="53" t="n"/>
      <c r="S7" s="53" t="n"/>
      <c r="T7" s="53" t="n"/>
      <c r="U7" s="1" t="n"/>
      <c r="V7" s="1892" t="n"/>
      <c r="W7" s="1893" t="n"/>
    </row>
    <row r="8">
      <c r="A8" s="249" t="inlineStr">
        <is>
          <t>Architect</t>
        </is>
      </c>
      <c r="B8">
        <f>Seal!B8</f>
        <v/>
      </c>
      <c r="D8" s="4" t="n"/>
      <c r="E8" s="1470" t="n"/>
      <c r="F8" s="72" t="n"/>
      <c r="G8" s="483" t="n"/>
      <c r="H8" s="593" t="n"/>
      <c r="I8" s="1916" t="n"/>
      <c r="J8" s="1916" t="n"/>
      <c r="K8" s="1916" t="n"/>
      <c r="L8" s="1916" t="n"/>
      <c r="M8" s="1916" t="n"/>
      <c r="P8" s="142" t="n"/>
      <c r="Q8" s="53" t="n"/>
      <c r="R8" s="53" t="n"/>
      <c r="S8" s="53" t="n"/>
      <c r="T8" s="53" t="n"/>
      <c r="U8" s="1" t="n"/>
      <c r="V8" s="1892" t="n"/>
      <c r="W8" s="1893" t="n"/>
    </row>
    <row r="9">
      <c r="A9" s="249" t="inlineStr">
        <is>
          <t>Drawings Dated</t>
        </is>
      </c>
      <c r="B9" s="250">
        <f>Seal!B9</f>
        <v/>
      </c>
      <c r="D9" s="4" t="n"/>
      <c r="E9" s="204" t="n"/>
      <c r="F9" s="72" t="n"/>
      <c r="G9" s="2145" t="n"/>
      <c r="H9" s="593" t="n"/>
      <c r="I9" s="2149" t="n"/>
      <c r="J9" s="2149" t="n"/>
      <c r="K9" s="2149" t="n"/>
      <c r="L9" s="2149" t="n"/>
      <c r="M9" s="1916" t="n"/>
      <c r="P9" s="142" t="n"/>
      <c r="Q9" s="53" t="n"/>
      <c r="R9" s="53" t="n"/>
      <c r="S9" s="53" t="n"/>
      <c r="T9" s="53" t="n"/>
      <c r="U9" s="1" t="n"/>
      <c r="V9" s="1892" t="n"/>
      <c r="W9" s="1893" t="n"/>
    </row>
    <row r="10">
      <c r="A10" s="51" t="inlineStr">
        <is>
          <t>New / Reno:</t>
        </is>
      </c>
      <c r="B10">
        <f>Seal!B10</f>
        <v/>
      </c>
      <c r="D10" s="4" t="n"/>
      <c r="E10" s="204" t="n"/>
      <c r="F10" s="72" t="n"/>
      <c r="G10" s="2299" t="n"/>
      <c r="H10" s="593" t="n"/>
      <c r="I10" s="2149" t="n"/>
      <c r="J10" s="2149" t="n"/>
      <c r="K10" s="2149" t="n"/>
      <c r="L10" s="2149" t="n"/>
      <c r="M10" s="1916" t="n"/>
      <c r="P10" s="142" t="n"/>
      <c r="Q10" s="143">
        <f>IF(F36="cream",Q14,IF(F36="S&amp;P",Q15,IF(F36="full",Q16,0)))</f>
        <v/>
      </c>
      <c r="R10" s="143">
        <f>IF(G36="traditional",IF(F36="S&amp;P",R19,IF(F36="full",R20)),IF(G36="hybrid",IF(F36="cream",R14,0)))</f>
        <v/>
      </c>
      <c r="S10" s="143">
        <f>IF(H36="yes dye",S14,0)</f>
        <v/>
      </c>
      <c r="T10" s="143">
        <f>IF(I36="yes grout",T14,0)</f>
        <v/>
      </c>
      <c r="U10" s="143">
        <f>IF(J36="yes demo glue",U14,0)</f>
        <v/>
      </c>
      <c r="V10" s="143">
        <f>IF(F36="cream",V13,IF(F36="S&amp;P",V14,IF(F36="full",V15,0.25)))</f>
        <v/>
      </c>
      <c r="W10" s="144">
        <f>IF(G36="traditional",V16,0)</f>
        <v/>
      </c>
    </row>
    <row r="11">
      <c r="A11" s="3" t="n"/>
      <c r="B11" s="3" t="n"/>
      <c r="C11" s="4" t="n"/>
      <c r="D11" s="4" t="n"/>
      <c r="E11" s="204" t="n"/>
      <c r="F11" s="53" t="n"/>
      <c r="G11" s="2299" t="n"/>
      <c r="H11" s="593" t="n"/>
      <c r="I11" s="2149" t="n"/>
      <c r="J11" s="2149" t="n"/>
      <c r="K11" s="2149" t="n"/>
      <c r="L11" s="2149" t="n"/>
      <c r="M11" s="1916" t="n"/>
      <c r="P11" s="142" t="n"/>
      <c r="Q11" s="143" t="n"/>
      <c r="R11" s="143" t="n"/>
      <c r="S11" s="143" t="n"/>
      <c r="T11" s="143" t="n"/>
      <c r="U11" s="143" t="n"/>
      <c r="V11" s="143" t="n"/>
      <c r="W11" s="144" t="n"/>
    </row>
    <row r="12">
      <c r="A12" s="479" t="inlineStr">
        <is>
          <t>Floor System-    Sealer:</t>
        </is>
      </c>
      <c r="B12" s="1">
        <f>Seal!B12</f>
        <v/>
      </c>
      <c r="C12" s="4" t="n"/>
      <c r="D12" s="4" t="n"/>
      <c r="E12" s="204" t="n"/>
      <c r="F12" s="53" t="n"/>
      <c r="G12" s="2300">
        <f>'Seal (+Jnts)'!D84</f>
        <v/>
      </c>
      <c r="H12" s="1676" t="inlineStr">
        <is>
          <t>Add Joint Filler</t>
        </is>
      </c>
      <c r="I12" s="2301">
        <f>G12/E18</f>
        <v/>
      </c>
      <c r="J12" s="2149" t="n"/>
      <c r="K12" s="2149" t="n"/>
      <c r="L12" s="2149" t="n"/>
      <c r="M12" s="1916" t="n"/>
      <c r="P12" s="142" t="n"/>
      <c r="Q12" s="143" t="n"/>
      <c r="R12" s="143" t="n"/>
      <c r="S12" s="143" t="n"/>
      <c r="T12" s="143" t="n"/>
      <c r="U12" s="143" t="n"/>
      <c r="V12" s="143" t="n"/>
      <c r="W12" s="144" t="n"/>
    </row>
    <row r="13">
      <c r="A13" s="479" t="n"/>
      <c r="B13" s="1">
        <f>Seal!B13</f>
        <v/>
      </c>
      <c r="C13" s="4" t="n"/>
      <c r="D13" s="4" t="n"/>
      <c r="E13" s="204" t="n"/>
      <c r="F13" s="53" t="n"/>
      <c r="G13" s="2299" t="n"/>
      <c r="H13" s="593" t="n"/>
      <c r="I13" s="2149" t="n"/>
      <c r="J13" s="2149" t="n"/>
      <c r="K13" s="2149" t="n"/>
      <c r="L13" s="2149" t="n"/>
      <c r="M13" s="1916" t="n"/>
      <c r="P13" s="142" t="n"/>
      <c r="Q13" s="51" t="n"/>
      <c r="R13" s="51" t="inlineStr">
        <is>
          <t>Hybrid</t>
        </is>
      </c>
      <c r="S13" s="51" t="n"/>
      <c r="T13" s="51" t="n"/>
      <c r="U13" s="51" t="n"/>
      <c r="V13" s="399">
        <f>IF($E$18&lt;=4000,validation!$E$32,IF($E$18&lt;7000,validation!$E$33,validation!$E$34))</f>
        <v/>
      </c>
      <c r="W13" s="145" t="inlineStr">
        <is>
          <t>Pads (Cream)</t>
        </is>
      </c>
      <c r="X13" s="438" t="inlineStr">
        <is>
          <t>data on "validation" tab</t>
        </is>
      </c>
    </row>
    <row r="14" ht="16.2" customHeight="1" thickBot="1">
      <c r="A14" s="479" t="n"/>
      <c r="B14" s="1" t="n"/>
      <c r="C14" s="4" t="n"/>
      <c r="D14" s="1705" t="inlineStr">
        <is>
          <t>Add Joint Filler</t>
        </is>
      </c>
      <c r="E14" s="204" t="n"/>
      <c r="F14" s="53" t="n"/>
      <c r="G14" s="2299" t="n"/>
      <c r="H14" s="593" t="n"/>
      <c r="I14" s="2145" t="n"/>
      <c r="J14" s="2149" t="n"/>
      <c r="K14" s="2302" t="n"/>
      <c r="L14" s="2302" t="n"/>
      <c r="M14" s="65" t="n"/>
      <c r="P14" s="142" t="inlineStr">
        <is>
          <t>Cream</t>
        </is>
      </c>
      <c r="Q14" t="n">
        <v>3.5</v>
      </c>
      <c r="R14" s="1" t="n">
        <v>0</v>
      </c>
      <c r="S14" s="1" t="n">
        <v>0.5</v>
      </c>
      <c r="T14" s="1" t="n">
        <v>0.75</v>
      </c>
      <c r="U14" s="1" t="n">
        <v>1</v>
      </c>
      <c r="V14" s="399">
        <f>IF($E$18&lt;=4000,validation!$I$32,IF($E$18&lt;7000,validation!$I$33,validation!$I$34))</f>
        <v/>
      </c>
      <c r="W14" s="145" t="inlineStr">
        <is>
          <t>S&amp;P</t>
        </is>
      </c>
      <c r="X14" s="438" t="inlineStr">
        <is>
          <t>data on "validation" tab</t>
        </is>
      </c>
    </row>
    <row r="15" ht="16.2" customHeight="1" thickBot="1">
      <c r="A15" s="182" t="inlineStr">
        <is>
          <t>Total Base Bid:</t>
        </is>
      </c>
      <c r="B15" s="2303">
        <f>D82</f>
        <v/>
      </c>
      <c r="C15" s="184" t="inlineStr">
        <is>
          <t>$ / SF:</t>
        </is>
      </c>
      <c r="D15" s="2304">
        <f>C82</f>
        <v/>
      </c>
      <c r="E15" s="204" t="n"/>
      <c r="F15" s="53" t="n"/>
      <c r="G15" s="53" t="n"/>
      <c r="H15" s="593" t="n"/>
      <c r="I15" s="2145" t="n"/>
      <c r="J15" s="2149" t="n"/>
      <c r="K15" s="2302" t="n"/>
      <c r="L15" s="2149" t="n"/>
      <c r="M15" s="2149" t="n"/>
      <c r="P15" s="142" t="inlineStr">
        <is>
          <t>S&amp;P</t>
        </is>
      </c>
      <c r="Q15" t="n">
        <v>4.5</v>
      </c>
      <c r="R15" t="n">
        <v>0</v>
      </c>
      <c r="V15" s="399">
        <f>IF($E$18&lt;=4000,validation!$M$32,IF($E$18&lt;7000,validation!$M$33,validation!$M$34))</f>
        <v/>
      </c>
      <c r="W15" s="145" t="inlineStr">
        <is>
          <t>Full Aggregate</t>
        </is>
      </c>
      <c r="X15" s="438" t="inlineStr">
        <is>
          <t>data on "validation" tab</t>
        </is>
      </c>
    </row>
    <row r="16" ht="16.95" customHeight="1">
      <c r="A16" s="5" t="inlineStr">
        <is>
          <t>MATERIAL - Patch</t>
        </is>
      </c>
      <c r="B16" s="30" t="inlineStr">
        <is>
          <t>Quantity</t>
        </is>
      </c>
      <c r="C16" s="30" t="inlineStr">
        <is>
          <t>Cost</t>
        </is>
      </c>
      <c r="D16" s="31" t="inlineStr">
        <is>
          <t>Total</t>
        </is>
      </c>
      <c r="E16" s="23" t="n"/>
      <c r="F16" s="89" t="n"/>
      <c r="H16" s="5" t="inlineStr">
        <is>
          <t>Standard  Add's</t>
        </is>
      </c>
      <c r="I16" s="1388" t="inlineStr">
        <is>
          <t>Cost / Unit</t>
        </is>
      </c>
      <c r="J16" s="1388" t="inlineStr">
        <is>
          <t>SF -or- LF</t>
        </is>
      </c>
      <c r="K16" s="2305" t="inlineStr">
        <is>
          <t xml:space="preserve">Total </t>
        </is>
      </c>
      <c r="L16" s="2281" t="n"/>
      <c r="P16" s="142" t="inlineStr">
        <is>
          <t>Full</t>
        </is>
      </c>
      <c r="Q16" t="n">
        <v>9</v>
      </c>
      <c r="R16" t="n">
        <v>0</v>
      </c>
      <c r="V16" t="n">
        <v>0.2</v>
      </c>
      <c r="W16" s="145" t="inlineStr">
        <is>
          <t>Traditoinal Tooling</t>
        </is>
      </c>
    </row>
    <row r="17">
      <c r="A17" s="44">
        <f>Seal!A17</f>
        <v/>
      </c>
      <c r="B17" s="2306">
        <f>E18</f>
        <v/>
      </c>
      <c r="C17" s="2307">
        <f>Seal!C17</f>
        <v/>
      </c>
      <c r="D17" s="2308">
        <f>B17*C17</f>
        <v/>
      </c>
      <c r="E17" s="570" t="inlineStr">
        <is>
          <t>Patching or Not? Exclude Patching ?</t>
        </is>
      </c>
      <c r="F17" s="307" t="n"/>
      <c r="H17" s="6" t="inlineStr">
        <is>
          <t>Ram Board</t>
        </is>
      </c>
      <c r="I17" s="2282">
        <f>IF(J17&lt;=1000,validation!$R$4,IF(J17&lt;1500,validation!$R$6,IF(J17&lt;2000,validation!$R$8,IF(J17&lt;2500,validation!$R$10,IF(J17&lt;=3000,validation!$R$12,IF(J17&lt;3500,validation!$R$14,IF(J17&lt;4000,validation!$R$16,IF(J17&lt;5000,validation!$R$18,validation!$R$20))))))))</f>
        <v/>
      </c>
      <c r="J17" s="2309">
        <f>B35</f>
        <v/>
      </c>
      <c r="K17" s="2310">
        <f>ROUNDUP((I17*J17),0)</f>
        <v/>
      </c>
      <c r="L17" s="2311" t="inlineStr">
        <is>
          <t>LF</t>
        </is>
      </c>
      <c r="M17" s="73" t="inlineStr">
        <is>
          <t>$ / LF</t>
        </is>
      </c>
      <c r="P17" s="142" t="n"/>
      <c r="R17" s="51" t="inlineStr">
        <is>
          <t>Traditional</t>
        </is>
      </c>
      <c r="W17" s="145" t="n"/>
    </row>
    <row r="18">
      <c r="A18" s="44">
        <f>Seal!A18</f>
        <v/>
      </c>
      <c r="B18" s="2306">
        <f>Seal!B18</f>
        <v/>
      </c>
      <c r="C18" s="2312">
        <f>Seal!C18</f>
        <v/>
      </c>
      <c r="D18" s="2308">
        <f>B18*C18</f>
        <v/>
      </c>
      <c r="E18" s="2313">
        <f>Seal!E18</f>
        <v/>
      </c>
      <c r="F18" s="82" t="inlineStr">
        <is>
          <t>SF</t>
        </is>
      </c>
      <c r="H18" s="45" t="inlineStr">
        <is>
          <t>Joint Filler</t>
        </is>
      </c>
      <c r="I18" s="2314">
        <f>IF(J18&lt;=1000,validation!$U$4,IF(J18&lt;1500,validation!$U$6,IF(J18&lt;2000,validation!$U$8,IF(J18&lt;2500,validation!$U$10,IF(J18&lt;=3000,validation!$U$12,IF(J18&lt;3500,validation!$U$14,IF(J18&lt;4000,validation!$U$16,IF(J18&lt;5000,validation!$U$18,validation!$U$20))))))))</f>
        <v/>
      </c>
      <c r="J18" s="2315">
        <f>B35</f>
        <v/>
      </c>
      <c r="K18" s="2316">
        <f>ROUNDUP((I18*J18),0)</f>
        <v/>
      </c>
      <c r="L18" s="2317">
        <f>0.2*J18</f>
        <v/>
      </c>
      <c r="M18" s="2318">
        <f>K18/L18</f>
        <v/>
      </c>
      <c r="N18" s="220" t="n"/>
      <c r="P18" s="142" t="inlineStr">
        <is>
          <t>Cream</t>
        </is>
      </c>
      <c r="R18" t="n">
        <v>0</v>
      </c>
      <c r="W18" s="145" t="n"/>
    </row>
    <row r="19">
      <c r="A19" s="549" t="inlineStr">
        <is>
          <t>MATERIAL - Floor</t>
        </is>
      </c>
      <c r="B19" s="2319" t="n"/>
      <c r="C19" s="547" t="n"/>
      <c r="D19" s="546" t="n"/>
      <c r="E19" s="2320">
        <f>Seal!E19</f>
        <v/>
      </c>
      <c r="F19" s="84" t="inlineStr">
        <is>
          <t>LF</t>
        </is>
      </c>
      <c r="H19" s="628" t="inlineStr">
        <is>
          <t>4" Rubber Cove    (/LF)</t>
        </is>
      </c>
      <c r="I19" s="2282">
        <f>IF(J19&lt;=100,validation!$R$24,IF(J19&lt;150,validation!$R$26,IF(J19&lt;200,validation!$R$28,IF(J19&lt;250,validation!$R$30,IF(J19&lt;=300,validation!$R$32,IF(J19&lt;350,validation!$R$34,IF(J19&lt;400,validation!$R$36,IF(J19&lt;500,validation!$R$38,validation!$R$40))))))))</f>
        <v/>
      </c>
      <c r="J19" s="2309">
        <f>E19</f>
        <v/>
      </c>
      <c r="K19" s="2310">
        <f>ROUNDUP((I19*J19),0)</f>
        <v/>
      </c>
      <c r="L19" s="2282" t="n"/>
      <c r="M19" s="220" t="inlineStr">
        <is>
          <t>*Double for removal of existing soft joints</t>
        </is>
      </c>
      <c r="P19" s="142" t="inlineStr">
        <is>
          <t>S&amp;P</t>
        </is>
      </c>
      <c r="R19" t="n">
        <v>2</v>
      </c>
      <c r="W19" s="145" t="n"/>
    </row>
    <row r="20" ht="16.2" customHeight="1" thickBot="1">
      <c r="A20" s="47" t="inlineStr">
        <is>
          <t>Sealer</t>
        </is>
      </c>
      <c r="B20" s="2306">
        <f>E18</f>
        <v/>
      </c>
      <c r="C20" s="2282">
        <f>Seal!C20</f>
        <v/>
      </c>
      <c r="D20" s="2038">
        <f>B20*C20</f>
        <v/>
      </c>
      <c r="E20" s="1" t="n"/>
      <c r="F20" s="307" t="inlineStr">
        <is>
          <t>Clean + Seal = 1 Coat</t>
        </is>
      </c>
      <c r="H20" s="635" t="inlineStr">
        <is>
          <t>6" Rubber Cove    (/LF)</t>
        </is>
      </c>
      <c r="I20" s="2314">
        <f>IF(J19&lt;=100,validation!$U$24,IF(J19&lt;150,validation!$U$26,IF(J19&lt;200,validation!$U$28,IF(J19&lt;250,validation!$U$30,IF(J19&lt;=300,validation!$U$32,IF(J19&lt;350,validation!$U$34,IF(J19&lt;400,validation!$U$36,IF(J19&lt;500,validation!$U$38,validation!$U$40))))))))</f>
        <v/>
      </c>
      <c r="J20" s="2315">
        <f>E19</f>
        <v/>
      </c>
      <c r="K20" s="2316">
        <f>ROUNDUP((I20*J20),0)</f>
        <v/>
      </c>
      <c r="L20" s="2282" t="n"/>
      <c r="P20" s="146" t="inlineStr">
        <is>
          <t>Full</t>
        </is>
      </c>
      <c r="Q20" s="147" t="n"/>
      <c r="R20" s="147" t="n">
        <v>2</v>
      </c>
      <c r="S20" s="147" t="n"/>
      <c r="T20" s="147" t="n"/>
      <c r="U20" s="147" t="n"/>
      <c r="V20" s="147" t="n"/>
      <c r="W20" s="148" t="n"/>
    </row>
    <row r="21">
      <c r="A21" s="47">
        <f>Seal!A21</f>
        <v/>
      </c>
      <c r="B21" s="2306">
        <f>E18</f>
        <v/>
      </c>
      <c r="C21" s="2282">
        <f>Seal!C21</f>
        <v/>
      </c>
      <c r="D21" s="2038">
        <f>B21*C21</f>
        <v/>
      </c>
      <c r="E21" s="1" t="n"/>
      <c r="F21" s="307" t="inlineStr">
        <is>
          <t>Grind + Seal = 2 Coats</t>
        </is>
      </c>
      <c r="H21" s="653" t="inlineStr">
        <is>
          <t>4" Line Striping    (/LF)</t>
        </is>
      </c>
      <c r="I21" s="2321">
        <f>IF(J21&lt;=100,validation!$R$44,IF(J21&lt;150,validation!$R$46,IF(J21&lt;200,validation!$R$48,IF(J21&lt;250,validation!$R$50,IF(J21&lt;=300,validation!$R$52,IF(J21&lt;350,validation!$R$54,IF(J21&lt;400,validation!$R$56,IF(J21&lt;500,validation!$R$58,validation!$R$60))))))))</f>
        <v/>
      </c>
      <c r="J21" s="2322" t="n">
        <v>0</v>
      </c>
      <c r="K21" s="2323">
        <f>ROUNDUP((I21*J21),0)</f>
        <v/>
      </c>
      <c r="L21" s="2282" t="n"/>
      <c r="M21" s="565" t="inlineStr">
        <is>
          <t>Polish:</t>
        </is>
      </c>
      <c r="N21" s="2324">
        <f>'Stnd Alts'!E292</f>
        <v/>
      </c>
      <c r="O21" s="564" t="inlineStr">
        <is>
          <t>Mock-Up*</t>
        </is>
      </c>
      <c r="P21" s="1" t="n"/>
    </row>
    <row r="22">
      <c r="A22" s="47">
        <f>Seal!A22</f>
        <v/>
      </c>
      <c r="B22" s="2306">
        <f>Seal!B22</f>
        <v/>
      </c>
      <c r="C22" s="2282">
        <f>Seal!C22</f>
        <v/>
      </c>
      <c r="D22" s="2038">
        <f>B22*C22</f>
        <v/>
      </c>
      <c r="E22" s="1" t="n"/>
      <c r="F22" s="1" t="n"/>
      <c r="H22" s="635" t="inlineStr">
        <is>
          <t>6" Line Striping    (/LF)</t>
        </is>
      </c>
      <c r="I22" s="2314">
        <f>IF(J21&lt;=100,validation!$U$44,IF(J21&lt;150,validation!$U$46,IF(J21&lt;200,validation!$U$48,IF(J21&lt;250,validation!$U$50,IF(J21&lt;=300,validation!$U$52,IF(J21&lt;350,validation!$U$54,IF(J21&lt;400,validation!$U$56,IF(J21&lt;500,validation!$U$58,validation!$U$60))))))))</f>
        <v/>
      </c>
      <c r="J22" s="2315" t="n">
        <v>0</v>
      </c>
      <c r="K22" s="2316">
        <f>ROUNDUP((I22*J22),0)</f>
        <v/>
      </c>
      <c r="L22" s="1" t="n"/>
      <c r="M22" s="569" t="inlineStr">
        <is>
          <t>**In Town**</t>
        </is>
      </c>
      <c r="N22" s="2324">
        <f>'Stnd Alts'!E194</f>
        <v/>
      </c>
      <c r="O22" s="564" t="inlineStr">
        <is>
          <t>Mob Fee*</t>
        </is>
      </c>
      <c r="P22" s="220" t="inlineStr">
        <is>
          <t>*see "Stnd Alts" tab</t>
        </is>
      </c>
      <c r="Q22" s="2312" t="n"/>
    </row>
    <row r="23">
      <c r="A23" s="47">
        <f>Seal!A23</f>
        <v/>
      </c>
      <c r="B23" s="2306">
        <f>Seal!B23</f>
        <v/>
      </c>
      <c r="C23" s="2282">
        <f>Seal!C23</f>
        <v/>
      </c>
      <c r="D23" s="2038">
        <f>B23*C23</f>
        <v/>
      </c>
      <c r="E23" s="1" t="n"/>
      <c r="F23" s="1" t="n"/>
      <c r="H23" s="1" t="n"/>
      <c r="L23" s="74" t="n"/>
      <c r="M23" s="1" t="n"/>
      <c r="N23" s="2282" t="n"/>
      <c r="O23" s="2309" t="n"/>
    </row>
    <row r="24">
      <c r="A24" s="549" t="inlineStr">
        <is>
          <t>MATERIAL - Dye</t>
        </is>
      </c>
      <c r="B24" s="2325" t="n"/>
      <c r="C24" s="2326" t="n"/>
      <c r="D24" s="2327" t="n"/>
      <c r="E24" s="96" t="inlineStr">
        <is>
          <t>Dye?  'Yes' or 'No'</t>
        </is>
      </c>
      <c r="F24" s="1" t="n"/>
      <c r="H24" s="1" t="n"/>
      <c r="L24" s="74" t="n"/>
      <c r="M24" s="1" t="n"/>
      <c r="N24" s="1" t="n"/>
      <c r="O24" s="1945" t="n"/>
    </row>
    <row r="25">
      <c r="A25" s="421" t="inlineStr">
        <is>
          <t>N/A</t>
        </is>
      </c>
      <c r="B25" s="2306" t="n"/>
      <c r="C25" s="2282" t="n"/>
      <c r="D25" s="2038">
        <f>B25*C25</f>
        <v/>
      </c>
      <c r="E25" s="155" t="inlineStr">
        <is>
          <t>No</t>
        </is>
      </c>
      <c r="F25" s="74" t="inlineStr">
        <is>
          <t>N/A</t>
        </is>
      </c>
      <c r="G25" s="1" t="n"/>
      <c r="H25" s="1" t="n"/>
      <c r="I25" s="220" t="n"/>
      <c r="O25" s="663" t="inlineStr">
        <is>
          <t>Takeoff Tab</t>
        </is>
      </c>
      <c r="P25" s="73" t="inlineStr">
        <is>
          <t>sf</t>
        </is>
      </c>
      <c r="Q25" s="73" t="inlineStr">
        <is>
          <t>lf</t>
        </is>
      </c>
      <c r="R25" s="440" t="inlineStr">
        <is>
          <t>extra cell</t>
        </is>
      </c>
      <c r="S25" s="440" t="inlineStr">
        <is>
          <t>extra cell</t>
        </is>
      </c>
      <c r="T25" s="440" t="inlineStr">
        <is>
          <t>extra cell</t>
        </is>
      </c>
    </row>
    <row r="26">
      <c r="A26" s="47" t="n"/>
      <c r="B26" s="2306" t="n"/>
      <c r="C26" s="2282" t="n"/>
      <c r="D26" s="2038">
        <f>B26*C26</f>
        <v/>
      </c>
      <c r="E26" s="1" t="n"/>
      <c r="F26" s="1" t="n"/>
      <c r="G26" s="1" t="n"/>
      <c r="H26" s="1" t="n"/>
      <c r="L26" s="74" t="n"/>
      <c r="M26" s="1" t="n"/>
      <c r="O26" s="444">
        <f>Takeoff!B14</f>
        <v/>
      </c>
      <c r="P26" s="2328">
        <f>Takeoff!C14</f>
        <v/>
      </c>
      <c r="Q26" s="2328">
        <f>Takeoff!D14</f>
        <v/>
      </c>
      <c r="R26" s="2328">
        <f>Takeoff!E14</f>
        <v/>
      </c>
      <c r="S26" s="2309">
        <f>Takeoff!F14</f>
        <v/>
      </c>
      <c r="T26" s="2309">
        <f>Takeoff!G14</f>
        <v/>
      </c>
    </row>
    <row r="27">
      <c r="A27" s="47" t="n"/>
      <c r="B27" s="2306" t="n"/>
      <c r="C27" s="2282" t="n"/>
      <c r="D27" s="2038">
        <f>B27*C27</f>
        <v/>
      </c>
      <c r="E27" s="1" t="n"/>
      <c r="F27" s="1" t="n"/>
      <c r="G27" s="1" t="n"/>
      <c r="H27" s="1" t="n"/>
      <c r="L27" s="74" t="n"/>
      <c r="M27" s="1" t="n"/>
      <c r="O27" s="444">
        <f>Takeoff!I14</f>
        <v/>
      </c>
      <c r="P27" s="2328">
        <f>Takeoff!J14</f>
        <v/>
      </c>
      <c r="Q27" s="2328">
        <f>Takeoff!K14</f>
        <v/>
      </c>
      <c r="R27" s="2328">
        <f>Takeoff!L14</f>
        <v/>
      </c>
      <c r="S27" s="2309">
        <f>Takeoff!M14</f>
        <v/>
      </c>
      <c r="T27" s="2309">
        <f>Takeoff!N14</f>
        <v/>
      </c>
    </row>
    <row r="28">
      <c r="A28" s="549" t="inlineStr">
        <is>
          <t>MATERIAL - Joint Filler</t>
        </is>
      </c>
      <c r="B28" s="2325" t="n"/>
      <c r="C28" s="2326" t="n"/>
      <c r="D28" s="2327" t="n"/>
      <c r="E28" s="96" t="inlineStr">
        <is>
          <t>Joint Filler? 'Yes' or 'No'</t>
        </is>
      </c>
      <c r="F28" s="244" t="inlineStr">
        <is>
          <t>Removal of Existing?</t>
        </is>
      </c>
      <c r="G28" s="1" t="n"/>
      <c r="H28" s="1" t="n"/>
      <c r="L28" s="74" t="n"/>
      <c r="M28" s="1" t="n"/>
      <c r="O28" s="444">
        <f>Takeoff!P14</f>
        <v/>
      </c>
      <c r="P28" s="2328">
        <f>Takeoff!Q14</f>
        <v/>
      </c>
      <c r="Q28" s="2328">
        <f>Takeoff!R14</f>
        <v/>
      </c>
      <c r="R28" s="2328">
        <f>Takeoff!S14</f>
        <v/>
      </c>
      <c r="S28" s="2309">
        <f>Takeoff!T14</f>
        <v/>
      </c>
      <c r="T28" s="2309">
        <f>Takeoff!U14</f>
        <v/>
      </c>
    </row>
    <row r="29">
      <c r="A29" s="1669" t="inlineStr">
        <is>
          <t>Joint Filler   (10 gal kit)</t>
        </is>
      </c>
      <c r="B29" s="1955">
        <f>ROUNDUP(IF(E29="yes",(E18/3500),0),0)</f>
        <v/>
      </c>
      <c r="C29" s="1944" t="n">
        <v>500</v>
      </c>
      <c r="D29" s="2038">
        <f>B29*C29</f>
        <v/>
      </c>
      <c r="E29" s="1670" t="inlineStr">
        <is>
          <t>Yes</t>
        </is>
      </c>
      <c r="F29" s="155" t="inlineStr">
        <is>
          <t>No</t>
        </is>
      </c>
      <c r="G29" s="1" t="n"/>
      <c r="H29" s="1" t="n"/>
      <c r="L29" s="74" t="n"/>
      <c r="M29" s="1" t="n"/>
      <c r="O29" s="675">
        <f>Takeoff!I3</f>
        <v/>
      </c>
      <c r="P29" s="2328">
        <f>Takeoff!J3</f>
        <v/>
      </c>
      <c r="Q29" s="2330">
        <f>Takeoff!K3</f>
        <v/>
      </c>
      <c r="R29" s="2328">
        <f>Takeoff!L3</f>
        <v/>
      </c>
      <c r="S29" s="2309">
        <f>Takeoff!M3</f>
        <v/>
      </c>
      <c r="T29" s="2309">
        <f>Takeoff!N3</f>
        <v/>
      </c>
    </row>
    <row r="30">
      <c r="A30" s="48" t="n"/>
      <c r="B30" s="2331" t="n"/>
      <c r="C30" s="2332" t="n"/>
      <c r="D30" s="2333">
        <f>B30*C30</f>
        <v/>
      </c>
      <c r="E30" s="1" t="n"/>
      <c r="F30" s="1" t="n"/>
      <c r="G30" s="1" t="n"/>
      <c r="H30" s="1" t="n"/>
      <c r="P30" s="1" t="n"/>
      <c r="Q30" s="1" t="n"/>
    </row>
    <row r="31">
      <c r="A31" s="1786" t="inlineStr">
        <is>
          <t>Material Sub Total</t>
        </is>
      </c>
      <c r="B31" s="1787" t="n"/>
      <c r="C31" s="2334" t="n"/>
      <c r="D31" s="2335">
        <f>ROUNDUP(SUM(D17:D30),0)</f>
        <v/>
      </c>
      <c r="E31" s="1" t="n"/>
      <c r="F31" s="1" t="n"/>
      <c r="G31" s="1" t="n"/>
      <c r="H31" s="1" t="n"/>
      <c r="M31" s="1091" t="inlineStr">
        <is>
          <t>divided SF</t>
        </is>
      </c>
      <c r="N31" s="2336">
        <f>B35/O31</f>
        <v/>
      </c>
      <c r="O31" s="1983" t="n">
        <v>6</v>
      </c>
      <c r="P31" s="1094" t="inlineStr">
        <is>
          <t># divided by</t>
        </is>
      </c>
    </row>
    <row r="32">
      <c r="A32" s="39" t="inlineStr">
        <is>
          <t>Shipping</t>
        </is>
      </c>
      <c r="B32" s="40" t="n">
        <v>0.02</v>
      </c>
      <c r="C32" s="2337" t="n"/>
      <c r="D32" s="2338">
        <f>ROUNDUP(D31*B32,0)</f>
        <v/>
      </c>
      <c r="E32" s="1" t="n"/>
      <c r="G32" s="38" t="n"/>
      <c r="H32" s="230" t="inlineStr">
        <is>
          <t>Material Budget</t>
        </is>
      </c>
      <c r="I32" s="1" t="n"/>
      <c r="J32" s="76" t="n"/>
      <c r="M32" s="1091" t="inlineStr">
        <is>
          <t>divided SF</t>
        </is>
      </c>
      <c r="N32" s="2336">
        <f>B35/O32</f>
        <v/>
      </c>
      <c r="O32" s="1983" t="n">
        <v>5</v>
      </c>
      <c r="P32" s="1094" t="inlineStr">
        <is>
          <t># divided by</t>
        </is>
      </c>
    </row>
    <row r="33">
      <c r="A33" s="10" t="inlineStr">
        <is>
          <t>Material Total</t>
        </is>
      </c>
      <c r="B33" s="36" t="n"/>
      <c r="C33" s="2339" t="n"/>
      <c r="D33" s="2340">
        <f>SUM(D31:D32)</f>
        <v/>
      </c>
      <c r="E33" s="123">
        <f>D33/B35</f>
        <v/>
      </c>
      <c r="F33" s="124" t="inlineStr">
        <is>
          <t>Material $/SF</t>
        </is>
      </c>
      <c r="G33" s="2282" t="n"/>
      <c r="H33" s="2341">
        <f>D33</f>
        <v/>
      </c>
      <c r="I33" s="1" t="n"/>
      <c r="J33" s="76" t="n"/>
      <c r="M33" s="1091" t="inlineStr">
        <is>
          <t>divided SF</t>
        </is>
      </c>
      <c r="N33" s="2336">
        <f>B35/O33</f>
        <v/>
      </c>
      <c r="O33" s="1983" t="n">
        <v>4</v>
      </c>
      <c r="P33" s="1094" t="inlineStr">
        <is>
          <t># divided by</t>
        </is>
      </c>
    </row>
    <row r="34">
      <c r="A34" s="221" t="n"/>
      <c r="B34" s="1892" t="n"/>
      <c r="C34" s="2282" t="n"/>
      <c r="D34" s="2282" t="n"/>
      <c r="E34" s="1" t="n"/>
      <c r="G34" s="2342" t="n"/>
      <c r="H34" s="1" t="n"/>
      <c r="I34" s="1" t="n"/>
      <c r="J34" s="1" t="n"/>
      <c r="M34" s="1091" t="inlineStr">
        <is>
          <t>divided SF</t>
        </is>
      </c>
      <c r="N34" s="2336">
        <f>B35/O34</f>
        <v/>
      </c>
      <c r="O34" s="1983" t="n">
        <v>3</v>
      </c>
      <c r="P34" s="1094" t="inlineStr">
        <is>
          <t># divided by</t>
        </is>
      </c>
    </row>
    <row r="35">
      <c r="A35" s="75" t="inlineStr">
        <is>
          <t>Square Footage:</t>
        </is>
      </c>
      <c r="B35" s="2343">
        <f>E18</f>
        <v/>
      </c>
      <c r="C35" s="75" t="inlineStr">
        <is>
          <t>Linear Footage:</t>
        </is>
      </c>
      <c r="D35" s="2344">
        <f>E19</f>
        <v/>
      </c>
      <c r="E35" s="561" t="inlineStr">
        <is>
          <t>8 hour days</t>
        </is>
      </c>
      <c r="F35" s="135">
        <f>D35/B35</f>
        <v/>
      </c>
      <c r="G35" s="136" t="inlineStr">
        <is>
          <t>: Ratio of Cove-Floor</t>
        </is>
      </c>
      <c r="H35" s="137" t="inlineStr">
        <is>
          <t>10%-20% = Normal</t>
        </is>
      </c>
      <c r="I35" s="212" t="inlineStr">
        <is>
          <t>(Grout for Full Agg Only)</t>
        </is>
      </c>
      <c r="J35" s="76" t="n"/>
      <c r="K35" s="76" t="n"/>
      <c r="L35" s="76" t="n"/>
      <c r="M35" s="1091" t="inlineStr">
        <is>
          <t>divided SF</t>
        </is>
      </c>
      <c r="N35" s="2336">
        <f>B35/O35</f>
        <v/>
      </c>
      <c r="O35" s="1983" t="n">
        <v>2</v>
      </c>
      <c r="P35" s="1094" t="inlineStr">
        <is>
          <t># divided by</t>
        </is>
      </c>
    </row>
    <row r="36">
      <c r="A36" s="85" t="inlineStr">
        <is>
          <t>Labor:              Guys</t>
        </is>
      </c>
      <c r="B36" s="68" t="inlineStr">
        <is>
          <t>Days</t>
        </is>
      </c>
      <c r="C36" s="68" t="inlineStr">
        <is>
          <t>Rate (PW?)</t>
        </is>
      </c>
      <c r="D36" s="87" t="inlineStr">
        <is>
          <t>Totals</t>
        </is>
      </c>
      <c r="E36" s="1540">
        <f>(IF(D5="Yes","PW","TOTAL DAYS"))</f>
        <v/>
      </c>
      <c r="F36" s="149" t="inlineStr">
        <is>
          <t>Aggregate?</t>
        </is>
      </c>
      <c r="G36" s="149" t="inlineStr">
        <is>
          <t>Hybrid</t>
        </is>
      </c>
      <c r="H36" s="149" t="inlineStr">
        <is>
          <t>Dye?</t>
        </is>
      </c>
      <c r="I36" s="149" t="inlineStr">
        <is>
          <t>Grout?</t>
        </is>
      </c>
      <c r="J36" s="150" t="inlineStr">
        <is>
          <t>Demo Glue?</t>
        </is>
      </c>
      <c r="K36" s="518" t="inlineStr">
        <is>
          <t>Estimated SF/MH</t>
        </is>
      </c>
      <c r="L36" s="1698" t="inlineStr">
        <is>
          <t>SF/MH Benchmark</t>
        </is>
      </c>
      <c r="M36" s="76" t="n"/>
    </row>
    <row r="37">
      <c r="A37" s="1090">
        <f>Seal!A37</f>
        <v/>
      </c>
      <c r="B37" s="600">
        <f>Seal!B37</f>
        <v/>
      </c>
      <c r="C37" s="2174">
        <f>Seal!C37</f>
        <v/>
      </c>
      <c r="D37" s="70">
        <f>(A37*B37*C37)*IF($E$35="8 hour days",8,10)</f>
        <v/>
      </c>
      <c r="E37" s="151">
        <f>ROUNDUP(SUM(F37:J37),0)</f>
        <v/>
      </c>
      <c r="F37" s="2345">
        <f>ROUNDUP(Q10*$P$5,1)</f>
        <v/>
      </c>
      <c r="G37" s="2345">
        <f>ROUNDUP(R10*$P$5,1)</f>
        <v/>
      </c>
      <c r="H37" s="2345">
        <f>ROUNDUP(S10*$P$5,1)</f>
        <v/>
      </c>
      <c r="I37" s="2345">
        <f>ROUNDUP(T10*$P$5,1)</f>
        <v/>
      </c>
      <c r="J37" s="2345">
        <f>ROUNDUP(U10*$P$5,1)</f>
        <v/>
      </c>
      <c r="K37" s="153">
        <f>B35/(D37/C37)</f>
        <v/>
      </c>
      <c r="L37" s="481" t="inlineStr">
        <is>
          <t>Cream: 22-30</t>
        </is>
      </c>
      <c r="M37" s="76" t="n"/>
      <c r="N37" s="1683" t="inlineStr">
        <is>
          <t>sf</t>
        </is>
      </c>
    </row>
    <row r="38">
      <c r="A38" s="1090">
        <f>Seal!A38</f>
        <v/>
      </c>
      <c r="B38" s="600">
        <f>Seal!B38</f>
        <v/>
      </c>
      <c r="C38" s="2346">
        <f>C37</f>
        <v/>
      </c>
      <c r="D38" s="70">
        <f>(A38*B38*C38)*IF($E$35="8 hour days",8,10)</f>
        <v/>
      </c>
      <c r="E38" s="151">
        <f>ROUNDUP(SUM(F38:J38),0)</f>
        <v/>
      </c>
      <c r="F38" s="2345">
        <f>ROUNDUP(Q11*$P$5,1)</f>
        <v/>
      </c>
      <c r="G38" s="2345">
        <f>ROUNDUP(R11*$P$5,1)</f>
        <v/>
      </c>
      <c r="H38" s="2345">
        <f>ROUNDUP(S11*$P$5,1)</f>
        <v/>
      </c>
      <c r="I38" s="2345">
        <f>ROUNDUP(T11*$P$5,1)</f>
        <v/>
      </c>
      <c r="J38" s="2345">
        <f>ROUNDUP(U11*$P$5,1)</f>
        <v/>
      </c>
      <c r="K38" s="153">
        <f>B34/(D38/C38)</f>
        <v/>
      </c>
      <c r="L38" s="481" t="inlineStr">
        <is>
          <t>Cream: 22-30</t>
        </is>
      </c>
      <c r="M38" s="76" t="n"/>
      <c r="N38" s="1684">
        <f>B35</f>
        <v/>
      </c>
    </row>
    <row r="39">
      <c r="A39" s="86" t="inlineStr">
        <is>
          <t>Mock-Up:         Guys</t>
        </is>
      </c>
      <c r="B39" s="67" t="inlineStr">
        <is>
          <t>Days</t>
        </is>
      </c>
      <c r="C39" s="67" t="inlineStr">
        <is>
          <t>Rate</t>
        </is>
      </c>
      <c r="D39" s="71" t="n"/>
      <c r="E39" s="453" t="n"/>
      <c r="F39" s="575" t="inlineStr">
        <is>
          <t># of 10,000</t>
        </is>
      </c>
      <c r="G39" s="576" t="inlineStr">
        <is>
          <t>Clean + Seal</t>
        </is>
      </c>
      <c r="H39" s="572" t="n"/>
      <c r="I39" s="576" t="inlineStr">
        <is>
          <t>Grind + Seal</t>
        </is>
      </c>
      <c r="J39" s="573" t="n"/>
      <c r="K39" s="1699" t="inlineStr">
        <is>
          <t>Clean + Seal</t>
        </is>
      </c>
      <c r="L39" s="1700" t="inlineStr">
        <is>
          <t>Days</t>
        </is>
      </c>
      <c r="M39" s="1699" t="inlineStr">
        <is>
          <t>Clean + Seal</t>
        </is>
      </c>
      <c r="N39" s="1701" t="inlineStr">
        <is>
          <t>&lt;--factors--&gt;</t>
        </is>
      </c>
      <c r="O39" s="1702" t="inlineStr">
        <is>
          <t>GRIND + Seal</t>
        </is>
      </c>
      <c r="P39" s="1699" t="inlineStr">
        <is>
          <t>Days</t>
        </is>
      </c>
      <c r="Q39" s="1702" t="inlineStr">
        <is>
          <t>GRIND + Seal</t>
        </is>
      </c>
    </row>
    <row r="40">
      <c r="A40" s="2347">
        <f>Seal!A40</f>
        <v/>
      </c>
      <c r="B40" s="2348">
        <f>Seal!B40</f>
        <v/>
      </c>
      <c r="C40" s="2346">
        <f>C37</f>
        <v/>
      </c>
      <c r="D40" s="70">
        <f>(A40*B40*C40)*IF($E$35="8 hour days",8,10)</f>
        <v/>
      </c>
      <c r="E40" s="758">
        <f>Seal!E40</f>
        <v/>
      </c>
      <c r="F40" s="574">
        <f>B35/10000</f>
        <v/>
      </c>
      <c r="G40" s="577" t="inlineStr">
        <is>
          <t>1,000 sf</t>
        </is>
      </c>
      <c r="H40" s="578" t="inlineStr">
        <is>
          <t>2 guys x 1 day</t>
        </is>
      </c>
      <c r="I40" s="581" t="inlineStr">
        <is>
          <t>1,000 sf</t>
        </is>
      </c>
      <c r="J40" s="1677" t="inlineStr">
        <is>
          <t>2 guys x 2.5 days</t>
        </is>
      </c>
      <c r="K40" s="1688" t="inlineStr">
        <is>
          <t>2 guys</t>
        </is>
      </c>
      <c r="L40" s="1689">
        <f>N38*M40</f>
        <v/>
      </c>
      <c r="M40" s="1690">
        <f>((2*1)/1000)/2</f>
        <v/>
      </c>
      <c r="N40" s="1691" t="inlineStr">
        <is>
          <t>1,000 sf</t>
        </is>
      </c>
      <c r="O40" s="1692">
        <f>((2*2.5)/1000)/2</f>
        <v/>
      </c>
      <c r="P40" s="1689">
        <f>N38*O40</f>
        <v/>
      </c>
      <c r="Q40" s="1692" t="inlineStr">
        <is>
          <t>2 guys</t>
        </is>
      </c>
    </row>
    <row r="41">
      <c r="A41" s="86" t="inlineStr">
        <is>
          <t>Joint Filler:         Guys</t>
        </is>
      </c>
      <c r="B41" s="67" t="inlineStr">
        <is>
          <t>Days</t>
        </is>
      </c>
      <c r="C41" s="67" t="inlineStr">
        <is>
          <t>Rate</t>
        </is>
      </c>
      <c r="D41" s="71" t="n"/>
      <c r="E41" s="453" t="n"/>
      <c r="F41" s="1523" t="inlineStr">
        <is>
          <t># of 5,000</t>
        </is>
      </c>
      <c r="G41" s="69" t="inlineStr">
        <is>
          <t>5,000 sf</t>
        </is>
      </c>
      <c r="H41" s="579" t="inlineStr">
        <is>
          <t>2 guys x 3 days</t>
        </is>
      </c>
      <c r="I41" s="69" t="inlineStr">
        <is>
          <t>5,000 sf</t>
        </is>
      </c>
      <c r="J41" s="1678" t="inlineStr">
        <is>
          <t>3 guys x 5 days</t>
        </is>
      </c>
      <c r="K41" s="1693" t="inlineStr">
        <is>
          <t>2 guys</t>
        </is>
      </c>
      <c r="L41" s="1694">
        <f>N38*M41</f>
        <v/>
      </c>
      <c r="M41" s="1695">
        <f>((2*3)/5000)/2</f>
        <v/>
      </c>
      <c r="N41" s="1696" t="inlineStr">
        <is>
          <t>5,000 sf</t>
        </is>
      </c>
      <c r="O41" s="1697">
        <f>((3*5)/5000)/3</f>
        <v/>
      </c>
      <c r="P41" s="1694">
        <f>N38*O41</f>
        <v/>
      </c>
      <c r="Q41" s="1697" t="inlineStr">
        <is>
          <t>3 guys</t>
        </is>
      </c>
    </row>
    <row r="42">
      <c r="A42" s="1671">
        <f>IF(F29="NO",2,4)</f>
        <v/>
      </c>
      <c r="B42" s="1672">
        <f>MROUND(IF(E29="no",0,IF(E18&lt;1000,1,IF(E18&lt;2500,2,IF(E18&lt;10000,3,IF(E18&lt;15000,4,E18/3750))))),0.5)</f>
        <v/>
      </c>
      <c r="C42" s="2346">
        <f>C37</f>
        <v/>
      </c>
      <c r="D42" s="1673">
        <f>(A42*B42*C42)*IF($E$35="8 hour days",8,10)</f>
        <v/>
      </c>
      <c r="E42" s="1674" t="inlineStr">
        <is>
          <t>WITH Joints</t>
        </is>
      </c>
      <c r="F42" s="1524">
        <f>B35/5000</f>
        <v/>
      </c>
      <c r="G42" s="533" t="inlineStr">
        <is>
          <t>10,000 sf</t>
        </is>
      </c>
      <c r="H42" s="580" t="inlineStr">
        <is>
          <t>3 guys x 3 - 4 days</t>
        </is>
      </c>
      <c r="I42" s="533" t="inlineStr">
        <is>
          <t>10,000 sf</t>
        </is>
      </c>
      <c r="J42" s="1679" t="inlineStr">
        <is>
          <t>4 guys x 7 days</t>
        </is>
      </c>
      <c r="K42" s="1687" t="inlineStr">
        <is>
          <t>3 guys</t>
        </is>
      </c>
      <c r="L42" s="1685">
        <f>N38*M42</f>
        <v/>
      </c>
      <c r="M42" s="1681">
        <f>((3*3.5)/10000)/3</f>
        <v/>
      </c>
      <c r="N42" s="1680" t="inlineStr">
        <is>
          <t>10,000 sf</t>
        </is>
      </c>
      <c r="O42" s="1682">
        <f>((4*7)/10000)/4</f>
        <v/>
      </c>
      <c r="P42" s="1686">
        <f>N38*O42</f>
        <v/>
      </c>
      <c r="Q42" s="1682" t="inlineStr">
        <is>
          <t>4 guys</t>
        </is>
      </c>
    </row>
    <row r="43">
      <c r="A43" s="88" t="inlineStr">
        <is>
          <t>Travel:             Guys</t>
        </is>
      </c>
      <c r="B43" s="67" t="inlineStr">
        <is>
          <t>Hours</t>
        </is>
      </c>
      <c r="C43" s="67" t="n"/>
      <c r="D43" s="71" t="n"/>
      <c r="E43" s="453" t="n"/>
      <c r="G43" s="2349" t="inlineStr">
        <is>
          <t>Always Consider Labor in Terms of How Cut-Up the Job is.</t>
        </is>
      </c>
      <c r="H43" s="2350" t="n"/>
      <c r="I43" s="2350" t="n"/>
      <c r="J43" s="237" t="n"/>
      <c r="K43" s="1" t="n"/>
      <c r="L43" s="1" t="n"/>
      <c r="M43" s="1" t="n"/>
    </row>
    <row r="44">
      <c r="A44" s="2351">
        <f>(A37*B37)+(A38*B38)+(A40*B40)+(A42*B42)</f>
        <v/>
      </c>
      <c r="B44" s="1087">
        <f>Seal!B44</f>
        <v/>
      </c>
      <c r="C44" s="2174">
        <f>Seal!C44</f>
        <v/>
      </c>
      <c r="D44" s="70">
        <f>(A44*B44*C44)</f>
        <v/>
      </c>
      <c r="E44" s="758">
        <f>Seal!E44</f>
        <v/>
      </c>
      <c r="G44" s="585" t="n"/>
      <c r="H44" s="774" t="n"/>
      <c r="I44" s="158">
        <f>(((D45-D44)/C37)/A37)/40</f>
        <v/>
      </c>
      <c r="J44" s="234" t="inlineStr">
        <is>
          <t># of 40 hour weeks</t>
        </is>
      </c>
      <c r="K44" s="235" t="n"/>
    </row>
    <row r="45">
      <c r="A45" s="226" t="inlineStr">
        <is>
          <t>Labor Total</t>
        </is>
      </c>
      <c r="B45" s="164" t="n"/>
      <c r="C45" s="164" t="n"/>
      <c r="D45" s="2352">
        <f>ROUNDUP(SUM(D37:D44),0)</f>
        <v/>
      </c>
      <c r="E45" s="123">
        <f>D45/B35</f>
        <v/>
      </c>
      <c r="F45" s="124" t="inlineStr">
        <is>
          <t>Labor $/SF</t>
        </is>
      </c>
      <c r="G45" s="705" t="n"/>
      <c r="H45" s="1143" t="n"/>
      <c r="I45" s="222">
        <f>ROUNDUP(I44,0)</f>
        <v/>
      </c>
      <c r="J45" s="236" t="inlineStr">
        <is>
          <t># of weeks rounded up</t>
        </is>
      </c>
      <c r="K45" s="237" t="n"/>
    </row>
    <row r="46" ht="16.2" customHeight="1" thickBot="1">
      <c r="A46" s="1527" t="inlineStr">
        <is>
          <t>Labor Escalation</t>
        </is>
      </c>
      <c r="B46" s="1533" t="inlineStr">
        <is>
          <t>(rate esc. only)</t>
        </is>
      </c>
      <c r="C46" s="1557">
        <f>IF(D5="Yes",5%,0)</f>
        <v/>
      </c>
      <c r="D46" s="2013">
        <f>ROUNDUP((D45*C46),0)</f>
        <v/>
      </c>
      <c r="E46" s="1556" t="inlineStr">
        <is>
          <t>+5%IFPWorLong Lead Job (12+ months)</t>
        </is>
      </c>
      <c r="F46" s="1558" t="n"/>
      <c r="G46" s="705" t="n"/>
      <c r="H46" s="705" t="n"/>
      <c r="I46" s="1531" t="n"/>
      <c r="J46" s="1532" t="n"/>
    </row>
    <row r="47">
      <c r="A47" s="226" t="inlineStr">
        <is>
          <t>Labor Burden</t>
        </is>
      </c>
      <c r="B47" s="164" t="n"/>
      <c r="C47" s="227">
        <f>Seal!C47</f>
        <v/>
      </c>
      <c r="D47" s="2352">
        <f>ROUNDUP((D45+D46)*C47,0)</f>
        <v/>
      </c>
      <c r="E47" s="1" t="n"/>
      <c r="F47" s="1" t="n"/>
      <c r="G47" s="705" t="n"/>
      <c r="I47" s="1585" t="inlineStr">
        <is>
          <t xml:space="preserve">               ** Cement Mason **              </t>
        </is>
      </c>
      <c r="J47" s="1586" t="n"/>
      <c r="K47" s="1587" t="inlineStr">
        <is>
          <t xml:space="preserve">                ** Painter **             </t>
        </is>
      </c>
      <c r="L47" s="1588" t="n"/>
      <c r="N47" s="76" t="n"/>
      <c r="O47" s="571" t="inlineStr">
        <is>
          <t>Holidays - Double Time</t>
        </is>
      </c>
    </row>
    <row r="48">
      <c r="A48" s="1" t="n"/>
      <c r="B48" s="1892" t="n"/>
      <c r="C48" s="2282" t="n"/>
      <c r="D48" s="2282" t="n"/>
      <c r="E48" s="2282" t="n"/>
      <c r="F48" s="1" t="n"/>
      <c r="H48" s="834" t="n"/>
      <c r="I48" s="1576" t="inlineStr">
        <is>
          <t>Prevailing Wage Rate:</t>
        </is>
      </c>
      <c r="J48" s="2018">
        <f>SUM(J49:J50)</f>
        <v/>
      </c>
      <c r="K48" s="1576" t="inlineStr">
        <is>
          <t>P. Wage Rate:</t>
        </is>
      </c>
      <c r="L48" s="2018">
        <f>SUM(L49:L50)</f>
        <v/>
      </c>
      <c r="N48" s="76" t="n"/>
      <c r="O48" s="76" t="inlineStr">
        <is>
          <t>New Year's Day</t>
        </is>
      </c>
    </row>
    <row r="49">
      <c r="A49" s="5" t="inlineStr">
        <is>
          <t>TOOLING &amp; CONSUMABLES</t>
        </is>
      </c>
      <c r="B49" s="30" t="inlineStr">
        <is>
          <t>Quantity</t>
        </is>
      </c>
      <c r="C49" s="11" t="inlineStr">
        <is>
          <t>Cost</t>
        </is>
      </c>
      <c r="D49" s="2019" t="inlineStr">
        <is>
          <t>Totals</t>
        </is>
      </c>
      <c r="E49" s="1" t="n"/>
      <c r="F49" s="1" t="n"/>
      <c r="G49" s="97" t="n"/>
      <c r="H49" s="834" t="n"/>
      <c r="I49" s="1578" t="inlineStr">
        <is>
          <t>rate =</t>
        </is>
      </c>
      <c r="J49" s="2020" t="n">
        <v>0</v>
      </c>
      <c r="K49" s="1578" t="inlineStr">
        <is>
          <t>rate =</t>
        </is>
      </c>
      <c r="L49" s="2020" t="n">
        <v>0</v>
      </c>
      <c r="N49" s="76" t="n"/>
      <c r="O49" s="76" t="inlineStr">
        <is>
          <t>Memorial Day</t>
        </is>
      </c>
    </row>
    <row r="50">
      <c r="A50" s="6" t="n"/>
      <c r="B50" s="37" t="n"/>
      <c r="C50" s="2282" t="n"/>
      <c r="D50" s="2038" t="n"/>
      <c r="E50" s="1" t="n"/>
      <c r="F50" s="307" t="inlineStr">
        <is>
          <t>Clean + Seal = $0.17</t>
        </is>
      </c>
      <c r="G50" s="583" t="inlineStr">
        <is>
          <t>(if ~20k+ sf = $0.11)</t>
        </is>
      </c>
      <c r="H50" s="93" t="n"/>
      <c r="I50" s="1580" t="inlineStr">
        <is>
          <t>+ fringes =</t>
        </is>
      </c>
      <c r="J50" s="2022" t="n">
        <v>0</v>
      </c>
      <c r="K50" s="1580" t="inlineStr">
        <is>
          <t>+ fringes =</t>
        </is>
      </c>
      <c r="L50" s="2022" t="n">
        <v>0</v>
      </c>
      <c r="N50" s="76" t="n"/>
      <c r="O50" s="76" t="inlineStr">
        <is>
          <t>July 4th</t>
        </is>
      </c>
    </row>
    <row r="51">
      <c r="A51" s="6" t="inlineStr">
        <is>
          <t>Tooling &amp; Consumables</t>
        </is>
      </c>
      <c r="B51" s="37">
        <f>B35</f>
        <v/>
      </c>
      <c r="C51" s="2353">
        <f>Seal!C51</f>
        <v/>
      </c>
      <c r="D51" s="2038">
        <f>ROUNDUP(IF((B51*C51)&gt;150,(B51*C51),150),0)</f>
        <v/>
      </c>
      <c r="E51" s="1" t="n"/>
      <c r="F51" s="307" t="inlineStr">
        <is>
          <t>Grind + Seal = $0.27</t>
        </is>
      </c>
      <c r="G51" s="1" t="n"/>
      <c r="H51" s="154" t="n"/>
      <c r="I51" s="864" t="inlineStr">
        <is>
          <t xml:space="preserve">    Foreman *min. $32 Cement Mason</t>
        </is>
      </c>
      <c r="J51" s="2023" t="n"/>
      <c r="K51" s="864" t="inlineStr">
        <is>
          <t xml:space="preserve">  Foreman *min. $32 Painter</t>
        </is>
      </c>
      <c r="L51" s="2023" t="n"/>
      <c r="N51" s="76" t="n"/>
      <c r="O51" s="76" t="inlineStr">
        <is>
          <t>Labor Day</t>
        </is>
      </c>
    </row>
    <row r="52" ht="16.2" customHeight="1" thickBot="1">
      <c r="A52" s="6">
        <f>Seal!A52</f>
        <v/>
      </c>
      <c r="B52" s="37">
        <f>Seal!B52</f>
        <v/>
      </c>
      <c r="C52" s="2282" t="n">
        <v>0.33</v>
      </c>
      <c r="D52" s="2038">
        <f>ROUNDUP(B52*C52,0)</f>
        <v/>
      </c>
      <c r="E52" s="787" t="inlineStr">
        <is>
          <t>($0.17 glue/VCT/carpet or $0.33 demo tile)</t>
        </is>
      </c>
      <c r="F52" s="1" t="n"/>
      <c r="G52" s="74" t="inlineStr">
        <is>
          <t>If glue demo also + Citra-Kut above</t>
        </is>
      </c>
      <c r="H52" s="154" t="n"/>
      <c r="I52" s="1583" t="inlineStr">
        <is>
          <t xml:space="preserve">    (Entry *min. $23 Cement Mason)</t>
        </is>
      </c>
      <c r="J52" s="2024" t="n"/>
      <c r="K52" s="1583" t="inlineStr">
        <is>
          <t xml:space="preserve">  (Entry *min. $23 Painter)</t>
        </is>
      </c>
      <c r="L52" s="2024" t="n"/>
      <c r="N52" s="76" t="n"/>
      <c r="O52" s="76" t="inlineStr">
        <is>
          <t>Thanksgiving</t>
        </is>
      </c>
    </row>
    <row r="53" ht="16.2" customHeight="1" thickBot="1">
      <c r="A53" s="6">
        <f>Seal!A53</f>
        <v/>
      </c>
      <c r="B53" s="37">
        <f>Seal!B53</f>
        <v/>
      </c>
      <c r="C53" s="2282">
        <f>Seal!C53</f>
        <v/>
      </c>
      <c r="D53" s="2038">
        <f>ROUNDUP(B53*C53,0)</f>
        <v/>
      </c>
      <c r="E53" s="570" t="inlineStr">
        <is>
          <t>No Slurry Hardener</t>
        </is>
      </c>
      <c r="F53" s="1" t="n"/>
      <c r="G53" s="1" t="n"/>
      <c r="H53" s="37" t="n"/>
      <c r="I53" s="2025" t="inlineStr">
        <is>
          <t>1:1 "Entry" Half Wage</t>
        </is>
      </c>
      <c r="J53" s="2026">
        <f>IF((J48/2)&lt;23,23,(J48/2))</f>
        <v/>
      </c>
      <c r="K53" s="2180" t="inlineStr">
        <is>
          <t>1:1 "Entry" Half Wage</t>
        </is>
      </c>
      <c r="L53" s="2026">
        <f>IF((L48/2)&lt;23,23,(L48/2))</f>
        <v/>
      </c>
      <c r="N53" s="76" t="n"/>
      <c r="O53" s="76" t="inlineStr">
        <is>
          <t>Christmas</t>
        </is>
      </c>
    </row>
    <row r="54" ht="16.2" customHeight="1" thickBot="1">
      <c r="A54" s="6">
        <f>Seal!A54</f>
        <v/>
      </c>
      <c r="B54" s="37">
        <f>Seal!B54</f>
        <v/>
      </c>
      <c r="C54" s="2282">
        <f>Seal!C54</f>
        <v/>
      </c>
      <c r="D54" s="2038">
        <f>ROUNDUP(B54*C54,0)</f>
        <v/>
      </c>
      <c r="E54" s="1" t="inlineStr">
        <is>
          <t>Dye or Reno 5k sf+?</t>
        </is>
      </c>
      <c r="F54" s="1" t="n"/>
      <c r="G54" s="1" t="n"/>
      <c r="H54" s="37" t="n"/>
      <c r="I54" s="1600" t="n"/>
      <c r="J54" s="1600" t="inlineStr">
        <is>
          <t xml:space="preserve"> "Entry" Laborer for MO "State" Wage ONLY</t>
        </is>
      </c>
      <c r="K54" s="1594" t="n"/>
      <c r="L54" s="590" t="inlineStr">
        <is>
          <t>NOT davis-bacon</t>
        </is>
      </c>
    </row>
    <row r="55">
      <c r="A55" s="1570" t="inlineStr">
        <is>
          <t>Tooling and Consumables Total</t>
        </is>
      </c>
      <c r="B55" s="1571" t="n"/>
      <c r="C55" s="2354" t="n"/>
      <c r="D55" s="2355">
        <f>SUM(D50:D54)</f>
        <v/>
      </c>
      <c r="E55" s="1" t="n"/>
      <c r="F55" s="1" t="n"/>
      <c r="G55" s="74" t="n"/>
      <c r="H55" s="1450">
        <f>E35</f>
        <v/>
      </c>
      <c r="I55" s="714" t="n"/>
      <c r="J55" s="2031" t="n"/>
      <c r="K55" s="585" t="n"/>
      <c r="L55" s="1" t="n"/>
    </row>
    <row r="56">
      <c r="A56" s="1" t="n"/>
      <c r="B56" s="1892" t="n"/>
      <c r="C56" s="2282" t="n"/>
      <c r="D56" s="2282" t="n"/>
      <c r="E56" s="1" t="n"/>
      <c r="F56" s="1" t="n"/>
      <c r="G56" s="1409" t="inlineStr">
        <is>
          <t xml:space="preserve">Total Man Hours </t>
        </is>
      </c>
      <c r="H56" s="1410">
        <f>(((A37*B37)+(A38*B38)+(A40*B40)+(A42*B42))*IF($E$35="8 hour days",8,10))+(A44*B44)</f>
        <v/>
      </c>
      <c r="I56" s="600" t="n"/>
      <c r="J56" s="1936" t="n"/>
      <c r="K56" s="1936" t="n"/>
      <c r="N56" s="458" t="inlineStr">
        <is>
          <t>Grind + Seal: (2 passes) 50, 100</t>
        </is>
      </c>
      <c r="O56" s="458" t="n"/>
    </row>
    <row r="57">
      <c r="A57" s="5" t="inlineStr">
        <is>
          <t>TRAVEL</t>
        </is>
      </c>
      <c r="B57" s="30" t="inlineStr">
        <is>
          <t>Quantity</t>
        </is>
      </c>
      <c r="C57" s="11" t="inlineStr">
        <is>
          <t>Cost</t>
        </is>
      </c>
      <c r="D57" s="2019" t="inlineStr">
        <is>
          <t>Totals</t>
        </is>
      </c>
      <c r="E57" s="1" t="n"/>
      <c r="F57" s="1" t="n"/>
      <c r="G57" s="1048" t="inlineStr">
        <is>
          <t xml:space="preserve">Total Days </t>
        </is>
      </c>
      <c r="H57" s="1389">
        <f>H56/IF($E$35="8 hour days",8,10)/H58</f>
        <v/>
      </c>
      <c r="I57" s="1944" t="n"/>
      <c r="J57" s="1928" t="n"/>
      <c r="K57" s="585" t="n"/>
      <c r="L57" s="585" t="n"/>
      <c r="N57" s="389" t="inlineStr">
        <is>
          <t>Cream: (3 passes) 100 resin, 200 resin, 400 resin</t>
        </is>
      </c>
      <c r="O57" s="389" t="n"/>
      <c r="P57" s="389" t="n"/>
      <c r="Q57" s="389" t="n"/>
    </row>
    <row r="58">
      <c r="A58" s="6" t="inlineStr">
        <is>
          <t>Travel - Lodging</t>
        </is>
      </c>
      <c r="B58" s="37">
        <f>IF(B4="No",((D45-D44)/C37)/8)</f>
        <v/>
      </c>
      <c r="C58" s="2282" t="n">
        <v>70</v>
      </c>
      <c r="D58" s="2038">
        <f>ROUNDUP(B58*C58,0)</f>
        <v/>
      </c>
      <c r="E58" s="1" t="n"/>
      <c r="F58" s="1" t="n"/>
      <c r="G58" s="1444" t="inlineStr">
        <is>
          <t>^based on X crew size:</t>
        </is>
      </c>
      <c r="H58" s="2030">
        <f>A37</f>
        <v/>
      </c>
      <c r="I58" s="662" t="n"/>
      <c r="J58" s="1928" t="n"/>
      <c r="K58" s="585" t="n"/>
      <c r="L58" s="585" t="n"/>
      <c r="N58" s="398" t="inlineStr">
        <is>
          <t>S&amp;P: (5 passes) 60/80 metal, 50 resin, 100 resin, 200 resin, 400 resin</t>
        </is>
      </c>
      <c r="O58" s="398" t="n"/>
      <c r="P58" s="398" t="n"/>
      <c r="Q58" s="398" t="n"/>
      <c r="R58" s="398" t="n"/>
    </row>
    <row r="59">
      <c r="A59" s="6" t="inlineStr">
        <is>
          <t>Travel - Food</t>
        </is>
      </c>
      <c r="B59" s="37">
        <f>B58</f>
        <v/>
      </c>
      <c r="C59" s="2282" t="n">
        <v>45</v>
      </c>
      <c r="D59" s="2038">
        <f>ROUNDUP(B59*C59,0)</f>
        <v/>
      </c>
      <c r="E59" s="43" t="n"/>
      <c r="F59" s="1" t="n"/>
      <c r="G59" s="1" t="n"/>
      <c r="H59" s="93" t="n"/>
      <c r="I59" s="1944" t="n"/>
      <c r="J59" s="1928" t="n"/>
      <c r="K59" s="585" t="n"/>
      <c r="L59" s="585" t="n"/>
      <c r="N59" s="458" t="inlineStr">
        <is>
          <t>Full/Large: (9[+] passes) BushHammers, 16 metal, 30 metal, (grout) 60/80 metal,</t>
        </is>
      </c>
      <c r="O59" s="458" t="n"/>
      <c r="P59" s="458" t="n"/>
      <c r="Q59" s="458" t="n"/>
      <c r="R59" s="458" t="n"/>
    </row>
    <row r="60">
      <c r="A60" s="6" t="n"/>
      <c r="B60" s="37" t="n"/>
      <c r="C60" s="2282" t="n"/>
      <c r="D60" s="2038">
        <f>ROUNDUP(B60*C60,0)</f>
        <v/>
      </c>
      <c r="E60" s="1" t="n"/>
      <c r="F60" s="1" t="n"/>
      <c r="G60" s="1" t="n"/>
      <c r="H60" s="37" t="n"/>
      <c r="I60" s="714" t="n"/>
      <c r="J60" s="2031" t="n"/>
      <c r="K60" s="585" t="n"/>
      <c r="L60" s="585" t="n"/>
      <c r="O60" s="458" t="inlineStr">
        <is>
          <t>50 resin, (grout) 100 resin, 200 resin, 400 resin, 800 resin, etc..?</t>
        </is>
      </c>
      <c r="P60" s="458" t="n"/>
      <c r="Q60" s="458" t="n"/>
      <c r="R60" s="458" t="n"/>
    </row>
    <row r="61">
      <c r="A61" s="1570" t="inlineStr">
        <is>
          <t>Travel Costs Total</t>
        </is>
      </c>
      <c r="B61" s="1571" t="n"/>
      <c r="C61" s="2354" t="n"/>
      <c r="D61" s="2355">
        <f>SUM(D58:D60)</f>
        <v/>
      </c>
      <c r="E61" s="1" t="n"/>
      <c r="F61" s="1" t="n"/>
      <c r="G61" s="74" t="n"/>
      <c r="H61" s="80" t="n"/>
      <c r="I61" s="714" t="n"/>
      <c r="J61" s="2031" t="n"/>
      <c r="K61" s="585" t="n"/>
      <c r="L61" s="585" t="n"/>
    </row>
    <row r="62">
      <c r="A62" s="1" t="n"/>
      <c r="B62" s="1892" t="n"/>
      <c r="C62" s="2282" t="n"/>
      <c r="D62" s="2282" t="n"/>
      <c r="E62" s="1" t="n"/>
      <c r="F62" s="1" t="n"/>
      <c r="G62" s="1" t="n"/>
    </row>
    <row r="63">
      <c r="A63" s="1" t="n"/>
      <c r="B63" s="1892" t="n"/>
      <c r="C63" s="2282" t="n"/>
      <c r="D63" s="2282" t="n"/>
      <c r="E63" s="1" t="n"/>
      <c r="F63" s="1" t="n"/>
      <c r="G63" s="1" t="n"/>
    </row>
    <row r="64">
      <c r="A64" s="165" t="inlineStr">
        <is>
          <t>SUB-TOTAL COSTS</t>
        </is>
      </c>
      <c r="B64" s="166" t="n"/>
      <c r="C64" s="2356" t="n"/>
      <c r="D64" s="2357">
        <f>ROUNDUP(SUM(D33,D45:D47,D55,D61),0)</f>
        <v/>
      </c>
      <c r="E64" s="2358">
        <f>D64/B35</f>
        <v/>
      </c>
      <c r="F64" s="235" t="inlineStr">
        <is>
          <t>Sub-Total $/SF</t>
        </is>
      </c>
      <c r="G64" s="1" t="n"/>
    </row>
    <row r="65">
      <c r="A65" s="1" t="n"/>
      <c r="B65" s="1892" t="n"/>
      <c r="C65" s="2282" t="n"/>
      <c r="D65" s="2282" t="n"/>
      <c r="E65" s="1" t="n"/>
      <c r="F65" s="1" t="n"/>
      <c r="G65" s="1" t="n"/>
    </row>
    <row r="66">
      <c r="A66" s="621" t="inlineStr">
        <is>
          <t>MARKUP</t>
        </is>
      </c>
      <c r="B66" s="622" t="inlineStr">
        <is>
          <t>%</t>
        </is>
      </c>
      <c r="C66" s="2035" t="n"/>
      <c r="D66" s="2019" t="inlineStr">
        <is>
          <t>Totals</t>
        </is>
      </c>
      <c r="E66" s="600" t="n"/>
      <c r="F66" s="2036">
        <f>SUM(D64,D76,D79)</f>
        <v/>
      </c>
      <c r="G66" s="811" t="inlineStr">
        <is>
          <t>Total "Estimated Costs" w/taxes + fees + bond</t>
        </is>
      </c>
      <c r="H66" s="812" t="n"/>
      <c r="I66" s="2037">
        <f>F66/C81</f>
        <v/>
      </c>
    </row>
    <row r="67">
      <c r="A67" s="817" t="inlineStr">
        <is>
          <t>GP (before lines below)</t>
        </is>
      </c>
      <c r="B67" s="122">
        <f>IF(D64&lt;6500,0.52,IF(D64&lt;15000,0.45,IF(D64&lt;22500,0.35,IF(D64&lt;32500,0.32,IF(D64&lt;42500,0.3,0.28)))))</f>
        <v/>
      </c>
      <c r="C67" s="1944" t="n"/>
      <c r="D67" s="2038">
        <f>ROUNDUP(SUM(D64,D74,D77)/(1-B67),0)-ROUNDUP(SUM(D64,D74,D77),0)</f>
        <v/>
      </c>
      <c r="E67" s="600" t="n"/>
      <c r="F67" s="2039">
        <f>(((A37*B37)+(A38*B38)+(A40*B40)+(A42*B42))*IF($E$35="8 hour days",8,10))+(A44*B44)</f>
        <v/>
      </c>
      <c r="G67" s="815" t="inlineStr">
        <is>
          <t>Man Hour Budget (Raken)</t>
        </is>
      </c>
      <c r="H67" s="815" t="n"/>
      <c r="I67" s="585" t="n"/>
    </row>
    <row r="68">
      <c r="A68" s="817" t="inlineStr">
        <is>
          <t>Hard Bid Discount</t>
        </is>
      </c>
      <c r="B68" s="2040">
        <f>IF(B5="yes",IF(D64&gt;=60000,-0.04,IF(B4="yes",IF(D64&gt;=13000,-0.025,0))))</f>
        <v/>
      </c>
      <c r="C68" s="1944" t="n"/>
      <c r="D68" s="1962">
        <f>ROUNDUP(SUM(D64,D67)*B68,0)</f>
        <v/>
      </c>
      <c r="E68" s="600" t="n"/>
      <c r="F68" s="2041">
        <f>F81/H57</f>
        <v/>
      </c>
      <c r="G68" s="1447" t="inlineStr">
        <is>
          <t>GP per Day</t>
        </is>
      </c>
      <c r="H68" s="809">
        <f>E35</f>
        <v/>
      </c>
      <c r="I68" s="585" t="n"/>
    </row>
    <row r="69">
      <c r="A69" s="628" t="inlineStr">
        <is>
          <t>Superintendent &amp; PTO</t>
        </is>
      </c>
      <c r="B69" s="819" t="n">
        <v>0.027</v>
      </c>
      <c r="C69" s="2042" t="n"/>
      <c r="D69" s="1962">
        <f>ROUNDUP(SUM(D64:D68,D71,D74,D77)*B69,0)</f>
        <v/>
      </c>
      <c r="E69" s="600" t="n"/>
      <c r="F69" s="585" t="n"/>
      <c r="G69" s="585" t="n"/>
      <c r="H69" s="585" t="n"/>
      <c r="I69" s="585" t="n"/>
    </row>
    <row r="70">
      <c r="A70" s="628" t="inlineStr">
        <is>
          <t>Soft Costs</t>
        </is>
      </c>
      <c r="B70" s="241" t="n">
        <v>0.16</v>
      </c>
      <c r="C70" s="2042" t="n"/>
      <c r="D70" s="1962">
        <f>(ROUNDUP(SUM(D64:D69,D71,D74,D77)*B70,0))+0</f>
        <v/>
      </c>
      <c r="E70" s="600" t="n"/>
      <c r="F70" s="600" t="n"/>
      <c r="G70" s="1877" t="n"/>
      <c r="H70" s="585" t="n"/>
      <c r="I70" s="585" t="n"/>
    </row>
    <row r="71">
      <c r="A71" s="820" t="inlineStr">
        <is>
          <t>Contingency</t>
        </is>
      </c>
      <c r="B71" s="1575" t="inlineStr">
        <is>
          <t>-- ?? --&gt;</t>
        </is>
      </c>
      <c r="C71" s="2044" t="n"/>
      <c r="D71" s="2045" t="n">
        <v>0</v>
      </c>
      <c r="E71" s="600" t="n"/>
      <c r="F71" s="585" t="n"/>
      <c r="G71" s="585" t="n"/>
      <c r="H71" s="585" t="n"/>
      <c r="I71" s="2043" t="n"/>
      <c r="J71" s="98" t="n"/>
    </row>
    <row r="72">
      <c r="A72" s="600" t="n"/>
      <c r="B72" s="1877" t="n"/>
      <c r="C72" s="1944" t="n"/>
      <c r="D72" s="1944" t="n"/>
      <c r="E72" s="600" t="n"/>
      <c r="F72" s="585" t="n"/>
      <c r="G72" s="585" t="n"/>
      <c r="H72" s="585" t="n"/>
      <c r="I72" s="2043" t="n"/>
    </row>
    <row r="73">
      <c r="A73" s="621" t="inlineStr">
        <is>
          <t>TAXES &amp; FEES</t>
        </is>
      </c>
      <c r="B73" s="622" t="inlineStr">
        <is>
          <t>%</t>
        </is>
      </c>
      <c r="C73" s="778" t="n"/>
      <c r="D73" s="2019" t="inlineStr">
        <is>
          <t>Totals</t>
        </is>
      </c>
      <c r="E73" s="600" t="n"/>
      <c r="H73" s="585" t="n"/>
      <c r="I73" s="585" t="n"/>
      <c r="J73" s="2046">
        <f>(J76-J74-J75)</f>
        <v/>
      </c>
      <c r="K73" s="590" t="n"/>
    </row>
    <row r="74">
      <c r="A74" s="628" t="inlineStr">
        <is>
          <t>Sales Tax</t>
        </is>
      </c>
      <c r="B74" s="2047">
        <f>IF($B$6="no",0,0.09475)</f>
        <v/>
      </c>
      <c r="C74" s="2042" t="n"/>
      <c r="D74" s="1962">
        <f>ROUNDUP(SUM(D33)*B74,0)</f>
        <v/>
      </c>
      <c r="E74" s="600" t="n"/>
      <c r="H74" s="585" t="n"/>
      <c r="I74" s="585" t="n"/>
      <c r="J74" s="2046" t="n"/>
      <c r="K74" s="585" t="inlineStr">
        <is>
          <t>sales tax (enter rounded)</t>
        </is>
      </c>
    </row>
    <row r="75">
      <c r="A75" s="804">
        <f>Seal!A75</f>
        <v/>
      </c>
      <c r="B75" s="2048">
        <f>Seal!B75</f>
        <v/>
      </c>
      <c r="C75" s="1944" t="n"/>
      <c r="D75" s="1962">
        <f>ROUNDUP(SUM(D45:D47,D55,D61,D67:D71,D77)*B75,0)</f>
        <v/>
      </c>
      <c r="E75" s="758">
        <f>IF(D6="yes","*10% is placeholder. Adjust to actual if project awarded"," ")</f>
        <v/>
      </c>
      <c r="H75" s="585" t="n"/>
      <c r="J75" s="2049" t="n"/>
      <c r="K75" s="784" t="inlineStr">
        <is>
          <t>ks remodel (enter rounded)</t>
        </is>
      </c>
    </row>
    <row r="76">
      <c r="A76" s="1565" t="inlineStr">
        <is>
          <t>Total Taxes</t>
        </is>
      </c>
      <c r="B76" s="1566" t="n"/>
      <c r="C76" s="2028" t="n"/>
      <c r="D76" s="2029">
        <f>SUM(D74:D75)</f>
        <v/>
      </c>
      <c r="E76" s="758" t="n"/>
      <c r="H76" s="585" t="n"/>
      <c r="J76" s="2046">
        <f>D82</f>
        <v/>
      </c>
      <c r="K76" s="590" t="inlineStr">
        <is>
          <t>total</t>
        </is>
      </c>
    </row>
    <row r="77">
      <c r="A77" s="628">
        <f>Seal!A77</f>
        <v/>
      </c>
      <c r="B77" s="2047">
        <f>Seal!B77</f>
        <v/>
      </c>
      <c r="C77" s="1944">
        <f>Seal!C77</f>
        <v/>
      </c>
      <c r="D77" s="1962">
        <f>ROUNDUP(B77*C77,0)</f>
        <v/>
      </c>
      <c r="E77" s="600">
        <f>Seal!E77</f>
        <v/>
      </c>
      <c r="F77" s="600" t="n"/>
      <c r="G77" s="600" t="n"/>
      <c r="H77" s="585" t="n"/>
    </row>
    <row r="78">
      <c r="A78" s="635" t="inlineStr">
        <is>
          <t>Bond</t>
        </is>
      </c>
      <c r="B78" s="806">
        <f>Seal!B78</f>
        <v/>
      </c>
      <c r="C78" s="1948" t="n"/>
      <c r="D78" s="2050">
        <f>ROUNDUP(SUM(D64,D67,D68,D69:D71,D74,D75:D77)*B78,0)</f>
        <v/>
      </c>
      <c r="E78" s="600">
        <f>Seal!E78</f>
        <v/>
      </c>
      <c r="F78" s="600" t="n"/>
      <c r="G78" s="600" t="n"/>
      <c r="H78" s="585" t="n"/>
    </row>
    <row r="79">
      <c r="A79" s="789" t="inlineStr">
        <is>
          <t>Total Fees + Bond</t>
        </is>
      </c>
      <c r="B79" s="790" t="n"/>
      <c r="C79" s="2051" t="n"/>
      <c r="D79" s="2052">
        <f>ROUNDUP(SUM(D77:D78),0)</f>
        <v/>
      </c>
      <c r="E79" s="600" t="n"/>
      <c r="F79" s="600" t="n"/>
      <c r="G79" s="585" t="n"/>
      <c r="H79" s="585" t="n"/>
      <c r="I79" s="1" t="n"/>
      <c r="J79" s="1" t="n"/>
      <c r="K79" s="1" t="n"/>
    </row>
    <row r="80">
      <c r="A80" s="1" t="n"/>
      <c r="B80" s="8" t="n"/>
      <c r="C80" s="2282" t="n"/>
      <c r="D80" s="2282" t="n"/>
      <c r="E80" s="1" t="n"/>
      <c r="F80" s="191" t="inlineStr">
        <is>
          <t>Mark Up + Conting.</t>
        </is>
      </c>
      <c r="G80" s="232" t="inlineStr">
        <is>
          <t>GP / MH</t>
        </is>
      </c>
      <c r="H80" s="1618" t="inlineStr">
        <is>
          <t>MarkUp + Soft Costs</t>
        </is>
      </c>
      <c r="I80" s="823" t="n"/>
      <c r="J80" s="180" t="n"/>
      <c r="K80" s="1434" t="inlineStr">
        <is>
          <t>For PM's Reference</t>
        </is>
      </c>
      <c r="L80" s="1466" t="n"/>
    </row>
    <row r="81" ht="16.2" customHeight="1" thickBot="1">
      <c r="A81" s="1" t="n"/>
      <c r="B81" s="190" t="inlineStr">
        <is>
          <t>Square Footage:</t>
        </is>
      </c>
      <c r="C81" s="2359">
        <f>B35</f>
        <v/>
      </c>
      <c r="D81" s="2282" t="n"/>
      <c r="E81" s="38" t="inlineStr">
        <is>
          <t>Less Sales Tax</t>
        </is>
      </c>
      <c r="F81" s="2360">
        <f>SUM(D67,D68,D71)</f>
        <v/>
      </c>
      <c r="G81" s="2361">
        <f>F81/F67</f>
        <v/>
      </c>
      <c r="H81" s="2056">
        <f>SUM(D67:D71)</f>
        <v/>
      </c>
      <c r="I81" s="585" t="n"/>
      <c r="J81" s="480" t="inlineStr">
        <is>
          <t>Material + Tooling %</t>
        </is>
      </c>
      <c r="K81" s="232" t="inlineStr">
        <is>
          <t>Labor %</t>
        </is>
      </c>
      <c r="L81" s="232" t="inlineStr">
        <is>
          <t>Travel %</t>
        </is>
      </c>
      <c r="M81" s="1" t="n"/>
    </row>
    <row r="82" ht="16.2" customHeight="1" thickBot="1">
      <c r="A82" s="186" t="inlineStr">
        <is>
          <t>TOTAL</t>
        </is>
      </c>
      <c r="B82" s="187" t="n"/>
      <c r="C82" s="2362">
        <f>D82/C81</f>
        <v/>
      </c>
      <c r="D82" s="2058">
        <f>SUM(D64,D67:D71,D76,D79)</f>
        <v/>
      </c>
      <c r="E82" s="1944">
        <f>D82-(D74+D75)</f>
        <v/>
      </c>
      <c r="F82" s="2363">
        <f>F81/(D82)</f>
        <v/>
      </c>
      <c r="G82" s="2361">
        <f>C37</f>
        <v/>
      </c>
      <c r="H82" s="2060">
        <f>H81/D82</f>
        <v/>
      </c>
      <c r="I82" s="1625" t="inlineStr">
        <is>
          <t>45% = Polish Goal</t>
        </is>
      </c>
      <c r="J82" s="242">
        <f>(H33+D55)/D82</f>
        <v/>
      </c>
      <c r="K82" s="828">
        <f>(SUM(D45:D47)/D82)</f>
        <v/>
      </c>
      <c r="L82" s="242">
        <f>D61/D82</f>
        <v/>
      </c>
      <c r="M82" s="1" t="n"/>
      <c r="N82" s="1" t="n"/>
    </row>
    <row r="83">
      <c r="A83" s="221" t="n"/>
      <c r="B83" s="1" t="n"/>
      <c r="C83" s="2282">
        <f>D83/C81</f>
        <v/>
      </c>
      <c r="D83" s="1944">
        <f>D82-D75</f>
        <v/>
      </c>
      <c r="E83" s="753" t="inlineStr">
        <is>
          <t>(less ks remodel tax, no joints)</t>
        </is>
      </c>
      <c r="G83" s="2364">
        <f>C37</f>
        <v/>
      </c>
      <c r="H83" s="220" t="n"/>
      <c r="I83" s="1631" t="inlineStr">
        <is>
          <t>(epx: 42% &amp; pol: 45%)</t>
        </is>
      </c>
      <c r="J83" s="220" t="n"/>
      <c r="L83" s="1" t="n"/>
      <c r="M83" s="1" t="n"/>
      <c r="N83" s="1" t="n"/>
      <c r="O83" s="1" t="n"/>
    </row>
    <row r="84">
      <c r="A84" s="221" t="n"/>
      <c r="B84" s="1" t="n"/>
      <c r="C84" s="2367">
        <f>D84/C81</f>
        <v/>
      </c>
      <c r="D84" s="1667">
        <f>D82-Seal!D82</f>
        <v/>
      </c>
      <c r="E84" s="1668" t="inlineStr">
        <is>
          <t>Add Joint Filler</t>
        </is>
      </c>
      <c r="J84" s="2061">
        <f>SUM(D33,D55)</f>
        <v/>
      </c>
      <c r="K84" s="1099">
        <f>J84/J87</f>
        <v/>
      </c>
      <c r="L84" s="1100" t="inlineStr">
        <is>
          <t>Material+Tooling</t>
        </is>
      </c>
      <c r="M84" s="759" t="inlineStr">
        <is>
          <t>% Breakdown</t>
        </is>
      </c>
      <c r="N84" s="1" t="n"/>
      <c r="O84" s="1" t="n"/>
    </row>
    <row r="85">
      <c r="A85" s="221" t="n"/>
      <c r="B85" s="1" t="n"/>
      <c r="C85" s="2365" t="n"/>
      <c r="D85" s="211" t="n"/>
      <c r="E85" s="189" t="n"/>
      <c r="J85" s="2063">
        <f>SUM(D45:D47,D61)</f>
        <v/>
      </c>
      <c r="K85" s="1102">
        <f>J85/J87</f>
        <v/>
      </c>
      <c r="L85" s="1103" t="inlineStr">
        <is>
          <t>Labor + Travel</t>
        </is>
      </c>
      <c r="M85" s="600" t="n"/>
      <c r="N85" s="1" t="n"/>
      <c r="O85" s="1" t="n"/>
    </row>
    <row r="86">
      <c r="A86" s="1" t="n"/>
      <c r="B86" s="1" t="n"/>
      <c r="C86" s="2366" t="n"/>
      <c r="D86" s="2366" t="n"/>
      <c r="E86" s="189" t="n"/>
      <c r="J86" s="2064">
        <f>SUM(D67:D71,D76,D79)</f>
        <v/>
      </c>
      <c r="K86" s="1105">
        <f>J86/J87</f>
        <v/>
      </c>
      <c r="L86" s="1106" t="inlineStr">
        <is>
          <t>Mark-Up+Tax</t>
        </is>
      </c>
      <c r="M86" s="600" t="n"/>
      <c r="N86" s="1" t="n"/>
      <c r="O86" s="1" t="n"/>
      <c r="P86" s="1" t="n"/>
      <c r="Q86" s="1" t="n"/>
    </row>
    <row r="87">
      <c r="A87" s="1" t="n"/>
      <c r="B87" s="1" t="n"/>
      <c r="C87" s="2366" t="n"/>
      <c r="D87" s="2366" t="n"/>
      <c r="E87" s="189" t="n"/>
      <c r="J87" s="2064">
        <f>SUM(J84:J86)</f>
        <v/>
      </c>
      <c r="K87" s="1107">
        <f>SUM(K84:K86)</f>
        <v/>
      </c>
      <c r="L87" s="1106" t="inlineStr">
        <is>
          <t>Total</t>
        </is>
      </c>
      <c r="M87" s="585" t="n"/>
      <c r="N87" s="1" t="n"/>
      <c r="O87" s="1" t="n"/>
      <c r="P87" s="1" t="n"/>
      <c r="Q87" s="1" t="n"/>
    </row>
    <row r="88">
      <c r="A88" s="103" t="n"/>
      <c r="B88" s="103" t="n"/>
      <c r="C88" s="2147" t="n"/>
      <c r="D88" s="2147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1916" t="n"/>
      <c r="N88" s="1916" t="n"/>
      <c r="O88" s="1916" t="n"/>
      <c r="P88" s="1" t="n"/>
      <c r="Q88" s="1" t="n"/>
    </row>
    <row r="89">
      <c r="A89" s="103" t="n"/>
      <c r="B89" s="105" t="n"/>
      <c r="C89" s="2147" t="n"/>
      <c r="D89" s="2147" t="n"/>
      <c r="E89" s="53" t="n"/>
      <c r="F89" s="53" t="n"/>
      <c r="G89" s="53" t="n"/>
      <c r="H89" s="53" t="n"/>
      <c r="I89" s="53" t="n"/>
      <c r="J89" s="106" t="n"/>
      <c r="K89" s="106" t="n"/>
      <c r="L89" s="106" t="n"/>
      <c r="M89" s="1916" t="n"/>
      <c r="N89" s="1916" t="n"/>
      <c r="O89" s="1916" t="n"/>
      <c r="P89" s="1" t="n"/>
      <c r="Q89" s="1" t="n"/>
    </row>
    <row r="90">
      <c r="A90" s="53" t="n"/>
      <c r="B90" s="53" t="n"/>
      <c r="C90" s="2145" t="n"/>
      <c r="D90" s="2145" t="n"/>
      <c r="E90" s="53" t="n"/>
      <c r="F90" s="53" t="n"/>
      <c r="G90" s="2191" t="n"/>
      <c r="H90" s="53" t="n"/>
      <c r="I90" s="53" t="n"/>
      <c r="J90" s="53" t="n"/>
      <c r="K90" s="53" t="n"/>
      <c r="L90" s="53" t="n"/>
      <c r="M90" s="1916" t="n"/>
      <c r="N90" s="1916" t="n"/>
      <c r="O90" s="1916" t="n"/>
      <c r="P90" s="1" t="n"/>
      <c r="Q90" s="1" t="n"/>
    </row>
    <row r="91">
      <c r="A91" s="3" t="n"/>
      <c r="B91" s="2156" t="n"/>
      <c r="C91" s="3" t="n"/>
      <c r="D91" s="2156" t="n"/>
      <c r="E91" s="1916" t="n"/>
      <c r="F91" s="1916" t="n"/>
      <c r="G91" s="53" t="n"/>
      <c r="H91" s="108" t="n"/>
      <c r="I91" s="53" t="n"/>
      <c r="J91" s="106" t="n"/>
      <c r="K91" s="106" t="n"/>
      <c r="L91" s="106" t="n"/>
      <c r="M91" s="1916" t="n"/>
      <c r="N91" s="1916" t="n"/>
      <c r="O91" s="1916" t="n"/>
      <c r="P91" s="1" t="n"/>
      <c r="Q91" s="1" t="n"/>
      <c r="AA91" s="1916" t="n"/>
      <c r="AB91" s="1916" t="n"/>
    </row>
    <row r="92">
      <c r="A92" s="53" t="n"/>
      <c r="B92" s="53" t="n"/>
      <c r="C92" s="53" t="n"/>
      <c r="D92" s="53" t="n"/>
      <c r="E92" s="106" t="n"/>
      <c r="F92" s="1916" t="n"/>
      <c r="G92" s="53" t="n"/>
      <c r="H92" s="53" t="n"/>
      <c r="I92" s="53" t="n"/>
      <c r="J92" s="2145" t="n"/>
      <c r="K92" s="53" t="n"/>
      <c r="L92" s="53" t="n"/>
      <c r="M92" s="1916" t="n"/>
      <c r="N92" s="1916" t="n"/>
      <c r="O92" s="1916" t="n"/>
      <c r="P92" s="1" t="n"/>
      <c r="Q92" s="1" t="n"/>
      <c r="AA92" s="1916" t="n"/>
      <c r="AB92" s="1916" t="n"/>
    </row>
    <row r="93">
      <c r="A93" s="53" t="n"/>
      <c r="B93" s="53" t="n"/>
      <c r="C93" s="2192" t="n"/>
      <c r="D93" s="106" t="n"/>
      <c r="E93" s="106" t="n"/>
      <c r="F93" s="1916" t="n"/>
      <c r="G93" s="53" t="n"/>
      <c r="H93" s="93" t="n"/>
      <c r="I93" s="2145" t="n"/>
      <c r="J93" s="2145" t="n"/>
      <c r="K93" s="53" t="n"/>
      <c r="L93" s="53" t="n"/>
      <c r="M93" s="1916" t="n"/>
      <c r="N93" s="1916" t="n"/>
      <c r="O93" s="1916" t="n"/>
      <c r="P93" s="1" t="n"/>
      <c r="Q93" s="1" t="n"/>
      <c r="AA93" s="1916" t="n"/>
      <c r="AB93" s="1916" t="n"/>
    </row>
    <row r="94" customFormat="1" s="1916">
      <c r="A94" s="53" t="n"/>
      <c r="B94" s="53" t="n"/>
      <c r="C94" s="53" t="n"/>
      <c r="D94" s="53" t="n"/>
      <c r="E94" s="53" t="n"/>
      <c r="G94" s="53" t="n"/>
      <c r="H94" s="93" t="n"/>
      <c r="I94" s="2145" t="n"/>
      <c r="J94" s="2145" t="n"/>
      <c r="K94" s="53" t="n"/>
      <c r="L94" s="53" t="n"/>
      <c r="P94" s="53" t="n"/>
      <c r="Q94" s="53" t="n"/>
    </row>
    <row r="95" customFormat="1" s="1916">
      <c r="A95" s="53" t="n"/>
      <c r="B95" s="53" t="n"/>
      <c r="C95" s="2192" t="n"/>
      <c r="D95" s="106" t="n"/>
      <c r="E95" s="106" t="n"/>
      <c r="G95" s="53" t="n"/>
      <c r="H95" s="93" t="n"/>
      <c r="I95" s="2145" t="n"/>
      <c r="J95" s="2145" t="n"/>
      <c r="K95" s="53" t="n"/>
      <c r="L95" s="53" t="n"/>
    </row>
    <row r="96" customFormat="1" s="1916">
      <c r="A96" s="111" t="n"/>
      <c r="B96" s="53" t="n"/>
      <c r="C96" s="53" t="n"/>
      <c r="D96" s="53" t="n"/>
      <c r="E96" s="53" t="n"/>
      <c r="G96" s="53" t="n"/>
      <c r="H96" s="93" t="n"/>
      <c r="I96" s="2145" t="n"/>
      <c r="J96" s="2145" t="n"/>
      <c r="K96" s="53" t="n"/>
      <c r="L96" s="53" t="n"/>
    </row>
    <row r="97" customFormat="1" s="1916">
      <c r="A97" s="53" t="n"/>
      <c r="B97" s="53" t="n"/>
      <c r="C97" s="2192" t="n"/>
      <c r="D97" s="106" t="n"/>
      <c r="E97" s="106" t="n"/>
      <c r="G97" s="53" t="n"/>
      <c r="H97" s="93" t="n"/>
      <c r="I97" s="2145" t="n"/>
      <c r="J97" s="2145" t="n"/>
      <c r="K97" s="53" t="n"/>
      <c r="L97" s="53" t="n"/>
    </row>
    <row r="98" customFormat="1" s="1916">
      <c r="A98" s="387" t="n"/>
      <c r="B98" s="53" t="n"/>
      <c r="C98" s="53" t="n"/>
      <c r="D98" s="2157" t="n"/>
      <c r="E98" s="2157" t="n"/>
      <c r="F98" s="53" t="n"/>
      <c r="G98" s="103" t="n"/>
      <c r="H98" s="103" t="n"/>
      <c r="I98" s="2147" t="n"/>
      <c r="J98" s="2147" t="n"/>
    </row>
    <row r="99" customFormat="1" s="1916">
      <c r="A99" s="388" t="n"/>
      <c r="B99" s="53" t="n"/>
      <c r="C99" s="2145" t="n"/>
      <c r="D99" s="2145" t="n"/>
      <c r="E99" s="2145" t="n"/>
      <c r="F99" s="53" t="n"/>
      <c r="G99" s="53" t="n"/>
      <c r="H99" s="53" t="n"/>
    </row>
    <row r="100" customFormat="1" s="1916">
      <c r="A100" s="389" t="n"/>
      <c r="B100" s="53" t="n"/>
      <c r="C100" s="53" t="n"/>
      <c r="D100" s="2145" t="n"/>
      <c r="E100" s="53" t="n"/>
      <c r="F100" s="53" t="n"/>
      <c r="G100" s="53" t="n"/>
      <c r="H100" s="53" t="n"/>
      <c r="K100" s="53" t="n"/>
      <c r="L100" s="53" t="n"/>
    </row>
    <row r="101" customFormat="1" s="1916">
      <c r="A101" s="390" t="n"/>
      <c r="B101" s="93" t="n"/>
      <c r="C101" s="2145" t="n"/>
      <c r="D101" s="2145" t="n"/>
      <c r="E101" s="53" t="n"/>
      <c r="F101" s="53" t="n"/>
      <c r="G101" s="2156" t="n"/>
      <c r="H101" s="93" t="n"/>
      <c r="I101" s="53" t="n"/>
      <c r="J101" s="2145" t="n"/>
      <c r="K101" s="53" t="n"/>
      <c r="L101" s="53" t="n"/>
    </row>
    <row r="102" customFormat="1" s="1916">
      <c r="A102" s="391" t="n"/>
      <c r="B102" s="93" t="n"/>
      <c r="C102" s="2145" t="n"/>
      <c r="D102" s="2145" t="n"/>
      <c r="E102" s="53" t="n"/>
      <c r="F102" s="53" t="n"/>
      <c r="G102" s="53" t="n"/>
      <c r="H102" s="93" t="n"/>
      <c r="I102" s="2145" t="n"/>
      <c r="J102" s="2145" t="n"/>
      <c r="K102" s="53" t="n"/>
      <c r="L102" s="53" t="n"/>
    </row>
    <row r="103" customFormat="1" s="1916">
      <c r="A103" s="392" t="n"/>
      <c r="B103" s="93" t="n"/>
      <c r="C103" s="2145" t="n"/>
      <c r="D103" s="2145" t="n"/>
      <c r="E103" s="53" t="n"/>
      <c r="F103" s="53" t="n"/>
      <c r="G103" s="53" t="n"/>
      <c r="H103" s="93" t="n"/>
      <c r="I103" s="2145" t="n"/>
      <c r="J103" s="2145" t="n"/>
      <c r="K103" s="53" t="n"/>
      <c r="L103" s="53" t="n"/>
    </row>
    <row r="104" customFormat="1" s="1916">
      <c r="A104" s="449" t="n"/>
      <c r="B104" s="93" t="n"/>
      <c r="C104" s="2145" t="n"/>
      <c r="D104" s="2145" t="n"/>
      <c r="E104" s="111" t="n"/>
      <c r="F104" s="53" t="n"/>
      <c r="G104" s="53" t="n"/>
      <c r="H104" s="93" t="n"/>
      <c r="I104" s="2145" t="n"/>
      <c r="J104" s="2145" t="n"/>
      <c r="K104" s="53" t="n"/>
      <c r="L104" s="53" t="n"/>
    </row>
    <row r="105" customFormat="1" s="1916">
      <c r="A105" s="544" t="n"/>
      <c r="B105" s="93" t="n"/>
      <c r="C105" s="2145" t="n"/>
      <c r="D105" s="2145" t="n"/>
      <c r="E105" s="111" t="n"/>
      <c r="F105" s="53" t="n"/>
      <c r="G105" s="53" t="n"/>
      <c r="H105" s="93" t="n"/>
      <c r="I105" s="2145" t="n"/>
      <c r="J105" s="2145" t="n"/>
      <c r="K105" s="53" t="n"/>
      <c r="L105" s="53" t="n"/>
    </row>
    <row r="106" customFormat="1" s="1916">
      <c r="A106" s="53" t="n"/>
      <c r="B106" s="93" t="n"/>
      <c r="C106" s="2145" t="n"/>
      <c r="D106" s="2145" t="n"/>
      <c r="E106" s="53" t="n"/>
      <c r="F106" s="53" t="n"/>
      <c r="G106" s="53" t="n"/>
      <c r="H106" s="93" t="n"/>
      <c r="I106" s="2145" t="n"/>
      <c r="J106" s="2145" t="n"/>
      <c r="K106" s="53" t="n"/>
      <c r="L106" s="53" t="n"/>
    </row>
    <row r="107" customFormat="1" s="1916">
      <c r="A107" s="53" t="n"/>
      <c r="B107" s="93" t="n"/>
      <c r="C107" s="2145" t="n"/>
      <c r="D107" s="2145" t="n"/>
      <c r="E107" s="53" t="n"/>
      <c r="F107" s="53" t="n"/>
      <c r="G107" s="53" t="n"/>
      <c r="H107" s="93" t="n"/>
      <c r="I107" s="2145" t="n"/>
      <c r="J107" s="2145" t="n"/>
      <c r="K107" s="53" t="n"/>
      <c r="L107" s="53" t="n"/>
    </row>
    <row r="108" customFormat="1" s="1916">
      <c r="A108" s="53" t="n"/>
      <c r="B108" s="93" t="n"/>
      <c r="C108" s="2145" t="n"/>
      <c r="D108" s="2145" t="n"/>
      <c r="E108" s="53" t="n"/>
      <c r="F108" s="53" t="n"/>
      <c r="G108" s="53" t="n"/>
      <c r="H108" s="93" t="n"/>
      <c r="I108" s="2145" t="n"/>
      <c r="J108" s="2145" t="n"/>
      <c r="K108" s="53" t="n"/>
      <c r="L108" s="53" t="n"/>
    </row>
    <row r="109" customFormat="1" s="1916">
      <c r="A109" s="53" t="n"/>
      <c r="B109" s="93" t="n"/>
      <c r="C109" s="2145" t="n"/>
      <c r="D109" s="2145" t="n"/>
      <c r="E109" s="53" t="n"/>
      <c r="F109" s="53" t="n"/>
      <c r="G109" s="53" t="n"/>
      <c r="H109" s="93" t="n"/>
      <c r="I109" s="2145" t="n"/>
      <c r="J109" s="2145" t="n"/>
      <c r="K109" s="53" t="n"/>
      <c r="L109" s="53" t="n"/>
    </row>
    <row r="110" customFormat="1" s="1916">
      <c r="A110" s="103" t="n"/>
      <c r="B110" s="103" t="n"/>
      <c r="C110" s="2147" t="n"/>
      <c r="D110" s="2147" t="n"/>
      <c r="E110" s="53" t="n"/>
      <c r="F110" s="53" t="n"/>
      <c r="G110" s="103" t="n"/>
      <c r="H110" s="103" t="n"/>
      <c r="I110" s="2147" t="n"/>
      <c r="J110" s="2147" t="n"/>
      <c r="K110" s="53" t="n"/>
      <c r="L110" s="53" t="n"/>
    </row>
    <row r="111" customFormat="1" s="1916">
      <c r="A111" s="53" t="n"/>
      <c r="B111" s="53" t="n"/>
      <c r="C111" s="2145" t="n"/>
      <c r="D111" s="2145" t="n"/>
      <c r="E111" s="53" t="n"/>
      <c r="F111" s="53" t="n"/>
      <c r="G111" s="53" t="n"/>
      <c r="H111" s="53" t="n"/>
      <c r="I111" s="53" t="n"/>
      <c r="K111" s="106" t="n"/>
      <c r="L111" s="106" t="n"/>
    </row>
    <row r="112" customFormat="1" s="1916">
      <c r="A112" s="53" t="n"/>
      <c r="B112" s="53" t="n"/>
      <c r="C112" s="2145" t="n"/>
      <c r="D112" s="2145" t="n"/>
      <c r="E112" s="53" t="n"/>
      <c r="F112" s="53" t="n"/>
    </row>
    <row r="113" customFormat="1" s="1916">
      <c r="A113" s="53" t="n"/>
      <c r="B113" s="53" t="n"/>
      <c r="C113" s="2145" t="n"/>
      <c r="D113" s="2147" t="n"/>
      <c r="E113" s="53" t="n"/>
      <c r="F113" s="53" t="n"/>
    </row>
    <row r="114" customFormat="1" s="1916">
      <c r="A114" s="53" t="n"/>
      <c r="B114" s="53" t="n"/>
      <c r="C114" s="2145" t="n"/>
      <c r="D114" s="2145" t="n"/>
      <c r="E114" s="53" t="n"/>
      <c r="F114" s="53" t="n"/>
    </row>
    <row r="115" customFormat="1" s="1916">
      <c r="A115" s="53" t="n"/>
      <c r="B115" s="53" t="n"/>
      <c r="C115" s="2145" t="n"/>
      <c r="D115" s="2145" t="n"/>
      <c r="E115" s="53" t="n"/>
      <c r="F115" s="53" t="n"/>
    </row>
    <row r="116" customFormat="1" s="1916">
      <c r="A116" s="53" t="n"/>
      <c r="B116" s="112" t="n"/>
      <c r="C116" s="2145" t="n"/>
      <c r="D116" s="2145" t="n"/>
      <c r="E116" s="53" t="n"/>
      <c r="F116" s="53" t="n"/>
    </row>
    <row r="117" customFormat="1" s="1916">
      <c r="A117" s="53" t="n"/>
      <c r="B117" s="112" t="n"/>
      <c r="C117" s="2145" t="n"/>
      <c r="D117" s="2145" t="n"/>
      <c r="E117" s="53" t="n"/>
      <c r="F117" s="53" t="n"/>
    </row>
    <row r="118" customFormat="1" s="1916">
      <c r="A118" s="53" t="n"/>
      <c r="B118" s="113" t="n"/>
      <c r="C118" s="2145" t="n"/>
      <c r="D118" s="2145" t="n"/>
      <c r="E118" s="53" t="n"/>
      <c r="F118" s="53" t="n"/>
    </row>
    <row r="119" customFormat="1" s="1916">
      <c r="A119" s="53" t="n"/>
      <c r="B119" s="113" t="n"/>
      <c r="C119" s="2145" t="n"/>
      <c r="D119" s="2145" t="n"/>
      <c r="E119" s="53" t="n"/>
      <c r="F119" s="53" t="n"/>
    </row>
    <row r="120" customFormat="1" s="1916">
      <c r="A120" s="53" t="n"/>
      <c r="B120" s="113" t="n"/>
      <c r="C120" s="2145" t="n"/>
      <c r="D120" s="2145" t="n"/>
      <c r="E120" s="53" t="n"/>
      <c r="F120" s="53" t="n"/>
    </row>
    <row r="121" customFormat="1" s="1916">
      <c r="A121" s="53" t="n"/>
      <c r="B121" s="2189" t="n"/>
      <c r="C121" s="2145" t="n"/>
      <c r="D121" s="2145" t="n"/>
      <c r="E121" s="53" t="n"/>
      <c r="F121" s="53" t="n"/>
    </row>
    <row r="122" customFormat="1" s="1916">
      <c r="A122" s="53" t="n"/>
      <c r="B122" s="112" t="n"/>
      <c r="C122" s="2145" t="n"/>
      <c r="D122" s="2145" t="n"/>
      <c r="E122" s="53" t="n"/>
      <c r="F122" s="53" t="n"/>
    </row>
    <row r="123" customFormat="1" s="1916">
      <c r="A123" s="53" t="n"/>
      <c r="B123" s="112" t="n"/>
      <c r="C123" s="2145" t="n"/>
      <c r="D123" s="2149" t="n"/>
      <c r="E123" s="53" t="n"/>
      <c r="F123" s="53" t="n"/>
    </row>
    <row r="124" customFormat="1" s="1916">
      <c r="A124" s="53" t="n"/>
      <c r="B124" s="113" t="n"/>
      <c r="C124" s="2145" t="n"/>
      <c r="D124" s="2145" t="n"/>
      <c r="E124" s="53" t="n"/>
      <c r="F124" s="53" t="n"/>
      <c r="G124" s="53" t="n"/>
      <c r="I124" s="2154" t="n"/>
    </row>
    <row r="125" customFormat="1" s="1916">
      <c r="A125" s="53" t="n"/>
      <c r="B125" s="53" t="n"/>
      <c r="C125" s="2156" t="n"/>
      <c r="D125" s="2145" t="n"/>
      <c r="E125" s="2145" t="n"/>
      <c r="F125" s="2145" t="n"/>
    </row>
    <row r="126" customFormat="1" s="1916">
      <c r="A126" s="53" t="n"/>
      <c r="B126" s="53" t="n"/>
      <c r="C126" s="2145" t="n"/>
      <c r="D126" s="2145" t="n"/>
      <c r="F126" s="108" t="n"/>
    </row>
    <row r="127" customFormat="1" s="1916">
      <c r="D127" s="2145" t="n"/>
    </row>
    <row r="128" customFormat="1" s="1916"/>
    <row r="129" customFormat="1" s="1916"/>
    <row r="130" customFormat="1" s="1916">
      <c r="A130" s="53" t="n"/>
      <c r="B130" s="53" t="n"/>
      <c r="C130" s="53" t="n"/>
      <c r="D130" s="53" t="n"/>
      <c r="G130" s="53" t="n"/>
      <c r="H130" s="53" t="n"/>
      <c r="I130" s="53" t="n"/>
      <c r="J130" s="2149" t="n"/>
      <c r="K130" s="2149" t="n"/>
      <c r="L130" s="2149" t="n"/>
      <c r="M130" s="53" t="n"/>
      <c r="N130" s="53" t="n"/>
    </row>
    <row r="131" customFormat="1" s="1916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2149" t="n"/>
      <c r="J131" s="2149" t="n"/>
      <c r="K131" s="2149" t="n"/>
      <c r="L131" s="2149" t="n"/>
      <c r="M131" s="53" t="n"/>
      <c r="N131" s="53" t="n"/>
      <c r="O131" s="53" t="n"/>
    </row>
    <row r="132" customFormat="1" s="1916">
      <c r="A132" s="53" t="n"/>
      <c r="B132" s="2155" t="n"/>
      <c r="C132" s="2145" t="n"/>
      <c r="D132" s="2145" t="n"/>
      <c r="E132" s="2156" t="n"/>
      <c r="F132" s="53" t="n"/>
      <c r="G132" s="53" t="n"/>
      <c r="H132" s="2145" t="n"/>
      <c r="I132" s="2190" t="n"/>
      <c r="J132" s="2149" t="n"/>
      <c r="K132" s="2149" t="n"/>
      <c r="L132" s="2149" t="n"/>
      <c r="M132" s="53" t="n"/>
      <c r="N132" s="2145" t="n"/>
      <c r="O132" s="2145" t="n"/>
    </row>
    <row r="133" customFormat="1" s="1916">
      <c r="A133" s="53" t="n"/>
      <c r="B133" s="53" t="n"/>
      <c r="C133" s="2145" t="n"/>
      <c r="D133" s="2145" t="n"/>
      <c r="E133" s="2190" t="n"/>
      <c r="G133" s="53" t="n"/>
      <c r="H133" s="2145" t="n"/>
      <c r="I133" s="2190" t="n"/>
      <c r="J133" s="2149" t="n"/>
      <c r="L133" s="2149" t="n"/>
      <c r="M133" s="53" t="n"/>
      <c r="N133" s="2156" t="n"/>
      <c r="O133" s="2145" t="n"/>
    </row>
    <row r="134" customFormat="1" s="1916">
      <c r="A134" s="53" t="n"/>
      <c r="B134" s="53" t="n"/>
      <c r="C134" s="2145" t="n"/>
      <c r="D134" s="2145" t="n"/>
      <c r="E134" s="53" t="n"/>
      <c r="F134" s="53" t="n"/>
      <c r="L134" s="53" t="n"/>
      <c r="M134" s="53" t="n"/>
      <c r="N134" s="2156" t="n"/>
      <c r="O134" s="2145" t="n"/>
    </row>
    <row r="135" customFormat="1" s="1916">
      <c r="A135" s="53" t="n"/>
      <c r="B135" s="53" t="n"/>
      <c r="C135" s="2145" t="n"/>
      <c r="D135" s="2145" t="n"/>
      <c r="E135" s="53" t="n"/>
      <c r="F135" s="53" t="n"/>
      <c r="L135" s="53" t="n"/>
      <c r="M135" s="2145" t="n"/>
      <c r="N135" s="53" t="n"/>
      <c r="O135" s="2145" t="n"/>
    </row>
    <row r="136" customFormat="1" s="1916">
      <c r="A136" s="53" t="n"/>
      <c r="B136" s="53" t="n"/>
      <c r="C136" s="2145" t="n"/>
      <c r="D136" s="2145" t="n"/>
      <c r="E136" s="53" t="n"/>
      <c r="F136" s="53" t="n"/>
      <c r="L136" s="53" t="n"/>
      <c r="M136" s="53" t="n"/>
      <c r="N136" s="53" t="n"/>
      <c r="O136" s="53" t="n"/>
    </row>
    <row r="137" customFormat="1" s="1916">
      <c r="A137" s="53" t="n"/>
      <c r="B137" s="53" t="n"/>
      <c r="C137" s="2145" t="n"/>
      <c r="D137" s="2145" t="n"/>
      <c r="E137" s="53" t="n"/>
      <c r="F137" s="53" t="n"/>
      <c r="L137" s="53" t="n"/>
      <c r="M137" s="53" t="n"/>
      <c r="N137" s="53" t="n"/>
      <c r="O137" s="53" t="n"/>
    </row>
    <row r="138" customFormat="1" s="1916">
      <c r="A138" s="53" t="n"/>
      <c r="B138" s="53" t="n"/>
      <c r="C138" s="2145" t="n"/>
      <c r="D138" s="2145" t="n"/>
      <c r="E138" s="53" t="n"/>
      <c r="F138" s="53" t="n"/>
      <c r="L138" s="53" t="n"/>
      <c r="M138" s="53" t="n"/>
      <c r="N138" s="53" t="n"/>
      <c r="O138" s="53" t="n"/>
      <c r="P138" s="53" t="n"/>
      <c r="Q138" s="53" t="n"/>
    </row>
    <row r="139" customFormat="1" s="1916">
      <c r="A139" s="53" t="n"/>
      <c r="B139" s="53" t="n"/>
      <c r="C139" s="2145" t="n"/>
      <c r="D139" s="2145" t="n"/>
      <c r="E139" s="53" t="n"/>
      <c r="F139" s="53" t="n"/>
      <c r="L139" s="53" t="n"/>
      <c r="M139" s="53" t="n"/>
      <c r="N139" s="53" t="n"/>
      <c r="O139" s="53" t="n"/>
      <c r="P139" s="2145" t="n"/>
      <c r="Q139" s="2145" t="n"/>
    </row>
    <row r="140" customFormat="1" s="1916">
      <c r="A140" s="53" t="n"/>
      <c r="B140" s="53" t="n"/>
      <c r="C140" s="2145" t="n"/>
      <c r="D140" s="2145" t="n"/>
      <c r="E140" s="53" t="n"/>
      <c r="F140" s="53" t="n"/>
      <c r="L140" s="53" t="n"/>
      <c r="M140" s="53" t="n"/>
      <c r="N140" s="53" t="n"/>
      <c r="O140" s="53" t="n"/>
      <c r="P140" s="2145" t="n"/>
      <c r="Q140" s="2145" t="n"/>
    </row>
    <row r="141" customFormat="1" s="1916">
      <c r="A141" s="53" t="n"/>
      <c r="B141" s="53" t="n"/>
      <c r="C141" s="2145" t="n"/>
      <c r="D141" s="2145" t="n"/>
      <c r="E141" s="53" t="n"/>
      <c r="F141" s="53" t="n"/>
      <c r="L141" s="53" t="n"/>
      <c r="M141" s="53" t="n"/>
      <c r="N141" s="53" t="n"/>
      <c r="O141" s="53" t="n"/>
      <c r="P141" s="2145" t="n"/>
      <c r="Q141" s="2145" t="n"/>
    </row>
    <row r="142" customFormat="1" s="1916">
      <c r="A142" s="103" t="n"/>
      <c r="B142" s="103" t="n"/>
      <c r="C142" s="2147" t="n"/>
      <c r="D142" s="2147" t="n"/>
      <c r="E142" s="53" t="n"/>
      <c r="F142" s="53" t="n"/>
      <c r="O142" s="53" t="n"/>
      <c r="P142" s="2145" t="n"/>
      <c r="Q142" s="2145" t="n"/>
    </row>
    <row r="143" customFormat="1" s="1916">
      <c r="A143" s="103" t="n"/>
      <c r="B143" s="103" t="n"/>
      <c r="C143" s="2147" t="n"/>
      <c r="D143" s="2147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P143" s="53" t="n"/>
      <c r="Q143" s="53" t="n"/>
    </row>
    <row r="144" customFormat="1" s="1916">
      <c r="A144" s="103" t="n"/>
      <c r="B144" s="105" t="n"/>
      <c r="C144" s="2147" t="n"/>
      <c r="D144" s="2147" t="n"/>
      <c r="E144" s="53" t="n"/>
      <c r="F144" s="53" t="n"/>
      <c r="G144" s="53" t="n"/>
      <c r="H144" s="53" t="n"/>
      <c r="I144" s="53" t="n"/>
      <c r="J144" s="106" t="n"/>
      <c r="K144" s="106" t="n"/>
      <c r="L144" s="106" t="n"/>
      <c r="P144" s="53" t="n"/>
      <c r="Q144" s="53" t="n"/>
    </row>
    <row r="145" customFormat="1" s="1916">
      <c r="A145" s="53" t="n"/>
      <c r="B145" s="53" t="n"/>
      <c r="C145" s="2145" t="n"/>
      <c r="D145" s="2145" t="n"/>
      <c r="E145" s="53" t="n"/>
      <c r="F145" s="53" t="n"/>
      <c r="G145" s="2191" t="n"/>
      <c r="H145" s="53" t="n"/>
      <c r="I145" s="53" t="n"/>
      <c r="J145" s="53" t="n"/>
      <c r="K145" s="53" t="n"/>
      <c r="L145" s="53" t="n"/>
      <c r="P145" s="53" t="n"/>
      <c r="Q145" s="53" t="n"/>
    </row>
    <row r="146" customFormat="1" s="1916">
      <c r="A146" s="3" t="n"/>
      <c r="B146" s="2156" t="n"/>
      <c r="C146" s="3" t="n"/>
      <c r="D146" s="2156" t="n"/>
      <c r="G146" s="53" t="n"/>
      <c r="H146" s="108" t="n"/>
      <c r="I146" s="53" t="n"/>
      <c r="J146" s="106" t="n"/>
      <c r="K146" s="106" t="n"/>
      <c r="L146" s="106" t="n"/>
      <c r="P146" s="53" t="n"/>
      <c r="Q146" s="53" t="n"/>
    </row>
    <row r="147" customFormat="1" s="1916">
      <c r="A147" s="53" t="n"/>
      <c r="B147" s="53" t="n"/>
      <c r="C147" s="53" t="n"/>
      <c r="D147" s="53" t="n"/>
      <c r="E147" s="106" t="n"/>
      <c r="G147" s="53" t="n"/>
      <c r="H147" s="53" t="n"/>
      <c r="I147" s="53" t="n"/>
      <c r="J147" s="2145" t="n"/>
      <c r="K147" s="53" t="n"/>
      <c r="L147" s="53" t="n"/>
      <c r="P147" s="53" t="n"/>
      <c r="Q147" s="53" t="n"/>
    </row>
    <row r="148" customFormat="1" s="1916">
      <c r="A148" s="53" t="n"/>
      <c r="B148" s="53" t="n"/>
      <c r="C148" s="2192" t="n"/>
      <c r="D148" s="106" t="n"/>
      <c r="E148" s="106" t="n"/>
      <c r="G148" s="53" t="n"/>
      <c r="H148" s="93" t="n"/>
      <c r="I148" s="2145" t="n"/>
      <c r="J148" s="2145" t="n"/>
      <c r="K148" s="53" t="n"/>
      <c r="L148" s="53" t="n"/>
      <c r="P148" s="53" t="n"/>
      <c r="Q148" s="53" t="n"/>
    </row>
    <row r="149" customFormat="1" s="1916">
      <c r="A149" s="53" t="n"/>
      <c r="B149" s="53" t="n"/>
      <c r="C149" s="53" t="n"/>
      <c r="D149" s="53" t="n"/>
      <c r="E149" s="53" t="n"/>
      <c r="G149" s="53" t="n"/>
      <c r="H149" s="93" t="n"/>
      <c r="I149" s="2145" t="n"/>
      <c r="J149" s="2145" t="n"/>
      <c r="K149" s="53" t="n"/>
      <c r="L149" s="53" t="n"/>
      <c r="P149" s="53" t="n"/>
      <c r="Q149" s="53" t="n"/>
    </row>
    <row r="150" customFormat="1" s="1916">
      <c r="A150" s="53" t="n"/>
      <c r="B150" s="53" t="n"/>
      <c r="C150" s="2192" t="n"/>
      <c r="D150" s="106" t="n"/>
      <c r="E150" s="106" t="n"/>
      <c r="G150" s="53" t="n"/>
      <c r="H150" s="93" t="n"/>
      <c r="I150" s="2145" t="n"/>
      <c r="J150" s="2145" t="n"/>
      <c r="K150" s="53" t="n"/>
      <c r="L150" s="53" t="n"/>
    </row>
    <row r="151" customFormat="1" s="1916">
      <c r="A151" s="111" t="n"/>
      <c r="B151" s="53" t="n"/>
      <c r="C151" s="53" t="n"/>
      <c r="D151" s="53" t="n"/>
      <c r="E151" s="53" t="n"/>
      <c r="G151" s="53" t="n"/>
      <c r="H151" s="93" t="n"/>
      <c r="I151" s="2145" t="n"/>
      <c r="J151" s="2145" t="n"/>
      <c r="K151" s="53" t="n"/>
      <c r="L151" s="53" t="n"/>
    </row>
    <row r="152" customFormat="1" s="1916">
      <c r="A152" s="53" t="n"/>
      <c r="B152" s="53" t="n"/>
      <c r="C152" s="2192" t="n"/>
      <c r="D152" s="106" t="n"/>
      <c r="E152" s="106" t="n"/>
      <c r="G152" s="53" t="n"/>
      <c r="H152" s="93" t="n"/>
      <c r="I152" s="2145" t="n"/>
      <c r="J152" s="2145" t="n"/>
      <c r="K152" s="53" t="n"/>
      <c r="L152" s="53" t="n"/>
    </row>
    <row r="153" customFormat="1" s="1916">
      <c r="A153" s="53" t="n"/>
      <c r="B153" s="53" t="n"/>
      <c r="C153" s="53" t="n"/>
      <c r="D153" s="2157" t="n"/>
      <c r="E153" s="2157" t="n"/>
      <c r="F153" s="53" t="n"/>
      <c r="G153" s="103" t="n"/>
      <c r="H153" s="103" t="n"/>
      <c r="I153" s="2147" t="n"/>
      <c r="J153" s="2147" t="n"/>
    </row>
    <row r="154" customFormat="1" s="1916">
      <c r="A154" s="53" t="n"/>
      <c r="B154" s="53" t="n"/>
      <c r="C154" s="2145" t="n"/>
      <c r="D154" s="2145" t="n"/>
      <c r="E154" s="2145" t="n"/>
      <c r="F154" s="53" t="n"/>
      <c r="G154" s="53" t="n"/>
      <c r="H154" s="53" t="n"/>
    </row>
    <row r="155" customFormat="1" s="1916">
      <c r="A155" s="53" t="n"/>
      <c r="B155" s="53" t="n"/>
      <c r="C155" s="53" t="n"/>
      <c r="D155" s="2145" t="n"/>
      <c r="E155" s="53" t="n"/>
      <c r="F155" s="53" t="n"/>
      <c r="G155" s="53" t="n"/>
      <c r="H155" s="53" t="n"/>
      <c r="K155" s="53" t="n"/>
      <c r="L155" s="53" t="n"/>
    </row>
    <row r="156" customFormat="1" s="1916">
      <c r="A156" s="53" t="n"/>
      <c r="B156" s="93" t="n"/>
      <c r="C156" s="2145" t="n"/>
      <c r="D156" s="2145" t="n"/>
      <c r="E156" s="53" t="n"/>
      <c r="F156" s="53" t="n"/>
      <c r="G156" s="2156" t="n"/>
      <c r="H156" s="93" t="n"/>
      <c r="I156" s="53" t="n"/>
      <c r="J156" s="2145" t="n"/>
      <c r="K156" s="53" t="n"/>
      <c r="L156" s="53" t="n"/>
    </row>
    <row r="157" customFormat="1" s="1916">
      <c r="A157" s="111" t="n"/>
      <c r="B157" s="93" t="n"/>
      <c r="C157" s="2145" t="n"/>
      <c r="D157" s="2145" t="n"/>
      <c r="E157" s="53" t="n"/>
      <c r="F157" s="53" t="n"/>
      <c r="G157" s="53" t="n"/>
      <c r="H157" s="93" t="n"/>
      <c r="I157" s="2145" t="n"/>
      <c r="J157" s="2145" t="n"/>
      <c r="K157" s="53" t="n"/>
      <c r="L157" s="53" t="n"/>
    </row>
    <row r="158" customFormat="1" s="1916">
      <c r="A158" s="53" t="n"/>
      <c r="B158" s="93" t="n"/>
      <c r="C158" s="2145" t="n"/>
      <c r="D158" s="2145" t="n"/>
      <c r="E158" s="53" t="n"/>
      <c r="F158" s="53" t="n"/>
      <c r="G158" s="53" t="n"/>
      <c r="H158" s="93" t="n"/>
      <c r="I158" s="2145" t="n"/>
      <c r="J158" s="2145" t="n"/>
      <c r="K158" s="53" t="n"/>
      <c r="L158" s="53" t="n"/>
    </row>
    <row r="159" customFormat="1" s="1916">
      <c r="A159" s="53" t="n"/>
      <c r="B159" s="93" t="n"/>
      <c r="C159" s="2145" t="n"/>
      <c r="D159" s="2145" t="n"/>
      <c r="E159" s="111" t="n"/>
      <c r="F159" s="53" t="n"/>
      <c r="G159" s="53" t="n"/>
      <c r="H159" s="93" t="n"/>
      <c r="I159" s="2145" t="n"/>
      <c r="J159" s="2145" t="n"/>
      <c r="K159" s="53" t="n"/>
      <c r="L159" s="53" t="n"/>
    </row>
    <row r="160" customFormat="1" s="1916">
      <c r="A160" s="53" t="n"/>
      <c r="B160" s="93" t="n"/>
      <c r="C160" s="2145" t="n"/>
      <c r="D160" s="2145" t="n"/>
      <c r="E160" s="111" t="n"/>
      <c r="F160" s="53" t="n"/>
      <c r="G160" s="53" t="n"/>
      <c r="H160" s="93" t="n"/>
      <c r="I160" s="2145" t="n"/>
      <c r="J160" s="2145" t="n"/>
      <c r="K160" s="53" t="n"/>
      <c r="L160" s="53" t="n"/>
    </row>
    <row r="161" customFormat="1" s="1916">
      <c r="A161" s="53" t="n"/>
      <c r="B161" s="93" t="n"/>
      <c r="C161" s="2145" t="n"/>
      <c r="D161" s="2145" t="n"/>
      <c r="E161" s="53" t="n"/>
      <c r="F161" s="53" t="n"/>
      <c r="G161" s="53" t="n"/>
      <c r="H161" s="93" t="n"/>
      <c r="I161" s="2145" t="n"/>
      <c r="J161" s="2145" t="n"/>
      <c r="K161" s="53" t="n"/>
      <c r="L161" s="53" t="n"/>
    </row>
    <row r="162" customFormat="1" s="1916">
      <c r="A162" s="53" t="n"/>
      <c r="B162" s="93" t="n"/>
      <c r="C162" s="2145" t="n"/>
      <c r="D162" s="2145" t="n"/>
      <c r="E162" s="53" t="n"/>
      <c r="F162" s="53" t="n"/>
      <c r="G162" s="53" t="n"/>
      <c r="H162" s="93" t="n"/>
      <c r="I162" s="2145" t="n"/>
      <c r="J162" s="2145" t="n"/>
      <c r="K162" s="53" t="n"/>
      <c r="L162" s="53" t="n"/>
    </row>
    <row r="163" customFormat="1" s="1916">
      <c r="A163" s="53" t="n"/>
      <c r="B163" s="93" t="n"/>
      <c r="C163" s="2145" t="n"/>
      <c r="D163" s="2145" t="n"/>
      <c r="E163" s="53" t="n"/>
      <c r="F163" s="53" t="n"/>
      <c r="G163" s="53" t="n"/>
      <c r="H163" s="93" t="n"/>
      <c r="I163" s="2145" t="n"/>
      <c r="J163" s="2145" t="n"/>
      <c r="K163" s="53" t="n"/>
      <c r="L163" s="53" t="n"/>
    </row>
    <row r="164" customFormat="1" s="1916">
      <c r="A164" s="53" t="n"/>
      <c r="B164" s="93" t="n"/>
      <c r="C164" s="2145" t="n"/>
      <c r="D164" s="2145" t="n"/>
      <c r="E164" s="53" t="n"/>
      <c r="F164" s="53" t="n"/>
      <c r="G164" s="53" t="n"/>
      <c r="H164" s="93" t="n"/>
      <c r="I164" s="2145" t="n"/>
      <c r="J164" s="2145" t="n"/>
      <c r="K164" s="53" t="n"/>
      <c r="L164" s="53" t="n"/>
    </row>
    <row r="165" customFormat="1" s="1916">
      <c r="A165" s="103" t="n"/>
      <c r="B165" s="103" t="n"/>
      <c r="C165" s="2147" t="n"/>
      <c r="D165" s="2147" t="n"/>
      <c r="E165" s="53" t="n"/>
      <c r="F165" s="53" t="n"/>
      <c r="G165" s="103" t="n"/>
      <c r="H165" s="103" t="n"/>
      <c r="I165" s="2147" t="n"/>
      <c r="J165" s="2147" t="n"/>
      <c r="K165" s="53" t="n"/>
      <c r="L165" s="53" t="n"/>
    </row>
    <row r="166" customFormat="1" s="1916">
      <c r="A166" s="53" t="n"/>
      <c r="B166" s="53" t="n"/>
      <c r="C166" s="2145" t="n"/>
      <c r="D166" s="2145" t="n"/>
      <c r="E166" s="53" t="n"/>
      <c r="F166" s="53" t="n"/>
      <c r="G166" s="53" t="n"/>
      <c r="H166" s="53" t="n"/>
      <c r="I166" s="53" t="n"/>
      <c r="K166" s="106" t="n"/>
      <c r="L166" s="106" t="n"/>
    </row>
    <row r="167" customFormat="1" s="1916">
      <c r="A167" s="53" t="n"/>
      <c r="B167" s="53" t="n"/>
      <c r="C167" s="2145" t="n"/>
      <c r="D167" s="2145" t="n"/>
      <c r="E167" s="53" t="n"/>
      <c r="F167" s="53" t="n"/>
    </row>
    <row r="168" customFormat="1" s="1916">
      <c r="A168" s="53" t="n"/>
      <c r="B168" s="53" t="n"/>
      <c r="C168" s="2145" t="n"/>
      <c r="D168" s="2147" t="n"/>
      <c r="E168" s="53" t="n"/>
      <c r="F168" s="53" t="n"/>
    </row>
    <row r="169" customFormat="1" s="1916">
      <c r="A169" s="53" t="n"/>
      <c r="B169" s="53" t="n"/>
      <c r="C169" s="2145" t="n"/>
      <c r="D169" s="2145" t="n"/>
      <c r="E169" s="53" t="n"/>
      <c r="F169" s="53" t="n"/>
    </row>
    <row r="170" customFormat="1" s="1916">
      <c r="A170" s="53" t="n"/>
      <c r="B170" s="53" t="n"/>
      <c r="C170" s="2145" t="n"/>
      <c r="D170" s="2145" t="n"/>
      <c r="E170" s="53" t="n"/>
      <c r="F170" s="53" t="n"/>
    </row>
    <row r="171" customFormat="1" s="1916">
      <c r="A171" s="53" t="n"/>
      <c r="B171" s="112" t="n"/>
      <c r="C171" s="2145" t="n"/>
      <c r="D171" s="2145" t="n"/>
      <c r="E171" s="53" t="n"/>
      <c r="F171" s="53" t="n"/>
    </row>
    <row r="172" customFormat="1" s="1916">
      <c r="A172" s="53" t="n"/>
      <c r="B172" s="112" t="n"/>
      <c r="C172" s="2145" t="n"/>
      <c r="D172" s="2145" t="n"/>
      <c r="E172" s="53" t="n"/>
      <c r="F172" s="53" t="n"/>
    </row>
    <row r="173" customFormat="1" s="1916">
      <c r="A173" s="53" t="n"/>
      <c r="B173" s="113" t="n"/>
      <c r="C173" s="2145" t="n"/>
      <c r="D173" s="2145" t="n"/>
      <c r="E173" s="53" t="n"/>
      <c r="F173" s="53" t="n"/>
    </row>
    <row r="174" customFormat="1" s="1916">
      <c r="A174" s="53" t="n"/>
      <c r="B174" s="113" t="n"/>
      <c r="C174" s="2145" t="n"/>
      <c r="D174" s="2145" t="n"/>
      <c r="E174" s="53" t="n"/>
      <c r="F174" s="53" t="n"/>
    </row>
    <row r="175" customFormat="1" s="1916">
      <c r="A175" s="53" t="n"/>
      <c r="B175" s="113" t="n"/>
      <c r="C175" s="2145" t="n"/>
      <c r="D175" s="2145" t="n"/>
      <c r="E175" s="53" t="n"/>
      <c r="F175" s="53" t="n"/>
    </row>
    <row r="176" customFormat="1" s="1916">
      <c r="A176" s="53" t="n"/>
      <c r="B176" s="113" t="n"/>
      <c r="C176" s="2145" t="n"/>
      <c r="D176" s="2145" t="n"/>
      <c r="E176" s="53" t="n"/>
      <c r="F176" s="53" t="n"/>
    </row>
    <row r="177" customFormat="1" s="1916">
      <c r="A177" s="53" t="n"/>
      <c r="B177" s="112" t="n"/>
      <c r="C177" s="2145" t="n"/>
      <c r="D177" s="2145" t="n"/>
      <c r="E177" s="53" t="n"/>
      <c r="F177" s="53" t="n"/>
    </row>
    <row r="178" customFormat="1" s="1916">
      <c r="A178" s="53" t="n"/>
      <c r="B178" s="112" t="n"/>
      <c r="C178" s="2145" t="n"/>
      <c r="D178" s="2145" t="n"/>
      <c r="E178" s="53" t="n"/>
      <c r="F178" s="53" t="n"/>
    </row>
    <row r="179" customFormat="1" s="1916">
      <c r="A179" s="53" t="n"/>
      <c r="B179" s="112" t="n"/>
      <c r="C179" s="2145" t="n"/>
      <c r="D179" s="2149" t="n"/>
      <c r="E179" s="53" t="n"/>
      <c r="F179" s="53" t="n"/>
    </row>
    <row r="180" customFormat="1" s="1916">
      <c r="A180" s="53" t="n"/>
      <c r="B180" s="113" t="n"/>
      <c r="C180" s="2145" t="n"/>
      <c r="D180" s="2145" t="n"/>
      <c r="E180" s="53" t="n"/>
      <c r="F180" s="53" t="n"/>
      <c r="G180" s="53" t="n"/>
      <c r="I180" s="2154" t="n"/>
    </row>
    <row r="181" customFormat="1" s="1916">
      <c r="A181" s="53" t="n"/>
      <c r="B181" s="53" t="n"/>
      <c r="C181" s="2145" t="n"/>
      <c r="D181" s="2145" t="n"/>
      <c r="E181" s="2145" t="n"/>
      <c r="F181" s="2145" t="n"/>
    </row>
    <row r="182" customFormat="1" s="1916">
      <c r="A182" s="53" t="n"/>
      <c r="B182" s="53" t="n"/>
      <c r="C182" s="2145" t="n"/>
      <c r="D182" s="2145" t="n"/>
      <c r="F182" s="108" t="n"/>
    </row>
    <row r="183" customFormat="1" s="1916">
      <c r="A183" s="103" t="n"/>
      <c r="B183" s="103" t="n"/>
      <c r="C183" s="2147" t="n"/>
      <c r="D183" s="2145" t="n"/>
      <c r="F183" s="53" t="n"/>
    </row>
    <row r="184" customFormat="1" s="1916">
      <c r="A184" s="103" t="n"/>
      <c r="B184" s="103" t="n"/>
      <c r="C184" s="2147" t="n"/>
      <c r="D184" s="2147" t="n"/>
      <c r="E184" s="53" t="n"/>
      <c r="F184" s="53" t="n"/>
    </row>
    <row r="185" customFormat="1" s="1916"/>
    <row r="186" customFormat="1" s="1916">
      <c r="A186" s="53" t="n"/>
      <c r="B186" s="53" t="n"/>
      <c r="C186" s="53" t="n"/>
      <c r="D186" s="53" t="n"/>
      <c r="G186" s="53" t="n"/>
      <c r="H186" s="53" t="n"/>
      <c r="I186" s="53" t="n"/>
      <c r="J186" s="2149" t="n"/>
      <c r="K186" s="2149" t="n"/>
      <c r="L186" s="2149" t="n"/>
      <c r="M186" s="53" t="n"/>
      <c r="N186" s="53" t="n"/>
    </row>
    <row r="187" customFormat="1" s="1916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2149" t="n"/>
      <c r="J187" s="2149" t="n"/>
      <c r="K187" s="2149" t="n"/>
      <c r="L187" s="2149" t="n"/>
      <c r="M187" s="53" t="n"/>
      <c r="N187" s="53" t="n"/>
      <c r="O187" s="53" t="n"/>
    </row>
    <row r="188" customFormat="1" s="1916">
      <c r="A188" s="53" t="n"/>
      <c r="B188" s="2155" t="n"/>
      <c r="C188" s="2145" t="n"/>
      <c r="D188" s="2145" t="n"/>
      <c r="E188" s="2156" t="n"/>
      <c r="F188" s="53" t="n"/>
      <c r="G188" s="53" t="n"/>
      <c r="H188" s="2145" t="n"/>
      <c r="I188" s="2190" t="n"/>
      <c r="J188" s="2149" t="n"/>
      <c r="K188" s="2149" t="n"/>
      <c r="L188" s="2149" t="n"/>
      <c r="M188" s="53" t="n"/>
      <c r="N188" s="2145" t="n"/>
      <c r="O188" s="2145" t="n"/>
    </row>
    <row r="189" customFormat="1" s="1916">
      <c r="A189" s="53" t="n"/>
      <c r="B189" s="53" t="n"/>
      <c r="C189" s="2145" t="n"/>
      <c r="D189" s="2145" t="n"/>
      <c r="E189" s="2190" t="n"/>
      <c r="G189" s="53" t="n"/>
      <c r="H189" s="2145" t="n"/>
      <c r="I189" s="2190" t="n"/>
      <c r="J189" s="2149" t="n"/>
      <c r="L189" s="2149" t="n"/>
      <c r="M189" s="53" t="n"/>
      <c r="N189" s="2156" t="n"/>
      <c r="O189" s="2145" t="n"/>
    </row>
    <row r="190" customFormat="1" s="1916">
      <c r="A190" s="53" t="n"/>
      <c r="B190" s="53" t="n"/>
      <c r="C190" s="2145" t="n"/>
      <c r="D190" s="2145" t="n"/>
      <c r="E190" s="53" t="n"/>
      <c r="F190" s="53" t="n"/>
      <c r="L190" s="53" t="n"/>
      <c r="M190" s="53" t="n"/>
      <c r="N190" s="2156" t="n"/>
      <c r="O190" s="2145" t="n"/>
    </row>
    <row r="191" customFormat="1" s="1916">
      <c r="A191" s="53" t="n"/>
      <c r="B191" s="53" t="n"/>
      <c r="C191" s="2145" t="n"/>
      <c r="D191" s="2145" t="n"/>
      <c r="E191" s="53" t="n"/>
      <c r="F191" s="53" t="n"/>
      <c r="L191" s="53" t="n"/>
      <c r="M191" s="2145" t="n"/>
      <c r="N191" s="53" t="n"/>
      <c r="O191" s="2145" t="n"/>
    </row>
    <row r="192" customFormat="1" s="1916">
      <c r="A192" s="53" t="n"/>
      <c r="B192" s="53" t="n"/>
      <c r="C192" s="2145" t="n"/>
      <c r="D192" s="2145" t="n"/>
      <c r="E192" s="53" t="n"/>
      <c r="F192" s="53" t="n"/>
      <c r="L192" s="53" t="n"/>
      <c r="M192" s="53" t="n"/>
      <c r="N192" s="53" t="n"/>
      <c r="O192" s="53" t="n"/>
    </row>
    <row r="193" customFormat="1" s="1916">
      <c r="A193" s="53" t="n"/>
      <c r="B193" s="53" t="n"/>
      <c r="C193" s="2145" t="n"/>
      <c r="D193" s="2145" t="n"/>
      <c r="E193" s="53" t="n"/>
      <c r="F193" s="53" t="n"/>
      <c r="L193" s="53" t="n"/>
      <c r="M193" s="53" t="n"/>
      <c r="N193" s="53" t="n"/>
      <c r="O193" s="53" t="n"/>
    </row>
    <row r="194" customFormat="1" s="1916">
      <c r="A194" s="53" t="n"/>
      <c r="B194" s="53" t="n"/>
      <c r="C194" s="2145" t="n"/>
      <c r="D194" s="2145" t="n"/>
      <c r="E194" s="53" t="n"/>
      <c r="F194" s="53" t="n"/>
      <c r="L194" s="53" t="n"/>
      <c r="M194" s="53" t="n"/>
      <c r="N194" s="53" t="n"/>
      <c r="O194" s="53" t="n"/>
      <c r="P194" s="53" t="n"/>
      <c r="Q194" s="53" t="n"/>
    </row>
    <row r="195" customFormat="1" s="1916">
      <c r="A195" s="53" t="n"/>
      <c r="B195" s="53" t="n"/>
      <c r="C195" s="2145" t="n"/>
      <c r="D195" s="2145" t="n"/>
      <c r="E195" s="53" t="n"/>
      <c r="F195" s="53" t="n"/>
      <c r="L195" s="53" t="n"/>
      <c r="M195" s="53" t="n"/>
      <c r="N195" s="53" t="n"/>
      <c r="O195" s="53" t="n"/>
      <c r="P195" s="2145" t="n"/>
      <c r="Q195" s="2145" t="n"/>
    </row>
    <row r="196" customFormat="1" s="1916">
      <c r="A196" s="53" t="n"/>
      <c r="B196" s="53" t="n"/>
      <c r="C196" s="2145" t="n"/>
      <c r="D196" s="2145" t="n"/>
      <c r="E196" s="53" t="n"/>
      <c r="F196" s="53" t="n"/>
      <c r="L196" s="53" t="n"/>
      <c r="M196" s="53" t="n"/>
      <c r="N196" s="53" t="n"/>
      <c r="O196" s="53" t="n"/>
      <c r="P196" s="2145" t="n"/>
      <c r="Q196" s="2145" t="n"/>
    </row>
    <row r="197" customFormat="1" s="1916">
      <c r="A197" s="53" t="n"/>
      <c r="B197" s="53" t="n"/>
      <c r="C197" s="2145" t="n"/>
      <c r="D197" s="2145" t="n"/>
      <c r="E197" s="53" t="n"/>
      <c r="F197" s="53" t="n"/>
      <c r="L197" s="53" t="n"/>
      <c r="M197" s="53" t="n"/>
      <c r="N197" s="53" t="n"/>
      <c r="O197" s="53" t="n"/>
      <c r="P197" s="2145" t="n"/>
      <c r="Q197" s="2145" t="n"/>
    </row>
    <row r="198" customFormat="1" s="1916">
      <c r="A198" s="103" t="n"/>
      <c r="B198" s="103" t="n"/>
      <c r="C198" s="2147" t="n"/>
      <c r="D198" s="2147" t="n"/>
      <c r="E198" s="53" t="n"/>
      <c r="F198" s="53" t="n"/>
      <c r="O198" s="53" t="n"/>
      <c r="P198" s="2145" t="n"/>
      <c r="Q198" s="2145" t="n"/>
    </row>
    <row r="199" customFormat="1" s="1916">
      <c r="A199" s="103" t="n"/>
      <c r="B199" s="103" t="n"/>
      <c r="C199" s="2147" t="n"/>
      <c r="D199" s="2147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P199" s="53" t="n"/>
      <c r="Q199" s="53" t="n"/>
    </row>
    <row r="200" customFormat="1" s="1916">
      <c r="A200" s="103" t="n"/>
      <c r="B200" s="105" t="n"/>
      <c r="C200" s="2147" t="n"/>
      <c r="D200" s="2147" t="n"/>
      <c r="E200" s="53" t="n"/>
      <c r="F200" s="53" t="n"/>
      <c r="G200" s="53" t="n"/>
      <c r="H200" s="53" t="n"/>
      <c r="I200" s="53" t="n"/>
      <c r="J200" s="106" t="n"/>
      <c r="K200" s="106" t="n"/>
      <c r="L200" s="106" t="n"/>
      <c r="P200" s="53" t="n"/>
      <c r="Q200" s="53" t="n"/>
    </row>
    <row r="201" customFormat="1" s="1916">
      <c r="A201" s="53" t="n"/>
      <c r="B201" s="53" t="n"/>
      <c r="C201" s="2145" t="n"/>
      <c r="D201" s="2145" t="n"/>
      <c r="E201" s="53" t="n"/>
      <c r="F201" s="53" t="n"/>
      <c r="G201" s="2191" t="n"/>
      <c r="H201" s="53" t="n"/>
      <c r="I201" s="53" t="n"/>
      <c r="J201" s="53" t="n"/>
      <c r="K201" s="53" t="n"/>
      <c r="L201" s="53" t="n"/>
      <c r="P201" s="53" t="n"/>
      <c r="Q201" s="53" t="n"/>
    </row>
    <row r="202" customFormat="1" s="1916">
      <c r="A202" s="3" t="n"/>
      <c r="B202" s="2156" t="n"/>
      <c r="C202" s="3" t="n"/>
      <c r="D202" s="2156" t="n"/>
      <c r="G202" s="53" t="n"/>
      <c r="H202" s="108" t="n"/>
      <c r="I202" s="53" t="n"/>
      <c r="J202" s="106" t="n"/>
      <c r="K202" s="106" t="n"/>
      <c r="L202" s="106" t="n"/>
      <c r="P202" s="53" t="n"/>
      <c r="Q202" s="53" t="n"/>
    </row>
    <row r="203" customFormat="1" s="1916">
      <c r="A203" s="53" t="n"/>
      <c r="B203" s="53" t="n"/>
      <c r="C203" s="53" t="n"/>
      <c r="D203" s="53" t="n"/>
      <c r="E203" s="106" t="n"/>
      <c r="G203" s="53" t="n"/>
      <c r="H203" s="53" t="n"/>
      <c r="I203" s="53" t="n"/>
      <c r="J203" s="2145" t="n"/>
      <c r="K203" s="53" t="n"/>
      <c r="L203" s="53" t="n"/>
      <c r="P203" s="53" t="n"/>
      <c r="Q203" s="53" t="n"/>
    </row>
    <row r="204" customFormat="1" s="1916">
      <c r="A204" s="53" t="n"/>
      <c r="B204" s="53" t="n"/>
      <c r="C204" s="2192" t="n"/>
      <c r="D204" s="106" t="n"/>
      <c r="E204" s="106" t="n"/>
      <c r="G204" s="53" t="n"/>
      <c r="H204" s="93" t="n"/>
      <c r="I204" s="2145" t="n"/>
      <c r="J204" s="2145" t="n"/>
      <c r="K204" s="53" t="n"/>
      <c r="L204" s="53" t="n"/>
      <c r="P204" s="53" t="n"/>
      <c r="Q204" s="53" t="n"/>
    </row>
    <row r="205" customFormat="1" s="1916">
      <c r="A205" s="53" t="n"/>
      <c r="B205" s="53" t="n"/>
      <c r="C205" s="53" t="n"/>
      <c r="D205" s="53" t="n"/>
      <c r="E205" s="53" t="n"/>
      <c r="G205" s="53" t="n"/>
      <c r="H205" s="93" t="n"/>
      <c r="I205" s="2145" t="n"/>
      <c r="J205" s="2145" t="n"/>
      <c r="K205" s="53" t="n"/>
      <c r="L205" s="53" t="n"/>
      <c r="P205" s="53" t="n"/>
      <c r="Q205" s="53" t="n"/>
    </row>
    <row r="206" customFormat="1" s="1916">
      <c r="A206" s="53" t="n"/>
      <c r="B206" s="53" t="n"/>
      <c r="C206" s="2192" t="n"/>
      <c r="D206" s="106" t="n"/>
      <c r="E206" s="106" t="n"/>
      <c r="G206" s="53" t="n"/>
      <c r="H206" s="93" t="n"/>
      <c r="I206" s="2145" t="n"/>
      <c r="J206" s="2145" t="n"/>
      <c r="K206" s="53" t="n"/>
      <c r="L206" s="53" t="n"/>
    </row>
    <row r="207" customFormat="1" s="1916">
      <c r="A207" s="111" t="n"/>
      <c r="B207" s="53" t="n"/>
      <c r="C207" s="53" t="n"/>
      <c r="D207" s="53" t="n"/>
      <c r="E207" s="53" t="n"/>
      <c r="G207" s="53" t="n"/>
      <c r="H207" s="93" t="n"/>
      <c r="I207" s="2145" t="n"/>
      <c r="J207" s="2145" t="n"/>
      <c r="K207" s="53" t="n"/>
      <c r="L207" s="53" t="n"/>
    </row>
    <row r="208" customFormat="1" s="1916">
      <c r="A208" s="53" t="n"/>
      <c r="B208" s="53" t="n"/>
      <c r="C208" s="2192" t="n"/>
      <c r="D208" s="106" t="n"/>
      <c r="E208" s="106" t="n"/>
      <c r="G208" s="53" t="n"/>
      <c r="H208" s="93" t="n"/>
      <c r="I208" s="2145" t="n"/>
      <c r="J208" s="2145" t="n"/>
      <c r="K208" s="53" t="n"/>
      <c r="L208" s="53" t="n"/>
    </row>
    <row r="209" customFormat="1" s="1916">
      <c r="A209" s="53" t="n"/>
      <c r="B209" s="53" t="n"/>
      <c r="C209" s="53" t="n"/>
      <c r="D209" s="2157" t="n"/>
      <c r="E209" s="2157" t="n"/>
      <c r="F209" s="53" t="n"/>
      <c r="G209" s="103" t="n"/>
      <c r="H209" s="103" t="n"/>
      <c r="I209" s="2147" t="n"/>
      <c r="J209" s="2147" t="n"/>
    </row>
    <row r="210" customFormat="1" s="1916">
      <c r="A210" s="53" t="n"/>
      <c r="B210" s="53" t="n"/>
      <c r="C210" s="2145" t="n"/>
      <c r="D210" s="2145" t="n"/>
      <c r="E210" s="2145" t="n"/>
      <c r="F210" s="53" t="n"/>
      <c r="G210" s="53" t="n"/>
      <c r="H210" s="53" t="n"/>
    </row>
    <row r="211" customFormat="1" s="1916">
      <c r="A211" s="53" t="n"/>
      <c r="B211" s="53" t="n"/>
      <c r="C211" s="53" t="n"/>
      <c r="D211" s="2145" t="n"/>
      <c r="E211" s="53" t="n"/>
      <c r="F211" s="53" t="n"/>
      <c r="G211" s="53" t="n"/>
      <c r="H211" s="53" t="n"/>
      <c r="K211" s="53" t="n"/>
      <c r="L211" s="53" t="n"/>
    </row>
    <row r="212" customFormat="1" s="1916">
      <c r="A212" s="53" t="n"/>
      <c r="B212" s="93" t="n"/>
      <c r="C212" s="2145" t="n"/>
      <c r="D212" s="2145" t="n"/>
      <c r="E212" s="53" t="n"/>
      <c r="F212" s="53" t="n"/>
      <c r="G212" s="2156" t="n"/>
      <c r="H212" s="93" t="n"/>
      <c r="I212" s="53" t="n"/>
      <c r="J212" s="2145" t="n"/>
      <c r="K212" s="53" t="n"/>
      <c r="L212" s="53" t="n"/>
    </row>
    <row r="213" customFormat="1" s="1916">
      <c r="A213" s="111" t="n"/>
      <c r="B213" s="93" t="n"/>
      <c r="C213" s="2145" t="n"/>
      <c r="D213" s="2145" t="n"/>
      <c r="E213" s="53" t="n"/>
      <c r="F213" s="53" t="n"/>
      <c r="G213" s="53" t="n"/>
      <c r="H213" s="93" t="n"/>
      <c r="I213" s="2145" t="n"/>
      <c r="J213" s="2145" t="n"/>
      <c r="K213" s="53" t="n"/>
      <c r="L213" s="53" t="n"/>
    </row>
    <row r="214" customFormat="1" s="1916">
      <c r="A214" s="53" t="n"/>
      <c r="B214" s="93" t="n"/>
      <c r="C214" s="2145" t="n"/>
      <c r="D214" s="2145" t="n"/>
      <c r="E214" s="53" t="n"/>
      <c r="F214" s="53" t="n"/>
      <c r="G214" s="53" t="n"/>
      <c r="H214" s="93" t="n"/>
      <c r="I214" s="2145" t="n"/>
      <c r="J214" s="2145" t="n"/>
      <c r="K214" s="53" t="n"/>
      <c r="L214" s="53" t="n"/>
    </row>
    <row r="215" customFormat="1" s="1916">
      <c r="A215" s="53" t="n"/>
      <c r="B215" s="93" t="n"/>
      <c r="C215" s="2145" t="n"/>
      <c r="D215" s="2145" t="n"/>
      <c r="E215" s="111" t="n"/>
      <c r="F215" s="53" t="n"/>
      <c r="G215" s="53" t="n"/>
      <c r="H215" s="93" t="n"/>
      <c r="I215" s="2145" t="n"/>
      <c r="J215" s="2145" t="n"/>
      <c r="K215" s="53" t="n"/>
      <c r="L215" s="53" t="n"/>
    </row>
    <row r="216" customFormat="1" s="1916">
      <c r="A216" s="53" t="n"/>
      <c r="B216" s="93" t="n"/>
      <c r="C216" s="2145" t="n"/>
      <c r="D216" s="2145" t="n"/>
      <c r="E216" s="111" t="n"/>
      <c r="F216" s="53" t="n"/>
      <c r="G216" s="53" t="n"/>
      <c r="H216" s="93" t="n"/>
      <c r="I216" s="2145" t="n"/>
      <c r="J216" s="2145" t="n"/>
      <c r="K216" s="53" t="n"/>
      <c r="L216" s="53" t="n"/>
    </row>
    <row r="217" customFormat="1" s="1916">
      <c r="A217" s="53" t="n"/>
      <c r="B217" s="93" t="n"/>
      <c r="C217" s="2145" t="n"/>
      <c r="D217" s="2145" t="n"/>
      <c r="E217" s="53" t="n"/>
      <c r="F217" s="53" t="n"/>
      <c r="G217" s="53" t="n"/>
      <c r="H217" s="93" t="n"/>
      <c r="I217" s="2145" t="n"/>
      <c r="J217" s="2145" t="n"/>
      <c r="K217" s="53" t="n"/>
      <c r="L217" s="53" t="n"/>
    </row>
    <row r="218" customFormat="1" s="1916">
      <c r="A218" s="53" t="n"/>
      <c r="B218" s="93" t="n"/>
      <c r="C218" s="2145" t="n"/>
      <c r="D218" s="2145" t="n"/>
      <c r="E218" s="53" t="n"/>
      <c r="F218" s="53" t="n"/>
      <c r="G218" s="53" t="n"/>
      <c r="H218" s="93" t="n"/>
      <c r="I218" s="2145" t="n"/>
      <c r="J218" s="2145" t="n"/>
      <c r="K218" s="53" t="n"/>
      <c r="L218" s="53" t="n"/>
    </row>
    <row r="219" customFormat="1" s="1916">
      <c r="A219" s="53" t="n"/>
      <c r="B219" s="93" t="n"/>
      <c r="C219" s="2145" t="n"/>
      <c r="D219" s="2145" t="n"/>
      <c r="E219" s="53" t="n"/>
      <c r="F219" s="53" t="n"/>
      <c r="G219" s="53" t="n"/>
      <c r="H219" s="93" t="n"/>
      <c r="I219" s="2145" t="n"/>
      <c r="J219" s="2145" t="n"/>
      <c r="K219" s="53" t="n"/>
      <c r="L219" s="53" t="n"/>
    </row>
    <row r="220" customFormat="1" s="1916">
      <c r="A220" s="53" t="n"/>
      <c r="B220" s="93" t="n"/>
      <c r="C220" s="2145" t="n"/>
      <c r="D220" s="2145" t="n"/>
      <c r="E220" s="53" t="n"/>
      <c r="F220" s="53" t="n"/>
      <c r="G220" s="53" t="n"/>
      <c r="H220" s="93" t="n"/>
      <c r="I220" s="2145" t="n"/>
      <c r="J220" s="2145" t="n"/>
      <c r="K220" s="53" t="n"/>
      <c r="L220" s="53" t="n"/>
    </row>
    <row r="221" customFormat="1" s="1916">
      <c r="A221" s="103" t="n"/>
      <c r="B221" s="103" t="n"/>
      <c r="C221" s="2147" t="n"/>
      <c r="D221" s="2147" t="n"/>
      <c r="E221" s="53" t="n"/>
      <c r="F221" s="53" t="n"/>
      <c r="G221" s="103" t="n"/>
      <c r="H221" s="103" t="n"/>
      <c r="I221" s="2147" t="n"/>
      <c r="J221" s="2147" t="n"/>
      <c r="K221" s="53" t="n"/>
      <c r="L221" s="53" t="n"/>
    </row>
    <row r="222" customFormat="1" s="1916">
      <c r="A222" s="53" t="n"/>
      <c r="B222" s="53" t="n"/>
      <c r="C222" s="2145" t="n"/>
      <c r="D222" s="2145" t="n"/>
      <c r="E222" s="53" t="n"/>
      <c r="F222" s="53" t="n"/>
      <c r="G222" s="53" t="n"/>
      <c r="H222" s="53" t="n"/>
      <c r="I222" s="53" t="n"/>
      <c r="K222" s="106" t="n"/>
      <c r="L222" s="106" t="n"/>
    </row>
    <row r="223" customFormat="1" s="1916">
      <c r="A223" s="53" t="n"/>
      <c r="B223" s="53" t="n"/>
      <c r="C223" s="2145" t="n"/>
      <c r="D223" s="2145" t="n"/>
      <c r="E223" s="53" t="n"/>
      <c r="F223" s="53" t="n"/>
    </row>
    <row r="224" customFormat="1" s="1916">
      <c r="A224" s="53" t="n"/>
      <c r="B224" s="53" t="n"/>
      <c r="C224" s="2145" t="n"/>
      <c r="D224" s="2147" t="n"/>
      <c r="E224" s="53" t="n"/>
      <c r="F224" s="53" t="n"/>
    </row>
    <row r="225" customFormat="1" s="1916">
      <c r="A225" s="53" t="n"/>
      <c r="B225" s="53" t="n"/>
      <c r="C225" s="2145" t="n"/>
      <c r="D225" s="2145" t="n"/>
      <c r="E225" s="53" t="n"/>
      <c r="F225" s="53" t="n"/>
    </row>
    <row r="226" customFormat="1" s="1916">
      <c r="A226" s="53" t="n"/>
      <c r="B226" s="53" t="n"/>
      <c r="C226" s="2145" t="n"/>
      <c r="D226" s="2145" t="n"/>
      <c r="E226" s="53" t="n"/>
      <c r="F226" s="53" t="n"/>
    </row>
    <row r="227" customFormat="1" s="1916">
      <c r="A227" s="53" t="n"/>
      <c r="B227" s="112" t="n"/>
      <c r="C227" s="2145" t="n"/>
      <c r="D227" s="2145" t="n"/>
      <c r="E227" s="53" t="n"/>
      <c r="F227" s="53" t="n"/>
    </row>
    <row r="228" customFormat="1" s="1916">
      <c r="A228" s="53" t="n"/>
      <c r="B228" s="112" t="n"/>
      <c r="C228" s="2145" t="n"/>
      <c r="D228" s="2145" t="n"/>
      <c r="E228" s="53" t="n"/>
      <c r="F228" s="53" t="n"/>
    </row>
    <row r="229" customFormat="1" s="1916">
      <c r="A229" s="53" t="n"/>
      <c r="B229" s="113" t="n"/>
      <c r="C229" s="2145" t="n"/>
      <c r="D229" s="2145" t="n"/>
      <c r="E229" s="53" t="n"/>
      <c r="F229" s="53" t="n"/>
    </row>
    <row r="230" customFormat="1" s="1916">
      <c r="A230" s="53" t="n"/>
      <c r="B230" s="113" t="n"/>
      <c r="C230" s="2145" t="n"/>
      <c r="D230" s="2145" t="n"/>
      <c r="E230" s="53" t="n"/>
      <c r="F230" s="53" t="n"/>
    </row>
    <row r="231" customFormat="1" s="1916">
      <c r="A231" s="53" t="n"/>
      <c r="B231" s="113" t="n"/>
      <c r="C231" s="2145" t="n"/>
      <c r="D231" s="2145" t="n"/>
      <c r="E231" s="53" t="n"/>
      <c r="F231" s="53" t="n"/>
    </row>
    <row r="232" customFormat="1" s="1916">
      <c r="A232" s="53" t="n"/>
      <c r="B232" s="113" t="n"/>
      <c r="C232" s="2145" t="n"/>
      <c r="D232" s="2145" t="n"/>
      <c r="E232" s="53" t="n"/>
      <c r="F232" s="53" t="n"/>
    </row>
    <row r="233" customFormat="1" s="1916">
      <c r="A233" s="53" t="n"/>
      <c r="B233" s="112" t="n"/>
      <c r="C233" s="2145" t="n"/>
      <c r="D233" s="2145" t="n"/>
      <c r="E233" s="53" t="n"/>
      <c r="F233" s="53" t="n"/>
    </row>
    <row r="234" customFormat="1" s="1916">
      <c r="A234" s="53" t="n"/>
      <c r="B234" s="112" t="n"/>
      <c r="C234" s="2145" t="n"/>
      <c r="D234" s="2145" t="n"/>
      <c r="E234" s="53" t="n"/>
      <c r="F234" s="53" t="n"/>
    </row>
    <row r="235" customFormat="1" s="1916">
      <c r="A235" s="53" t="n"/>
      <c r="B235" s="112" t="n"/>
      <c r="C235" s="2145" t="n"/>
      <c r="D235" s="2149" t="n"/>
      <c r="E235" s="53" t="n"/>
      <c r="F235" s="53" t="n"/>
    </row>
    <row r="236" customFormat="1" s="1916">
      <c r="A236" s="53" t="n"/>
      <c r="B236" s="113" t="n"/>
      <c r="C236" s="2145" t="n"/>
      <c r="D236" s="2145" t="n"/>
      <c r="E236" s="53" t="n"/>
      <c r="F236" s="53" t="n"/>
      <c r="G236" s="53" t="n"/>
      <c r="I236" s="2154" t="n"/>
    </row>
    <row r="237" customFormat="1" s="1916">
      <c r="A237" s="53" t="n"/>
      <c r="B237" s="53" t="n"/>
      <c r="C237" s="2145" t="n"/>
      <c r="D237" s="2145" t="n"/>
      <c r="E237" s="2145" t="n"/>
      <c r="F237" s="2145" t="n"/>
    </row>
    <row r="238" customFormat="1" s="1916">
      <c r="A238" s="53" t="n"/>
      <c r="B238" s="53" t="n"/>
      <c r="C238" s="2145" t="n"/>
      <c r="D238" s="2145" t="n"/>
      <c r="F238" s="108" t="n"/>
    </row>
    <row r="239" customFormat="1" s="1916">
      <c r="A239" s="103" t="n"/>
      <c r="B239" s="103" t="n"/>
      <c r="C239" s="2147" t="n"/>
      <c r="D239" s="2145" t="n"/>
      <c r="F239" s="53" t="n"/>
    </row>
    <row r="240" customFormat="1" s="1916">
      <c r="A240" s="103" t="n"/>
      <c r="B240" s="103" t="n"/>
      <c r="C240" s="2147" t="n"/>
      <c r="D240" s="2147" t="n"/>
      <c r="E240" s="53" t="n"/>
      <c r="F240" s="53" t="n"/>
    </row>
    <row r="241" customFormat="1" s="1916">
      <c r="A241" s="116" t="n"/>
    </row>
    <row r="242" customFormat="1" s="1916">
      <c r="A242" s="53" t="n"/>
      <c r="B242" s="53" t="n"/>
      <c r="C242" s="53" t="n"/>
      <c r="D242" s="53" t="n"/>
      <c r="G242" s="53" t="n"/>
      <c r="H242" s="53" t="n"/>
      <c r="I242" s="53" t="n"/>
      <c r="J242" s="2149" t="n"/>
      <c r="K242" s="2149" t="n"/>
      <c r="L242" s="2149" t="n"/>
      <c r="M242" s="53" t="n"/>
      <c r="N242" s="53" t="n"/>
    </row>
    <row r="243" customFormat="1" s="1916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2149" t="n"/>
      <c r="J243" s="2149" t="n"/>
      <c r="K243" s="2149" t="n"/>
      <c r="L243" s="2149" t="n"/>
      <c r="M243" s="53" t="n"/>
      <c r="N243" s="53" t="n"/>
      <c r="O243" s="53" t="n"/>
    </row>
    <row r="244" customFormat="1" s="1916">
      <c r="A244" s="53" t="n"/>
      <c r="B244" s="2155" t="n"/>
      <c r="C244" s="2145" t="n"/>
      <c r="D244" s="2145" t="n"/>
      <c r="E244" s="2156" t="n"/>
      <c r="F244" s="53" t="n"/>
      <c r="G244" s="53" t="n"/>
      <c r="H244" s="2145" t="n"/>
      <c r="I244" s="2190" t="n"/>
      <c r="J244" s="2149" t="n"/>
      <c r="K244" s="2149" t="n"/>
      <c r="L244" s="2149" t="n"/>
      <c r="M244" s="53" t="n"/>
      <c r="N244" s="2145" t="n"/>
      <c r="O244" s="2145" t="n"/>
    </row>
    <row r="245" customFormat="1" s="1916">
      <c r="A245" s="53" t="n"/>
      <c r="B245" s="53" t="n"/>
      <c r="C245" s="2145" t="n"/>
      <c r="D245" s="2145" t="n"/>
      <c r="E245" s="2190" t="n"/>
      <c r="G245" s="53" t="n"/>
      <c r="H245" s="2145" t="n"/>
      <c r="I245" s="2190" t="n"/>
      <c r="J245" s="2149" t="n"/>
      <c r="L245" s="2149" t="n"/>
      <c r="M245" s="53" t="n"/>
      <c r="N245" s="2156" t="n"/>
      <c r="O245" s="2145" t="n"/>
    </row>
    <row r="246" customFormat="1" s="1916">
      <c r="A246" s="53" t="n"/>
      <c r="B246" s="53" t="n"/>
      <c r="C246" s="2145" t="n"/>
      <c r="D246" s="2145" t="n"/>
      <c r="E246" s="53" t="n"/>
      <c r="F246" s="53" t="n"/>
      <c r="L246" s="53" t="n"/>
      <c r="M246" s="53" t="n"/>
      <c r="N246" s="2156" t="n"/>
      <c r="O246" s="2145" t="n"/>
    </row>
    <row r="247" customFormat="1" s="1916">
      <c r="A247" s="53" t="n"/>
      <c r="B247" s="53" t="n"/>
      <c r="C247" s="2145" t="n"/>
      <c r="D247" s="2145" t="n"/>
      <c r="E247" s="53" t="n"/>
      <c r="F247" s="53" t="n"/>
      <c r="L247" s="53" t="n"/>
      <c r="M247" s="2145" t="n"/>
      <c r="N247" s="53" t="n"/>
      <c r="O247" s="2145" t="n"/>
    </row>
    <row r="248" customFormat="1" s="1916">
      <c r="A248" s="53" t="n"/>
      <c r="B248" s="53" t="n"/>
      <c r="C248" s="2145" t="n"/>
      <c r="D248" s="2145" t="n"/>
      <c r="E248" s="53" t="n"/>
      <c r="F248" s="53" t="n"/>
      <c r="L248" s="53" t="n"/>
      <c r="M248" s="53" t="n"/>
      <c r="N248" s="53" t="n"/>
      <c r="O248" s="53" t="n"/>
    </row>
    <row r="249" customFormat="1" s="1916">
      <c r="A249" s="53" t="n"/>
      <c r="B249" s="53" t="n"/>
      <c r="C249" s="2145" t="n"/>
      <c r="D249" s="2145" t="n"/>
      <c r="E249" s="53" t="n"/>
      <c r="F249" s="53" t="n"/>
      <c r="L249" s="53" t="n"/>
      <c r="M249" s="53" t="n"/>
      <c r="N249" s="53" t="n"/>
      <c r="O249" s="53" t="n"/>
    </row>
    <row r="250" customFormat="1" s="1916">
      <c r="A250" s="53" t="n"/>
      <c r="B250" s="53" t="n"/>
      <c r="C250" s="2145" t="n"/>
      <c r="D250" s="2145" t="n"/>
      <c r="E250" s="53" t="n"/>
      <c r="F250" s="53" t="n"/>
      <c r="L250" s="53" t="n"/>
      <c r="M250" s="53" t="n"/>
      <c r="N250" s="53" t="n"/>
      <c r="O250" s="53" t="n"/>
      <c r="P250" s="53" t="n"/>
      <c r="Q250" s="53" t="n"/>
    </row>
    <row r="251" customFormat="1" s="1916">
      <c r="A251" s="53" t="n"/>
      <c r="B251" s="53" t="n"/>
      <c r="C251" s="2145" t="n"/>
      <c r="D251" s="2145" t="n"/>
      <c r="E251" s="53" t="n"/>
      <c r="F251" s="53" t="n"/>
      <c r="L251" s="53" t="n"/>
      <c r="M251" s="53" t="n"/>
      <c r="N251" s="53" t="n"/>
      <c r="O251" s="53" t="n"/>
      <c r="P251" s="2145" t="n"/>
      <c r="Q251" s="2145" t="n"/>
    </row>
    <row r="252" customFormat="1" s="1916">
      <c r="A252" s="53" t="n"/>
      <c r="B252" s="53" t="n"/>
      <c r="C252" s="2145" t="n"/>
      <c r="D252" s="2145" t="n"/>
      <c r="E252" s="53" t="n"/>
      <c r="F252" s="53" t="n"/>
      <c r="L252" s="53" t="n"/>
      <c r="M252" s="53" t="n"/>
      <c r="N252" s="53" t="n"/>
      <c r="O252" s="53" t="n"/>
      <c r="P252" s="2145" t="n"/>
      <c r="Q252" s="2145" t="n"/>
    </row>
    <row r="253" customFormat="1" s="1916">
      <c r="A253" s="53" t="n"/>
      <c r="B253" s="53" t="n"/>
      <c r="C253" s="2145" t="n"/>
      <c r="D253" s="2145" t="n"/>
      <c r="E253" s="53" t="n"/>
      <c r="F253" s="53" t="n"/>
      <c r="L253" s="53" t="n"/>
      <c r="M253" s="53" t="n"/>
      <c r="N253" s="53" t="n"/>
      <c r="O253" s="53" t="n"/>
      <c r="P253" s="2145" t="n"/>
      <c r="Q253" s="2145" t="n"/>
    </row>
    <row r="254" customFormat="1" s="1916">
      <c r="A254" s="103" t="n"/>
      <c r="B254" s="103" t="n"/>
      <c r="C254" s="2147" t="n"/>
      <c r="D254" s="2147" t="n"/>
      <c r="E254" s="53" t="n"/>
      <c r="F254" s="53" t="n"/>
      <c r="O254" s="53" t="n"/>
      <c r="P254" s="2145" t="n"/>
      <c r="Q254" s="2145" t="n"/>
    </row>
    <row r="255" customFormat="1" s="1916">
      <c r="A255" s="103" t="n"/>
      <c r="B255" s="103" t="n"/>
      <c r="C255" s="2147" t="n"/>
      <c r="D255" s="2147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P255" s="53" t="n"/>
      <c r="Q255" s="53" t="n"/>
    </row>
    <row r="256" customFormat="1" s="1916">
      <c r="A256" s="103" t="n"/>
      <c r="B256" s="105" t="n"/>
      <c r="C256" s="2147" t="n"/>
      <c r="D256" s="2147" t="n"/>
      <c r="E256" s="53" t="n"/>
      <c r="F256" s="53" t="n"/>
      <c r="G256" s="53" t="n"/>
      <c r="H256" s="53" t="n"/>
      <c r="I256" s="53" t="n"/>
      <c r="J256" s="106" t="n"/>
      <c r="K256" s="106" t="n"/>
      <c r="L256" s="106" t="n"/>
      <c r="P256" s="53" t="n"/>
      <c r="Q256" s="53" t="n"/>
    </row>
    <row r="257" customFormat="1" s="1916">
      <c r="A257" s="53" t="n"/>
      <c r="B257" s="53" t="n"/>
      <c r="C257" s="2145" t="n"/>
      <c r="D257" s="2145" t="n"/>
      <c r="E257" s="53" t="n"/>
      <c r="F257" s="53" t="n"/>
      <c r="G257" s="2191" t="n"/>
      <c r="H257" s="53" t="n"/>
      <c r="I257" s="53" t="n"/>
      <c r="J257" s="53" t="n"/>
      <c r="K257" s="53" t="n"/>
      <c r="L257" s="53" t="n"/>
      <c r="P257" s="53" t="n"/>
      <c r="Q257" s="53" t="n"/>
    </row>
    <row r="258" customFormat="1" s="1916">
      <c r="A258" s="3" t="n"/>
      <c r="B258" s="2156" t="n"/>
      <c r="C258" s="3" t="n"/>
      <c r="D258" s="2156" t="n"/>
      <c r="G258" s="53" t="n"/>
      <c r="H258" s="108" t="n"/>
      <c r="I258" s="53" t="n"/>
      <c r="J258" s="106" t="n"/>
      <c r="K258" s="106" t="n"/>
      <c r="L258" s="106" t="n"/>
      <c r="P258" s="53" t="n"/>
      <c r="Q258" s="53" t="n"/>
    </row>
    <row r="259" customFormat="1" s="1916">
      <c r="A259" s="53" t="n"/>
      <c r="B259" s="53" t="n"/>
      <c r="C259" s="53" t="n"/>
      <c r="D259" s="53" t="n"/>
      <c r="E259" s="106" t="n"/>
      <c r="G259" s="53" t="n"/>
      <c r="H259" s="53" t="n"/>
      <c r="I259" s="53" t="n"/>
      <c r="J259" s="2145" t="n"/>
      <c r="K259" s="53" t="n"/>
      <c r="L259" s="53" t="n"/>
      <c r="P259" s="53" t="n"/>
      <c r="Q259" s="53" t="n"/>
    </row>
    <row r="260" customFormat="1" s="1916">
      <c r="A260" s="53" t="n"/>
      <c r="B260" s="53" t="n"/>
      <c r="C260" s="2192" t="n"/>
      <c r="D260" s="106" t="n"/>
      <c r="E260" s="106" t="n"/>
      <c r="G260" s="53" t="n"/>
      <c r="H260" s="93" t="n"/>
      <c r="I260" s="2145" t="n"/>
      <c r="J260" s="2145" t="n"/>
      <c r="K260" s="53" t="n"/>
      <c r="L260" s="53" t="n"/>
      <c r="P260" s="53" t="n"/>
      <c r="Q260" s="53" t="n"/>
    </row>
    <row r="261" customFormat="1" s="1916">
      <c r="A261" s="53" t="n"/>
      <c r="B261" s="53" t="n"/>
      <c r="C261" s="53" t="n"/>
      <c r="D261" s="53" t="n"/>
      <c r="E261" s="53" t="n"/>
      <c r="G261" s="53" t="n"/>
      <c r="H261" s="93" t="n"/>
      <c r="I261" s="2145" t="n"/>
      <c r="J261" s="2145" t="n"/>
      <c r="K261" s="53" t="n"/>
      <c r="L261" s="53" t="n"/>
      <c r="P261" s="53" t="n"/>
      <c r="Q261" s="53" t="n"/>
    </row>
    <row r="262" customFormat="1" s="1916">
      <c r="A262" s="53" t="n"/>
      <c r="B262" s="53" t="n"/>
      <c r="C262" s="2192" t="n"/>
      <c r="D262" s="106" t="n"/>
      <c r="E262" s="106" t="n"/>
      <c r="G262" s="53" t="n"/>
      <c r="H262" s="93" t="n"/>
      <c r="I262" s="2145" t="n"/>
      <c r="J262" s="2145" t="n"/>
      <c r="K262" s="53" t="n"/>
      <c r="L262" s="53" t="n"/>
    </row>
    <row r="263" customFormat="1" s="1916">
      <c r="A263" s="111" t="n"/>
      <c r="B263" s="53" t="n"/>
      <c r="C263" s="53" t="n"/>
      <c r="D263" s="53" t="n"/>
      <c r="E263" s="53" t="n"/>
      <c r="G263" s="53" t="n"/>
      <c r="H263" s="93" t="n"/>
      <c r="I263" s="2145" t="n"/>
      <c r="J263" s="2145" t="n"/>
      <c r="K263" s="53" t="n"/>
      <c r="L263" s="53" t="n"/>
    </row>
    <row r="264" customFormat="1" s="1916">
      <c r="A264" s="53" t="n"/>
      <c r="B264" s="53" t="n"/>
      <c r="C264" s="2192" t="n"/>
      <c r="D264" s="106" t="n"/>
      <c r="E264" s="106" t="n"/>
      <c r="G264" s="53" t="n"/>
      <c r="H264" s="93" t="n"/>
      <c r="I264" s="2145" t="n"/>
      <c r="J264" s="2145" t="n"/>
      <c r="K264" s="53" t="n"/>
      <c r="L264" s="53" t="n"/>
    </row>
    <row r="265" customFormat="1" s="1916">
      <c r="A265" s="53" t="n"/>
      <c r="B265" s="53" t="n"/>
      <c r="C265" s="53" t="n"/>
      <c r="D265" s="2157" t="n"/>
      <c r="E265" s="2157" t="n"/>
      <c r="F265" s="53" t="n"/>
      <c r="G265" s="103" t="n"/>
      <c r="H265" s="103" t="n"/>
      <c r="I265" s="2147" t="n"/>
      <c r="J265" s="2147" t="n"/>
    </row>
    <row r="266" customFormat="1" s="1916">
      <c r="A266" s="53" t="n"/>
      <c r="B266" s="53" t="n"/>
      <c r="C266" s="2145" t="n"/>
      <c r="D266" s="2145" t="n"/>
      <c r="E266" s="2145" t="n"/>
      <c r="F266" s="53" t="n"/>
      <c r="G266" s="53" t="n"/>
      <c r="H266" s="53" t="n"/>
    </row>
    <row r="267" customFormat="1" s="1916">
      <c r="A267" s="53" t="n"/>
      <c r="B267" s="53" t="n"/>
      <c r="C267" s="53" t="n"/>
      <c r="D267" s="2145" t="n"/>
      <c r="E267" s="53" t="n"/>
      <c r="F267" s="53" t="n"/>
      <c r="G267" s="53" t="n"/>
      <c r="H267" s="53" t="n"/>
      <c r="K267" s="53" t="n"/>
      <c r="L267" s="53" t="n"/>
    </row>
    <row r="268" customFormat="1" s="1916">
      <c r="A268" s="53" t="n"/>
      <c r="B268" s="93" t="n"/>
      <c r="C268" s="2145" t="n"/>
      <c r="D268" s="2145" t="n"/>
      <c r="E268" s="53" t="n"/>
      <c r="F268" s="53" t="n"/>
      <c r="G268" s="2156" t="n"/>
      <c r="H268" s="93" t="n"/>
      <c r="I268" s="53" t="n"/>
      <c r="J268" s="2145" t="n"/>
      <c r="K268" s="53" t="n"/>
      <c r="L268" s="53" t="n"/>
    </row>
    <row r="269" customFormat="1" s="1916">
      <c r="A269" s="111" t="n"/>
      <c r="B269" s="93" t="n"/>
      <c r="C269" s="2145" t="n"/>
      <c r="D269" s="2145" t="n"/>
      <c r="E269" s="53" t="n"/>
      <c r="F269" s="53" t="n"/>
      <c r="G269" s="53" t="n"/>
      <c r="H269" s="93" t="n"/>
      <c r="I269" s="2145" t="n"/>
      <c r="J269" s="2145" t="n"/>
      <c r="K269" s="53" t="n"/>
      <c r="L269" s="53" t="n"/>
    </row>
    <row r="270" customFormat="1" s="1916">
      <c r="A270" s="53" t="n"/>
      <c r="B270" s="93" t="n"/>
      <c r="C270" s="2145" t="n"/>
      <c r="D270" s="2145" t="n"/>
      <c r="E270" s="53" t="n"/>
      <c r="F270" s="53" t="n"/>
      <c r="G270" s="53" t="n"/>
      <c r="H270" s="93" t="n"/>
      <c r="I270" s="2145" t="n"/>
      <c r="J270" s="2145" t="n"/>
      <c r="K270" s="53" t="n"/>
      <c r="L270" s="53" t="n"/>
    </row>
    <row r="271" customFormat="1" s="1916">
      <c r="A271" s="53" t="n"/>
      <c r="B271" s="93" t="n"/>
      <c r="C271" s="2145" t="n"/>
      <c r="D271" s="2145" t="n"/>
      <c r="E271" s="111" t="n"/>
      <c r="F271" s="53" t="n"/>
      <c r="G271" s="53" t="n"/>
      <c r="H271" s="93" t="n"/>
      <c r="I271" s="2145" t="n"/>
      <c r="J271" s="2145" t="n"/>
      <c r="K271" s="53" t="n"/>
      <c r="L271" s="53" t="n"/>
    </row>
    <row r="272" customFormat="1" s="1916">
      <c r="A272" s="53" t="n"/>
      <c r="B272" s="93" t="n"/>
      <c r="C272" s="2145" t="n"/>
      <c r="D272" s="2145" t="n"/>
      <c r="E272" s="111" t="n"/>
      <c r="F272" s="53" t="n"/>
      <c r="G272" s="53" t="n"/>
      <c r="H272" s="93" t="n"/>
      <c r="I272" s="2145" t="n"/>
      <c r="J272" s="2145" t="n"/>
      <c r="K272" s="53" t="n"/>
      <c r="L272" s="53" t="n"/>
    </row>
    <row r="273" customFormat="1" s="1916">
      <c r="A273" s="53" t="n"/>
      <c r="B273" s="93" t="n"/>
      <c r="C273" s="2145" t="n"/>
      <c r="D273" s="2145" t="n"/>
      <c r="E273" s="53" t="n"/>
      <c r="F273" s="53" t="n"/>
      <c r="G273" s="53" t="n"/>
      <c r="H273" s="93" t="n"/>
      <c r="I273" s="2145" t="n"/>
      <c r="J273" s="2145" t="n"/>
      <c r="K273" s="53" t="n"/>
      <c r="L273" s="53" t="n"/>
    </row>
    <row r="274" customFormat="1" s="1916">
      <c r="A274" s="53" t="n"/>
      <c r="B274" s="93" t="n"/>
      <c r="C274" s="2145" t="n"/>
      <c r="D274" s="2145" t="n"/>
      <c r="E274" s="53" t="n"/>
      <c r="F274" s="53" t="n"/>
      <c r="G274" s="53" t="n"/>
      <c r="H274" s="93" t="n"/>
      <c r="I274" s="2145" t="n"/>
      <c r="J274" s="2145" t="n"/>
      <c r="K274" s="53" t="n"/>
      <c r="L274" s="53" t="n"/>
    </row>
    <row r="275" customFormat="1" s="1916">
      <c r="A275" s="53" t="n"/>
      <c r="B275" s="93" t="n"/>
      <c r="C275" s="2145" t="n"/>
      <c r="D275" s="2145" t="n"/>
      <c r="E275" s="53" t="n"/>
      <c r="F275" s="53" t="n"/>
      <c r="G275" s="53" t="n"/>
      <c r="H275" s="93" t="n"/>
      <c r="I275" s="2145" t="n"/>
      <c r="J275" s="2145" t="n"/>
      <c r="K275" s="53" t="n"/>
      <c r="L275" s="53" t="n"/>
    </row>
    <row r="276" customFormat="1" s="1916">
      <c r="A276" s="53" t="n"/>
      <c r="B276" s="93" t="n"/>
      <c r="C276" s="2145" t="n"/>
      <c r="D276" s="2145" t="n"/>
      <c r="E276" s="53" t="n"/>
      <c r="F276" s="53" t="n"/>
      <c r="G276" s="53" t="n"/>
      <c r="H276" s="93" t="n"/>
      <c r="I276" s="2145" t="n"/>
      <c r="J276" s="2145" t="n"/>
      <c r="K276" s="53" t="n"/>
      <c r="L276" s="53" t="n"/>
    </row>
    <row r="277" customFormat="1" s="1916">
      <c r="A277" s="103" t="n"/>
      <c r="B277" s="103" t="n"/>
      <c r="C277" s="2147" t="n"/>
      <c r="D277" s="2147" t="n"/>
      <c r="E277" s="53" t="n"/>
      <c r="F277" s="53" t="n"/>
      <c r="G277" s="103" t="n"/>
      <c r="H277" s="103" t="n"/>
      <c r="I277" s="2147" t="n"/>
      <c r="J277" s="2147" t="n"/>
      <c r="K277" s="53" t="n"/>
      <c r="L277" s="53" t="n"/>
    </row>
    <row r="278" customFormat="1" s="1916">
      <c r="A278" s="53" t="n"/>
      <c r="B278" s="53" t="n"/>
      <c r="C278" s="2145" t="n"/>
      <c r="D278" s="2145" t="n"/>
      <c r="E278" s="53" t="n"/>
      <c r="F278" s="53" t="n"/>
      <c r="G278" s="53" t="n"/>
      <c r="H278" s="53" t="n"/>
      <c r="I278" s="53" t="n"/>
      <c r="K278" s="106" t="n"/>
      <c r="L278" s="106" t="n"/>
    </row>
    <row r="279" customFormat="1" s="1916">
      <c r="A279" s="53" t="n"/>
      <c r="B279" s="53" t="n"/>
      <c r="C279" s="2145" t="n"/>
      <c r="D279" s="2145" t="n"/>
      <c r="E279" s="53" t="n"/>
      <c r="F279" s="53" t="n"/>
    </row>
    <row r="280" customFormat="1" s="1916">
      <c r="A280" s="53" t="n"/>
      <c r="B280" s="53" t="n"/>
      <c r="C280" s="2145" t="n"/>
      <c r="D280" s="2147" t="n"/>
      <c r="E280" s="53" t="n"/>
      <c r="F280" s="53" t="n"/>
    </row>
    <row r="281" customFormat="1" s="1916">
      <c r="A281" s="53" t="n"/>
      <c r="B281" s="53" t="n"/>
      <c r="C281" s="2145" t="n"/>
      <c r="D281" s="2145" t="n"/>
      <c r="E281" s="53" t="n"/>
      <c r="F281" s="53" t="n"/>
    </row>
    <row r="282" customFormat="1" s="1916">
      <c r="A282" s="53" t="n"/>
      <c r="B282" s="53" t="n"/>
      <c r="C282" s="2145" t="n"/>
      <c r="D282" s="2145" t="n"/>
      <c r="E282" s="53" t="n"/>
      <c r="F282" s="53" t="n"/>
    </row>
    <row r="283" customFormat="1" s="1916">
      <c r="A283" s="53" t="n"/>
      <c r="B283" s="112" t="n"/>
      <c r="C283" s="2145" t="n"/>
      <c r="D283" s="2145" t="n"/>
      <c r="E283" s="53" t="n"/>
      <c r="F283" s="53" t="n"/>
    </row>
    <row r="284" customFormat="1" s="1916">
      <c r="A284" s="53" t="n"/>
      <c r="B284" s="112" t="n"/>
      <c r="C284" s="2145" t="n"/>
      <c r="D284" s="2145" t="n"/>
      <c r="E284" s="53" t="n"/>
      <c r="F284" s="53" t="n"/>
    </row>
    <row r="285" customFormat="1" s="1916">
      <c r="A285" s="53" t="n"/>
      <c r="B285" s="113" t="n"/>
      <c r="C285" s="2145" t="n"/>
      <c r="D285" s="2145" t="n"/>
      <c r="E285" s="53" t="n"/>
      <c r="F285" s="53" t="n"/>
    </row>
    <row r="286" customFormat="1" s="1916">
      <c r="A286" s="53" t="n"/>
      <c r="B286" s="113" t="n"/>
      <c r="C286" s="2145" t="n"/>
      <c r="D286" s="2145" t="n"/>
      <c r="E286" s="53" t="n"/>
      <c r="F286" s="53" t="n"/>
    </row>
    <row r="287" customFormat="1" s="1916">
      <c r="A287" s="53" t="n"/>
      <c r="B287" s="113" t="n"/>
      <c r="C287" s="2145" t="n"/>
      <c r="D287" s="2145" t="n"/>
      <c r="E287" s="53" t="n"/>
      <c r="F287" s="53" t="n"/>
    </row>
    <row r="288" customFormat="1" s="1916">
      <c r="A288" s="53" t="n"/>
      <c r="B288" s="113" t="n"/>
      <c r="C288" s="2145" t="n"/>
      <c r="D288" s="2145" t="n"/>
      <c r="E288" s="53" t="n"/>
      <c r="F288" s="53" t="n"/>
    </row>
    <row r="289" customFormat="1" s="1916">
      <c r="A289" s="53" t="n"/>
      <c r="B289" s="112" t="n"/>
      <c r="C289" s="2145" t="n"/>
      <c r="D289" s="2145" t="n"/>
      <c r="E289" s="53" t="n"/>
      <c r="F289" s="53" t="n"/>
    </row>
    <row r="290" customFormat="1" s="1916">
      <c r="A290" s="53" t="n"/>
      <c r="B290" s="112" t="n"/>
      <c r="C290" s="2145" t="n"/>
      <c r="D290" s="2145" t="n"/>
      <c r="E290" s="53" t="n"/>
      <c r="F290" s="53" t="n"/>
    </row>
    <row r="291" customFormat="1" s="1916">
      <c r="A291" s="53" t="n"/>
      <c r="B291" s="112" t="n"/>
      <c r="C291" s="2145" t="n"/>
      <c r="D291" s="2149" t="n"/>
      <c r="E291" s="53" t="n"/>
      <c r="F291" s="53" t="n"/>
    </row>
    <row r="292" customFormat="1" s="1916">
      <c r="A292" s="53" t="n"/>
      <c r="B292" s="113" t="n"/>
      <c r="C292" s="2145" t="n"/>
      <c r="D292" s="2145" t="n"/>
      <c r="E292" s="53" t="n"/>
      <c r="F292" s="53" t="n"/>
      <c r="G292" s="53" t="n"/>
      <c r="I292" s="2154" t="n"/>
    </row>
    <row r="293" customFormat="1" s="1916">
      <c r="A293" s="53" t="n"/>
      <c r="B293" s="53" t="n"/>
      <c r="C293" s="2145" t="n"/>
      <c r="D293" s="2145" t="n"/>
      <c r="E293" s="2145" t="n"/>
      <c r="F293" s="2145" t="n"/>
    </row>
    <row r="294" customFormat="1" s="1916">
      <c r="A294" s="53" t="n"/>
      <c r="B294" s="53" t="n"/>
      <c r="C294" s="2145" t="n"/>
      <c r="D294" s="2145" t="n"/>
      <c r="F294" s="108" t="n"/>
    </row>
    <row r="295" customFormat="1" s="1916">
      <c r="A295" s="115" t="n"/>
      <c r="D295" s="2145" t="n"/>
    </row>
    <row r="296" customFormat="1" s="1916"/>
    <row r="297" customFormat="1" s="1916">
      <c r="A297" s="116" t="n"/>
    </row>
    <row r="298" customFormat="1" s="1916">
      <c r="A298" s="53" t="n"/>
      <c r="B298" s="53" t="n"/>
      <c r="C298" s="53" t="n"/>
      <c r="D298" s="53" t="n"/>
      <c r="G298" s="53" t="n"/>
      <c r="H298" s="53" t="n"/>
      <c r="I298" s="53" t="n"/>
      <c r="J298" s="2149" t="n"/>
      <c r="K298" s="2149" t="n"/>
      <c r="L298" s="2149" t="n"/>
      <c r="M298" s="53" t="n"/>
      <c r="N298" s="53" t="n"/>
    </row>
    <row r="299" customFormat="1" s="1916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2149" t="n"/>
      <c r="J299" s="2149" t="n"/>
      <c r="K299" s="2149" t="n"/>
      <c r="L299" s="2149" t="n"/>
      <c r="M299" s="53" t="n"/>
      <c r="N299" s="53" t="n"/>
      <c r="O299" s="53" t="n"/>
    </row>
    <row r="300" customFormat="1" s="1916">
      <c r="A300" s="53" t="n"/>
      <c r="B300" s="2155" t="n"/>
      <c r="C300" s="2145" t="n"/>
      <c r="D300" s="2145" t="n"/>
      <c r="E300" s="2156" t="n"/>
      <c r="F300" s="53" t="n"/>
      <c r="G300" s="53" t="n"/>
      <c r="H300" s="2145" t="n"/>
      <c r="I300" s="2190" t="n"/>
      <c r="J300" s="2149" t="n"/>
      <c r="K300" s="2149" t="n"/>
      <c r="L300" s="2149" t="n"/>
      <c r="M300" s="53" t="n"/>
      <c r="N300" s="2145" t="n"/>
      <c r="O300" s="2145" t="n"/>
    </row>
    <row r="301" customFormat="1" s="1916">
      <c r="A301" s="53" t="n"/>
      <c r="B301" s="53" t="n"/>
      <c r="C301" s="2145" t="n"/>
      <c r="D301" s="2145" t="n"/>
      <c r="E301" s="2190" t="n"/>
      <c r="G301" s="53" t="n"/>
      <c r="H301" s="2145" t="n"/>
      <c r="I301" s="2190" t="n"/>
      <c r="J301" s="2149" t="n"/>
      <c r="L301" s="2149" t="n"/>
      <c r="M301" s="53" t="n"/>
      <c r="N301" s="2156" t="n"/>
      <c r="O301" s="2145" t="n"/>
    </row>
    <row r="302" customFormat="1" s="1916">
      <c r="A302" s="53" t="n"/>
      <c r="B302" s="53" t="n"/>
      <c r="C302" s="2145" t="n"/>
      <c r="D302" s="2145" t="n"/>
      <c r="E302" s="53" t="n"/>
      <c r="F302" s="53" t="n"/>
      <c r="L302" s="53" t="n"/>
      <c r="M302" s="53" t="n"/>
      <c r="N302" s="2156" t="n"/>
      <c r="O302" s="2145" t="n"/>
    </row>
    <row r="303" customFormat="1" s="1916">
      <c r="A303" s="53" t="n"/>
      <c r="B303" s="53" t="n"/>
      <c r="C303" s="2145" t="n"/>
      <c r="D303" s="2145" t="n"/>
      <c r="E303" s="53" t="n"/>
      <c r="F303" s="53" t="n"/>
      <c r="L303" s="53" t="n"/>
      <c r="M303" s="2145" t="n"/>
      <c r="N303" s="53" t="n"/>
      <c r="O303" s="2145" t="n"/>
    </row>
    <row r="304" customFormat="1" s="1916">
      <c r="A304" s="53" t="n"/>
      <c r="B304" s="53" t="n"/>
      <c r="C304" s="2145" t="n"/>
      <c r="D304" s="2145" t="n"/>
      <c r="E304" s="53" t="n"/>
      <c r="F304" s="53" t="n"/>
      <c r="L304" s="53" t="n"/>
      <c r="M304" s="53" t="n"/>
      <c r="N304" s="53" t="n"/>
      <c r="O304" s="53" t="n"/>
    </row>
    <row r="305" customFormat="1" s="1916">
      <c r="A305" s="53" t="n"/>
      <c r="B305" s="53" t="n"/>
      <c r="C305" s="2145" t="n"/>
      <c r="D305" s="2145" t="n"/>
      <c r="E305" s="53" t="n"/>
      <c r="F305" s="53" t="n"/>
      <c r="L305" s="53" t="n"/>
      <c r="M305" s="53" t="n"/>
      <c r="N305" s="53" t="n"/>
      <c r="O305" s="53" t="n"/>
    </row>
    <row r="306" customFormat="1" s="1916">
      <c r="A306" s="53" t="n"/>
      <c r="B306" s="53" t="n"/>
      <c r="C306" s="2145" t="n"/>
      <c r="D306" s="2145" t="n"/>
      <c r="E306" s="53" t="n"/>
      <c r="F306" s="53" t="n"/>
      <c r="L306" s="53" t="n"/>
      <c r="M306" s="53" t="n"/>
      <c r="N306" s="53" t="n"/>
      <c r="O306" s="53" t="n"/>
      <c r="P306" s="53" t="n"/>
      <c r="Q306" s="53" t="n"/>
    </row>
    <row r="307" customFormat="1" s="1916">
      <c r="A307" s="53" t="n"/>
      <c r="B307" s="53" t="n"/>
      <c r="C307" s="2145" t="n"/>
      <c r="D307" s="2145" t="n"/>
      <c r="E307" s="53" t="n"/>
      <c r="F307" s="53" t="n"/>
      <c r="L307" s="53" t="n"/>
      <c r="M307" s="53" t="n"/>
      <c r="N307" s="53" t="n"/>
      <c r="O307" s="53" t="n"/>
      <c r="P307" s="2145" t="n"/>
      <c r="Q307" s="2145" t="n"/>
    </row>
    <row r="308" customFormat="1" s="1916">
      <c r="A308" s="53" t="n"/>
      <c r="B308" s="53" t="n"/>
      <c r="C308" s="2145" t="n"/>
      <c r="D308" s="2145" t="n"/>
      <c r="E308" s="53" t="n"/>
      <c r="F308" s="53" t="n"/>
      <c r="L308" s="53" t="n"/>
      <c r="M308" s="53" t="n"/>
      <c r="N308" s="53" t="n"/>
      <c r="O308" s="53" t="n"/>
      <c r="P308" s="2145" t="n"/>
      <c r="Q308" s="2145" t="n"/>
    </row>
    <row r="309" customFormat="1" s="1916">
      <c r="A309" s="53" t="n"/>
      <c r="B309" s="53" t="n"/>
      <c r="C309" s="2145" t="n"/>
      <c r="D309" s="2145" t="n"/>
      <c r="E309" s="53" t="n"/>
      <c r="F309" s="53" t="n"/>
      <c r="L309" s="53" t="n"/>
      <c r="M309" s="53" t="n"/>
      <c r="N309" s="53" t="n"/>
      <c r="O309" s="53" t="n"/>
      <c r="P309" s="2145" t="n"/>
      <c r="Q309" s="2145" t="n"/>
    </row>
    <row r="310" customFormat="1" s="1916">
      <c r="A310" s="103" t="n"/>
      <c r="B310" s="103" t="n"/>
      <c r="C310" s="2147" t="n"/>
      <c r="D310" s="2147" t="n"/>
      <c r="E310" s="53" t="n"/>
      <c r="F310" s="53" t="n"/>
      <c r="O310" s="53" t="n"/>
      <c r="P310" s="2145" t="n"/>
      <c r="Q310" s="2145" t="n"/>
    </row>
    <row r="311" customFormat="1" s="1916">
      <c r="A311" s="103" t="n"/>
      <c r="B311" s="103" t="n"/>
      <c r="C311" s="2147" t="n"/>
      <c r="D311" s="2147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P311" s="53" t="n"/>
      <c r="Q311" s="53" t="n"/>
    </row>
    <row r="312" customFormat="1" s="1916">
      <c r="A312" s="103" t="n"/>
      <c r="B312" s="105" t="n"/>
      <c r="C312" s="2147" t="n"/>
      <c r="D312" s="2147" t="n"/>
      <c r="E312" s="53" t="n"/>
      <c r="F312" s="53" t="n"/>
      <c r="G312" s="53" t="n"/>
      <c r="H312" s="53" t="n"/>
      <c r="I312" s="53" t="n"/>
      <c r="J312" s="106" t="n"/>
      <c r="K312" s="106" t="n"/>
      <c r="L312" s="106" t="n"/>
      <c r="P312" s="53" t="n"/>
      <c r="Q312" s="53" t="n"/>
    </row>
    <row r="313" customFormat="1" s="1916">
      <c r="A313" s="53" t="n"/>
      <c r="B313" s="53" t="n"/>
      <c r="C313" s="2145" t="n"/>
      <c r="D313" s="2145" t="n"/>
      <c r="E313" s="53" t="n"/>
      <c r="F313" s="53" t="n"/>
      <c r="G313" s="2191" t="n"/>
      <c r="H313" s="53" t="n"/>
      <c r="I313" s="53" t="n"/>
      <c r="J313" s="53" t="n"/>
      <c r="K313" s="53" t="n"/>
      <c r="L313" s="53" t="n"/>
      <c r="P313" s="53" t="n"/>
      <c r="Q313" s="53" t="n"/>
    </row>
    <row r="314" customFormat="1" s="1916">
      <c r="A314" s="3" t="n"/>
      <c r="B314" s="2156" t="n"/>
      <c r="C314" s="3" t="n"/>
      <c r="D314" s="2156" t="n"/>
      <c r="G314" s="53" t="n"/>
      <c r="H314" s="108" t="n"/>
      <c r="I314" s="53" t="n"/>
      <c r="J314" s="106" t="n"/>
      <c r="K314" s="106" t="n"/>
      <c r="L314" s="106" t="n"/>
      <c r="P314" s="53" t="n"/>
      <c r="Q314" s="53" t="n"/>
    </row>
    <row r="315" customFormat="1" s="1916">
      <c r="A315" s="53" t="n"/>
      <c r="B315" s="53" t="n"/>
      <c r="C315" s="53" t="n"/>
      <c r="D315" s="53" t="n"/>
      <c r="E315" s="106" t="n"/>
      <c r="G315" s="53" t="n"/>
      <c r="H315" s="53" t="n"/>
      <c r="I315" s="53" t="n"/>
      <c r="J315" s="2145" t="n"/>
      <c r="K315" s="53" t="n"/>
      <c r="L315" s="53" t="n"/>
      <c r="P315" s="53" t="n"/>
      <c r="Q315" s="53" t="n"/>
    </row>
    <row r="316" customFormat="1" s="1916">
      <c r="A316" s="53" t="n"/>
      <c r="B316" s="53" t="n"/>
      <c r="C316" s="2192" t="n"/>
      <c r="D316" s="106" t="n"/>
      <c r="E316" s="106" t="n"/>
      <c r="G316" s="53" t="n"/>
      <c r="H316" s="93" t="n"/>
      <c r="I316" s="2145" t="n"/>
      <c r="J316" s="2145" t="n"/>
      <c r="K316" s="53" t="n"/>
      <c r="L316" s="53" t="n"/>
      <c r="P316" s="53" t="n"/>
      <c r="Q316" s="53" t="n"/>
    </row>
    <row r="317" customFormat="1" s="1916">
      <c r="A317" s="53" t="n"/>
      <c r="B317" s="53" t="n"/>
      <c r="C317" s="53" t="n"/>
      <c r="D317" s="53" t="n"/>
      <c r="E317" s="53" t="n"/>
      <c r="G317" s="53" t="n"/>
      <c r="H317" s="93" t="n"/>
      <c r="I317" s="2145" t="n"/>
      <c r="J317" s="2145" t="n"/>
      <c r="K317" s="53" t="n"/>
      <c r="L317" s="53" t="n"/>
      <c r="P317" s="53" t="n"/>
      <c r="Q317" s="53" t="n"/>
    </row>
    <row r="318" customFormat="1" s="1916">
      <c r="A318" s="53" t="n"/>
      <c r="B318" s="53" t="n"/>
      <c r="C318" s="2192" t="n"/>
      <c r="D318" s="106" t="n"/>
      <c r="E318" s="106" t="n"/>
      <c r="G318" s="53" t="n"/>
      <c r="H318" s="93" t="n"/>
      <c r="I318" s="2145" t="n"/>
      <c r="J318" s="2145" t="n"/>
      <c r="K318" s="53" t="n"/>
      <c r="L318" s="53" t="n"/>
    </row>
    <row r="319" customFormat="1" s="1916">
      <c r="A319" s="111" t="n"/>
      <c r="B319" s="53" t="n"/>
      <c r="C319" s="53" t="n"/>
      <c r="D319" s="53" t="n"/>
      <c r="E319" s="53" t="n"/>
      <c r="G319" s="53" t="n"/>
      <c r="H319" s="93" t="n"/>
      <c r="I319" s="2145" t="n"/>
      <c r="J319" s="2145" t="n"/>
      <c r="K319" s="53" t="n"/>
      <c r="L319" s="53" t="n"/>
    </row>
    <row r="320" customFormat="1" s="1916">
      <c r="A320" s="53" t="n"/>
      <c r="B320" s="53" t="n"/>
      <c r="C320" s="2192" t="n"/>
      <c r="D320" s="106" t="n"/>
      <c r="E320" s="106" t="n"/>
      <c r="G320" s="53" t="n"/>
      <c r="H320" s="93" t="n"/>
      <c r="I320" s="2145" t="n"/>
      <c r="J320" s="2145" t="n"/>
      <c r="K320" s="53" t="n"/>
      <c r="L320" s="53" t="n"/>
    </row>
    <row r="321" customFormat="1" s="1916">
      <c r="A321" s="53" t="n"/>
      <c r="B321" s="53" t="n"/>
      <c r="C321" s="53" t="n"/>
      <c r="D321" s="2157" t="n"/>
      <c r="E321" s="2157" t="n"/>
      <c r="F321" s="53" t="n"/>
      <c r="G321" s="103" t="n"/>
      <c r="H321" s="103" t="n"/>
      <c r="I321" s="2147" t="n"/>
      <c r="J321" s="2147" t="n"/>
    </row>
    <row r="322" customFormat="1" s="1916">
      <c r="A322" s="53" t="n"/>
      <c r="B322" s="53" t="n"/>
      <c r="C322" s="2145" t="n"/>
      <c r="D322" s="2145" t="n"/>
      <c r="E322" s="2145" t="n"/>
      <c r="F322" s="111" t="n"/>
      <c r="G322" s="53" t="n"/>
      <c r="H322" s="53" t="n"/>
    </row>
    <row r="323" customFormat="1" s="1916">
      <c r="A323" s="53" t="n"/>
      <c r="B323" s="53" t="n"/>
      <c r="C323" s="53" t="n"/>
      <c r="D323" s="2145" t="n"/>
      <c r="E323" s="53" t="n"/>
      <c r="F323" s="53" t="n"/>
      <c r="G323" s="53" t="n"/>
      <c r="H323" s="53" t="n"/>
      <c r="K323" s="53" t="n"/>
      <c r="L323" s="53" t="n"/>
    </row>
    <row r="324" customFormat="1" s="1916">
      <c r="A324" s="53" t="n"/>
      <c r="B324" s="93" t="n"/>
      <c r="C324" s="2145" t="n"/>
      <c r="D324" s="2145" t="n"/>
      <c r="E324" s="53" t="n"/>
      <c r="F324" s="53" t="n"/>
      <c r="G324" s="2156" t="n"/>
      <c r="H324" s="93" t="n"/>
      <c r="I324" s="53" t="n"/>
      <c r="J324" s="2145" t="n"/>
      <c r="K324" s="53" t="n"/>
      <c r="L324" s="53" t="n"/>
    </row>
    <row r="325" customFormat="1" s="1916">
      <c r="A325" s="111" t="n"/>
      <c r="B325" s="93" t="n"/>
      <c r="C325" s="2145" t="n"/>
      <c r="D325" s="2145" t="n"/>
      <c r="E325" s="53" t="n"/>
      <c r="F325" s="53" t="n"/>
      <c r="G325" s="53" t="n"/>
      <c r="H325" s="93" t="n"/>
      <c r="I325" s="2145" t="n"/>
      <c r="J325" s="2145" t="n"/>
      <c r="K325" s="53" t="n"/>
      <c r="L325" s="53" t="n"/>
    </row>
    <row r="326" customFormat="1" s="1916">
      <c r="A326" s="53" t="n"/>
      <c r="B326" s="93" t="n"/>
      <c r="C326" s="2145" t="n"/>
      <c r="D326" s="2145" t="n"/>
      <c r="E326" s="53" t="n"/>
      <c r="F326" s="53" t="n"/>
      <c r="G326" s="53" t="n"/>
      <c r="H326" s="93" t="n"/>
      <c r="I326" s="2145" t="n"/>
      <c r="J326" s="2145" t="n"/>
      <c r="K326" s="53" t="n"/>
      <c r="L326" s="53" t="n"/>
    </row>
    <row r="327" customFormat="1" s="1916">
      <c r="A327" s="53" t="n"/>
      <c r="B327" s="93" t="n"/>
      <c r="C327" s="2145" t="n"/>
      <c r="D327" s="2145" t="n"/>
      <c r="E327" s="111" t="n"/>
      <c r="F327" s="53" t="n"/>
      <c r="G327" s="53" t="n"/>
      <c r="H327" s="93" t="n"/>
      <c r="I327" s="2145" t="n"/>
      <c r="J327" s="2145" t="n"/>
      <c r="K327" s="53" t="n"/>
      <c r="L327" s="53" t="n"/>
    </row>
    <row r="328" customFormat="1" s="1916">
      <c r="A328" s="53" t="n"/>
      <c r="B328" s="93" t="n"/>
      <c r="C328" s="2145" t="n"/>
      <c r="D328" s="2145" t="n"/>
      <c r="E328" s="111" t="n"/>
      <c r="F328" s="53" t="n"/>
      <c r="G328" s="53" t="n"/>
      <c r="H328" s="93" t="n"/>
      <c r="I328" s="2145" t="n"/>
      <c r="J328" s="2145" t="n"/>
      <c r="K328" s="53" t="n"/>
      <c r="L328" s="53" t="n"/>
    </row>
    <row r="329" customFormat="1" s="1916">
      <c r="A329" s="53" t="n"/>
      <c r="B329" s="93" t="n"/>
      <c r="C329" s="2145" t="n"/>
      <c r="D329" s="2145" t="n"/>
      <c r="E329" s="53" t="n"/>
      <c r="F329" s="53" t="n"/>
      <c r="G329" s="53" t="n"/>
      <c r="H329" s="93" t="n"/>
      <c r="I329" s="2145" t="n"/>
      <c r="J329" s="2145" t="n"/>
      <c r="K329" s="53" t="n"/>
      <c r="L329" s="53" t="n"/>
    </row>
    <row r="330" customFormat="1" s="1916">
      <c r="A330" s="53" t="n"/>
      <c r="B330" s="93" t="n"/>
      <c r="C330" s="2145" t="n"/>
      <c r="D330" s="2145" t="n"/>
      <c r="E330" s="53" t="n"/>
      <c r="F330" s="53" t="n"/>
      <c r="G330" s="53" t="n"/>
      <c r="H330" s="93" t="n"/>
      <c r="I330" s="2145" t="n"/>
      <c r="J330" s="2145" t="n"/>
      <c r="K330" s="53" t="n"/>
      <c r="L330" s="53" t="n"/>
    </row>
    <row r="331" customFormat="1" s="1916">
      <c r="A331" s="53" t="n"/>
      <c r="B331" s="93" t="n"/>
      <c r="C331" s="2145" t="n"/>
      <c r="D331" s="2145" t="n"/>
      <c r="E331" s="53" t="n"/>
      <c r="F331" s="53" t="n"/>
      <c r="G331" s="53" t="n"/>
      <c r="H331" s="93" t="n"/>
      <c r="I331" s="2145" t="n"/>
      <c r="J331" s="2145" t="n"/>
      <c r="K331" s="53" t="n"/>
      <c r="L331" s="53" t="n"/>
    </row>
    <row r="332" customFormat="1" s="1916">
      <c r="A332" s="53" t="n"/>
      <c r="B332" s="93" t="n"/>
      <c r="C332" s="2145" t="n"/>
      <c r="D332" s="2145" t="n"/>
      <c r="E332" s="53" t="n"/>
      <c r="F332" s="53" t="n"/>
      <c r="G332" s="53" t="n"/>
      <c r="H332" s="93" t="n"/>
      <c r="I332" s="2145" t="n"/>
      <c r="J332" s="2145" t="n"/>
      <c r="K332" s="53" t="n"/>
      <c r="L332" s="53" t="n"/>
    </row>
    <row r="333" customFormat="1" s="1916">
      <c r="A333" s="103" t="n"/>
      <c r="B333" s="103" t="n"/>
      <c r="C333" s="2147" t="n"/>
      <c r="D333" s="2147" t="n"/>
      <c r="E333" s="53" t="n"/>
      <c r="F333" s="53" t="n"/>
      <c r="G333" s="103" t="n"/>
      <c r="H333" s="103" t="n"/>
      <c r="I333" s="2147" t="n"/>
      <c r="J333" s="2147" t="n"/>
      <c r="K333" s="53" t="n"/>
      <c r="L333" s="53" t="n"/>
    </row>
    <row r="334" customFormat="1" s="1916">
      <c r="A334" s="53" t="n"/>
      <c r="B334" s="53" t="n"/>
      <c r="C334" s="2145" t="n"/>
      <c r="D334" s="2145" t="n"/>
      <c r="E334" s="53" t="n"/>
      <c r="F334" s="53" t="n"/>
      <c r="G334" s="53" t="n"/>
      <c r="H334" s="53" t="n"/>
      <c r="I334" s="53" t="n"/>
      <c r="K334" s="106" t="n"/>
      <c r="L334" s="106" t="n"/>
    </row>
    <row r="335" customFormat="1" s="1916">
      <c r="A335" s="53" t="n"/>
      <c r="B335" s="53" t="n"/>
      <c r="C335" s="2145" t="n"/>
      <c r="D335" s="2145" t="n"/>
      <c r="E335" s="53" t="n"/>
      <c r="F335" s="53" t="n"/>
    </row>
    <row r="336" customFormat="1" s="1916">
      <c r="A336" s="53" t="n"/>
      <c r="B336" s="53" t="n"/>
      <c r="C336" s="2145" t="n"/>
      <c r="D336" s="2147" t="n"/>
      <c r="E336" s="53" t="n"/>
      <c r="F336" s="53" t="n"/>
    </row>
    <row r="337" customFormat="1" s="1916">
      <c r="A337" s="53" t="n"/>
      <c r="B337" s="53" t="n"/>
      <c r="C337" s="2145" t="n"/>
      <c r="D337" s="2145" t="n"/>
      <c r="E337" s="53" t="n"/>
      <c r="F337" s="53" t="n"/>
    </row>
    <row r="338" customFormat="1" s="1916">
      <c r="A338" s="53" t="n"/>
      <c r="B338" s="53" t="n"/>
      <c r="C338" s="2145" t="n"/>
      <c r="D338" s="2145" t="n"/>
      <c r="E338" s="53" t="n"/>
      <c r="F338" s="53" t="n"/>
    </row>
    <row r="339" customFormat="1" s="1916">
      <c r="A339" s="53" t="n"/>
      <c r="B339" s="112" t="n"/>
      <c r="C339" s="2145" t="n"/>
      <c r="D339" s="2145" t="n"/>
      <c r="E339" s="53" t="n"/>
      <c r="F339" s="53" t="n"/>
    </row>
    <row r="340" customFormat="1" s="1916">
      <c r="A340" s="53" t="n"/>
      <c r="B340" s="112" t="n"/>
      <c r="C340" s="2145" t="n"/>
      <c r="D340" s="2145" t="n"/>
      <c r="E340" s="53" t="n"/>
      <c r="F340" s="53" t="n"/>
    </row>
    <row r="341" customFormat="1" s="1916">
      <c r="A341" s="53" t="n"/>
      <c r="B341" s="113" t="n"/>
      <c r="C341" s="2145" t="n"/>
      <c r="D341" s="2145" t="n"/>
      <c r="E341" s="53" t="n"/>
      <c r="F341" s="53" t="n"/>
    </row>
    <row r="342" customFormat="1" s="1916">
      <c r="A342" s="53" t="n"/>
      <c r="B342" s="113" t="n"/>
      <c r="C342" s="2145" t="n"/>
      <c r="D342" s="2145" t="n"/>
      <c r="E342" s="53" t="n"/>
      <c r="F342" s="53" t="n"/>
    </row>
    <row r="343" customFormat="1" s="1916">
      <c r="A343" s="53" t="n"/>
      <c r="B343" s="113" t="n"/>
      <c r="C343" s="2145" t="n"/>
      <c r="D343" s="2145" t="n"/>
      <c r="E343" s="53" t="n"/>
      <c r="F343" s="53" t="n"/>
    </row>
    <row r="344" customFormat="1" s="1916">
      <c r="A344" s="53" t="n"/>
      <c r="B344" s="113" t="n"/>
      <c r="C344" s="2145" t="n"/>
      <c r="D344" s="2145" t="n"/>
      <c r="E344" s="53" t="n"/>
      <c r="F344" s="53" t="n"/>
    </row>
    <row r="345" customFormat="1" s="1916">
      <c r="A345" s="53" t="n"/>
      <c r="B345" s="112" t="n"/>
      <c r="C345" s="2145" t="n"/>
      <c r="D345" s="2145" t="n"/>
      <c r="E345" s="53" t="n"/>
      <c r="F345" s="53" t="n"/>
    </row>
    <row r="346" customFormat="1" s="1916">
      <c r="A346" s="53" t="n"/>
      <c r="B346" s="112" t="n"/>
      <c r="C346" s="2145" t="n"/>
      <c r="D346" s="2145" t="n"/>
      <c r="E346" s="53" t="n"/>
      <c r="F346" s="53" t="n"/>
    </row>
    <row r="347" customFormat="1" s="1916">
      <c r="A347" s="53" t="n"/>
      <c r="B347" s="112" t="n"/>
      <c r="C347" s="2145" t="n"/>
      <c r="D347" s="2149" t="n"/>
      <c r="E347" s="53" t="n"/>
      <c r="F347" s="53" t="n"/>
    </row>
    <row r="348" customFormat="1" s="1916">
      <c r="A348" s="53" t="n"/>
      <c r="B348" s="113" t="n"/>
      <c r="C348" s="2145" t="n"/>
      <c r="D348" s="2145" t="n"/>
      <c r="E348" s="53" t="n"/>
      <c r="F348" s="53" t="n"/>
      <c r="G348" s="53" t="n"/>
      <c r="I348" s="2154" t="n"/>
    </row>
    <row r="349" customFormat="1" s="1916">
      <c r="A349" s="53" t="n"/>
      <c r="B349" s="53" t="n"/>
      <c r="C349" s="2145" t="n"/>
      <c r="D349" s="2145" t="n"/>
      <c r="E349" s="2145" t="n"/>
      <c r="F349" s="2145" t="n"/>
    </row>
    <row r="350" customFormat="1" s="1916">
      <c r="A350" s="53" t="n"/>
      <c r="B350" s="53" t="n"/>
      <c r="C350" s="2145" t="n"/>
      <c r="D350" s="2145" t="n"/>
      <c r="F350" s="108" t="n"/>
    </row>
    <row r="351" customFormat="1" s="1916">
      <c r="A351" s="116" t="n"/>
      <c r="D351" s="2145" t="n"/>
    </row>
    <row r="352" customFormat="1" s="1916"/>
    <row r="353" customFormat="1" s="1916">
      <c r="A353" s="115" t="n"/>
    </row>
    <row r="354" customFormat="1" s="1916">
      <c r="A354" s="53" t="n"/>
      <c r="B354" s="53" t="n"/>
      <c r="C354" s="53" t="n"/>
      <c r="D354" s="53" t="n"/>
      <c r="G354" s="53" t="n"/>
      <c r="H354" s="53" t="n"/>
      <c r="I354" s="53" t="n"/>
      <c r="J354" s="2149" t="n"/>
      <c r="K354" s="2149" t="n"/>
      <c r="L354" s="2149" t="n"/>
      <c r="M354" s="53" t="n"/>
      <c r="N354" s="53" t="n"/>
    </row>
    <row r="355" customFormat="1" s="1916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2149" t="n"/>
      <c r="J355" s="2149" t="n"/>
      <c r="K355" s="2149" t="n"/>
      <c r="L355" s="2149" t="n"/>
      <c r="M355" s="53" t="n"/>
      <c r="N355" s="53" t="n"/>
      <c r="O355" s="53" t="n"/>
    </row>
    <row r="356" customFormat="1" s="1916">
      <c r="A356" s="53" t="n"/>
      <c r="B356" s="2155" t="n"/>
      <c r="C356" s="2145" t="n"/>
      <c r="D356" s="2145" t="n"/>
      <c r="E356" s="2156" t="n"/>
      <c r="F356" s="53" t="n"/>
      <c r="G356" s="53" t="n"/>
      <c r="H356" s="2145" t="n"/>
      <c r="I356" s="2190" t="n"/>
      <c r="J356" s="2149" t="n"/>
      <c r="K356" s="2149" t="n"/>
      <c r="L356" s="2149" t="n"/>
      <c r="M356" s="53" t="n"/>
      <c r="N356" s="2145" t="n"/>
      <c r="O356" s="2145" t="n"/>
    </row>
    <row r="357" customFormat="1" s="1916">
      <c r="A357" s="53" t="n"/>
      <c r="B357" s="53" t="n"/>
      <c r="C357" s="2145" t="n"/>
      <c r="D357" s="2145" t="n"/>
      <c r="E357" s="2190" t="n"/>
      <c r="G357" s="53" t="n"/>
      <c r="H357" s="2145" t="n"/>
      <c r="I357" s="2190" t="n"/>
      <c r="J357" s="2149" t="n"/>
      <c r="L357" s="2149" t="n"/>
      <c r="M357" s="53" t="n"/>
      <c r="N357" s="2156" t="n"/>
      <c r="O357" s="2145" t="n"/>
    </row>
    <row r="358" customFormat="1" s="1916">
      <c r="A358" s="53" t="n"/>
      <c r="B358" s="53" t="n"/>
      <c r="C358" s="2145" t="n"/>
      <c r="D358" s="2145" t="n"/>
      <c r="E358" s="53" t="n"/>
      <c r="F358" s="53" t="n"/>
      <c r="L358" s="53" t="n"/>
      <c r="M358" s="53" t="n"/>
      <c r="N358" s="2156" t="n"/>
      <c r="O358" s="2145" t="n"/>
    </row>
    <row r="359" customFormat="1" s="1916">
      <c r="A359" s="53" t="n"/>
      <c r="B359" s="53" t="n"/>
      <c r="C359" s="2145" t="n"/>
      <c r="D359" s="2145" t="n"/>
      <c r="E359" s="53" t="n"/>
      <c r="F359" s="53" t="n"/>
      <c r="L359" s="53" t="n"/>
      <c r="M359" s="2145" t="n"/>
      <c r="N359" s="53" t="n"/>
      <c r="O359" s="2145" t="n"/>
    </row>
    <row r="360" customFormat="1" s="1916">
      <c r="A360" s="53" t="n"/>
      <c r="B360" s="53" t="n"/>
      <c r="C360" s="2145" t="n"/>
      <c r="D360" s="2145" t="n"/>
      <c r="E360" s="53" t="n"/>
      <c r="F360" s="53" t="n"/>
      <c r="L360" s="53" t="n"/>
      <c r="M360" s="53" t="n"/>
      <c r="N360" s="53" t="n"/>
      <c r="O360" s="53" t="n"/>
    </row>
    <row r="361" customFormat="1" s="1916">
      <c r="A361" s="53" t="n"/>
      <c r="B361" s="53" t="n"/>
      <c r="C361" s="2145" t="n"/>
      <c r="D361" s="2145" t="n"/>
      <c r="E361" s="53" t="n"/>
      <c r="F361" s="53" t="n"/>
      <c r="L361" s="53" t="n"/>
      <c r="M361" s="53" t="n"/>
      <c r="N361" s="53" t="n"/>
      <c r="O361" s="53" t="n"/>
    </row>
    <row r="362" customFormat="1" s="1916">
      <c r="A362" s="53" t="n"/>
      <c r="B362" s="53" t="n"/>
      <c r="C362" s="2145" t="n"/>
      <c r="D362" s="2145" t="n"/>
      <c r="E362" s="53" t="n"/>
      <c r="F362" s="53" t="n"/>
      <c r="L362" s="53" t="n"/>
      <c r="M362" s="53" t="n"/>
      <c r="N362" s="53" t="n"/>
      <c r="O362" s="53" t="n"/>
      <c r="P362" s="53" t="n"/>
      <c r="Q362" s="53" t="n"/>
    </row>
    <row r="363" customFormat="1" s="1916">
      <c r="A363" s="53" t="n"/>
      <c r="B363" s="53" t="n"/>
      <c r="C363" s="2145" t="n"/>
      <c r="D363" s="2145" t="n"/>
      <c r="E363" s="53" t="n"/>
      <c r="F363" s="53" t="n"/>
      <c r="L363" s="53" t="n"/>
      <c r="M363" s="53" t="n"/>
      <c r="N363" s="53" t="n"/>
      <c r="O363" s="53" t="n"/>
      <c r="P363" s="2145" t="n"/>
      <c r="Q363" s="2145" t="n"/>
    </row>
    <row r="364" customFormat="1" s="1916">
      <c r="A364" s="53" t="n"/>
      <c r="B364" s="53" t="n"/>
      <c r="C364" s="2145" t="n"/>
      <c r="D364" s="2145" t="n"/>
      <c r="E364" s="53" t="n"/>
      <c r="F364" s="53" t="n"/>
      <c r="L364" s="53" t="n"/>
      <c r="M364" s="53" t="n"/>
      <c r="N364" s="53" t="n"/>
      <c r="O364" s="53" t="n"/>
      <c r="P364" s="2145" t="n"/>
      <c r="Q364" s="2145" t="n"/>
    </row>
    <row r="365" customFormat="1" s="1916">
      <c r="A365" s="53" t="n"/>
      <c r="B365" s="53" t="n"/>
      <c r="C365" s="2145" t="n"/>
      <c r="D365" s="2145" t="n"/>
      <c r="E365" s="53" t="n"/>
      <c r="F365" s="53" t="n"/>
      <c r="L365" s="53" t="n"/>
      <c r="M365" s="53" t="n"/>
      <c r="N365" s="53" t="n"/>
      <c r="O365" s="53" t="n"/>
      <c r="P365" s="2145" t="n"/>
      <c r="Q365" s="2145" t="n"/>
    </row>
    <row r="366" customFormat="1" s="1916">
      <c r="A366" s="103" t="n"/>
      <c r="B366" s="103" t="n"/>
      <c r="C366" s="2147" t="n"/>
      <c r="D366" s="2147" t="n"/>
      <c r="E366" s="53" t="n"/>
      <c r="F366" s="53" t="n"/>
      <c r="O366" s="53" t="n"/>
      <c r="P366" s="2145" t="n"/>
      <c r="Q366" s="2145" t="n"/>
    </row>
    <row r="367" customFormat="1" s="1916">
      <c r="A367" s="103" t="n"/>
      <c r="B367" s="103" t="n"/>
      <c r="C367" s="2147" t="n"/>
      <c r="D367" s="2147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P367" s="53" t="n"/>
      <c r="Q367" s="53" t="n"/>
    </row>
    <row r="368" customFormat="1" s="1916">
      <c r="A368" s="103" t="n"/>
      <c r="B368" s="105" t="n"/>
      <c r="C368" s="2147" t="n"/>
      <c r="D368" s="2147" t="n"/>
      <c r="E368" s="53" t="n"/>
      <c r="F368" s="53" t="n"/>
      <c r="G368" s="53" t="n"/>
      <c r="H368" s="53" t="n"/>
      <c r="I368" s="53" t="n"/>
      <c r="J368" s="106" t="n"/>
      <c r="K368" s="106" t="n"/>
      <c r="L368" s="106" t="n"/>
      <c r="P368" s="53" t="n"/>
      <c r="Q368" s="53" t="n"/>
    </row>
    <row r="369" customFormat="1" s="1916">
      <c r="A369" s="53" t="n"/>
      <c r="B369" s="53" t="n"/>
      <c r="C369" s="2145" t="n"/>
      <c r="D369" s="2145" t="n"/>
      <c r="E369" s="53" t="n"/>
      <c r="F369" s="53" t="n"/>
      <c r="G369" s="2191" t="n"/>
      <c r="H369" s="53" t="n"/>
      <c r="I369" s="53" t="n"/>
      <c r="J369" s="53" t="n"/>
      <c r="K369" s="53" t="n"/>
      <c r="L369" s="53" t="n"/>
      <c r="P369" s="53" t="n"/>
      <c r="Q369" s="53" t="n"/>
    </row>
    <row r="370" customFormat="1" s="1916">
      <c r="A370" s="3" t="n"/>
      <c r="B370" s="2156" t="n"/>
      <c r="C370" s="3" t="n"/>
      <c r="D370" s="2156" t="n"/>
      <c r="G370" s="53" t="n"/>
      <c r="H370" s="108" t="n"/>
      <c r="I370" s="53" t="n"/>
      <c r="J370" s="106" t="n"/>
      <c r="K370" s="106" t="n"/>
      <c r="L370" s="106" t="n"/>
      <c r="P370" s="53" t="n"/>
      <c r="Q370" s="53" t="n"/>
    </row>
    <row r="371" customFormat="1" s="1916">
      <c r="A371" s="53" t="n"/>
      <c r="B371" s="53" t="n"/>
      <c r="C371" s="53" t="n"/>
      <c r="D371" s="53" t="n"/>
      <c r="E371" s="106" t="n"/>
      <c r="G371" s="53" t="n"/>
      <c r="H371" s="53" t="n"/>
      <c r="I371" s="53" t="n"/>
      <c r="J371" s="2145" t="n"/>
      <c r="K371" s="53" t="n"/>
      <c r="L371" s="53" t="n"/>
      <c r="P371" s="53" t="n"/>
      <c r="Q371" s="53" t="n"/>
    </row>
    <row r="372" customFormat="1" s="1916">
      <c r="A372" s="53" t="n"/>
      <c r="B372" s="53" t="n"/>
      <c r="C372" s="2192" t="n"/>
      <c r="D372" s="106" t="n"/>
      <c r="E372" s="106" t="n"/>
      <c r="G372" s="53" t="n"/>
      <c r="H372" s="93" t="n"/>
      <c r="I372" s="2145" t="n"/>
      <c r="J372" s="2145" t="n"/>
      <c r="K372" s="53" t="n"/>
      <c r="L372" s="53" t="n"/>
      <c r="P372" s="53" t="n"/>
      <c r="Q372" s="53" t="n"/>
    </row>
    <row r="373" customFormat="1" s="1916">
      <c r="A373" s="53" t="n"/>
      <c r="B373" s="53" t="n"/>
      <c r="C373" s="53" t="n"/>
      <c r="D373" s="53" t="n"/>
      <c r="E373" s="53" t="n"/>
      <c r="G373" s="53" t="n"/>
      <c r="H373" s="93" t="n"/>
      <c r="I373" s="2145" t="n"/>
      <c r="J373" s="2145" t="n"/>
      <c r="K373" s="53" t="n"/>
      <c r="L373" s="53" t="n"/>
      <c r="P373" s="53" t="n"/>
      <c r="Q373" s="53" t="n"/>
    </row>
    <row r="374" customFormat="1" s="1916">
      <c r="A374" s="53" t="n"/>
      <c r="B374" s="53" t="n"/>
      <c r="C374" s="2192" t="n"/>
      <c r="D374" s="106" t="n"/>
      <c r="E374" s="106" t="n"/>
      <c r="G374" s="53" t="n"/>
      <c r="H374" s="93" t="n"/>
      <c r="I374" s="2145" t="n"/>
      <c r="J374" s="2145" t="n"/>
      <c r="K374" s="53" t="n"/>
      <c r="L374" s="53" t="n"/>
    </row>
    <row r="375" customFormat="1" s="1916">
      <c r="A375" s="111" t="n"/>
      <c r="B375" s="53" t="n"/>
      <c r="C375" s="53" t="n"/>
      <c r="D375" s="53" t="n"/>
      <c r="E375" s="53" t="n"/>
      <c r="G375" s="53" t="n"/>
      <c r="H375" s="93" t="n"/>
      <c r="I375" s="2145" t="n"/>
      <c r="J375" s="2145" t="n"/>
      <c r="K375" s="53" t="n"/>
      <c r="L375" s="53" t="n"/>
    </row>
    <row r="376" customFormat="1" s="1916">
      <c r="A376" s="53" t="n"/>
      <c r="B376" s="53" t="n"/>
      <c r="C376" s="2192" t="n"/>
      <c r="D376" s="106" t="n"/>
      <c r="E376" s="106" t="n"/>
      <c r="G376" s="53" t="n"/>
      <c r="H376" s="93" t="n"/>
      <c r="I376" s="2145" t="n"/>
      <c r="J376" s="2145" t="n"/>
      <c r="K376" s="53" t="n"/>
      <c r="L376" s="53" t="n"/>
    </row>
    <row r="377" customFormat="1" s="1916">
      <c r="A377" s="53" t="n"/>
      <c r="B377" s="53" t="n"/>
      <c r="C377" s="53" t="n"/>
      <c r="D377" s="2157" t="n"/>
      <c r="E377" s="2157" t="n"/>
      <c r="F377" s="53" t="n"/>
      <c r="G377" s="103" t="n"/>
      <c r="H377" s="103" t="n"/>
      <c r="I377" s="2147" t="n"/>
      <c r="J377" s="2147" t="n"/>
    </row>
    <row r="378" customFormat="1" s="1916">
      <c r="A378" s="53" t="n"/>
      <c r="B378" s="53" t="n"/>
      <c r="C378" s="2145" t="n"/>
      <c r="D378" s="2145" t="n"/>
      <c r="E378" s="2145" t="n"/>
      <c r="F378" s="111" t="n"/>
      <c r="G378" s="53" t="n"/>
      <c r="H378" s="53" t="n"/>
    </row>
    <row r="379" customFormat="1" s="1916">
      <c r="A379" s="53" t="n"/>
      <c r="B379" s="53" t="n"/>
      <c r="C379" s="53" t="n"/>
      <c r="D379" s="2145" t="n"/>
      <c r="E379" s="53" t="n"/>
      <c r="F379" s="53" t="n"/>
      <c r="G379" s="53" t="n"/>
      <c r="H379" s="53" t="n"/>
      <c r="K379" s="53" t="n"/>
      <c r="L379" s="53" t="n"/>
    </row>
    <row r="380" customFormat="1" s="1916">
      <c r="A380" s="53" t="n"/>
      <c r="B380" s="93" t="n"/>
      <c r="C380" s="2145" t="n"/>
      <c r="D380" s="2145" t="n"/>
      <c r="E380" s="53" t="n"/>
      <c r="F380" s="53" t="n"/>
      <c r="G380" s="2156" t="n"/>
      <c r="H380" s="93" t="n"/>
      <c r="I380" s="53" t="n"/>
      <c r="J380" s="2145" t="n"/>
      <c r="K380" s="53" t="n"/>
      <c r="L380" s="53" t="n"/>
    </row>
    <row r="381" customFormat="1" s="1916">
      <c r="A381" s="111" t="n"/>
      <c r="B381" s="93" t="n"/>
      <c r="C381" s="2145" t="n"/>
      <c r="D381" s="2145" t="n"/>
      <c r="E381" s="53" t="n"/>
      <c r="F381" s="53" t="n"/>
      <c r="G381" s="53" t="n"/>
      <c r="H381" s="93" t="n"/>
      <c r="I381" s="2145" t="n"/>
      <c r="J381" s="2145" t="n"/>
      <c r="K381" s="53" t="n"/>
      <c r="L381" s="53" t="n"/>
    </row>
    <row r="382" customFormat="1" s="1916">
      <c r="A382" s="53" t="n"/>
      <c r="B382" s="93" t="n"/>
      <c r="C382" s="2145" t="n"/>
      <c r="D382" s="2145" t="n"/>
      <c r="E382" s="53" t="n"/>
      <c r="F382" s="53" t="n"/>
      <c r="G382" s="53" t="n"/>
      <c r="H382" s="93" t="n"/>
      <c r="I382" s="2145" t="n"/>
      <c r="J382" s="2145" t="n"/>
      <c r="K382" s="53" t="n"/>
      <c r="L382" s="53" t="n"/>
    </row>
    <row r="383" customFormat="1" s="1916">
      <c r="A383" s="53" t="n"/>
      <c r="B383" s="93" t="n"/>
      <c r="C383" s="2145" t="n"/>
      <c r="D383" s="2145" t="n"/>
      <c r="E383" s="111" t="n"/>
      <c r="F383" s="53" t="n"/>
      <c r="G383" s="53" t="n"/>
      <c r="H383" s="93" t="n"/>
      <c r="I383" s="2145" t="n"/>
      <c r="J383" s="2145" t="n"/>
      <c r="K383" s="53" t="n"/>
      <c r="L383" s="53" t="n"/>
    </row>
    <row r="384" customFormat="1" s="1916">
      <c r="A384" s="53" t="n"/>
      <c r="B384" s="93" t="n"/>
      <c r="C384" s="2145" t="n"/>
      <c r="D384" s="2145" t="n"/>
      <c r="E384" s="111" t="n"/>
      <c r="F384" s="53" t="n"/>
      <c r="G384" s="53" t="n"/>
      <c r="H384" s="93" t="n"/>
      <c r="I384" s="2145" t="n"/>
      <c r="J384" s="2145" t="n"/>
      <c r="K384" s="53" t="n"/>
      <c r="L384" s="53" t="n"/>
    </row>
    <row r="385" customFormat="1" s="1916">
      <c r="A385" s="53" t="n"/>
      <c r="B385" s="93" t="n"/>
      <c r="C385" s="2145" t="n"/>
      <c r="D385" s="2145" t="n"/>
      <c r="E385" s="53" t="n"/>
      <c r="F385" s="53" t="n"/>
      <c r="G385" s="53" t="n"/>
      <c r="H385" s="93" t="n"/>
      <c r="I385" s="2145" t="n"/>
      <c r="J385" s="2145" t="n"/>
      <c r="K385" s="53" t="n"/>
      <c r="L385" s="53" t="n"/>
    </row>
    <row r="386" customFormat="1" s="1916">
      <c r="A386" s="53" t="n"/>
      <c r="B386" s="93" t="n"/>
      <c r="C386" s="2145" t="n"/>
      <c r="D386" s="2145" t="n"/>
      <c r="E386" s="53" t="n"/>
      <c r="F386" s="53" t="n"/>
      <c r="G386" s="53" t="n"/>
      <c r="H386" s="93" t="n"/>
      <c r="I386" s="2145" t="n"/>
      <c r="J386" s="2145" t="n"/>
      <c r="K386" s="53" t="n"/>
      <c r="L386" s="53" t="n"/>
    </row>
    <row r="387" customFormat="1" s="1916">
      <c r="A387" s="53" t="n"/>
      <c r="B387" s="93" t="n"/>
      <c r="C387" s="2145" t="n"/>
      <c r="D387" s="2145" t="n"/>
      <c r="E387" s="53" t="n"/>
      <c r="F387" s="53" t="n"/>
      <c r="G387" s="53" t="n"/>
      <c r="H387" s="93" t="n"/>
      <c r="I387" s="2145" t="n"/>
      <c r="J387" s="2145" t="n"/>
      <c r="K387" s="53" t="n"/>
      <c r="L387" s="53" t="n"/>
    </row>
    <row r="388" customFormat="1" s="1916">
      <c r="A388" s="53" t="n"/>
      <c r="B388" s="93" t="n"/>
      <c r="C388" s="2145" t="n"/>
      <c r="D388" s="2145" t="n"/>
      <c r="E388" s="53" t="n"/>
      <c r="F388" s="53" t="n"/>
      <c r="G388" s="53" t="n"/>
      <c r="H388" s="93" t="n"/>
      <c r="I388" s="2145" t="n"/>
      <c r="J388" s="2145" t="n"/>
      <c r="K388" s="53" t="n"/>
      <c r="L388" s="53" t="n"/>
    </row>
    <row r="389" customFormat="1" s="1916">
      <c r="A389" s="103" t="n"/>
      <c r="B389" s="103" t="n"/>
      <c r="C389" s="2147" t="n"/>
      <c r="D389" s="2147" t="n"/>
      <c r="E389" s="53" t="n"/>
      <c r="F389" s="53" t="n"/>
      <c r="G389" s="103" t="n"/>
      <c r="H389" s="103" t="n"/>
      <c r="I389" s="2147" t="n"/>
      <c r="J389" s="2147" t="n"/>
      <c r="K389" s="53" t="n"/>
      <c r="L389" s="53" t="n"/>
    </row>
    <row r="390" customFormat="1" s="1916">
      <c r="A390" s="53" t="n"/>
      <c r="B390" s="53" t="n"/>
      <c r="C390" s="2145" t="n"/>
      <c r="D390" s="2145" t="n"/>
      <c r="E390" s="53" t="n"/>
      <c r="F390" s="53" t="n"/>
      <c r="G390" s="53" t="n"/>
      <c r="H390" s="53" t="n"/>
      <c r="I390" s="53" t="n"/>
      <c r="K390" s="106" t="n"/>
      <c r="L390" s="106" t="n"/>
    </row>
    <row r="391" customFormat="1" s="1916">
      <c r="A391" s="53" t="n"/>
      <c r="B391" s="53" t="n"/>
      <c r="C391" s="2145" t="n"/>
      <c r="D391" s="2145" t="n"/>
      <c r="E391" s="53" t="n"/>
      <c r="F391" s="53" t="n"/>
    </row>
    <row r="392" customFormat="1" s="1916">
      <c r="A392" s="53" t="n"/>
      <c r="B392" s="53" t="n"/>
      <c r="C392" s="2145" t="n"/>
      <c r="D392" s="2147" t="n"/>
      <c r="E392" s="53" t="n"/>
      <c r="F392" s="53" t="n"/>
    </row>
    <row r="393" customFormat="1" s="1916">
      <c r="A393" s="53" t="n"/>
      <c r="B393" s="53" t="n"/>
      <c r="C393" s="2145" t="n"/>
      <c r="D393" s="2145" t="n"/>
      <c r="E393" s="53" t="n"/>
      <c r="F393" s="53" t="n"/>
    </row>
    <row r="394" customFormat="1" s="1916">
      <c r="A394" s="53" t="n"/>
      <c r="B394" s="53" t="n"/>
      <c r="C394" s="2145" t="n"/>
      <c r="D394" s="2145" t="n"/>
      <c r="E394" s="53" t="n"/>
      <c r="F394" s="53" t="n"/>
    </row>
    <row r="395" customFormat="1" s="1916">
      <c r="A395" s="53" t="n"/>
      <c r="B395" s="112" t="n"/>
      <c r="C395" s="2145" t="n"/>
      <c r="D395" s="2145" t="n"/>
      <c r="E395" s="53" t="n"/>
      <c r="F395" s="53" t="n"/>
    </row>
    <row r="396" customFormat="1" s="1916">
      <c r="A396" s="53" t="n"/>
      <c r="B396" s="112" t="n"/>
      <c r="C396" s="2145" t="n"/>
      <c r="D396" s="2145" t="n"/>
      <c r="E396" s="53" t="n"/>
      <c r="F396" s="53" t="n"/>
    </row>
    <row r="397" customFormat="1" s="1916">
      <c r="A397" s="53" t="n"/>
      <c r="B397" s="113" t="n"/>
      <c r="C397" s="2145" t="n"/>
      <c r="D397" s="2145" t="n"/>
      <c r="E397" s="53" t="n"/>
      <c r="F397" s="53" t="n"/>
    </row>
    <row r="398" customFormat="1" s="1916">
      <c r="A398" s="53" t="n"/>
      <c r="B398" s="113" t="n"/>
      <c r="C398" s="2145" t="n"/>
      <c r="D398" s="2145" t="n"/>
      <c r="E398" s="53" t="n"/>
      <c r="F398" s="53" t="n"/>
    </row>
    <row r="399" customFormat="1" s="1916">
      <c r="A399" s="53" t="n"/>
      <c r="B399" s="113" t="n"/>
      <c r="C399" s="2145" t="n"/>
      <c r="D399" s="2145" t="n"/>
      <c r="E399" s="53" t="n"/>
      <c r="F399" s="53" t="n"/>
    </row>
    <row r="400" customFormat="1" s="1916">
      <c r="A400" s="53" t="n"/>
      <c r="B400" s="113" t="n"/>
      <c r="C400" s="2145" t="n"/>
      <c r="D400" s="2145" t="n"/>
      <c r="E400" s="53" t="n"/>
      <c r="F400" s="53" t="n"/>
    </row>
    <row r="401" customFormat="1" s="1916">
      <c r="A401" s="53" t="n"/>
      <c r="B401" s="112" t="n"/>
      <c r="C401" s="2145" t="n"/>
      <c r="D401" s="2145" t="n"/>
      <c r="E401" s="53" t="n"/>
      <c r="F401" s="53" t="n"/>
    </row>
    <row r="402" customFormat="1" s="1916">
      <c r="A402" s="53" t="n"/>
      <c r="B402" s="112" t="n"/>
      <c r="C402" s="2145" t="n"/>
      <c r="D402" s="2145" t="n"/>
      <c r="E402" s="53" t="n"/>
      <c r="F402" s="53" t="n"/>
    </row>
    <row r="403" customFormat="1" s="1916">
      <c r="A403" s="53" t="n"/>
      <c r="B403" s="112" t="n"/>
      <c r="C403" s="2145" t="n"/>
      <c r="D403" s="2149" t="n"/>
      <c r="E403" s="53" t="n"/>
      <c r="F403" s="53" t="n"/>
    </row>
    <row r="404" customFormat="1" s="1916">
      <c r="A404" s="53" t="n"/>
      <c r="B404" s="113" t="n"/>
      <c r="C404" s="2145" t="n"/>
      <c r="D404" s="2145" t="n"/>
      <c r="E404" s="53" t="n"/>
      <c r="F404" s="53" t="n"/>
      <c r="G404" s="53" t="n"/>
      <c r="I404" s="2154" t="n"/>
    </row>
    <row r="405" customFormat="1" s="1916">
      <c r="A405" s="53" t="n"/>
      <c r="B405" s="53" t="n"/>
      <c r="C405" s="2145" t="n"/>
      <c r="D405" s="2145" t="n"/>
      <c r="E405" s="2145" t="n"/>
      <c r="F405" s="2145" t="n"/>
    </row>
    <row r="406" customFormat="1" s="1916">
      <c r="A406" s="53" t="n"/>
      <c r="B406" s="53" t="n"/>
      <c r="C406" s="2145" t="n"/>
      <c r="D406" s="2145" t="n"/>
      <c r="F406" s="108" t="n"/>
    </row>
    <row r="407" customFormat="1" s="1916">
      <c r="D407" s="2145" t="n"/>
    </row>
    <row r="408" customFormat="1" s="1916"/>
    <row r="409" customFormat="1" s="1916"/>
    <row r="410" customFormat="1" s="1916"/>
    <row r="411" customFormat="1" s="1916"/>
    <row r="412" customFormat="1" s="1916"/>
    <row r="413" customFormat="1" s="1916"/>
    <row r="414" customFormat="1" s="1916"/>
    <row r="415" customFormat="1" s="1916"/>
    <row r="416">
      <c r="P416" s="1916" t="n"/>
      <c r="Q416" s="1916" t="n"/>
      <c r="R416" s="1916" t="n"/>
      <c r="S416" s="1916" t="n"/>
      <c r="T416" s="1916" t="n"/>
      <c r="U416" s="1916" t="n"/>
      <c r="V416" s="1916" t="n"/>
      <c r="AA416" s="1916" t="n"/>
      <c r="AB416" s="1916" t="n"/>
    </row>
    <row r="417">
      <c r="P417" s="1916" t="n"/>
      <c r="Q417" s="1916" t="n"/>
      <c r="R417" s="1916" t="n"/>
      <c r="S417" s="1916" t="n"/>
      <c r="T417" s="1916" t="n"/>
      <c r="U417" s="1916" t="n"/>
      <c r="V417" s="1916" t="n"/>
      <c r="AA417" s="1916" t="n"/>
      <c r="AB417" s="1916" t="n"/>
    </row>
    <row r="418">
      <c r="AA418" s="1916" t="n"/>
      <c r="AB418" s="1916" t="n"/>
    </row>
    <row r="419">
      <c r="AA419" s="1916" t="n"/>
      <c r="AB419" s="1916" t="n"/>
    </row>
    <row r="420">
      <c r="AA420" s="1916" t="n"/>
      <c r="AB420" s="1916" t="n"/>
    </row>
    <row r="421">
      <c r="AA421" s="1916" t="n"/>
      <c r="AB421" s="1916" t="n"/>
    </row>
    <row r="422">
      <c r="AA422" s="1916" t="n"/>
      <c r="AB422" s="1916" t="n"/>
    </row>
    <row r="423">
      <c r="AA423" s="1916" t="n"/>
      <c r="AB423" s="1916" t="n"/>
    </row>
    <row r="424">
      <c r="AA424" s="1916" t="n"/>
      <c r="AB424" s="1916" t="n"/>
    </row>
    <row r="425">
      <c r="AA425" s="1916" t="n"/>
      <c r="AB425" s="1916" t="n"/>
    </row>
    <row r="426">
      <c r="AA426" s="1916" t="n"/>
      <c r="AB426" s="1916" t="n"/>
    </row>
    <row r="427">
      <c r="AA427" s="1916" t="n"/>
      <c r="AB427" s="1916" t="n"/>
    </row>
    <row r="428">
      <c r="AA428" s="1916" t="n"/>
      <c r="AB428" s="1916" t="n"/>
    </row>
    <row r="429">
      <c r="AA429" s="1916" t="n"/>
      <c r="AB429" s="1916" t="n"/>
    </row>
    <row r="430">
      <c r="AA430" s="1916" t="n"/>
      <c r="AB430" s="1916" t="n"/>
    </row>
    <row r="431">
      <c r="AA431" s="1916" t="n"/>
      <c r="AB431" s="1916" t="n"/>
    </row>
    <row r="432">
      <c r="AA432" s="1916" t="n"/>
      <c r="AB432" s="1916" t="n"/>
    </row>
    <row r="433">
      <c r="AA433" s="1916" t="n"/>
      <c r="AB433" s="1916" t="n"/>
    </row>
    <row r="434">
      <c r="AA434" s="1916" t="n"/>
      <c r="AB434" s="1916" t="n"/>
    </row>
    <row r="435">
      <c r="AA435" s="1916" t="n"/>
      <c r="AB435" s="1916" t="n"/>
    </row>
    <row r="436">
      <c r="AA436" s="1916" t="n"/>
      <c r="AB436" s="1916" t="n"/>
    </row>
    <row r="437">
      <c r="AA437" s="1916" t="n"/>
      <c r="AB437" s="1916" t="n"/>
    </row>
    <row r="438">
      <c r="AA438" s="1916" t="n"/>
      <c r="AB438" s="1916" t="n"/>
    </row>
    <row r="439">
      <c r="AA439" s="1916" t="n"/>
      <c r="AB439" s="1916" t="n"/>
    </row>
    <row r="440">
      <c r="AA440" s="1916" t="n"/>
      <c r="AB440" s="1916" t="n"/>
    </row>
    <row r="441">
      <c r="AA441" s="1916" t="n"/>
      <c r="AB441" s="1916" t="n"/>
    </row>
    <row r="442">
      <c r="AA442" s="1916" t="n"/>
      <c r="AB442" s="1916" t="n"/>
    </row>
    <row r="443">
      <c r="AA443" s="1916" t="n"/>
      <c r="AB443" s="1916" t="n"/>
    </row>
    <row r="444">
      <c r="AA444" s="1916" t="n"/>
      <c r="AB444" s="1916" t="n"/>
    </row>
    <row r="445">
      <c r="AA445" s="1916" t="n"/>
      <c r="AB445" s="1916" t="n"/>
    </row>
    <row r="446">
      <c r="AA446" s="1916" t="n"/>
      <c r="AB446" s="1916" t="n"/>
    </row>
    <row r="447">
      <c r="AA447" s="1916" t="n"/>
      <c r="AB447" s="1916" t="n"/>
    </row>
    <row r="448">
      <c r="AA448" s="1916" t="n"/>
      <c r="AB448" s="1916" t="n"/>
    </row>
    <row r="449">
      <c r="AA449" s="1916" t="n"/>
      <c r="AB449" s="1916" t="n"/>
    </row>
    <row r="450">
      <c r="AA450" s="1916" t="n"/>
      <c r="AB450" s="1916" t="n"/>
    </row>
    <row r="451">
      <c r="AA451" s="1916" t="n"/>
      <c r="AB451" s="1916" t="n"/>
    </row>
    <row r="452">
      <c r="AA452" s="1916" t="n"/>
      <c r="AB452" s="1916" t="n"/>
    </row>
    <row r="453">
      <c r="AA453" s="1916" t="n"/>
      <c r="AB453" s="1916" t="n"/>
    </row>
    <row r="454">
      <c r="AA454" s="1916" t="n"/>
      <c r="AB454" s="1916" t="n"/>
    </row>
    <row r="455">
      <c r="AA455" s="1916" t="n"/>
      <c r="AB455" s="1916" t="n"/>
    </row>
    <row r="456">
      <c r="AA456" s="1916" t="n"/>
      <c r="AB456" s="1916" t="n"/>
    </row>
    <row r="457">
      <c r="AA457" s="1916" t="n"/>
      <c r="AB457" s="1916" t="n"/>
    </row>
    <row r="458">
      <c r="AA458" s="1916" t="n"/>
      <c r="AB458" s="1916" t="n"/>
    </row>
    <row r="459">
      <c r="AA459" s="1916" t="n"/>
      <c r="AB459" s="1916" t="n"/>
    </row>
    <row r="460">
      <c r="AA460" s="1916" t="n"/>
      <c r="AB460" s="1916" t="n"/>
    </row>
    <row r="461">
      <c r="AA461" s="1916" t="n"/>
      <c r="AB461" s="1916" t="n"/>
    </row>
    <row r="462">
      <c r="AA462" s="1916" t="n"/>
      <c r="AB462" s="1916" t="n"/>
    </row>
    <row r="463">
      <c r="AA463" s="1916" t="n"/>
      <c r="AB463" s="1916" t="n"/>
    </row>
    <row r="464">
      <c r="AA464" s="1916" t="n"/>
      <c r="AB464" s="1916" t="n"/>
    </row>
    <row r="465">
      <c r="AA465" s="1916" t="n"/>
      <c r="AB465" s="1916" t="n"/>
    </row>
    <row r="466">
      <c r="AA466" s="1916" t="n"/>
      <c r="AB466" s="1916" t="n"/>
    </row>
    <row r="467">
      <c r="AA467" s="1916" t="n"/>
      <c r="AB467" s="1916" t="n"/>
    </row>
    <row r="468">
      <c r="AA468" s="1916" t="n"/>
      <c r="AB468" s="1916" t="n"/>
    </row>
    <row r="469">
      <c r="AA469" s="1916" t="n"/>
      <c r="AB469" s="1916" t="n"/>
    </row>
    <row r="470">
      <c r="AA470" s="1916" t="n"/>
      <c r="AB470" s="1916" t="n"/>
    </row>
    <row r="471">
      <c r="AA471" s="1916" t="n"/>
      <c r="AB471" s="1916" t="n"/>
    </row>
    <row r="472">
      <c r="AA472" s="1916" t="n"/>
      <c r="AB472" s="1916" t="n"/>
    </row>
    <row r="473">
      <c r="AA473" s="1916" t="n"/>
      <c r="AB473" s="1916" t="n"/>
    </row>
    <row r="474">
      <c r="AA474" s="1916" t="n"/>
      <c r="AB474" s="1916" t="n"/>
    </row>
    <row r="475">
      <c r="AA475" s="1916" t="n"/>
      <c r="AB475" s="1916" t="n"/>
    </row>
    <row r="476">
      <c r="AA476" s="1916" t="n"/>
      <c r="AB476" s="1916" t="n"/>
    </row>
    <row r="477">
      <c r="AA477" s="1916" t="n"/>
      <c r="AB477" s="1916" t="n"/>
    </row>
    <row r="478">
      <c r="AA478" s="1916" t="n"/>
      <c r="AB478" s="1916" t="n"/>
    </row>
    <row r="479">
      <c r="AA479" s="1916" t="n"/>
      <c r="AB479" s="1916" t="n"/>
    </row>
    <row r="480">
      <c r="AA480" s="1916" t="n"/>
      <c r="AB480" s="1916" t="n"/>
    </row>
    <row r="481">
      <c r="AA481" s="1916" t="n"/>
      <c r="AB481" s="1916" t="n"/>
    </row>
    <row r="482">
      <c r="AA482" s="1916" t="n"/>
      <c r="AB482" s="1916" t="n"/>
    </row>
    <row r="483">
      <c r="AA483" s="1916" t="n"/>
      <c r="AB483" s="1916" t="n"/>
    </row>
    <row r="484">
      <c r="AA484" s="1916" t="n"/>
      <c r="AB484" s="1916" t="n"/>
    </row>
    <row r="485">
      <c r="AA485" s="1916" t="n"/>
      <c r="AB485" s="1916" t="n"/>
    </row>
    <row r="486">
      <c r="AA486" s="1916" t="n"/>
      <c r="AB486" s="1916" t="n"/>
    </row>
    <row r="487">
      <c r="AA487" s="1916" t="n"/>
      <c r="AB487" s="1916" t="n"/>
    </row>
    <row r="488">
      <c r="AA488" s="1916" t="n"/>
      <c r="AB488" s="1916" t="n"/>
    </row>
    <row r="489">
      <c r="AA489" s="1916" t="n"/>
      <c r="AB489" s="1916" t="n"/>
    </row>
    <row r="490">
      <c r="AA490" s="1916" t="n"/>
      <c r="AB490" s="1916" t="n"/>
    </row>
    <row r="491">
      <c r="AA491" s="1916" t="n"/>
      <c r="AB491" s="1916" t="n"/>
    </row>
    <row r="492">
      <c r="AA492" s="1916" t="n"/>
      <c r="AB492" s="1916" t="n"/>
    </row>
    <row r="493">
      <c r="AA493" s="1916" t="n"/>
      <c r="AB493" s="1916" t="n"/>
    </row>
    <row r="494">
      <c r="AA494" s="1916" t="n"/>
      <c r="AB494" s="1916" t="n"/>
    </row>
    <row r="495">
      <c r="AA495" s="1916" t="n"/>
      <c r="AB495" s="1916" t="n"/>
    </row>
    <row r="496">
      <c r="AA496" s="1916" t="n"/>
      <c r="AB496" s="1916" t="n"/>
    </row>
    <row r="497">
      <c r="AA497" s="1916" t="n"/>
      <c r="AB497" s="1916" t="n"/>
    </row>
    <row r="498">
      <c r="AA498" s="1916" t="n"/>
      <c r="AB498" s="1916" t="n"/>
    </row>
    <row r="499">
      <c r="AA499" s="1916" t="n"/>
      <c r="AB499" s="1916" t="n"/>
    </row>
  </sheetData>
  <mergeCells count="3">
    <mergeCell ref="P4:V4"/>
    <mergeCell ref="V6:W6"/>
    <mergeCell ref="G43:J43"/>
  </mergeCells>
  <conditionalFormatting sqref="A75:B75">
    <cfRule type="expression" priority="1" dxfId="4">
      <formula>$D$6="yes"</formula>
    </cfRule>
  </conditionalFormatting>
  <conditionalFormatting sqref="D5">
    <cfRule type="cellIs" priority="4" operator="equal" dxfId="2">
      <formula>"Yes"</formula>
    </cfRule>
  </conditionalFormatting>
  <conditionalFormatting sqref="D6">
    <cfRule type="containsText" priority="7" operator="containsText" dxfId="10" text="Yes">
      <formula>NOT(ISERROR(SEARCH("Yes",D6)))</formula>
    </cfRule>
  </conditionalFormatting>
  <conditionalFormatting sqref="D14">
    <cfRule type="containsText" priority="12" operator="containsText" dxfId="2" text="owner">
      <formula>NOT(ISERROR(SEARCH("owner",D14)))</formula>
    </cfRule>
  </conditionalFormatting>
  <conditionalFormatting sqref="D75">
    <cfRule type="expression" priority="2" dxfId="4">
      <formula>$D$6="yes"</formula>
    </cfRule>
  </conditionalFormatting>
  <conditionalFormatting sqref="E35">
    <cfRule type="containsText" priority="5" operator="containsText" dxfId="2" text="10 hour days">
      <formula>NOT(ISERROR(SEARCH("10 hour days",E35)))</formula>
    </cfRule>
    <cfRule type="containsText" priority="6" operator="containsText" dxfId="4" text="8 hour days">
      <formula>NOT(ISERROR(SEARCH("8 hour days",E35)))</formula>
    </cfRule>
  </conditionalFormatting>
  <conditionalFormatting sqref="E36">
    <cfRule type="cellIs" priority="3" operator="equal" dxfId="9" stopIfTrue="1">
      <formula>"PW"</formula>
    </cfRule>
  </conditionalFormatting>
  <conditionalFormatting sqref="F35">
    <cfRule type="cellIs" priority="8" operator="lessThan" dxfId="1">
      <formula>0.1</formula>
    </cfRule>
    <cfRule type="cellIs" priority="9" operator="greaterThan" dxfId="2">
      <formula>0.2</formula>
    </cfRule>
    <cfRule type="cellIs" priority="10" operator="greaterThan" dxfId="2">
      <formula>0.25</formula>
    </cfRule>
    <cfRule type="cellIs" priority="11" operator="lessThan" dxfId="1">
      <formula>0.15</formula>
    </cfRule>
  </conditionalFormatting>
  <hyperlinks>
    <hyperlink xmlns:r="http://schemas.openxmlformats.org/officeDocument/2006/relationships" ref="A75" display="Kansas Remodel Tax" r:id="rId1"/>
  </hyperlinks>
  <pageMargins left="0.75" right="0.75" top="0.5" bottom="0.25" header="0.5" footer="0.5"/>
  <pageSetup orientation="portrait" scale="68" horizontalDpi="4294967292" verticalDpi="4294967292"/>
  <colBreaks count="1" manualBreakCount="1">
    <brk id="6" min="0" max="1048575" man="1"/>
  </col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L590"/>
  <sheetViews>
    <sheetView zoomScaleNormal="100" workbookViewId="0">
      <selection activeCell="C11" sqref="C11"/>
    </sheetView>
  </sheetViews>
  <sheetFormatPr baseColWidth="8" defaultColWidth="11.19921875" defaultRowHeight="15.6"/>
  <cols>
    <col width="19.796875" customWidth="1" min="1" max="1"/>
    <col width="13.796875" customWidth="1" min="2" max="2"/>
    <col width="13.296875" customWidth="1" min="3" max="3"/>
    <col width="14.296875" customWidth="1" min="4" max="4"/>
    <col width="16.796875" customWidth="1" min="5" max="5"/>
    <col width="17.796875" customWidth="1" min="6" max="6"/>
    <col width="18.296875" customWidth="1" min="7" max="7"/>
    <col width="19.5" customWidth="1" min="8" max="9"/>
    <col width="14.19921875" bestFit="1" customWidth="1" min="10" max="10"/>
    <col width="19.296875" customWidth="1" min="11" max="11"/>
    <col width="14.796875" customWidth="1" min="12" max="12"/>
    <col width="13" customWidth="1" min="13" max="13"/>
    <col width="13.796875" customWidth="1" min="14" max="14"/>
    <col width="12.69921875" bestFit="1" customWidth="1" min="15" max="15"/>
    <col width="13.796875" customWidth="1" min="16" max="18"/>
    <col width="13.69921875" customWidth="1" min="19" max="19"/>
    <col width="13.796875" customWidth="1" min="20" max="20"/>
    <col width="9.19921875" customWidth="1" min="21" max="21"/>
    <col width="16.296875" customWidth="1" min="22" max="22"/>
    <col width="9.796875" customWidth="1" min="23" max="23"/>
    <col width="13.69921875" customWidth="1" min="24" max="24"/>
    <col width="3.296875" customWidth="1" min="25" max="25"/>
    <col width="15.69921875" bestFit="1" customWidth="1" min="26" max="26"/>
    <col width="22.5" bestFit="1" customWidth="1" min="27" max="27"/>
    <col width="11.5" bestFit="1" customWidth="1" min="28" max="28"/>
    <col width="21.69921875" bestFit="1" customWidth="1" min="36" max="36"/>
    <col width="19" bestFit="1" customWidth="1" min="39" max="39"/>
    <col width="22.5" bestFit="1" customWidth="1" min="42" max="42"/>
    <col width="22.5" bestFit="1" customWidth="1" min="45" max="45"/>
    <col width="11.69921875" bestFit="1" customWidth="1" min="48" max="48"/>
    <col width="2.296875" customWidth="1" min="49" max="49"/>
    <col width="2.796875" customWidth="1" min="50" max="50"/>
    <col width="11.69921875" bestFit="1" customWidth="1" min="51" max="51"/>
    <col width="3" customWidth="1" min="52" max="52"/>
    <col width="3.296875" customWidth="1" min="53" max="53"/>
    <col width="11.69921875" bestFit="1" customWidth="1" min="54" max="54"/>
    <col width="2.19921875" customWidth="1" min="55" max="56"/>
    <col width="9" bestFit="1" customWidth="1" min="57" max="57"/>
    <col width="14.796875" bestFit="1" customWidth="1" min="58" max="58"/>
    <col width="9" bestFit="1" customWidth="1" min="59" max="59"/>
    <col width="2.796875" customWidth="1" min="60" max="60"/>
    <col width="12.5" bestFit="1" customWidth="1" min="61" max="61"/>
    <col width="7.69921875" bestFit="1" customWidth="1" min="62" max="62"/>
    <col width="3.296875" customWidth="1" min="63" max="63"/>
    <col width="13.69921875" bestFit="1" customWidth="1" min="64" max="64"/>
    <col width="9" bestFit="1" customWidth="1" min="65" max="65"/>
    <col width="3.296875" customWidth="1" min="66" max="66"/>
    <col width="15.69921875" bestFit="1" customWidth="1" min="67" max="67"/>
    <col width="21.69921875" bestFit="1" customWidth="1" min="78" max="78"/>
    <col width="19" bestFit="1" customWidth="1" min="81" max="81"/>
    <col width="22.5" bestFit="1" customWidth="1" min="84" max="84"/>
    <col width="22.5" bestFit="1" customWidth="1" min="87" max="87"/>
    <col width="11.69921875" bestFit="1" customWidth="1" min="90" max="90"/>
    <col width="2.296875" customWidth="1" min="91" max="91"/>
    <col width="2.796875" customWidth="1" min="92" max="92"/>
    <col width="11.69921875" bestFit="1" customWidth="1" min="93" max="93"/>
    <col width="3" customWidth="1" min="94" max="94"/>
    <col width="3.296875" customWidth="1" min="95" max="95"/>
    <col width="11.69921875" bestFit="1" customWidth="1" min="96" max="96"/>
    <col width="2.19921875" customWidth="1" min="97" max="98"/>
    <col width="9" bestFit="1" customWidth="1" min="99" max="99"/>
    <col width="14.796875" bestFit="1" customWidth="1" min="100" max="100"/>
    <col width="9" bestFit="1" customWidth="1" min="101" max="101"/>
    <col width="2.796875" customWidth="1" min="102" max="102"/>
    <col width="12.5" bestFit="1" customWidth="1" min="103" max="103"/>
    <col width="7.69921875" bestFit="1" customWidth="1" min="104" max="104"/>
    <col width="3.296875" customWidth="1" min="105" max="105"/>
    <col width="13.69921875" bestFit="1" customWidth="1" min="106" max="106"/>
    <col width="9" bestFit="1" customWidth="1" min="107" max="107"/>
    <col width="3.296875" customWidth="1" min="108" max="108"/>
    <col width="15.69921875" bestFit="1" customWidth="1" min="109" max="109"/>
  </cols>
  <sheetData>
    <row r="1" customFormat="1" s="585">
      <c r="A1" s="584" t="inlineStr">
        <is>
          <t>Project</t>
        </is>
      </c>
      <c r="B1" s="585">
        <f>Epoxy!B1</f>
        <v/>
      </c>
      <c r="G1" s="586" t="inlineStr">
        <is>
          <t>Bidding Contacts:</t>
        </is>
      </c>
      <c r="L1" s="1068" t="inlineStr">
        <is>
          <t>MVP  $ / SF Ranges: (08/2023)</t>
        </is>
      </c>
      <c r="M1" s="718" t="n"/>
    </row>
    <row r="2" customFormat="1" s="585">
      <c r="A2" s="584" t="inlineStr">
        <is>
          <t>Bid Date</t>
        </is>
      </c>
      <c r="B2" s="587">
        <f>Epoxy!B2</f>
        <v/>
      </c>
      <c r="C2" s="587" t="n"/>
      <c r="D2" s="587" t="n"/>
      <c r="G2" s="588" t="n"/>
      <c r="L2" s="1927" t="n">
        <v>3</v>
      </c>
      <c r="M2" s="1070" t="inlineStr">
        <is>
          <t>Standard</t>
        </is>
      </c>
    </row>
    <row r="3" customFormat="1" s="585">
      <c r="A3" s="584" t="inlineStr">
        <is>
          <t>Address</t>
        </is>
      </c>
      <c r="B3" s="585">
        <f>Epoxy!B3</f>
        <v/>
      </c>
      <c r="G3" s="588" t="n"/>
      <c r="L3" s="1928" t="n">
        <v>3.25</v>
      </c>
      <c r="M3" s="590" t="inlineStr">
        <is>
          <t>&lt; 1,500 sf *</t>
        </is>
      </c>
      <c r="N3" s="590" t="inlineStr">
        <is>
          <t xml:space="preserve">  * use your </t>
        </is>
      </c>
    </row>
    <row r="4" customFormat="1" s="585">
      <c r="A4" s="1637" t="inlineStr">
        <is>
          <t>Local?</t>
        </is>
      </c>
      <c r="B4" s="585">
        <f>Epoxy!B4</f>
        <v/>
      </c>
      <c r="C4" s="590" t="inlineStr">
        <is>
          <t>&lt; 70 miles?</t>
        </is>
      </c>
      <c r="D4" s="591" t="n"/>
      <c r="F4" s="592" t="n"/>
      <c r="G4" s="588" t="n"/>
      <c r="H4" s="593" t="n"/>
      <c r="I4" s="594" t="n"/>
      <c r="J4" s="594" t="n"/>
      <c r="K4" s="594" t="n"/>
      <c r="L4" s="1929" t="n">
        <v>2.75</v>
      </c>
      <c r="M4" s="1072" t="inlineStr">
        <is>
          <t>&gt; 10,000 sf *</t>
        </is>
      </c>
      <c r="N4" s="674" t="inlineStr">
        <is>
          <t xml:space="preserve">discretion </t>
        </is>
      </c>
      <c r="AJ4" s="1930" t="n">
        <v>1000</v>
      </c>
      <c r="AK4" s="1930" t="n"/>
      <c r="AL4" s="1930" t="n"/>
      <c r="AM4" s="1930">
        <f>AJ4</f>
        <v/>
      </c>
      <c r="AN4" s="1930" t="n"/>
      <c r="AO4" s="1930" t="n"/>
      <c r="AP4" s="1930">
        <f>AJ4+AM4</f>
        <v/>
      </c>
      <c r="AQ4" s="1930" t="n"/>
      <c r="AR4" s="1930" t="n"/>
      <c r="AS4" s="1930">
        <f>AP4</f>
        <v/>
      </c>
      <c r="AT4" s="596">
        <f>IF(AJ4&lt;=#REF!,#REF!,IF(AJ4&lt;=#REF!,#REF!,IF(AJ4&lt;=#REF!,#REF!,IF(AJ4&lt;=#REF!,#REF!,IF(AJ4&lt;=#REF!,#REF!,IF(AJ4&lt;=#REF!,#REF!,IF(AJ4&lt;=#REF!,#REF!,0.05)))))))</f>
        <v/>
      </c>
      <c r="AU4" s="1930">
        <f>AT4*AJ4</f>
        <v/>
      </c>
      <c r="AV4" s="596" t="n"/>
      <c r="AW4" s="596">
        <f>IF(AM4&lt;=#REF!,#REF!,IF(AM4&lt;=#REF!,#REF!,IF(AM4&lt;=#REF!,#REF!,IF(AM4&lt;=#REF!,#REF!,IF(AM4&lt;=#REF!,#REF!,IF(AM4&lt;=#REF!,#REF!,IF(AM4&lt;=#REF!,#REF!,0.05)))))))</f>
        <v/>
      </c>
      <c r="AX4" s="1930">
        <f>AW4*AM4</f>
        <v/>
      </c>
      <c r="AY4" s="596" t="n"/>
      <c r="AZ4" s="596">
        <f>IF(AP4&lt;=#REF!,#REF!,IF(AP4&lt;=#REF!,#REF!,IF(AP4&lt;=#REF!,#REF!,IF(AP4&lt;=#REF!,#REF!,IF(AP4&lt;=#REF!,#REF!,IF(AP4&lt;=#REF!,#REF!,IF(AP4&lt;=#REF!,#REF!,0.05)))))))</f>
        <v/>
      </c>
      <c r="BA4" s="1930">
        <f>AZ4*SUM(AX4,AU4,AP4)</f>
        <v/>
      </c>
      <c r="BB4" s="596" t="n"/>
      <c r="BC4" s="1931">
        <f>IF(AS4&lt;=#REF!,#REF!,IF(AS4&lt;=#REF!,#REF!,IF(AS4&lt;=#REF!,#REF!,IF(AS4&lt;=#REF!,#REF!,IF(AS4&lt;=#REF!,#REF!,IF(AS4&lt;=#REF!,#REF!,IF(AS4&lt;=#REF!,#REF!,0.05)))))))</f>
        <v/>
      </c>
      <c r="BD4" s="1930">
        <f>BC4*AS4</f>
        <v/>
      </c>
      <c r="BF4" s="1932">
        <f>0.07*SUM(AP4,AU4,AX4,BA4,BD4)</f>
        <v/>
      </c>
      <c r="BH4" s="1932">
        <f>SUM(BF4,BD4,BA4,AX4,AU4,AP4)</f>
        <v/>
      </c>
      <c r="BI4" s="1933">
        <f>SUM(BD4,BA4,AX4,AU4)</f>
        <v/>
      </c>
      <c r="BJ4" s="596">
        <f>BI4/BH4</f>
        <v/>
      </c>
      <c r="BM4" s="596" t="n">
        <v>0.1</v>
      </c>
      <c r="BN4" s="1930" t="n">
        <v>5000</v>
      </c>
      <c r="BP4" s="596" t="n">
        <v>0.35</v>
      </c>
      <c r="BQ4" s="1930" t="n">
        <v>2000</v>
      </c>
      <c r="BR4" s="1930" t="n"/>
      <c r="BS4" s="596" t="n">
        <v>0.28</v>
      </c>
      <c r="BT4" s="1930" t="n">
        <v>9000</v>
      </c>
      <c r="BV4" s="1931" t="n">
        <v>0</v>
      </c>
      <c r="BW4" s="1930" t="n">
        <v>9000</v>
      </c>
      <c r="BZ4" s="1930" t="n">
        <v>1000</v>
      </c>
      <c r="CA4" s="1930" t="n"/>
      <c r="CB4" s="1930" t="n"/>
      <c r="CC4" s="1930">
        <f>BZ4</f>
        <v/>
      </c>
      <c r="CD4" s="1930" t="n"/>
      <c r="CE4" s="1930" t="n"/>
      <c r="CF4" s="1930">
        <f>BZ4+CC4</f>
        <v/>
      </c>
      <c r="CG4" s="1930" t="n"/>
      <c r="CH4" s="1930" t="n"/>
      <c r="CI4" s="1930">
        <f>CF4</f>
        <v/>
      </c>
      <c r="CJ4" s="596">
        <f>IF(BZ4&lt;=BN$4,BM$4,IF(BZ4&lt;=BN$5,BM$5,IF(BZ4&lt;=BN$6,BM$6,IF(BZ4&lt;=BN$7,BM$7,IF(BZ4&lt;=BN$12,BM$12,IF(BZ4&lt;=BN$13,BM$13,IF(BZ4&lt;=BN$14,BM$14,0.05)))))))</f>
        <v/>
      </c>
      <c r="CK4" s="1930">
        <f>CJ4*BZ4</f>
        <v/>
      </c>
      <c r="CL4" s="596" t="n"/>
      <c r="CM4" s="596">
        <f>IF(CC4&lt;=BQ$4,BP$4,IF(CC4&lt;=BQ$5,BP$5,IF(CC4&lt;=BQ$6,BP$6,IF(CC4&lt;=BQ$7,BP$7,IF(CC4&lt;=BQ$12,BP$12,IF(CC4&lt;=BQ$13,BP$13,IF(CC4&lt;=BQ$14,BP$14,0.05)))))))</f>
        <v/>
      </c>
      <c r="CN4" s="1930">
        <f>CM4*CC4</f>
        <v/>
      </c>
      <c r="CO4" s="596" t="n"/>
      <c r="CP4" s="596">
        <f>IF(CF4&lt;=BT$4,BS$4,IF(CF4&lt;=BT$5,BS$5,IF(CF4&lt;=BT$6,BS$6,IF(CF4&lt;=BT$7,BS$7,IF(CF4&lt;=BT$12,BS$12,IF(CF4&lt;=BT$13,BS$13,IF(CF4&lt;=BT$14,BS$14,0.05)))))))</f>
        <v/>
      </c>
      <c r="CQ4" s="1930">
        <f>CP4*SUM(CN4,CK4,CF4)</f>
        <v/>
      </c>
      <c r="CR4" s="596" t="n"/>
      <c r="CS4" s="1931">
        <f>IF(CI4&lt;=BW$4,BV$4,IF(CI4&lt;=BW$5,BV$5,IF(CI4&lt;=BW$6,BV$6,IF(CI4&lt;=BW$7,BV$7,IF(CI4&lt;=BW$12,BV$12,IF(CI4&lt;=BW$13,BV$13,IF(CI4&lt;=BW$14,BV$14,0.05)))))))</f>
        <v/>
      </c>
      <c r="CT4" s="1930">
        <f>CS4*CI4</f>
        <v/>
      </c>
      <c r="CV4" s="1932">
        <f>0.07*SUM(CF4,CK4,CN4,CQ4,CT4)</f>
        <v/>
      </c>
      <c r="CX4" s="1932">
        <f>SUM(CV4,CT4,CQ4,CN4,CK4,CF4)</f>
        <v/>
      </c>
      <c r="CY4" s="1933">
        <f>SUM(CT4,CQ4,CN4,CK4)</f>
        <v/>
      </c>
      <c r="CZ4" s="596">
        <f>CY4/CX4</f>
        <v/>
      </c>
    </row>
    <row r="5" customFormat="1" s="585">
      <c r="A5" s="589" t="inlineStr">
        <is>
          <t>Hard Bid?</t>
        </is>
      </c>
      <c r="B5" s="585" t="inlineStr">
        <is>
          <t>No</t>
        </is>
      </c>
      <c r="C5" s="1010" t="inlineStr">
        <is>
          <t>PrevailingWage?</t>
        </is>
      </c>
      <c r="D5" s="591">
        <f>Epoxy!D5</f>
        <v/>
      </c>
      <c r="E5" s="1728">
        <f>Epoxy!E5</f>
        <v/>
      </c>
      <c r="F5" s="592" t="n"/>
      <c r="G5" s="588" t="n"/>
      <c r="H5" s="593" t="n"/>
      <c r="I5" s="594" t="n"/>
      <c r="J5" s="594" t="n"/>
      <c r="K5" s="594" t="n"/>
      <c r="L5" s="594" t="n"/>
      <c r="M5" s="594" t="n"/>
      <c r="AJ5" s="1930" t="n">
        <v>2000</v>
      </c>
      <c r="AK5" s="1930" t="n"/>
      <c r="AL5" s="1930" t="n"/>
      <c r="AM5" s="1930">
        <f>AJ5</f>
        <v/>
      </c>
      <c r="AN5" s="1930" t="n"/>
      <c r="AO5" s="1930" t="n"/>
      <c r="AP5" s="1930">
        <f>AJ5+AM5</f>
        <v/>
      </c>
      <c r="AQ5" s="1930" t="n"/>
      <c r="AR5" s="1930" t="n"/>
      <c r="AS5" s="1930">
        <f>AP5</f>
        <v/>
      </c>
      <c r="AT5" s="596">
        <f>IF(AJ5&lt;=#REF!,#REF!,IF(AJ5&lt;=#REF!,#REF!,IF(AJ5&lt;=#REF!,#REF!,IF(AJ5&lt;=#REF!,#REF!,IF(AJ5&lt;=#REF!,#REF!,IF(AJ5&lt;=#REF!,#REF!,IF(AJ5&lt;=#REF!,#REF!,0.05)))))))</f>
        <v/>
      </c>
      <c r="AU5" s="1930">
        <f>AT5*AJ5</f>
        <v/>
      </c>
      <c r="AV5" s="596" t="n"/>
      <c r="AW5" s="596">
        <f>IF(AM5&lt;=#REF!,#REF!,IF(AM5&lt;=#REF!,#REF!,IF(AM5&lt;=#REF!,#REF!,IF(AM5&lt;=#REF!,#REF!,IF(AM5&lt;=#REF!,#REF!,IF(AM5&lt;=#REF!,#REF!,IF(AM5&lt;=#REF!,#REF!,0.05)))))))</f>
        <v/>
      </c>
      <c r="AX5" s="1930">
        <f>AW5*AM5</f>
        <v/>
      </c>
      <c r="AY5" s="596" t="n"/>
      <c r="AZ5" s="596">
        <f>IF(AP5&lt;=#REF!,#REF!,IF(AP5&lt;=#REF!,#REF!,IF(AP5&lt;=#REF!,#REF!,IF(AP5&lt;=#REF!,#REF!,IF(AP5&lt;=#REF!,#REF!,IF(AP5&lt;=#REF!,#REF!,IF(AP5&lt;=#REF!,#REF!,0.05)))))))</f>
        <v/>
      </c>
      <c r="BA5" s="1930">
        <f>AZ5*SUM(AX5,AU5,AP5)</f>
        <v/>
      </c>
      <c r="BB5" s="596" t="n"/>
      <c r="BC5" s="1931">
        <f>IF(AS5&lt;=#REF!,#REF!,IF(AS5&lt;=#REF!,#REF!,IF(AS5&lt;=#REF!,#REF!,IF(AS5&lt;=#REF!,#REF!,IF(AS5&lt;=#REF!,#REF!,IF(AS5&lt;=#REF!,#REF!,IF(AS5&lt;=#REF!,#REF!,0.05)))))))</f>
        <v/>
      </c>
      <c r="BD5" s="1930">
        <f>BC5*AS5</f>
        <v/>
      </c>
      <c r="BF5" s="1932">
        <f>0.07*SUM(AP5,AU5,AX5,BA5,BD5)</f>
        <v/>
      </c>
      <c r="BH5" s="1932">
        <f>SUM(BF5,BD5,BA5,AX5,AU5,AP5)</f>
        <v/>
      </c>
      <c r="BI5" s="1933">
        <f>SUM(BD5,BA5,AX5,AU5)</f>
        <v/>
      </c>
      <c r="BJ5" s="596">
        <f>BI5/BH5</f>
        <v/>
      </c>
      <c r="BM5" s="596" t="n">
        <v>0.05</v>
      </c>
      <c r="BN5" s="1930" t="n">
        <v>1000000000</v>
      </c>
      <c r="BP5" s="596" t="n">
        <v>0.3</v>
      </c>
      <c r="BQ5" s="1930" t="n">
        <v>3000</v>
      </c>
      <c r="BR5" s="1930" t="n"/>
      <c r="BS5" s="596" t="n">
        <v>0.24</v>
      </c>
      <c r="BT5" s="1930" t="n">
        <v>14000</v>
      </c>
      <c r="BV5" s="1931" t="n">
        <v>-0.04</v>
      </c>
      <c r="BW5" s="1930" t="n">
        <v>14000</v>
      </c>
      <c r="BZ5" s="1930" t="n">
        <v>2000</v>
      </c>
      <c r="CA5" s="1930" t="n"/>
      <c r="CB5" s="1930" t="n"/>
      <c r="CC5" s="1930">
        <f>BZ5</f>
        <v/>
      </c>
      <c r="CD5" s="1930" t="n"/>
      <c r="CE5" s="1930" t="n"/>
      <c r="CF5" s="1930">
        <f>BZ5+CC5</f>
        <v/>
      </c>
      <c r="CG5" s="1930" t="n"/>
      <c r="CH5" s="1930" t="n"/>
      <c r="CI5" s="1930">
        <f>CF5</f>
        <v/>
      </c>
      <c r="CJ5" s="596">
        <f>IF(BZ5&lt;=BN$4,BM$4,IF(BZ5&lt;=BN$5,BM$5,IF(BZ5&lt;=BN$6,BM$6,IF(BZ5&lt;=BN$7,BM$7,IF(BZ5&lt;=BN$12,BM$12,IF(BZ5&lt;=BN$13,BM$13,IF(BZ5&lt;=BN$14,BM$14,0.05)))))))</f>
        <v/>
      </c>
      <c r="CK5" s="1930">
        <f>CJ5*BZ5</f>
        <v/>
      </c>
      <c r="CL5" s="596" t="n"/>
      <c r="CM5" s="596">
        <f>IF(CC5&lt;=BQ$4,BP$4,IF(CC5&lt;=BQ$5,BP$5,IF(CC5&lt;=BQ$6,BP$6,IF(CC5&lt;=BQ$7,BP$7,IF(CC5&lt;=BQ$12,BP$12,IF(CC5&lt;=BQ$13,BP$13,IF(CC5&lt;=BQ$14,BP$14,0.05)))))))</f>
        <v/>
      </c>
      <c r="CN5" s="1930">
        <f>CM5*CC5</f>
        <v/>
      </c>
      <c r="CO5" s="596" t="n"/>
      <c r="CP5" s="596">
        <f>IF(CF5&lt;=BT$4,BS$4,IF(CF5&lt;=BT$5,BS$5,IF(CF5&lt;=BT$6,BS$6,IF(CF5&lt;=BT$7,BS$7,IF(CF5&lt;=BT$12,BS$12,IF(CF5&lt;=BT$13,BS$13,IF(CF5&lt;=BT$14,BS$14,0.05)))))))</f>
        <v/>
      </c>
      <c r="CQ5" s="1930">
        <f>CP5*SUM(CN5,CK5,CF5)</f>
        <v/>
      </c>
      <c r="CR5" s="596" t="n"/>
      <c r="CS5" s="1931">
        <f>IF(CI5&lt;=BW$4,BV$4,IF(CI5&lt;=BW$5,BV$5,IF(CI5&lt;=BW$6,BV$6,IF(CI5&lt;=BW$7,BV$7,IF(CI5&lt;=BW$12,BV$12,IF(CI5&lt;=BW$13,BV$13,IF(CI5&lt;=BW$14,BV$14,0.05)))))))</f>
        <v/>
      </c>
      <c r="CT5" s="1930">
        <f>CS5*CI5</f>
        <v/>
      </c>
      <c r="CV5" s="1932">
        <f>0.07*SUM(CF5,CK5,CN5,CQ5,CT5)</f>
        <v/>
      </c>
      <c r="CX5" s="1932">
        <f>SUM(CV5,CT5,CQ5,CN5,CK5,CF5)</f>
        <v/>
      </c>
      <c r="CY5" s="1933">
        <f>SUM(CT5,CQ5,CN5,CK5)</f>
        <v/>
      </c>
      <c r="CZ5" s="596">
        <f>CY5/CX5</f>
        <v/>
      </c>
    </row>
    <row r="6" customFormat="1" s="585">
      <c r="A6" s="589" t="inlineStr">
        <is>
          <t>Taxable?</t>
        </is>
      </c>
      <c r="B6" s="585">
        <f>Epoxy!B6</f>
        <v/>
      </c>
      <c r="C6" s="1539" t="inlineStr">
        <is>
          <t>Remodel Tax?</t>
        </is>
      </c>
      <c r="D6" s="591">
        <f>Epoxy!D6</f>
        <v/>
      </c>
      <c r="E6" s="1728">
        <f>Epoxy!E6</f>
        <v/>
      </c>
      <c r="F6" s="592" t="n"/>
      <c r="G6" s="588" t="n"/>
      <c r="H6" s="593" t="n"/>
      <c r="I6" s="594" t="n"/>
      <c r="J6" s="594" t="n"/>
      <c r="K6" s="594" t="n"/>
      <c r="L6" s="594" t="n"/>
      <c r="M6" s="594" t="n"/>
      <c r="AJ6" s="1930" t="n">
        <v>3000</v>
      </c>
      <c r="AK6" s="1930" t="n"/>
      <c r="AL6" s="1930" t="n"/>
      <c r="AM6" s="1930">
        <f>AJ6</f>
        <v/>
      </c>
      <c r="AN6" s="1930" t="n"/>
      <c r="AO6" s="1930" t="n"/>
      <c r="AP6" s="1930">
        <f>AJ6+AM6</f>
        <v/>
      </c>
      <c r="AQ6" s="1930" t="n"/>
      <c r="AR6" s="1930" t="n"/>
      <c r="AS6" s="1930">
        <f>AP6</f>
        <v/>
      </c>
      <c r="AT6" s="596">
        <f>IF(AJ6&lt;=#REF!,#REF!,IF(AJ6&lt;=#REF!,#REF!,IF(AJ6&lt;=#REF!,#REF!,IF(AJ6&lt;=#REF!,#REF!,IF(AJ6&lt;=#REF!,#REF!,IF(AJ6&lt;=#REF!,#REF!,IF(AJ6&lt;=#REF!,#REF!,0.05)))))))</f>
        <v/>
      </c>
      <c r="AU6" s="1930">
        <f>AT6*AJ6</f>
        <v/>
      </c>
      <c r="AV6" s="596" t="n"/>
      <c r="AW6" s="596">
        <f>IF(AM6&lt;=#REF!,#REF!,IF(AM6&lt;=#REF!,#REF!,IF(AM6&lt;=#REF!,#REF!,IF(AM6&lt;=#REF!,#REF!,IF(AM6&lt;=#REF!,#REF!,IF(AM6&lt;=#REF!,#REF!,IF(AM6&lt;=#REF!,#REF!,0.05)))))))</f>
        <v/>
      </c>
      <c r="AX6" s="1930">
        <f>AW6*AM6</f>
        <v/>
      </c>
      <c r="AY6" s="596" t="n"/>
      <c r="AZ6" s="596">
        <f>IF(AP6&lt;=#REF!,#REF!,IF(AP6&lt;=#REF!,#REF!,IF(AP6&lt;=#REF!,#REF!,IF(AP6&lt;=#REF!,#REF!,IF(AP6&lt;=#REF!,#REF!,IF(AP6&lt;=#REF!,#REF!,IF(AP6&lt;=#REF!,#REF!,0.05)))))))</f>
        <v/>
      </c>
      <c r="BA6" s="1930">
        <f>AZ6*SUM(AX6,AU6,AP6)</f>
        <v/>
      </c>
      <c r="BB6" s="596" t="n"/>
      <c r="BC6" s="1931">
        <f>IF(AS6&lt;=#REF!,#REF!,IF(AS6&lt;=#REF!,#REF!,IF(AS6&lt;=#REF!,#REF!,IF(AS6&lt;=#REF!,#REF!,IF(AS6&lt;=#REF!,#REF!,IF(AS6&lt;=#REF!,#REF!,IF(AS6&lt;=#REF!,#REF!,0.05)))))))</f>
        <v/>
      </c>
      <c r="BD6" s="1930">
        <f>BC6*AS6</f>
        <v/>
      </c>
      <c r="BF6" s="1932">
        <f>0.07*SUM(AP6,AU6,AX6,BA6,BD6)</f>
        <v/>
      </c>
      <c r="BH6" s="1932">
        <f>SUM(BF6,BD6,BA6,AX6,AU6,AP6)</f>
        <v/>
      </c>
      <c r="BI6" s="1933">
        <f>SUM(BD6,BA6,AX6,AU6)</f>
        <v/>
      </c>
      <c r="BJ6" s="596">
        <f>BI6/BH6</f>
        <v/>
      </c>
      <c r="BM6" s="596" t="n">
        <v>0.05</v>
      </c>
      <c r="BN6" s="1930" t="n">
        <v>1000000000</v>
      </c>
      <c r="BP6" s="596" t="n">
        <v>0.2</v>
      </c>
      <c r="BQ6" s="1930" t="n">
        <v>4000</v>
      </c>
      <c r="BR6" s="1930" t="n"/>
      <c r="BS6" s="596" t="n">
        <v>0.22</v>
      </c>
      <c r="BT6" s="1930" t="n">
        <v>19000</v>
      </c>
      <c r="BV6" s="1931" t="n">
        <v>-0.05</v>
      </c>
      <c r="BW6" s="1930" t="n">
        <v>19000</v>
      </c>
      <c r="BZ6" s="1930" t="n">
        <v>3000</v>
      </c>
      <c r="CA6" s="1930" t="n"/>
      <c r="CB6" s="1930" t="n"/>
      <c r="CC6" s="1930">
        <f>BZ6</f>
        <v/>
      </c>
      <c r="CD6" s="1930" t="n"/>
      <c r="CE6" s="1930" t="n"/>
      <c r="CF6" s="1930">
        <f>BZ6+CC6</f>
        <v/>
      </c>
      <c r="CG6" s="1930" t="n"/>
      <c r="CH6" s="1930" t="n"/>
      <c r="CI6" s="1930">
        <f>CF6</f>
        <v/>
      </c>
      <c r="CJ6" s="596">
        <f>IF(BZ6&lt;=BN$4,BM$4,IF(BZ6&lt;=BN$5,BM$5,IF(BZ6&lt;=BN$6,BM$6,IF(BZ6&lt;=BN$7,BM$7,IF(BZ6&lt;=BN$12,BM$12,IF(BZ6&lt;=BN$13,BM$13,IF(BZ6&lt;=BN$14,BM$14,0.05)))))))</f>
        <v/>
      </c>
      <c r="CK6" s="1930">
        <f>CJ6*BZ6</f>
        <v/>
      </c>
      <c r="CL6" s="596" t="n"/>
      <c r="CM6" s="596">
        <f>IF(CC6&lt;=BQ$4,BP$4,IF(CC6&lt;=BQ$5,BP$5,IF(CC6&lt;=BQ$6,BP$6,IF(CC6&lt;=BQ$7,BP$7,IF(CC6&lt;=BQ$12,BP$12,IF(CC6&lt;=BQ$13,BP$13,IF(CC6&lt;=BQ$14,BP$14,0.05)))))))</f>
        <v/>
      </c>
      <c r="CN6" s="1930">
        <f>CM6*CC6</f>
        <v/>
      </c>
      <c r="CO6" s="596" t="n"/>
      <c r="CP6" s="596">
        <f>IF(CF6&lt;=BT$4,BS$4,IF(CF6&lt;=BT$5,BS$5,IF(CF6&lt;=BT$6,BS$6,IF(CF6&lt;=BT$7,BS$7,IF(CF6&lt;=BT$12,BS$12,IF(CF6&lt;=BT$13,BS$13,IF(CF6&lt;=BT$14,BS$14,0.05)))))))</f>
        <v/>
      </c>
      <c r="CQ6" s="1930">
        <f>CP6*SUM(CN6,CK6,CF6)</f>
        <v/>
      </c>
      <c r="CR6" s="596" t="n"/>
      <c r="CS6" s="1931">
        <f>IF(CI6&lt;=BW$4,BV$4,IF(CI6&lt;=BW$5,BV$5,IF(CI6&lt;=BW$6,BV$6,IF(CI6&lt;=BW$7,BV$7,IF(CI6&lt;=BW$12,BV$12,IF(CI6&lt;=BW$13,BV$13,IF(CI6&lt;=BW$14,BV$14,0.05)))))))</f>
        <v/>
      </c>
      <c r="CT6" s="1930">
        <f>CS6*CI6</f>
        <v/>
      </c>
      <c r="CV6" s="1932">
        <f>0.07*SUM(CF6,CK6,CN6,CQ6,CT6)</f>
        <v/>
      </c>
      <c r="CX6" s="1932">
        <f>SUM(CV6,CT6,CQ6,CN6,CK6,CF6)</f>
        <v/>
      </c>
      <c r="CY6" s="1933">
        <f>SUM(CT6,CQ6,CN6,CK6)</f>
        <v/>
      </c>
      <c r="CZ6" s="596">
        <f>CY6/CX6</f>
        <v/>
      </c>
    </row>
    <row r="7" customFormat="1" s="585">
      <c r="A7" s="589" t="inlineStr">
        <is>
          <t>Approx Start Date</t>
        </is>
      </c>
      <c r="B7" s="587">
        <f>Epoxy!B7</f>
        <v/>
      </c>
      <c r="C7" s="591" t="n"/>
      <c r="D7" s="600" t="n"/>
      <c r="F7" s="593" t="n"/>
      <c r="G7" s="588" t="n"/>
      <c r="H7" s="593" t="n"/>
      <c r="I7" s="594" t="n"/>
      <c r="J7" s="594" t="n"/>
      <c r="K7" s="594" t="n"/>
      <c r="L7" s="594" t="n"/>
      <c r="M7" s="594" t="n"/>
      <c r="AJ7" s="1930" t="n">
        <v>4000</v>
      </c>
      <c r="AK7" s="1930" t="n"/>
      <c r="AL7" s="1930" t="n"/>
      <c r="AM7" s="1930">
        <f>AJ7</f>
        <v/>
      </c>
      <c r="AN7" s="1930" t="n"/>
      <c r="AO7" s="1930" t="n"/>
      <c r="AP7" s="1930">
        <f>AJ7+AM7</f>
        <v/>
      </c>
      <c r="AQ7" s="1930" t="n"/>
      <c r="AR7" s="1930" t="n"/>
      <c r="AS7" s="1930">
        <f>AP7</f>
        <v/>
      </c>
      <c r="AT7" s="596">
        <f>IF(AJ7&lt;=#REF!,#REF!,IF(AJ7&lt;=#REF!,#REF!,IF(AJ7&lt;=#REF!,#REF!,IF(AJ7&lt;=#REF!,#REF!,IF(AJ7&lt;=#REF!,#REF!,IF(AJ7&lt;=#REF!,#REF!,IF(AJ7&lt;=#REF!,#REF!,0.05)))))))</f>
        <v/>
      </c>
      <c r="AU7" s="1930">
        <f>AT7*AJ7</f>
        <v/>
      </c>
      <c r="AV7" s="596" t="n"/>
      <c r="AW7" s="596">
        <f>IF(AM7&lt;=#REF!,#REF!,IF(AM7&lt;=#REF!,#REF!,IF(AM7&lt;=#REF!,#REF!,IF(AM7&lt;=#REF!,#REF!,IF(AM7&lt;=#REF!,#REF!,IF(AM7&lt;=#REF!,#REF!,IF(AM7&lt;=#REF!,#REF!,0.05)))))))</f>
        <v/>
      </c>
      <c r="AX7" s="1930">
        <f>AW7*AM7</f>
        <v/>
      </c>
      <c r="AY7" s="596" t="n"/>
      <c r="AZ7" s="596">
        <f>IF(AP7&lt;=#REF!,#REF!,IF(AP7&lt;=#REF!,#REF!,IF(AP7&lt;=#REF!,#REF!,IF(AP7&lt;=#REF!,#REF!,IF(AP7&lt;=#REF!,#REF!,IF(AP7&lt;=#REF!,#REF!,IF(AP7&lt;=#REF!,#REF!,0.05)))))))</f>
        <v/>
      </c>
      <c r="BA7" s="1930">
        <f>AZ7*SUM(AX7,AU7,AP7)</f>
        <v/>
      </c>
      <c r="BB7" s="596" t="n"/>
      <c r="BC7" s="1931">
        <f>IF(AS7&lt;=#REF!,#REF!,IF(AS7&lt;=#REF!,#REF!,IF(AS7&lt;=#REF!,#REF!,IF(AS7&lt;=#REF!,#REF!,IF(AS7&lt;=#REF!,#REF!,IF(AS7&lt;=#REF!,#REF!,IF(AS7&lt;=#REF!,#REF!,0.05)))))))</f>
        <v/>
      </c>
      <c r="BD7" s="1930">
        <f>BC7*AS7</f>
        <v/>
      </c>
      <c r="BF7" s="1932">
        <f>0.07*SUM(AP7,AU7,AX7,BA7,BD7)</f>
        <v/>
      </c>
      <c r="BH7" s="1932">
        <f>SUM(BF7,BD7,BA7,AX7,AU7,AP7)</f>
        <v/>
      </c>
      <c r="BI7" s="1933">
        <f>SUM(BD7,BA7,AX7,AU7)</f>
        <v/>
      </c>
      <c r="BJ7" s="596">
        <f>BI7/BH7</f>
        <v/>
      </c>
      <c r="BM7" s="596" t="n">
        <v>0.05</v>
      </c>
      <c r="BN7" s="1930" t="n">
        <v>1000000000</v>
      </c>
      <c r="BP7" s="596" t="n">
        <v>0.1</v>
      </c>
      <c r="BQ7" s="1930" t="n">
        <v>7000</v>
      </c>
      <c r="BR7" s="1930" t="n"/>
      <c r="BS7" s="596" t="n">
        <v>0.2</v>
      </c>
      <c r="BT7" s="1930" t="n">
        <v>24000</v>
      </c>
      <c r="BV7" s="1931" t="n">
        <v>-0.05</v>
      </c>
      <c r="BW7" s="1930" t="n">
        <v>34000</v>
      </c>
      <c r="BZ7" s="1930" t="n">
        <v>4000</v>
      </c>
      <c r="CA7" s="1930" t="n"/>
      <c r="CB7" s="1930" t="n"/>
      <c r="CC7" s="1930">
        <f>BZ7</f>
        <v/>
      </c>
      <c r="CD7" s="1930" t="n"/>
      <c r="CE7" s="1930" t="n"/>
      <c r="CF7" s="1930">
        <f>BZ7+CC7</f>
        <v/>
      </c>
      <c r="CG7" s="1930" t="n"/>
      <c r="CH7" s="1930" t="n"/>
      <c r="CI7" s="1930">
        <f>CF7</f>
        <v/>
      </c>
      <c r="CJ7" s="596">
        <f>IF(BZ7&lt;=BN$4,BM$4,IF(BZ7&lt;=BN$5,BM$5,IF(BZ7&lt;=BN$6,BM$6,IF(BZ7&lt;=BN$7,BM$7,IF(BZ7&lt;=BN$12,BM$12,IF(BZ7&lt;=BN$13,BM$13,IF(BZ7&lt;=BN$14,BM$14,0.05)))))))</f>
        <v/>
      </c>
      <c r="CK7" s="1930">
        <f>CJ7*BZ7</f>
        <v/>
      </c>
      <c r="CL7" s="596" t="n"/>
      <c r="CM7" s="596">
        <f>IF(CC7&lt;=BQ$4,BP$4,IF(CC7&lt;=BQ$5,BP$5,IF(CC7&lt;=BQ$6,BP$6,IF(CC7&lt;=BQ$7,BP$7,IF(CC7&lt;=BQ$12,BP$12,IF(CC7&lt;=BQ$13,BP$13,IF(CC7&lt;=BQ$14,BP$14,0.05)))))))</f>
        <v/>
      </c>
      <c r="CN7" s="1930">
        <f>CM7*CC7</f>
        <v/>
      </c>
      <c r="CO7" s="596" t="n"/>
      <c r="CP7" s="596">
        <f>IF(CF7&lt;=BT$4,BS$4,IF(CF7&lt;=BT$5,BS$5,IF(CF7&lt;=BT$6,BS$6,IF(CF7&lt;=BT$7,BS$7,IF(CF7&lt;=BT$12,BS$12,IF(CF7&lt;=BT$13,BS$13,IF(CF7&lt;=BT$14,BS$14,0.05)))))))</f>
        <v/>
      </c>
      <c r="CQ7" s="1930">
        <f>CP7*SUM(CN7,CK7,CF7)</f>
        <v/>
      </c>
      <c r="CR7" s="596" t="n"/>
      <c r="CS7" s="1931">
        <f>IF(CI7&lt;=BW$4,BV$4,IF(CI7&lt;=BW$5,BV$5,IF(CI7&lt;=BW$6,BV$6,IF(CI7&lt;=BW$7,BV$7,IF(CI7&lt;=BW$12,BV$12,IF(CI7&lt;=BW$13,BV$13,IF(CI7&lt;=BW$14,BV$14,0.05)))))))</f>
        <v/>
      </c>
      <c r="CT7" s="1930">
        <f>CS7*CI7</f>
        <v/>
      </c>
      <c r="CV7" s="1932">
        <f>0.07*SUM(CF7,CK7,CN7,CQ7,CT7)</f>
        <v/>
      </c>
      <c r="CX7" s="1932">
        <f>SUM(CV7,CT7,CQ7,CN7,CK7,CF7)</f>
        <v/>
      </c>
      <c r="CY7" s="1933">
        <f>SUM(CT7,CQ7,CN7,CK7)</f>
        <v/>
      </c>
      <c r="CZ7" s="596">
        <f>CY7/CX7</f>
        <v/>
      </c>
    </row>
    <row r="8" customFormat="1" s="585">
      <c r="A8" s="602" t="inlineStr">
        <is>
          <t>Architect</t>
        </is>
      </c>
      <c r="B8" s="603">
        <f>Epoxy!B8</f>
        <v/>
      </c>
      <c r="C8" s="591" t="n"/>
      <c r="D8" s="600" t="n"/>
      <c r="E8" s="1469" t="n"/>
      <c r="F8" s="593" t="n"/>
      <c r="G8" s="588" t="n"/>
      <c r="H8" s="593" t="n"/>
      <c r="I8" s="594" t="n"/>
      <c r="J8" s="1934" t="n"/>
      <c r="K8" s="1934" t="n"/>
      <c r="L8" s="594" t="n"/>
      <c r="M8" s="594" t="n"/>
      <c r="AJ8" s="1930" t="n"/>
      <c r="AK8" s="1930" t="n"/>
      <c r="AL8" s="1930" t="n"/>
      <c r="AM8" s="1930" t="n"/>
      <c r="AN8" s="1930" t="n"/>
      <c r="AO8" s="1930" t="n"/>
      <c r="AP8" s="1930" t="n"/>
      <c r="AQ8" s="1930" t="n"/>
      <c r="AR8" s="1930" t="n"/>
      <c r="AS8" s="1930" t="n"/>
      <c r="AT8" s="596" t="n"/>
      <c r="AU8" s="1930" t="n"/>
      <c r="AV8" s="596" t="n"/>
      <c r="AW8" s="596" t="n"/>
      <c r="AX8" s="1930" t="n"/>
      <c r="AY8" s="596" t="n"/>
      <c r="AZ8" s="596" t="n"/>
      <c r="BA8" s="1930" t="n"/>
      <c r="BB8" s="596" t="n"/>
      <c r="BC8" s="1931" t="n"/>
      <c r="BD8" s="1930" t="n"/>
      <c r="BF8" s="1932" t="n"/>
      <c r="BH8" s="1932" t="n"/>
      <c r="BI8" s="1933" t="n"/>
      <c r="BJ8" s="596" t="n"/>
      <c r="BM8" s="596" t="n"/>
      <c r="BN8" s="1930" t="n"/>
      <c r="BP8" s="596" t="n"/>
      <c r="BQ8" s="1930" t="n"/>
      <c r="BR8" s="1930" t="n"/>
      <c r="BS8" s="596" t="n"/>
      <c r="BT8" s="1930" t="n"/>
      <c r="BV8" s="1931" t="n"/>
      <c r="BW8" s="1930" t="n"/>
      <c r="BZ8" s="1930" t="n"/>
      <c r="CA8" s="1930" t="n"/>
      <c r="CB8" s="1930" t="n"/>
      <c r="CC8" s="1930" t="n"/>
      <c r="CD8" s="1930" t="n"/>
      <c r="CE8" s="1930" t="n"/>
      <c r="CF8" s="1930" t="n"/>
      <c r="CG8" s="1930" t="n"/>
      <c r="CH8" s="1930" t="n"/>
      <c r="CI8" s="1930" t="n"/>
      <c r="CJ8" s="596" t="n"/>
      <c r="CK8" s="1930" t="n"/>
      <c r="CL8" s="596" t="n"/>
      <c r="CM8" s="596" t="n"/>
      <c r="CN8" s="1930" t="n"/>
      <c r="CO8" s="596" t="n"/>
      <c r="CP8" s="596" t="n"/>
      <c r="CQ8" s="1930" t="n"/>
      <c r="CR8" s="596" t="n"/>
      <c r="CS8" s="1931" t="n"/>
      <c r="CT8" s="1930" t="n"/>
      <c r="CV8" s="1932" t="n"/>
      <c r="CX8" s="1932" t="n"/>
      <c r="CY8" s="1933" t="n"/>
      <c r="CZ8" s="596" t="n"/>
    </row>
    <row r="9" customFormat="1" s="585">
      <c r="A9" s="602" t="inlineStr">
        <is>
          <t>Drawings Dated</t>
        </is>
      </c>
      <c r="B9" s="587">
        <f>Epoxy!B9</f>
        <v/>
      </c>
      <c r="C9" s="591" t="n"/>
      <c r="D9" s="600" t="n"/>
      <c r="E9" s="601" t="n"/>
      <c r="F9" s="593" t="n"/>
      <c r="G9" s="1936" t="n"/>
      <c r="H9" s="593" t="n"/>
      <c r="I9" s="1934" t="n"/>
      <c r="J9" s="1934" t="n"/>
      <c r="K9" s="1934" t="n"/>
      <c r="L9" s="1934" t="n"/>
      <c r="M9" s="1934" t="n"/>
      <c r="AJ9" s="1930" t="n"/>
      <c r="AK9" s="1930" t="n"/>
      <c r="AL9" s="1930" t="n"/>
      <c r="AM9" s="1930" t="n"/>
      <c r="AN9" s="1930" t="n"/>
      <c r="AO9" s="1930" t="n"/>
      <c r="AP9" s="1930" t="n"/>
      <c r="AQ9" s="1930" t="n"/>
      <c r="AR9" s="1930" t="n"/>
      <c r="AS9" s="1930" t="n"/>
      <c r="AT9" s="596" t="n"/>
      <c r="AU9" s="1930" t="n"/>
      <c r="AV9" s="596" t="n"/>
      <c r="AW9" s="596" t="n"/>
      <c r="AX9" s="1930" t="n"/>
      <c r="AY9" s="596" t="n"/>
      <c r="AZ9" s="596" t="n"/>
      <c r="BA9" s="1930" t="n"/>
      <c r="BB9" s="596" t="n"/>
      <c r="BC9" s="1931" t="n"/>
      <c r="BD9" s="1930" t="n"/>
      <c r="BF9" s="1932" t="n"/>
      <c r="BH9" s="1932" t="n"/>
      <c r="BI9" s="1933" t="n"/>
      <c r="BJ9" s="596" t="n"/>
      <c r="BM9" s="596" t="n"/>
      <c r="BN9" s="1930" t="n"/>
      <c r="BP9" s="596" t="n"/>
      <c r="BQ9" s="1930" t="n"/>
      <c r="BR9" s="1930" t="n"/>
      <c r="BS9" s="596" t="n"/>
      <c r="BT9" s="1930" t="n"/>
      <c r="BV9" s="1931" t="n"/>
      <c r="BW9" s="1930" t="n"/>
      <c r="BZ9" s="1930" t="n"/>
      <c r="CA9" s="1930" t="n"/>
      <c r="CB9" s="1930" t="n"/>
      <c r="CC9" s="1930" t="n"/>
      <c r="CD9" s="1930" t="n"/>
      <c r="CE9" s="1930" t="n"/>
      <c r="CF9" s="1930" t="n"/>
      <c r="CG9" s="1930" t="n"/>
      <c r="CH9" s="1930" t="n"/>
      <c r="CI9" s="1930" t="n"/>
      <c r="CJ9" s="596" t="n"/>
      <c r="CK9" s="1930" t="n"/>
      <c r="CL9" s="596" t="n"/>
      <c r="CM9" s="596" t="n"/>
      <c r="CN9" s="1930" t="n"/>
      <c r="CO9" s="596" t="n"/>
      <c r="CP9" s="596" t="n"/>
      <c r="CQ9" s="1930" t="n"/>
      <c r="CR9" s="596" t="n"/>
      <c r="CS9" s="1931" t="n"/>
      <c r="CT9" s="1930" t="n"/>
      <c r="CV9" s="1932" t="n"/>
      <c r="CX9" s="1932" t="n"/>
      <c r="CY9" s="1933" t="n"/>
      <c r="CZ9" s="596" t="n"/>
    </row>
    <row r="10" customFormat="1" s="585">
      <c r="A10" s="606" t="inlineStr">
        <is>
          <t>New / Reno:</t>
        </is>
      </c>
      <c r="B10" s="603">
        <f>Epoxy!B10</f>
        <v/>
      </c>
      <c r="C10" s="591" t="n"/>
      <c r="D10" s="600" t="n"/>
      <c r="E10" s="601" t="n"/>
      <c r="F10" s="593" t="n"/>
      <c r="G10" s="1935" t="n"/>
      <c r="H10" s="593" t="n"/>
      <c r="I10" s="1934" t="n"/>
      <c r="J10" s="1934" t="n"/>
      <c r="K10" s="1934" t="n"/>
      <c r="L10" s="1934" t="n"/>
      <c r="M10" s="1934" t="n"/>
      <c r="AJ10" s="1930" t="n"/>
      <c r="AK10" s="1930" t="n"/>
      <c r="AL10" s="1930" t="n"/>
      <c r="AM10" s="1930" t="n"/>
      <c r="AN10" s="1930" t="n"/>
      <c r="AO10" s="1930" t="n"/>
      <c r="AP10" s="1930" t="n"/>
      <c r="AQ10" s="1930" t="n"/>
      <c r="AR10" s="1930" t="n"/>
      <c r="AS10" s="1930" t="n"/>
      <c r="AT10" s="596" t="n"/>
      <c r="AU10" s="1930" t="n"/>
      <c r="AV10" s="596" t="n"/>
      <c r="AW10" s="596" t="n"/>
      <c r="AX10" s="1930" t="n"/>
      <c r="AY10" s="596" t="n"/>
      <c r="AZ10" s="596" t="n"/>
      <c r="BA10" s="1930" t="n"/>
      <c r="BB10" s="596" t="n"/>
      <c r="BC10" s="1931" t="n"/>
      <c r="BD10" s="1930" t="n"/>
      <c r="BF10" s="1932" t="n"/>
      <c r="BH10" s="1932" t="n"/>
      <c r="BI10" s="1933" t="n"/>
      <c r="BJ10" s="596" t="n"/>
      <c r="BM10" s="596" t="n"/>
      <c r="BN10" s="1930" t="n"/>
      <c r="BP10" s="596" t="n"/>
      <c r="BQ10" s="1930" t="n"/>
      <c r="BR10" s="1930" t="n"/>
      <c r="BS10" s="596" t="n"/>
      <c r="BT10" s="1930" t="n"/>
      <c r="BV10" s="1931" t="n"/>
      <c r="BW10" s="1930" t="n"/>
      <c r="BZ10" s="1930" t="n"/>
      <c r="CA10" s="1930" t="n"/>
      <c r="CB10" s="1930" t="n"/>
      <c r="CC10" s="1930" t="n"/>
      <c r="CD10" s="1930" t="n"/>
      <c r="CE10" s="1930" t="n"/>
      <c r="CF10" s="1930" t="n"/>
      <c r="CG10" s="1930" t="n"/>
      <c r="CH10" s="1930" t="n"/>
      <c r="CI10" s="1930" t="n"/>
      <c r="CJ10" s="596" t="n"/>
      <c r="CK10" s="1930" t="n"/>
      <c r="CL10" s="596" t="n"/>
      <c r="CM10" s="596" t="n"/>
      <c r="CN10" s="1930" t="n"/>
      <c r="CO10" s="596" t="n"/>
      <c r="CP10" s="596" t="n"/>
      <c r="CQ10" s="1930" t="n"/>
      <c r="CR10" s="596" t="n"/>
      <c r="CS10" s="1931" t="n"/>
      <c r="CT10" s="1930" t="n"/>
      <c r="CV10" s="1932" t="n"/>
      <c r="CX10" s="1932" t="n"/>
      <c r="CY10" s="1933" t="n"/>
      <c r="CZ10" s="596" t="n"/>
    </row>
    <row r="11" customFormat="1" s="585">
      <c r="A11" s="1423" t="n"/>
      <c r="B11" s="603" t="n"/>
      <c r="C11" s="591" t="n"/>
      <c r="D11" s="600" t="n"/>
      <c r="E11" s="601" t="n"/>
      <c r="F11" s="593" t="n"/>
      <c r="G11" s="1935" t="n"/>
      <c r="H11" s="593" t="n"/>
      <c r="I11" s="1934" t="n"/>
      <c r="J11" s="1934" t="n"/>
      <c r="K11" s="1934" t="n"/>
      <c r="L11" s="1934" t="n"/>
      <c r="M11" s="1934" t="n"/>
      <c r="AJ11" s="1930" t="n"/>
      <c r="AK11" s="1930" t="n"/>
      <c r="AL11" s="1930" t="n"/>
      <c r="AM11" s="1930" t="n"/>
      <c r="AN11" s="1930" t="n"/>
      <c r="AO11" s="1930" t="n"/>
      <c r="AP11" s="1930" t="n"/>
      <c r="AQ11" s="1930" t="n"/>
      <c r="AR11" s="1930" t="n"/>
      <c r="AS11" s="1930" t="n"/>
      <c r="AT11" s="596" t="n"/>
      <c r="AU11" s="1930" t="n"/>
      <c r="AV11" s="596" t="n"/>
      <c r="AW11" s="596" t="n"/>
      <c r="AX11" s="1930" t="n"/>
      <c r="AY11" s="596" t="n"/>
      <c r="AZ11" s="596" t="n"/>
      <c r="BA11" s="1930" t="n"/>
      <c r="BB11" s="596" t="n"/>
      <c r="BC11" s="1931" t="n"/>
      <c r="BD11" s="1930" t="n"/>
      <c r="BF11" s="1932" t="n"/>
      <c r="BH11" s="1932" t="n"/>
      <c r="BI11" s="1933" t="n"/>
      <c r="BJ11" s="596" t="n"/>
      <c r="BM11" s="596" t="n"/>
      <c r="BN11" s="1930" t="n"/>
      <c r="BP11" s="596" t="n"/>
      <c r="BQ11" s="1930" t="n"/>
      <c r="BR11" s="1930" t="n"/>
      <c r="BS11" s="596" t="n"/>
      <c r="BT11" s="1930" t="n"/>
      <c r="BV11" s="1931" t="n"/>
      <c r="BW11" s="1930" t="n"/>
      <c r="BZ11" s="1930" t="n"/>
      <c r="CA11" s="1930" t="n"/>
      <c r="CB11" s="1930" t="n"/>
      <c r="CC11" s="1930" t="n"/>
      <c r="CD11" s="1930" t="n"/>
      <c r="CE11" s="1930" t="n"/>
      <c r="CF11" s="1930" t="n"/>
      <c r="CG11" s="1930" t="n"/>
      <c r="CH11" s="1930" t="n"/>
      <c r="CI11" s="1930" t="n"/>
      <c r="CJ11" s="596" t="n"/>
      <c r="CK11" s="1930" t="n"/>
      <c r="CL11" s="596" t="n"/>
      <c r="CM11" s="596" t="n"/>
      <c r="CN11" s="1930" t="n"/>
      <c r="CO11" s="596" t="n"/>
      <c r="CP11" s="596" t="n"/>
      <c r="CQ11" s="1930" t="n"/>
      <c r="CR11" s="596" t="n"/>
      <c r="CS11" s="1931" t="n"/>
      <c r="CT11" s="1930" t="n"/>
      <c r="CV11" s="1932" t="n"/>
      <c r="CX11" s="1932" t="n"/>
      <c r="CY11" s="1933" t="n"/>
      <c r="CZ11" s="596" t="n"/>
    </row>
    <row r="12" customFormat="1" s="585">
      <c r="A12" s="608" t="inlineStr">
        <is>
          <t>Floor System-    Epoxy:</t>
        </is>
      </c>
      <c r="B12" s="603" t="n"/>
      <c r="C12" s="591" t="n"/>
      <c r="D12" s="600" t="n"/>
      <c r="E12" s="601" t="n"/>
      <c r="F12" s="593" t="n"/>
      <c r="G12" s="1935" t="n"/>
      <c r="H12" s="593" t="n"/>
      <c r="I12" s="1934" t="n"/>
      <c r="J12" s="1934" t="n"/>
      <c r="K12" s="1934" t="n"/>
      <c r="L12" s="1934" t="n"/>
      <c r="M12" s="1934" t="n"/>
      <c r="AJ12" s="1930" t="n">
        <v>5000</v>
      </c>
      <c r="AK12" s="1930" t="n"/>
      <c r="AL12" s="1930" t="n"/>
      <c r="AM12" s="1930">
        <f>AJ12</f>
        <v/>
      </c>
      <c r="AN12" s="1930" t="n"/>
      <c r="AO12" s="1930" t="n"/>
      <c r="AP12" s="1930">
        <f>AJ12+AM12</f>
        <v/>
      </c>
      <c r="AQ12" s="1930" t="n"/>
      <c r="AR12" s="1930" t="n"/>
      <c r="AS12" s="1930">
        <f>AP12</f>
        <v/>
      </c>
      <c r="AT12" s="596">
        <f>IF(AJ12&lt;=#REF!,#REF!,IF(AJ12&lt;=#REF!,#REF!,IF(AJ12&lt;=#REF!,#REF!,IF(AJ12&lt;=#REF!,#REF!,IF(AJ12&lt;=#REF!,#REF!,IF(AJ12&lt;=#REF!,#REF!,IF(AJ12&lt;=#REF!,#REF!,0.05)))))))</f>
        <v/>
      </c>
      <c r="AU12" s="1930">
        <f>AT12*AJ12</f>
        <v/>
      </c>
      <c r="AV12" s="596" t="n"/>
      <c r="AW12" s="596">
        <f>IF(AM12&lt;=#REF!,#REF!,IF(AM12&lt;=#REF!,#REF!,IF(AM12&lt;=#REF!,#REF!,IF(AM12&lt;=#REF!,#REF!,IF(AM12&lt;=#REF!,#REF!,IF(AM12&lt;=#REF!,#REF!,IF(AM12&lt;=#REF!,#REF!,0.05)))))))</f>
        <v/>
      </c>
      <c r="AX12" s="1930">
        <f>AW12*AM12</f>
        <v/>
      </c>
      <c r="AY12" s="596" t="n"/>
      <c r="AZ12" s="596">
        <f>IF(AP12&lt;=#REF!,#REF!,IF(AP12&lt;=#REF!,#REF!,IF(AP12&lt;=#REF!,#REF!,IF(AP12&lt;=#REF!,#REF!,IF(AP12&lt;=#REF!,#REF!,IF(AP12&lt;=#REF!,#REF!,IF(AP12&lt;=#REF!,#REF!,0.05)))))))</f>
        <v/>
      </c>
      <c r="BA12" s="1930">
        <f>AZ12*SUM(AX12,AU12,AP12)</f>
        <v/>
      </c>
      <c r="BB12" s="596" t="n"/>
      <c r="BC12" s="1931">
        <f>IF(AS12&lt;=#REF!,#REF!,IF(AS12&lt;=#REF!,#REF!,IF(AS12&lt;=#REF!,#REF!,IF(AS12&lt;=#REF!,#REF!,IF(AS12&lt;=#REF!,#REF!,IF(AS12&lt;=#REF!,#REF!,IF(AS12&lt;=#REF!,#REF!,0.05)))))))</f>
        <v/>
      </c>
      <c r="BD12" s="1930">
        <f>BC12*AS12</f>
        <v/>
      </c>
      <c r="BF12" s="1932">
        <f>0.07*SUM(AP12,AU12,AX12,BA12,BD12)</f>
        <v/>
      </c>
      <c r="BH12" s="1932">
        <f>SUM(BF12,BD12,BA12,AX12,AU12,AP12)</f>
        <v/>
      </c>
      <c r="BI12" s="1933">
        <f>SUM(BD12,BA12,AX12,AU12)</f>
        <v/>
      </c>
      <c r="BJ12" s="596">
        <f>BI12/BH12</f>
        <v/>
      </c>
      <c r="BM12" s="596" t="n">
        <v>0.05</v>
      </c>
      <c r="BN12" s="1930" t="n">
        <v>1000000000</v>
      </c>
      <c r="BP12" s="596" t="n">
        <v>0.05</v>
      </c>
      <c r="BQ12" s="1930" t="n">
        <v>10000</v>
      </c>
      <c r="BR12" s="1930" t="n"/>
      <c r="BS12" s="596" t="n">
        <v>0.18</v>
      </c>
      <c r="BT12" s="1930" t="n">
        <v>1000000000</v>
      </c>
      <c r="BV12" s="1931" t="n">
        <v>-0.055</v>
      </c>
      <c r="BW12" s="1930" t="n">
        <v>44000</v>
      </c>
      <c r="BZ12" s="1930" t="n">
        <v>5000</v>
      </c>
      <c r="CA12" s="1930" t="n"/>
      <c r="CB12" s="1930" t="n"/>
      <c r="CC12" s="1930">
        <f>BZ12</f>
        <v/>
      </c>
      <c r="CD12" s="1930" t="n"/>
      <c r="CE12" s="1930" t="n"/>
      <c r="CF12" s="1930">
        <f>BZ12+CC12</f>
        <v/>
      </c>
      <c r="CG12" s="1930" t="n"/>
      <c r="CH12" s="1930" t="n"/>
      <c r="CI12" s="1930">
        <f>CF12</f>
        <v/>
      </c>
      <c r="CJ12" s="596">
        <f>IF(BZ12&lt;=BN$4,BM$4,IF(BZ12&lt;=BN$5,BM$5,IF(BZ12&lt;=BN$6,BM$6,IF(BZ12&lt;=BN$7,BM$7,IF(BZ12&lt;=BN$12,BM$12,IF(BZ12&lt;=BN$13,BM$13,IF(BZ12&lt;=BN$14,BM$14,0.05)))))))</f>
        <v/>
      </c>
      <c r="CK12" s="1930">
        <f>CJ12*BZ12</f>
        <v/>
      </c>
      <c r="CL12" s="596" t="n"/>
      <c r="CM12" s="596">
        <f>IF(CC12&lt;=BQ$4,BP$4,IF(CC12&lt;=BQ$5,BP$5,IF(CC12&lt;=BQ$6,BP$6,IF(CC12&lt;=BQ$7,BP$7,IF(CC12&lt;=BQ$12,BP$12,IF(CC12&lt;=BQ$13,BP$13,IF(CC12&lt;=BQ$14,BP$14,0.05)))))))</f>
        <v/>
      </c>
      <c r="CN12" s="1930">
        <f>CM12*CC12</f>
        <v/>
      </c>
      <c r="CO12" s="596" t="n"/>
      <c r="CP12" s="596">
        <f>IF(CF12&lt;=BT$4,BS$4,IF(CF12&lt;=BT$5,BS$5,IF(CF12&lt;=BT$6,BS$6,IF(CF12&lt;=BT$7,BS$7,IF(CF12&lt;=BT$12,BS$12,IF(CF12&lt;=BT$13,BS$13,IF(CF12&lt;=BT$14,BS$14,0.05)))))))</f>
        <v/>
      </c>
      <c r="CQ12" s="1930">
        <f>CP12*SUM(CN12,CK12,CF12)</f>
        <v/>
      </c>
      <c r="CR12" s="596" t="n"/>
      <c r="CS12" s="1931">
        <f>IF(CI12&lt;=BW$4,BV$4,IF(CI12&lt;=BW$5,BV$5,IF(CI12&lt;=BW$6,BV$6,IF(CI12&lt;=BW$7,BV$7,IF(CI12&lt;=BW$12,BV$12,IF(CI12&lt;=BW$13,BV$13,IF(CI12&lt;=BW$14,BV$14,0.05)))))))</f>
        <v/>
      </c>
      <c r="CT12" s="1930">
        <f>CS12*CI12</f>
        <v/>
      </c>
      <c r="CV12" s="1932">
        <f>0.07*SUM(CF12,CK12,CN12,CQ12,CT12)</f>
        <v/>
      </c>
      <c r="CX12" s="1932">
        <f>SUM(CV12,CT12,CQ12,CN12,CK12,CF12)</f>
        <v/>
      </c>
      <c r="CY12" s="1933">
        <f>SUM(CT12,CQ12,CN12,CK12)</f>
        <v/>
      </c>
      <c r="CZ12" s="596">
        <f>CY12/CX12</f>
        <v/>
      </c>
    </row>
    <row r="13" customFormat="1" s="585">
      <c r="A13" s="608" t="inlineStr">
        <is>
          <t>Cove:</t>
        </is>
      </c>
      <c r="B13" s="603" t="n"/>
      <c r="C13" s="591" t="n"/>
      <c r="D13" s="591" t="n"/>
      <c r="E13" s="609" t="n"/>
      <c r="F13" s="593" t="n"/>
      <c r="G13" s="1935" t="n"/>
      <c r="H13" s="593" t="n"/>
      <c r="I13" s="1934" t="n"/>
      <c r="J13" s="1934" t="n"/>
      <c r="K13" s="1934" t="n"/>
      <c r="L13" s="1934" t="n"/>
      <c r="M13" s="1934" t="n"/>
      <c r="AJ13" s="1930" t="n">
        <v>6000</v>
      </c>
      <c r="AK13" s="1930" t="n"/>
      <c r="AL13" s="1930" t="n"/>
      <c r="AM13" s="1930">
        <f>AJ13</f>
        <v/>
      </c>
      <c r="AN13" s="1930" t="n"/>
      <c r="AO13" s="1930" t="n"/>
      <c r="AP13" s="1930">
        <f>AJ13+AM13</f>
        <v/>
      </c>
      <c r="AQ13" s="1930" t="n"/>
      <c r="AR13" s="1930" t="n"/>
      <c r="AS13" s="1930">
        <f>AP13</f>
        <v/>
      </c>
      <c r="AT13" s="596">
        <f>IF(AJ13&lt;=#REF!,#REF!,IF(AJ13&lt;=#REF!,#REF!,IF(AJ13&lt;=#REF!,#REF!,IF(AJ13&lt;=#REF!,#REF!,IF(AJ13&lt;=#REF!,#REF!,IF(AJ13&lt;=#REF!,#REF!,IF(AJ13&lt;=#REF!,#REF!,0.05)))))))</f>
        <v/>
      </c>
      <c r="AU13" s="1930">
        <f>AT13*AJ13</f>
        <v/>
      </c>
      <c r="AV13" s="596" t="n"/>
      <c r="AW13" s="596">
        <f>IF(AM13&lt;=#REF!,#REF!,IF(AM13&lt;=#REF!,#REF!,IF(AM13&lt;=#REF!,#REF!,IF(AM13&lt;=#REF!,#REF!,IF(AM13&lt;=#REF!,#REF!,IF(AM13&lt;=#REF!,#REF!,IF(AM13&lt;=#REF!,#REF!,0.05)))))))</f>
        <v/>
      </c>
      <c r="AX13" s="1930">
        <f>AW13*AM13</f>
        <v/>
      </c>
      <c r="AY13" s="596" t="n"/>
      <c r="AZ13" s="596">
        <f>IF(AP13&lt;=#REF!,#REF!,IF(AP13&lt;=#REF!,#REF!,IF(AP13&lt;=#REF!,#REF!,IF(AP13&lt;=#REF!,#REF!,IF(AP13&lt;=#REF!,#REF!,IF(AP13&lt;=#REF!,#REF!,IF(AP13&lt;=#REF!,#REF!,0.05)))))))</f>
        <v/>
      </c>
      <c r="BA13" s="1930">
        <f>AZ13*SUM(AX13,AU13,AP13)</f>
        <v/>
      </c>
      <c r="BB13" s="596" t="n"/>
      <c r="BC13" s="1931">
        <f>IF(AS13&lt;=#REF!,#REF!,IF(AS13&lt;=#REF!,#REF!,IF(AS13&lt;=#REF!,#REF!,IF(AS13&lt;=#REF!,#REF!,IF(AS13&lt;=#REF!,#REF!,IF(AS13&lt;=#REF!,#REF!,IF(AS13&lt;=#REF!,#REF!,0.05)))))))</f>
        <v/>
      </c>
      <c r="BD13" s="1930">
        <f>BC13*AS13</f>
        <v/>
      </c>
      <c r="BF13" s="1932">
        <f>0.07*SUM(AP13,AU13,AX13,BA13,BD13)</f>
        <v/>
      </c>
      <c r="BH13" s="1932">
        <f>SUM(BF13,BD13,BA13,AX13,AU13,AP13)</f>
        <v/>
      </c>
      <c r="BI13" s="1933">
        <f>SUM(BD13,BA13,AX13,AU13)</f>
        <v/>
      </c>
      <c r="BJ13" s="596">
        <f>BI13/BH13</f>
        <v/>
      </c>
      <c r="BM13" s="596" t="n">
        <v>0.05</v>
      </c>
      <c r="BN13" s="1930" t="n">
        <v>1000000000</v>
      </c>
      <c r="BP13" s="596" t="n">
        <v>0.03</v>
      </c>
      <c r="BQ13" s="1930" t="n">
        <v>1000000000</v>
      </c>
      <c r="BR13" s="1930" t="n"/>
      <c r="BS13" s="596" t="n">
        <v>0.18</v>
      </c>
      <c r="BT13" s="1930" t="n">
        <v>1000000000</v>
      </c>
      <c r="BV13" s="1931" t="n">
        <v>-0.06</v>
      </c>
      <c r="BW13" s="1930" t="n">
        <v>1000000000</v>
      </c>
      <c r="BZ13" s="1930" t="n">
        <v>6000</v>
      </c>
      <c r="CA13" s="1930" t="n"/>
      <c r="CB13" s="1930" t="n"/>
      <c r="CC13" s="1930">
        <f>BZ13</f>
        <v/>
      </c>
      <c r="CD13" s="1930" t="n"/>
      <c r="CE13" s="1930" t="n"/>
      <c r="CF13" s="1930">
        <f>BZ13+CC13</f>
        <v/>
      </c>
      <c r="CG13" s="1930" t="n"/>
      <c r="CH13" s="1930" t="n"/>
      <c r="CI13" s="1930">
        <f>CF13</f>
        <v/>
      </c>
      <c r="CJ13" s="596">
        <f>IF(BZ13&lt;=BN$4,BM$4,IF(BZ13&lt;=BN$5,BM$5,IF(BZ13&lt;=BN$6,BM$6,IF(BZ13&lt;=BN$7,BM$7,IF(BZ13&lt;=BN$12,BM$12,IF(BZ13&lt;=BN$13,BM$13,IF(BZ13&lt;=BN$14,BM$14,0.05)))))))</f>
        <v/>
      </c>
      <c r="CK13" s="1930">
        <f>CJ13*BZ13</f>
        <v/>
      </c>
      <c r="CL13" s="596" t="n"/>
      <c r="CM13" s="596">
        <f>IF(CC13&lt;=BQ$4,BP$4,IF(CC13&lt;=BQ$5,BP$5,IF(CC13&lt;=BQ$6,BP$6,IF(CC13&lt;=BQ$7,BP$7,IF(CC13&lt;=BQ$12,BP$12,IF(CC13&lt;=BQ$13,BP$13,IF(CC13&lt;=BQ$14,BP$14,0.05)))))))</f>
        <v/>
      </c>
      <c r="CN13" s="1930">
        <f>CM13*CC13</f>
        <v/>
      </c>
      <c r="CO13" s="596" t="n"/>
      <c r="CP13" s="596">
        <f>IF(CF13&lt;=BT$4,BS$4,IF(CF13&lt;=BT$5,BS$5,IF(CF13&lt;=BT$6,BS$6,IF(CF13&lt;=BT$7,BS$7,IF(CF13&lt;=BT$12,BS$12,IF(CF13&lt;=BT$13,BS$13,IF(CF13&lt;=BT$14,BS$14,0.05)))))))</f>
        <v/>
      </c>
      <c r="CQ13" s="1930">
        <f>CP13*SUM(CN13,CK13,CF13)</f>
        <v/>
      </c>
      <c r="CR13" s="596" t="n"/>
      <c r="CS13" s="1931">
        <f>IF(CI13&lt;=BW$4,BV$4,IF(CI13&lt;=BW$5,BV$5,IF(CI13&lt;=BW$6,BV$6,IF(CI13&lt;=BW$7,BV$7,IF(CI13&lt;=BW$12,BV$12,IF(CI13&lt;=BW$13,BV$13,IF(CI13&lt;=BW$14,BV$14,0.05)))))))</f>
        <v/>
      </c>
      <c r="CT13" s="1930">
        <f>CS13*CI13</f>
        <v/>
      </c>
      <c r="CV13" s="1932">
        <f>0.07*SUM(CF13,CK13,CN13,CQ13,CT13)</f>
        <v/>
      </c>
      <c r="CX13" s="1932">
        <f>SUM(CV13,CT13,CQ13,CN13,CK13,CF13)</f>
        <v/>
      </c>
      <c r="CY13" s="1933">
        <f>SUM(CT13,CQ13,CN13,CK13)</f>
        <v/>
      </c>
      <c r="CZ13" s="596">
        <f>CY13/CX13</f>
        <v/>
      </c>
    </row>
    <row r="14" customFormat="1" s="585">
      <c r="A14" s="608" t="inlineStr">
        <is>
          <t>? - Walls:</t>
        </is>
      </c>
      <c r="B14" s="600" t="n"/>
      <c r="C14" s="591" t="n"/>
      <c r="D14" s="600" t="n"/>
      <c r="E14" s="609" t="n"/>
      <c r="F14" s="593" t="n"/>
      <c r="G14" s="1935" t="n"/>
      <c r="H14" s="593" t="n"/>
      <c r="I14" s="1934" t="n"/>
      <c r="J14" s="1934" t="n"/>
      <c r="K14" s="1934" t="n"/>
      <c r="L14" s="1934" t="n"/>
      <c r="M14" s="1934" t="n"/>
      <c r="AJ14" s="1930" t="n">
        <v>7000</v>
      </c>
      <c r="AK14" s="1930" t="n"/>
      <c r="AL14" s="1930" t="n"/>
      <c r="AM14" s="1930">
        <f>AJ14</f>
        <v/>
      </c>
      <c r="AN14" s="1930" t="n"/>
      <c r="AO14" s="1930" t="n"/>
      <c r="AP14" s="1930">
        <f>AJ14+AM14</f>
        <v/>
      </c>
      <c r="AQ14" s="1930" t="n"/>
      <c r="AR14" s="1930" t="n"/>
      <c r="AS14" s="1930">
        <f>AP14</f>
        <v/>
      </c>
      <c r="AT14" s="596">
        <f>IF(AJ14&lt;=#REF!,#REF!,IF(AJ14&lt;=#REF!,#REF!,IF(AJ14&lt;=#REF!,#REF!,IF(AJ14&lt;=#REF!,#REF!,IF(AJ14&lt;=#REF!,#REF!,IF(AJ14&lt;=#REF!,#REF!,IF(AJ14&lt;=#REF!,#REF!,0.05)))))))</f>
        <v/>
      </c>
      <c r="AU14" s="1930">
        <f>AT14*AJ14</f>
        <v/>
      </c>
      <c r="AV14" s="596" t="n"/>
      <c r="AW14" s="596">
        <f>IF(AM14&lt;=#REF!,#REF!,IF(AM14&lt;=#REF!,#REF!,IF(AM14&lt;=#REF!,#REF!,IF(AM14&lt;=#REF!,#REF!,IF(AM14&lt;=#REF!,#REF!,IF(AM14&lt;=#REF!,#REF!,IF(AM14&lt;=#REF!,#REF!,0.05)))))))</f>
        <v/>
      </c>
      <c r="AX14" s="1930">
        <f>AW14*AM14</f>
        <v/>
      </c>
      <c r="AY14" s="596" t="n"/>
      <c r="AZ14" s="596">
        <f>IF(AP14&lt;=#REF!,#REF!,IF(AP14&lt;=#REF!,#REF!,IF(AP14&lt;=#REF!,#REF!,IF(AP14&lt;=#REF!,#REF!,IF(AP14&lt;=#REF!,#REF!,IF(AP14&lt;=#REF!,#REF!,IF(AP14&lt;=#REF!,#REF!,0.05)))))))</f>
        <v/>
      </c>
      <c r="BA14" s="1930">
        <f>AZ14*SUM(AX14,AU14,AP14)</f>
        <v/>
      </c>
      <c r="BB14" s="596" t="n"/>
      <c r="BC14" s="1931">
        <f>IF(AS14&lt;=#REF!,#REF!,IF(AS14&lt;=#REF!,#REF!,IF(AS14&lt;=#REF!,#REF!,IF(AS14&lt;=#REF!,#REF!,IF(AS14&lt;=#REF!,#REF!,IF(AS14&lt;=#REF!,#REF!,IF(AS14&lt;=#REF!,#REF!,0.05)))))))</f>
        <v/>
      </c>
      <c r="BD14" s="1930">
        <f>BC14*AS14</f>
        <v/>
      </c>
      <c r="BF14" s="1932">
        <f>0.07*SUM(AP14,AU14,AX14,BA14,BD14)</f>
        <v/>
      </c>
      <c r="BH14" s="1932">
        <f>SUM(BF14,BD14,BA14,AX14,AU14,AP14)</f>
        <v/>
      </c>
      <c r="BI14" s="1933">
        <f>SUM(BD14,BA14,AX14,AU14)</f>
        <v/>
      </c>
      <c r="BJ14" s="596">
        <f>BI14/BH14</f>
        <v/>
      </c>
      <c r="BM14" s="596" t="n">
        <v>0.05</v>
      </c>
      <c r="BN14" s="1930" t="n">
        <v>1000000000</v>
      </c>
      <c r="BP14" s="596" t="n">
        <v>0.03</v>
      </c>
      <c r="BQ14" s="1930" t="n">
        <v>1000000000</v>
      </c>
      <c r="BR14" s="1930" t="n"/>
      <c r="BS14" s="596" t="n">
        <v>0.18</v>
      </c>
      <c r="BT14" s="1930" t="n">
        <v>1000000000</v>
      </c>
      <c r="BV14" s="1931" t="n">
        <v>0</v>
      </c>
      <c r="BW14" s="1930" t="n">
        <v>1000000000</v>
      </c>
      <c r="BZ14" s="1930" t="n">
        <v>7000</v>
      </c>
      <c r="CA14" s="1930" t="n"/>
      <c r="CB14" s="1930" t="n"/>
      <c r="CC14" s="1930">
        <f>BZ14</f>
        <v/>
      </c>
      <c r="CD14" s="1930" t="n"/>
      <c r="CE14" s="1930" t="n"/>
      <c r="CF14" s="1930">
        <f>BZ14+CC14</f>
        <v/>
      </c>
      <c r="CG14" s="1930" t="n"/>
      <c r="CH14" s="1930" t="n"/>
      <c r="CI14" s="1930">
        <f>CF14</f>
        <v/>
      </c>
      <c r="CJ14" s="596">
        <f>IF(BZ14&lt;=BN$4,BM$4,IF(BZ14&lt;=BN$5,BM$5,IF(BZ14&lt;=BN$6,BM$6,IF(BZ14&lt;=BN$7,BM$7,IF(BZ14&lt;=BN$12,BM$12,IF(BZ14&lt;=BN$13,BM$13,IF(BZ14&lt;=BN$14,BM$14,0.05)))))))</f>
        <v/>
      </c>
      <c r="CK14" s="1930">
        <f>CJ14*BZ14</f>
        <v/>
      </c>
      <c r="CL14" s="596" t="n"/>
      <c r="CM14" s="596">
        <f>IF(CC14&lt;=BQ$4,BP$4,IF(CC14&lt;=BQ$5,BP$5,IF(CC14&lt;=BQ$6,BP$6,IF(CC14&lt;=BQ$7,BP$7,IF(CC14&lt;=BQ$12,BP$12,IF(CC14&lt;=BQ$13,BP$13,IF(CC14&lt;=BQ$14,BP$14,0.05)))))))</f>
        <v/>
      </c>
      <c r="CN14" s="1930">
        <f>CM14*CC14</f>
        <v/>
      </c>
      <c r="CO14" s="596" t="n"/>
      <c r="CP14" s="596">
        <f>IF(CF14&lt;=BT$4,BS$4,IF(CF14&lt;=BT$5,BS$5,IF(CF14&lt;=BT$6,BS$6,IF(CF14&lt;=BT$7,BS$7,IF(CF14&lt;=BT$12,BS$12,IF(CF14&lt;=BT$13,BS$13,IF(CF14&lt;=BT$14,BS$14,0.05)))))))</f>
        <v/>
      </c>
      <c r="CQ14" s="1930">
        <f>CP14*SUM(CN14,CK14,CF14)</f>
        <v/>
      </c>
      <c r="CR14" s="596" t="n"/>
      <c r="CS14" s="1931">
        <f>IF(CI14&lt;=BW$4,BV$4,IF(CI14&lt;=BW$5,BV$5,IF(CI14&lt;=BW$6,BV$6,IF(CI14&lt;=BW$7,BV$7,IF(CI14&lt;=BW$12,BV$12,IF(CI14&lt;=BW$13,BV$13,IF(CI14&lt;=BW$14,BV$14,0.05)))))))</f>
        <v/>
      </c>
      <c r="CT14" s="1930">
        <f>CS14*CI14</f>
        <v/>
      </c>
      <c r="CV14" s="1932">
        <f>0.07*SUM(CF14,CK14,CN14,CQ14,CT14)</f>
        <v/>
      </c>
      <c r="CX14" s="1932">
        <f>SUM(CV14,CT14,CQ14,CN14,CK14,CF14)</f>
        <v/>
      </c>
      <c r="CY14" s="1933">
        <f>SUM(CT14,CQ14,CN14,CK14)</f>
        <v/>
      </c>
      <c r="CZ14" s="596">
        <f>CY14/CX14</f>
        <v/>
      </c>
    </row>
    <row r="15" ht="16.2" customFormat="1" customHeight="1" s="585" thickBot="1">
      <c r="A15" s="608" t="n"/>
      <c r="B15" s="600" t="n"/>
      <c r="C15" s="591" t="n"/>
      <c r="D15" s="600" t="n"/>
      <c r="E15" s="609" t="n"/>
      <c r="F15" s="593" t="n"/>
      <c r="G15" s="1935" t="n"/>
      <c r="H15" s="593" t="n"/>
      <c r="I15" s="1936" t="n"/>
      <c r="J15" s="1934" t="n"/>
      <c r="K15" s="1934" t="n"/>
      <c r="L15" s="1937" t="n"/>
      <c r="M15" s="1937" t="n"/>
      <c r="AJ15" s="1930" t="n">
        <v>8000</v>
      </c>
      <c r="AK15" s="1930" t="n"/>
      <c r="AL15" s="1930" t="n"/>
      <c r="AM15" s="1930">
        <f>AJ15</f>
        <v/>
      </c>
      <c r="AN15" s="1930" t="n"/>
      <c r="AO15" s="1930" t="n"/>
      <c r="AP15" s="1930">
        <f>AJ15+AM15</f>
        <v/>
      </c>
      <c r="AQ15" s="1930" t="n"/>
      <c r="AR15" s="1930" t="n"/>
      <c r="AS15" s="1930">
        <f>AP15</f>
        <v/>
      </c>
      <c r="AT15" s="596">
        <f>IF(AJ15&lt;=#REF!,#REF!,IF(AJ15&lt;=#REF!,#REF!,IF(AJ15&lt;=#REF!,#REF!,IF(AJ15&lt;=#REF!,#REF!,IF(AJ15&lt;=#REF!,#REF!,IF(AJ15&lt;=#REF!,#REF!,IF(AJ15&lt;=#REF!,#REF!,0.05)))))))</f>
        <v/>
      </c>
      <c r="AU15" s="1930">
        <f>AT15*AJ15</f>
        <v/>
      </c>
      <c r="AV15" s="596" t="n"/>
      <c r="AW15" s="596">
        <f>IF(AM15&lt;=#REF!,#REF!,IF(AM15&lt;=#REF!,#REF!,IF(AM15&lt;=#REF!,#REF!,IF(AM15&lt;=#REF!,#REF!,IF(AM15&lt;=#REF!,#REF!,IF(AM15&lt;=#REF!,#REF!,IF(AM15&lt;=#REF!,#REF!,0.05)))))))</f>
        <v/>
      </c>
      <c r="AX15" s="1930">
        <f>AW15*AM15</f>
        <v/>
      </c>
      <c r="AY15" s="596" t="n"/>
      <c r="AZ15" s="596">
        <f>IF(AP15&lt;=#REF!,#REF!,IF(AP15&lt;=#REF!,#REF!,IF(AP15&lt;=#REF!,#REF!,IF(AP15&lt;=#REF!,#REF!,IF(AP15&lt;=#REF!,#REF!,IF(AP15&lt;=#REF!,#REF!,IF(AP15&lt;=#REF!,#REF!,0.05)))))))</f>
        <v/>
      </c>
      <c r="BA15" s="1930">
        <f>AZ15*SUM(AX15,AU15,AP15)</f>
        <v/>
      </c>
      <c r="BB15" s="596" t="n"/>
      <c r="BC15" s="1931">
        <f>IF(AS15&lt;=#REF!,#REF!,IF(AS15&lt;=#REF!,#REF!,IF(AS15&lt;=#REF!,#REF!,IF(AS15&lt;=#REF!,#REF!,IF(AS15&lt;=#REF!,#REF!,IF(AS15&lt;=#REF!,#REF!,IF(AS15&lt;=#REF!,#REF!,0.05)))))))</f>
        <v/>
      </c>
      <c r="BD15" s="1930">
        <f>BC15*AS15</f>
        <v/>
      </c>
      <c r="BF15" s="1932">
        <f>0.07*SUM(AP15,AU15,AX15,BA15,BD15)</f>
        <v/>
      </c>
      <c r="BH15" s="1932">
        <f>SUM(BF15,BD15,BA15,AX15,AU15,AP15)</f>
        <v/>
      </c>
      <c r="BI15" s="1933">
        <f>SUM(BD15,BA15,AX15,AU15)</f>
        <v/>
      </c>
      <c r="BJ15" s="596">
        <f>BI15/BH15</f>
        <v/>
      </c>
      <c r="BZ15" s="1930" t="n">
        <v>8000</v>
      </c>
      <c r="CA15" s="1930" t="n"/>
      <c r="CB15" s="1930" t="n"/>
      <c r="CC15" s="1930">
        <f>BZ15</f>
        <v/>
      </c>
      <c r="CD15" s="1930" t="n"/>
      <c r="CE15" s="1930" t="n"/>
      <c r="CF15" s="1930">
        <f>BZ15+CC15</f>
        <v/>
      </c>
      <c r="CG15" s="1930" t="n"/>
      <c r="CH15" s="1930" t="n"/>
      <c r="CI15" s="1930">
        <f>CF15</f>
        <v/>
      </c>
      <c r="CJ15" s="596">
        <f>IF(BZ15&lt;=BN$4,BM$4,IF(BZ15&lt;=BN$5,BM$5,IF(BZ15&lt;=BN$6,BM$6,IF(BZ15&lt;=BN$7,BM$7,IF(BZ15&lt;=BN$12,BM$12,IF(BZ15&lt;=BN$13,BM$13,IF(BZ15&lt;=BN$14,BM$14,0.05)))))))</f>
        <v/>
      </c>
      <c r="CK15" s="1930">
        <f>CJ15*BZ15</f>
        <v/>
      </c>
      <c r="CL15" s="596" t="n"/>
      <c r="CM15" s="596">
        <f>IF(CC15&lt;=BQ$4,BP$4,IF(CC15&lt;=BQ$5,BP$5,IF(CC15&lt;=BQ$6,BP$6,IF(CC15&lt;=BQ$7,BP$7,IF(CC15&lt;=BQ$12,BP$12,IF(CC15&lt;=BQ$13,BP$13,IF(CC15&lt;=BQ$14,BP$14,0.05)))))))</f>
        <v/>
      </c>
      <c r="CN15" s="1930">
        <f>CM15*CC15</f>
        <v/>
      </c>
      <c r="CO15" s="596" t="n"/>
      <c r="CP15" s="596">
        <f>IF(CF15&lt;=BT$4,BS$4,IF(CF15&lt;=BT$5,BS$5,IF(CF15&lt;=BT$6,BS$6,IF(CF15&lt;=BT$7,BS$7,IF(CF15&lt;=BT$12,BS$12,IF(CF15&lt;=BT$13,BS$13,IF(CF15&lt;=BT$14,BS$14,0.05)))))))</f>
        <v/>
      </c>
      <c r="CQ15" s="1930">
        <f>CP15*SUM(CN15,CK15,CF15)</f>
        <v/>
      </c>
      <c r="CR15" s="596" t="n"/>
      <c r="CS15" s="1931">
        <f>IF(CI15&lt;=BW$4,BV$4,IF(CI15&lt;=BW$5,BV$5,IF(CI15&lt;=BW$6,BV$6,IF(CI15&lt;=BW$7,BV$7,IF(CI15&lt;=BW$12,BV$12,IF(CI15&lt;=BW$13,BV$13,IF(CI15&lt;=BW$14,BV$14,0.05)))))))</f>
        <v/>
      </c>
      <c r="CT15" s="1930">
        <f>CS15*CI15</f>
        <v/>
      </c>
      <c r="CV15" s="1932">
        <f>0.07*SUM(CF15,CK15,CN15,CQ15,CT15)</f>
        <v/>
      </c>
      <c r="CX15" s="1932">
        <f>SUM(CV15,CT15,CQ15,CN15,CK15,CF15)</f>
        <v/>
      </c>
      <c r="CY15" s="1933">
        <f>SUM(CT15,CQ15,CN15,CK15)</f>
        <v/>
      </c>
      <c r="CZ15" s="596">
        <f>CY15/CX15</f>
        <v/>
      </c>
    </row>
    <row r="16" ht="16.2" customFormat="1" customHeight="1" s="585" thickBot="1">
      <c r="A16" s="612" t="inlineStr">
        <is>
          <t>Total Base Bid:</t>
        </is>
      </c>
      <c r="B16" s="1938">
        <f>D85</f>
        <v/>
      </c>
      <c r="C16" s="614" t="inlineStr">
        <is>
          <t>$ / SF:</t>
        </is>
      </c>
      <c r="D16" s="1939">
        <f>C85</f>
        <v/>
      </c>
      <c r="E16" s="593" t="n"/>
      <c r="F16" s="593" t="n"/>
      <c r="G16" s="593" t="n"/>
      <c r="H16" s="593" t="n"/>
      <c r="I16" s="1936" t="n"/>
      <c r="J16" s="1934" t="n"/>
      <c r="K16" s="1934" t="n"/>
      <c r="M16" s="1936" t="n"/>
      <c r="N16" s="600" t="n"/>
      <c r="O16" s="600" t="n"/>
      <c r="P16" s="600" t="n"/>
      <c r="AJ16" s="1930" t="n">
        <v>9000</v>
      </c>
      <c r="AK16" s="1930" t="n"/>
      <c r="AL16" s="1930" t="n"/>
      <c r="AM16" s="1930">
        <f>AJ16</f>
        <v/>
      </c>
      <c r="AN16" s="1930" t="n"/>
      <c r="AO16" s="1930" t="n"/>
      <c r="AP16" s="1930">
        <f>AJ16+AM16</f>
        <v/>
      </c>
      <c r="AQ16" s="1930" t="n"/>
      <c r="AR16" s="1930" t="n"/>
      <c r="AS16" s="1930">
        <f>AP16</f>
        <v/>
      </c>
      <c r="AT16" s="596">
        <f>IF(AJ16&lt;=#REF!,#REF!,IF(AJ16&lt;=#REF!,#REF!,IF(AJ16&lt;=#REF!,#REF!,IF(AJ16&lt;=#REF!,#REF!,IF(AJ16&lt;=#REF!,#REF!,IF(AJ16&lt;=#REF!,#REF!,IF(AJ16&lt;=#REF!,#REF!,0.05)))))))</f>
        <v/>
      </c>
      <c r="AU16" s="1930">
        <f>AT16*AJ16</f>
        <v/>
      </c>
      <c r="AV16" s="596" t="n"/>
      <c r="AW16" s="596">
        <f>IF(AM16&lt;=#REF!,#REF!,IF(AM16&lt;=#REF!,#REF!,IF(AM16&lt;=#REF!,#REF!,IF(AM16&lt;=#REF!,#REF!,IF(AM16&lt;=#REF!,#REF!,IF(AM16&lt;=#REF!,#REF!,IF(AM16&lt;=#REF!,#REF!,0.05)))))))</f>
        <v/>
      </c>
      <c r="AX16" s="1930">
        <f>AW16*AM16</f>
        <v/>
      </c>
      <c r="AY16" s="596" t="n"/>
      <c r="AZ16" s="596">
        <f>IF(AP16&lt;=#REF!,#REF!,IF(AP16&lt;=#REF!,#REF!,IF(AP16&lt;=#REF!,#REF!,IF(AP16&lt;=#REF!,#REF!,IF(AP16&lt;=#REF!,#REF!,IF(AP16&lt;=#REF!,#REF!,IF(AP16&lt;=#REF!,#REF!,0.05)))))))</f>
        <v/>
      </c>
      <c r="BA16" s="1930">
        <f>AZ16*SUM(AX16,AU16,AP16)</f>
        <v/>
      </c>
      <c r="BB16" s="596" t="n"/>
      <c r="BC16" s="1931">
        <f>IF(AS16&lt;=#REF!,#REF!,IF(AS16&lt;=#REF!,#REF!,IF(AS16&lt;=#REF!,#REF!,IF(AS16&lt;=#REF!,#REF!,IF(AS16&lt;=#REF!,#REF!,IF(AS16&lt;=#REF!,#REF!,IF(AS16&lt;=#REF!,#REF!,0.05)))))))</f>
        <v/>
      </c>
      <c r="BD16" s="1930">
        <f>BC16*AS16</f>
        <v/>
      </c>
      <c r="BF16" s="1932">
        <f>0.07*SUM(AP16,AU16,AX16,BA16,BD16)</f>
        <v/>
      </c>
      <c r="BH16" s="1932">
        <f>SUM(BF16,BD16,BA16,AX16,AU16,AP16)</f>
        <v/>
      </c>
      <c r="BI16" s="1933">
        <f>SUM(BD16,BA16,AX16,AU16)</f>
        <v/>
      </c>
      <c r="BJ16" s="596">
        <f>BI16/BH16</f>
        <v/>
      </c>
      <c r="BZ16" s="1930" t="n">
        <v>9000</v>
      </c>
      <c r="CA16" s="1930" t="n"/>
      <c r="CB16" s="1930" t="n"/>
      <c r="CC16" s="1930">
        <f>BZ16</f>
        <v/>
      </c>
      <c r="CD16" s="1930" t="n"/>
      <c r="CE16" s="1930" t="n"/>
      <c r="CF16" s="1930">
        <f>BZ16+CC16</f>
        <v/>
      </c>
      <c r="CG16" s="1930" t="n"/>
      <c r="CH16" s="1930" t="n"/>
      <c r="CI16" s="1930">
        <f>CF16</f>
        <v/>
      </c>
      <c r="CJ16" s="596">
        <f>IF(BZ16&lt;=BN$4,BM$4,IF(BZ16&lt;=BN$5,BM$5,IF(BZ16&lt;=BN$6,BM$6,IF(BZ16&lt;=BN$7,BM$7,IF(BZ16&lt;=BN$12,BM$12,IF(BZ16&lt;=BN$13,BM$13,IF(BZ16&lt;=BN$14,BM$14,0.05)))))))</f>
        <v/>
      </c>
      <c r="CK16" s="1930">
        <f>CJ16*BZ16</f>
        <v/>
      </c>
      <c r="CL16" s="596" t="n"/>
      <c r="CM16" s="596">
        <f>IF(CC16&lt;=BQ$4,BP$4,IF(CC16&lt;=BQ$5,BP$5,IF(CC16&lt;=BQ$6,BP$6,IF(CC16&lt;=BQ$7,BP$7,IF(CC16&lt;=BQ$12,BP$12,IF(CC16&lt;=BQ$13,BP$13,IF(CC16&lt;=BQ$14,BP$14,0.05)))))))</f>
        <v/>
      </c>
      <c r="CN16" s="1930">
        <f>CM16*CC16</f>
        <v/>
      </c>
      <c r="CO16" s="596" t="n"/>
      <c r="CP16" s="596">
        <f>IF(CF16&lt;=BT$4,BS$4,IF(CF16&lt;=BT$5,BS$5,IF(CF16&lt;=BT$6,BS$6,IF(CF16&lt;=BT$7,BS$7,IF(CF16&lt;=BT$12,BS$12,IF(CF16&lt;=BT$13,BS$13,IF(CF16&lt;=BT$14,BS$14,0.05)))))))</f>
        <v/>
      </c>
      <c r="CQ16" s="1930">
        <f>CP16*SUM(CN16,CK16,CF16)</f>
        <v/>
      </c>
      <c r="CR16" s="596" t="n"/>
      <c r="CS16" s="1931">
        <f>IF(CI16&lt;=BW$4,BV$4,IF(CI16&lt;=BW$5,BV$5,IF(CI16&lt;=BW$6,BV$6,IF(CI16&lt;=BW$7,BV$7,IF(CI16&lt;=BW$12,BV$12,IF(CI16&lt;=BW$13,BV$13,IF(CI16&lt;=BW$14,BV$14,0.05)))))))</f>
        <v/>
      </c>
      <c r="CT16" s="1930">
        <f>CS16*CI16</f>
        <v/>
      </c>
      <c r="CV16" s="1932">
        <f>0.07*SUM(CF16,CK16,CN16,CQ16,CT16)</f>
        <v/>
      </c>
      <c r="CX16" s="1932">
        <f>SUM(CV16,CT16,CQ16,CN16,CK16,CF16)</f>
        <v/>
      </c>
      <c r="CY16" s="1933">
        <f>SUM(CT16,CQ16,CN16,CK16)</f>
        <v/>
      </c>
      <c r="CZ16" s="596">
        <f>CY16/CX16</f>
        <v/>
      </c>
    </row>
    <row r="17" customFormat="1" s="585">
      <c r="A17" s="616" t="inlineStr">
        <is>
          <t>MATERIAL - Patch</t>
        </is>
      </c>
      <c r="B17" s="617" t="inlineStr">
        <is>
          <t>Quantity</t>
        </is>
      </c>
      <c r="C17" s="617" t="inlineStr">
        <is>
          <t>Cost</t>
        </is>
      </c>
      <c r="D17" s="618" t="inlineStr">
        <is>
          <t>Total</t>
        </is>
      </c>
      <c r="E17" s="619" t="n"/>
      <c r="F17" s="593" t="n"/>
      <c r="H17" s="621" t="inlineStr">
        <is>
          <t>Standard  Add's</t>
        </is>
      </c>
      <c r="I17" s="1388" t="inlineStr">
        <is>
          <t>Cost / Unit</t>
        </is>
      </c>
      <c r="J17" s="1388" t="inlineStr">
        <is>
          <t>SF -or- LF</t>
        </is>
      </c>
      <c r="K17" s="1940" t="inlineStr">
        <is>
          <t xml:space="preserve">Total </t>
        </is>
      </c>
      <c r="Q17" s="590" t="n"/>
      <c r="AJ17" s="1930" t="n">
        <v>10000</v>
      </c>
      <c r="AK17" s="1930" t="n"/>
      <c r="AL17" s="1930" t="n"/>
      <c r="AM17" s="1930">
        <f>AJ17</f>
        <v/>
      </c>
      <c r="AN17" s="1930" t="n"/>
      <c r="AO17" s="1930" t="n"/>
      <c r="AP17" s="1930">
        <f>AJ17+AM17</f>
        <v/>
      </c>
      <c r="AQ17" s="1930" t="n"/>
      <c r="AR17" s="1930" t="n"/>
      <c r="AS17" s="1930">
        <f>AP17</f>
        <v/>
      </c>
      <c r="AT17" s="596">
        <f>IF(AJ17&lt;=#REF!,#REF!,IF(AJ17&lt;=#REF!,#REF!,IF(AJ17&lt;=#REF!,#REF!,IF(AJ17&lt;=#REF!,#REF!,IF(AJ17&lt;=#REF!,#REF!,IF(AJ17&lt;=#REF!,#REF!,IF(AJ17&lt;=#REF!,#REF!,0.05)))))))</f>
        <v/>
      </c>
      <c r="AU17" s="1930">
        <f>AT17*AJ17</f>
        <v/>
      </c>
      <c r="AV17" s="596" t="n"/>
      <c r="AW17" s="596">
        <f>IF(AM17&lt;=#REF!,#REF!,IF(AM17&lt;=#REF!,#REF!,IF(AM17&lt;=#REF!,#REF!,IF(AM17&lt;=#REF!,#REF!,IF(AM17&lt;=#REF!,#REF!,IF(AM17&lt;=#REF!,#REF!,IF(AM17&lt;=#REF!,#REF!,0.05)))))))</f>
        <v/>
      </c>
      <c r="AX17" s="1930">
        <f>AW17*AM17</f>
        <v/>
      </c>
      <c r="AY17" s="596" t="n"/>
      <c r="AZ17" s="596">
        <f>IF(AP17&lt;=#REF!,#REF!,IF(AP17&lt;=#REF!,#REF!,IF(AP17&lt;=#REF!,#REF!,IF(AP17&lt;=#REF!,#REF!,IF(AP17&lt;=#REF!,#REF!,IF(AP17&lt;=#REF!,#REF!,IF(AP17&lt;=#REF!,#REF!,0.05)))))))</f>
        <v/>
      </c>
      <c r="BA17" s="1930">
        <f>AZ17*SUM(AX17,AU17,AP17)</f>
        <v/>
      </c>
      <c r="BB17" s="596" t="n"/>
      <c r="BC17" s="1931">
        <f>IF(AS17&lt;=#REF!,#REF!,IF(AS17&lt;=#REF!,#REF!,IF(AS17&lt;=#REF!,#REF!,IF(AS17&lt;=#REF!,#REF!,IF(AS17&lt;=#REF!,#REF!,IF(AS17&lt;=#REF!,#REF!,IF(AS17&lt;=#REF!,#REF!,0.05)))))))</f>
        <v/>
      </c>
      <c r="BD17" s="1930">
        <f>BC17*AS17</f>
        <v/>
      </c>
      <c r="BF17" s="1932">
        <f>0.07*SUM(AP17,AU17,AX17,BA17,BD17)</f>
        <v/>
      </c>
      <c r="BH17" s="1932">
        <f>SUM(BF17,BD17,BA17,AX17,AU17,AP17)</f>
        <v/>
      </c>
      <c r="BI17" s="1933">
        <f>SUM(BD17,BA17,AX17,AU17)</f>
        <v/>
      </c>
      <c r="BJ17" s="596">
        <f>BI17/BH17</f>
        <v/>
      </c>
      <c r="BZ17" s="1930" t="n">
        <v>10000</v>
      </c>
      <c r="CA17" s="1930" t="n"/>
      <c r="CB17" s="1930" t="n"/>
      <c r="CC17" s="1930">
        <f>BZ17</f>
        <v/>
      </c>
      <c r="CD17" s="1930" t="n"/>
      <c r="CE17" s="1930" t="n"/>
      <c r="CF17" s="1930">
        <f>BZ17+CC17</f>
        <v/>
      </c>
      <c r="CG17" s="1930" t="n"/>
      <c r="CH17" s="1930" t="n"/>
      <c r="CI17" s="1930">
        <f>CF17</f>
        <v/>
      </c>
      <c r="CJ17" s="596">
        <f>IF(BZ17&lt;=BN$4,BM$4,IF(BZ17&lt;=BN$5,BM$5,IF(BZ17&lt;=BN$6,BM$6,IF(BZ17&lt;=BN$7,BM$7,IF(BZ17&lt;=BN$12,BM$12,IF(BZ17&lt;=BN$13,BM$13,IF(BZ17&lt;=BN$14,BM$14,0.05)))))))</f>
        <v/>
      </c>
      <c r="CK17" s="1930">
        <f>CJ17*BZ17</f>
        <v/>
      </c>
      <c r="CL17" s="596" t="n"/>
      <c r="CM17" s="596">
        <f>IF(CC17&lt;=BQ$4,BP$4,IF(CC17&lt;=BQ$5,BP$5,IF(CC17&lt;=BQ$6,BP$6,IF(CC17&lt;=BQ$7,BP$7,IF(CC17&lt;=BQ$12,BP$12,IF(CC17&lt;=BQ$13,BP$13,IF(CC17&lt;=BQ$14,BP$14,0.05)))))))</f>
        <v/>
      </c>
      <c r="CN17" s="1930">
        <f>CM17*CC17</f>
        <v/>
      </c>
      <c r="CO17" s="596" t="n"/>
      <c r="CP17" s="596">
        <f>IF(CF17&lt;=BT$4,BS$4,IF(CF17&lt;=BT$5,BS$5,IF(CF17&lt;=BT$6,BS$6,IF(CF17&lt;=BT$7,BS$7,IF(CF17&lt;=BT$12,BS$12,IF(CF17&lt;=BT$13,BS$13,IF(CF17&lt;=BT$14,BS$14,0.05)))))))</f>
        <v/>
      </c>
      <c r="CQ17" s="1930">
        <f>CP17*SUM(CN17,CK17,CF17)</f>
        <v/>
      </c>
      <c r="CR17" s="596" t="n"/>
      <c r="CS17" s="1931">
        <f>IF(CI17&lt;=BW$4,BV$4,IF(CI17&lt;=BW$5,BV$5,IF(CI17&lt;=BW$6,BV$6,IF(CI17&lt;=BW$7,BV$7,IF(CI17&lt;=BW$12,BV$12,IF(CI17&lt;=BW$13,BV$13,IF(CI17&lt;=BW$14,BV$14,0.05)))))))</f>
        <v/>
      </c>
      <c r="CT17" s="1930">
        <f>CS17*CI17</f>
        <v/>
      </c>
      <c r="CV17" s="1932">
        <f>0.07*SUM(CF17,CK17,CN17,CQ17,CT17)</f>
        <v/>
      </c>
      <c r="CX17" s="1932">
        <f>SUM(CV17,CT17,CQ17,CN17,CK17,CF17)</f>
        <v/>
      </c>
      <c r="CY17" s="1933">
        <f>SUM(CT17,CQ17,CN17,CK17)</f>
        <v/>
      </c>
      <c r="CZ17" s="596">
        <f>CY17/CX17</f>
        <v/>
      </c>
    </row>
    <row r="18" customFormat="1" s="585">
      <c r="A18" s="624" t="n"/>
      <c r="B18" s="1941">
        <f>E20</f>
        <v/>
      </c>
      <c r="C18" s="1942" t="n">
        <v>0.1</v>
      </c>
      <c r="D18" s="1943">
        <f>B18*C18</f>
        <v/>
      </c>
      <c r="E18" s="600" t="n"/>
      <c r="F18" s="600" t="n"/>
      <c r="H18" s="628" t="inlineStr">
        <is>
          <t>Ram Board</t>
        </is>
      </c>
      <c r="I18" s="1944">
        <f>IF(J18&lt;=1000,validation!$R$4,IF(J18&lt;1500,validation!$R$6,IF(J18&lt;2000,validation!$R$8,IF(J18&lt;2500,validation!$R$10,IF(J18&lt;=3000,validation!$R$12,IF(J18&lt;3500,validation!$R$14,IF(J18&lt;4000,validation!$R$16,IF(J18&lt;5000,validation!$R$18,validation!$R$20))))))))</f>
        <v/>
      </c>
      <c r="J18" s="1945">
        <f>B42</f>
        <v/>
      </c>
      <c r="K18" s="1946">
        <f>ROUNDUP((I18*J18),0)</f>
        <v/>
      </c>
      <c r="L18" s="1947" t="inlineStr">
        <is>
          <t>LF</t>
        </is>
      </c>
      <c r="M18" s="633" t="inlineStr">
        <is>
          <t>$ / LF</t>
        </is>
      </c>
      <c r="Q18" s="590" t="n"/>
      <c r="AJ18" s="1930" t="n">
        <v>11000</v>
      </c>
      <c r="AK18" s="1930" t="n"/>
      <c r="AL18" s="1930" t="n"/>
      <c r="AM18" s="1930">
        <f>AJ18</f>
        <v/>
      </c>
      <c r="AN18" s="1930" t="n"/>
      <c r="AO18" s="1930" t="n"/>
      <c r="AP18" s="1930">
        <f>AJ18+AM18</f>
        <v/>
      </c>
      <c r="AQ18" s="1930" t="n"/>
      <c r="AR18" s="1930" t="n"/>
      <c r="AS18" s="1930">
        <f>AP18</f>
        <v/>
      </c>
      <c r="AT18" s="596">
        <f>IF(AJ18&lt;=#REF!,#REF!,IF(AJ18&lt;=#REF!,#REF!,IF(AJ18&lt;=#REF!,#REF!,IF(AJ18&lt;=#REF!,#REF!,IF(AJ18&lt;=#REF!,#REF!,IF(AJ18&lt;=#REF!,#REF!,IF(AJ18&lt;=#REF!,#REF!,0.05)))))))</f>
        <v/>
      </c>
      <c r="AU18" s="1930">
        <f>AT18*AJ18</f>
        <v/>
      </c>
      <c r="AV18" s="596" t="n"/>
      <c r="AW18" s="596">
        <f>IF(AM18&lt;=#REF!,#REF!,IF(AM18&lt;=#REF!,#REF!,IF(AM18&lt;=#REF!,#REF!,IF(AM18&lt;=#REF!,#REF!,IF(AM18&lt;=#REF!,#REF!,IF(AM18&lt;=#REF!,#REF!,IF(AM18&lt;=#REF!,#REF!,0.05)))))))</f>
        <v/>
      </c>
      <c r="AX18" s="1930">
        <f>AW18*AM18</f>
        <v/>
      </c>
      <c r="AY18" s="596" t="n"/>
      <c r="AZ18" s="596">
        <f>IF(AP18&lt;=#REF!,#REF!,IF(AP18&lt;=#REF!,#REF!,IF(AP18&lt;=#REF!,#REF!,IF(AP18&lt;=#REF!,#REF!,IF(AP18&lt;=#REF!,#REF!,IF(AP18&lt;=#REF!,#REF!,IF(AP18&lt;=#REF!,#REF!,0.05)))))))</f>
        <v/>
      </c>
      <c r="BA18" s="1930">
        <f>AZ18*SUM(AX18,AU18,AP18)</f>
        <v/>
      </c>
      <c r="BB18" s="596" t="n"/>
      <c r="BC18" s="1931">
        <f>IF(AS18&lt;=#REF!,#REF!,IF(AS18&lt;=#REF!,#REF!,IF(AS18&lt;=#REF!,#REF!,IF(AS18&lt;=#REF!,#REF!,IF(AS18&lt;=#REF!,#REF!,IF(AS18&lt;=#REF!,#REF!,IF(AS18&lt;=#REF!,#REF!,0.05)))))))</f>
        <v/>
      </c>
      <c r="BD18" s="1930">
        <f>BC18*AS18</f>
        <v/>
      </c>
      <c r="BF18" s="1932">
        <f>0.07*SUM(AP18,AU18,AX18,BA18,BD18)</f>
        <v/>
      </c>
      <c r="BH18" s="1932">
        <f>SUM(BF18,BD18,BA18,AX18,AU18,AP18)</f>
        <v/>
      </c>
      <c r="BI18" s="1933">
        <f>SUM(BD18,BA18,AX18,AU18)</f>
        <v/>
      </c>
      <c r="BJ18" s="596">
        <f>BI18/BH18</f>
        <v/>
      </c>
      <c r="BZ18" s="1930" t="n">
        <v>11000</v>
      </c>
      <c r="CA18" s="1930" t="n"/>
      <c r="CB18" s="1930" t="n"/>
      <c r="CC18" s="1930">
        <f>BZ18</f>
        <v/>
      </c>
      <c r="CD18" s="1930" t="n"/>
      <c r="CE18" s="1930" t="n"/>
      <c r="CF18" s="1930">
        <f>BZ18+CC18</f>
        <v/>
      </c>
      <c r="CG18" s="1930" t="n"/>
      <c r="CH18" s="1930" t="n"/>
      <c r="CI18" s="1930">
        <f>CF18</f>
        <v/>
      </c>
      <c r="CJ18" s="596">
        <f>IF(BZ18&lt;=BN$4,BM$4,IF(BZ18&lt;=BN$5,BM$5,IF(BZ18&lt;=BN$6,BM$6,IF(BZ18&lt;=BN$7,BM$7,IF(BZ18&lt;=BN$12,BM$12,IF(BZ18&lt;=BN$13,BM$13,IF(BZ18&lt;=BN$14,BM$14,0.05)))))))</f>
        <v/>
      </c>
      <c r="CK18" s="1930">
        <f>CJ18*BZ18</f>
        <v/>
      </c>
      <c r="CL18" s="596" t="n"/>
      <c r="CM18" s="596">
        <f>IF(CC18&lt;=BQ$4,BP$4,IF(CC18&lt;=BQ$5,BP$5,IF(CC18&lt;=BQ$6,BP$6,IF(CC18&lt;=BQ$7,BP$7,IF(CC18&lt;=BQ$12,BP$12,IF(CC18&lt;=BQ$13,BP$13,IF(CC18&lt;=BQ$14,BP$14,0.05)))))))</f>
        <v/>
      </c>
      <c r="CN18" s="1930">
        <f>CM18*CC18</f>
        <v/>
      </c>
      <c r="CO18" s="596" t="n"/>
      <c r="CP18" s="596">
        <f>IF(CF18&lt;=BT$4,BS$4,IF(CF18&lt;=BT$5,BS$5,IF(CF18&lt;=BT$6,BS$6,IF(CF18&lt;=BT$7,BS$7,IF(CF18&lt;=BT$12,BS$12,IF(CF18&lt;=BT$13,BS$13,IF(CF18&lt;=BT$14,BS$14,0.05)))))))</f>
        <v/>
      </c>
      <c r="CQ18" s="1930">
        <f>CP18*SUM(CN18,CK18,CF18)</f>
        <v/>
      </c>
      <c r="CR18" s="596" t="n"/>
      <c r="CS18" s="1931">
        <f>IF(CI18&lt;=BW$4,BV$4,IF(CI18&lt;=BW$5,BV$5,IF(CI18&lt;=BW$6,BV$6,IF(CI18&lt;=BW$7,BV$7,IF(CI18&lt;=BW$12,BV$12,IF(CI18&lt;=BW$13,BV$13,IF(CI18&lt;=BW$14,BV$14,0.05)))))))</f>
        <v/>
      </c>
      <c r="CT18" s="1930">
        <f>CS18*CI18</f>
        <v/>
      </c>
      <c r="CV18" s="1932">
        <f>0.07*SUM(CF18,CK18,CN18,CQ18,CT18)</f>
        <v/>
      </c>
      <c r="CX18" s="1932">
        <f>SUM(CV18,CT18,CQ18,CN18,CK18,CF18)</f>
        <v/>
      </c>
      <c r="CY18" s="1933">
        <f>SUM(CT18,CQ18,CN18,CK18)</f>
        <v/>
      </c>
      <c r="CZ18" s="596">
        <f>CY18/CX18</f>
        <v/>
      </c>
    </row>
    <row r="19" customFormat="1" s="585">
      <c r="A19" s="624" t="n"/>
      <c r="B19" s="1941" t="n"/>
      <c r="C19" s="1942" t="n"/>
      <c r="D19" s="1943">
        <f>B19*C19</f>
        <v/>
      </c>
      <c r="E19" s="600" t="n"/>
      <c r="F19" s="600" t="n"/>
      <c r="H19" s="635" t="inlineStr">
        <is>
          <t>Joint Filler</t>
        </is>
      </c>
      <c r="I19" s="1948">
        <f>IF(J19&lt;=1000,validation!$U$4,IF(J19&lt;1500,validation!$U$6,IF(J19&lt;2000,validation!$U$8,IF(J19&lt;2500,validation!$U$10,IF(J19&lt;=3000,validation!$U$12,IF(J19&lt;3500,validation!$U$14,IF(J19&lt;4000,validation!$U$16,IF(J19&lt;5000,validation!$U$18,validation!$U$20))))))))</f>
        <v/>
      </c>
      <c r="J19" s="1949">
        <f>B42</f>
        <v/>
      </c>
      <c r="K19" s="1950">
        <f>ROUNDUP((I19*J19),0)</f>
        <v/>
      </c>
      <c r="L19" s="1951">
        <f>0.2*J19</f>
        <v/>
      </c>
      <c r="M19" s="1952">
        <f>K19/L19</f>
        <v/>
      </c>
      <c r="N19" s="590" t="inlineStr">
        <is>
          <t>*Double for removal of existing soft joints</t>
        </is>
      </c>
      <c r="AJ19" s="1930" t="n">
        <v>12000</v>
      </c>
      <c r="AK19" s="1930" t="n"/>
      <c r="AL19" s="1930" t="n"/>
      <c r="AM19" s="1930">
        <f>AJ19</f>
        <v/>
      </c>
      <c r="AN19" s="1930" t="n"/>
      <c r="AO19" s="1930" t="n"/>
      <c r="AP19" s="1930">
        <f>AJ19+AM19</f>
        <v/>
      </c>
      <c r="AQ19" s="1930" t="n"/>
      <c r="AR19" s="1930" t="n"/>
      <c r="AS19" s="1930">
        <f>AP19</f>
        <v/>
      </c>
      <c r="AT19" s="596">
        <f>IF(AJ19&lt;=#REF!,#REF!,IF(AJ19&lt;=#REF!,#REF!,IF(AJ19&lt;=#REF!,#REF!,IF(AJ19&lt;=#REF!,#REF!,IF(AJ19&lt;=#REF!,#REF!,IF(AJ19&lt;=#REF!,#REF!,IF(AJ19&lt;=#REF!,#REF!,0.05)))))))</f>
        <v/>
      </c>
      <c r="AU19" s="1930">
        <f>AT19*AJ19</f>
        <v/>
      </c>
      <c r="AV19" s="596" t="n"/>
      <c r="AW19" s="596">
        <f>IF(AM19&lt;=#REF!,#REF!,IF(AM19&lt;=#REF!,#REF!,IF(AM19&lt;=#REF!,#REF!,IF(AM19&lt;=#REF!,#REF!,IF(AM19&lt;=#REF!,#REF!,IF(AM19&lt;=#REF!,#REF!,IF(AM19&lt;=#REF!,#REF!,0.05)))))))</f>
        <v/>
      </c>
      <c r="AX19" s="1930">
        <f>AW19*AM19</f>
        <v/>
      </c>
      <c r="AY19" s="596" t="n"/>
      <c r="AZ19" s="596">
        <f>IF(AP19&lt;=#REF!,#REF!,IF(AP19&lt;=#REF!,#REF!,IF(AP19&lt;=#REF!,#REF!,IF(AP19&lt;=#REF!,#REF!,IF(AP19&lt;=#REF!,#REF!,IF(AP19&lt;=#REF!,#REF!,IF(AP19&lt;=#REF!,#REF!,0.05)))))))</f>
        <v/>
      </c>
      <c r="BA19" s="1930">
        <f>AZ19*SUM(AX19,AU19,AP19)</f>
        <v/>
      </c>
      <c r="BB19" s="596" t="n"/>
      <c r="BC19" s="1931">
        <f>IF(AS19&lt;=#REF!,#REF!,IF(AS19&lt;=#REF!,#REF!,IF(AS19&lt;=#REF!,#REF!,IF(AS19&lt;=#REF!,#REF!,IF(AS19&lt;=#REF!,#REF!,IF(AS19&lt;=#REF!,#REF!,IF(AS19&lt;=#REF!,#REF!,0.05)))))))</f>
        <v/>
      </c>
      <c r="BD19" s="1930">
        <f>BC19*AS19</f>
        <v/>
      </c>
      <c r="BF19" s="1932">
        <f>0.07*SUM(AP19,AU19,AX19,BA19,BD19)</f>
        <v/>
      </c>
      <c r="BH19" s="1932">
        <f>SUM(BF19,BD19,BA19,AX19,AU19,AP19)</f>
        <v/>
      </c>
      <c r="BI19" s="1933">
        <f>SUM(BD19,BA19,AX19,AU19)</f>
        <v/>
      </c>
      <c r="BJ19" s="596">
        <f>BI19/BH19</f>
        <v/>
      </c>
      <c r="BZ19" s="1930" t="n">
        <v>12000</v>
      </c>
      <c r="CA19" s="1930" t="n"/>
      <c r="CB19" s="1930" t="n"/>
      <c r="CC19" s="1930">
        <f>BZ19</f>
        <v/>
      </c>
      <c r="CD19" s="1930" t="n"/>
      <c r="CE19" s="1930" t="n"/>
      <c r="CF19" s="1930">
        <f>BZ19+CC19</f>
        <v/>
      </c>
      <c r="CG19" s="1930" t="n"/>
      <c r="CH19" s="1930" t="n"/>
      <c r="CI19" s="1930">
        <f>CF19</f>
        <v/>
      </c>
      <c r="CJ19" s="596">
        <f>IF(BZ19&lt;=BN$4,BM$4,IF(BZ19&lt;=BN$5,BM$5,IF(BZ19&lt;=BN$6,BM$6,IF(BZ19&lt;=BN$7,BM$7,IF(BZ19&lt;=BN$12,BM$12,IF(BZ19&lt;=BN$13,BM$13,IF(BZ19&lt;=BN$14,BM$14,0.05)))))))</f>
        <v/>
      </c>
      <c r="CK19" s="1930">
        <f>CJ19*BZ19</f>
        <v/>
      </c>
      <c r="CL19" s="596" t="n"/>
      <c r="CM19" s="596">
        <f>IF(CC19&lt;=BQ$4,BP$4,IF(CC19&lt;=BQ$5,BP$5,IF(CC19&lt;=BQ$6,BP$6,IF(CC19&lt;=BQ$7,BP$7,IF(CC19&lt;=BQ$12,BP$12,IF(CC19&lt;=BQ$13,BP$13,IF(CC19&lt;=BQ$14,BP$14,0.05)))))))</f>
        <v/>
      </c>
      <c r="CN19" s="1930">
        <f>CM19*CC19</f>
        <v/>
      </c>
      <c r="CO19" s="596" t="n"/>
      <c r="CP19" s="596">
        <f>IF(CF19&lt;=BT$4,BS$4,IF(CF19&lt;=BT$5,BS$5,IF(CF19&lt;=BT$6,BS$6,IF(CF19&lt;=BT$7,BS$7,IF(CF19&lt;=BT$12,BS$12,IF(CF19&lt;=BT$13,BS$13,IF(CF19&lt;=BT$14,BS$14,0.05)))))))</f>
        <v/>
      </c>
      <c r="CQ19" s="1930">
        <f>CP19*SUM(CN19,CK19,CF19)</f>
        <v/>
      </c>
      <c r="CR19" s="596" t="n"/>
      <c r="CS19" s="1931">
        <f>IF(CI19&lt;=BW$4,BV$4,IF(CI19&lt;=BW$5,BV$5,IF(CI19&lt;=BW$6,BV$6,IF(CI19&lt;=BW$7,BV$7,IF(CI19&lt;=BW$12,BV$12,IF(CI19&lt;=BW$13,BV$13,IF(CI19&lt;=BW$14,BV$14,0.05)))))))</f>
        <v/>
      </c>
      <c r="CT19" s="1930">
        <f>CS19*CI19</f>
        <v/>
      </c>
      <c r="CV19" s="1932">
        <f>0.07*SUM(CF19,CK19,CN19,CQ19,CT19)</f>
        <v/>
      </c>
      <c r="CX19" s="1932">
        <f>SUM(CV19,CT19,CQ19,CN19,CK19,CF19)</f>
        <v/>
      </c>
      <c r="CY19" s="1933">
        <f>SUM(CT19,CQ19,CN19,CK19)</f>
        <v/>
      </c>
      <c r="CZ19" s="596">
        <f>CY19/CX19</f>
        <v/>
      </c>
    </row>
    <row r="20" customFormat="1" s="585">
      <c r="A20" s="641" t="inlineStr">
        <is>
          <t>MATERIAL - Epoxy Liquids</t>
        </is>
      </c>
      <c r="B20" s="1953" t="n"/>
      <c r="C20" s="643" t="n"/>
      <c r="D20" s="644" t="n"/>
      <c r="E20" s="1954" t="n">
        <v>0</v>
      </c>
      <c r="F20" s="646" t="inlineStr">
        <is>
          <t>SF</t>
        </is>
      </c>
      <c r="H20" s="628" t="inlineStr">
        <is>
          <t>4" Rubber Cove    (/LF)</t>
        </is>
      </c>
      <c r="I20" s="1944">
        <f>IF(J20&lt;=100,validation!$R$24,IF(J20&lt;150,validation!$R$26,IF(J20&lt;200,validation!$R$28,IF(J20&lt;250,validation!$R$30,IF(J20&lt;=300,validation!$R$32,IF(J20&lt;350,validation!$R$34,IF(J20&lt;400,validation!$R$36,IF(J20&lt;500,validation!$R$38,validation!$R$40))))))))</f>
        <v/>
      </c>
      <c r="J20" s="1945">
        <f>E32</f>
        <v/>
      </c>
      <c r="K20" s="1946">
        <f>ROUNDUP((I20*J20),0)</f>
        <v/>
      </c>
      <c r="P20" s="1944" t="n"/>
      <c r="AJ20" s="1930" t="n">
        <v>13000</v>
      </c>
      <c r="AK20" s="1930" t="n"/>
      <c r="AL20" s="1930" t="n"/>
      <c r="AM20" s="1930">
        <f>AJ20</f>
        <v/>
      </c>
      <c r="AN20" s="1930" t="n"/>
      <c r="AO20" s="1930" t="n"/>
      <c r="AP20" s="1930">
        <f>AJ20+AM20</f>
        <v/>
      </c>
      <c r="AQ20" s="1930" t="n"/>
      <c r="AR20" s="1930" t="n"/>
      <c r="AS20" s="1930">
        <f>AP20</f>
        <v/>
      </c>
      <c r="AT20" s="596">
        <f>IF(AJ20&lt;=#REF!,#REF!,IF(AJ20&lt;=#REF!,#REF!,IF(AJ20&lt;=#REF!,#REF!,IF(AJ20&lt;=#REF!,#REF!,IF(AJ20&lt;=#REF!,#REF!,IF(AJ20&lt;=#REF!,#REF!,IF(AJ20&lt;=#REF!,#REF!,0.05)))))))</f>
        <v/>
      </c>
      <c r="AU20" s="1930">
        <f>AT20*AJ20</f>
        <v/>
      </c>
      <c r="AV20" s="596" t="n"/>
      <c r="AW20" s="596">
        <f>IF(AM20&lt;=#REF!,#REF!,IF(AM20&lt;=#REF!,#REF!,IF(AM20&lt;=#REF!,#REF!,IF(AM20&lt;=#REF!,#REF!,IF(AM20&lt;=#REF!,#REF!,IF(AM20&lt;=#REF!,#REF!,IF(AM20&lt;=#REF!,#REF!,0.05)))))))</f>
        <v/>
      </c>
      <c r="AX20" s="1930">
        <f>AW20*AM20</f>
        <v/>
      </c>
      <c r="AY20" s="596" t="n"/>
      <c r="AZ20" s="596">
        <f>IF(AP20&lt;=#REF!,#REF!,IF(AP20&lt;=#REF!,#REF!,IF(AP20&lt;=#REF!,#REF!,IF(AP20&lt;=#REF!,#REF!,IF(AP20&lt;=#REF!,#REF!,IF(AP20&lt;=#REF!,#REF!,IF(AP20&lt;=#REF!,#REF!,0.05)))))))</f>
        <v/>
      </c>
      <c r="BA20" s="1930">
        <f>AZ20*SUM(AX20,AU20,AP20)</f>
        <v/>
      </c>
      <c r="BB20" s="596" t="n"/>
      <c r="BC20" s="1931">
        <f>IF(AS20&lt;=#REF!,#REF!,IF(AS20&lt;=#REF!,#REF!,IF(AS20&lt;=#REF!,#REF!,IF(AS20&lt;=#REF!,#REF!,IF(AS20&lt;=#REF!,#REF!,IF(AS20&lt;=#REF!,#REF!,IF(AS20&lt;=#REF!,#REF!,0.05)))))))</f>
        <v/>
      </c>
      <c r="BD20" s="1930">
        <f>BC20*AS20</f>
        <v/>
      </c>
      <c r="BF20" s="1932">
        <f>0.07*SUM(AP20,AU20,AX20,BA20,BD20)</f>
        <v/>
      </c>
      <c r="BH20" s="1932">
        <f>SUM(BF20,BD20,BA20,AX20,AU20,AP20)</f>
        <v/>
      </c>
      <c r="BI20" s="1933">
        <f>SUM(BD20,BA20,AX20,AU20)</f>
        <v/>
      </c>
      <c r="BJ20" s="596">
        <f>BI20/BH20</f>
        <v/>
      </c>
      <c r="BZ20" s="1930" t="n">
        <v>13000</v>
      </c>
      <c r="CA20" s="1930" t="n"/>
      <c r="CB20" s="1930" t="n"/>
      <c r="CC20" s="1930">
        <f>BZ20</f>
        <v/>
      </c>
      <c r="CD20" s="1930" t="n"/>
      <c r="CE20" s="1930" t="n"/>
      <c r="CF20" s="1930">
        <f>BZ20+CC20</f>
        <v/>
      </c>
      <c r="CG20" s="1930" t="n"/>
      <c r="CH20" s="1930" t="n"/>
      <c r="CI20" s="1930">
        <f>CF20</f>
        <v/>
      </c>
      <c r="CJ20" s="596">
        <f>IF(BZ20&lt;=BN$4,BM$4,IF(BZ20&lt;=BN$5,BM$5,IF(BZ20&lt;=BN$6,BM$6,IF(BZ20&lt;=BN$7,BM$7,IF(BZ20&lt;=BN$12,BM$12,IF(BZ20&lt;=BN$13,BM$13,IF(BZ20&lt;=BN$14,BM$14,0.05)))))))</f>
        <v/>
      </c>
      <c r="CK20" s="1930">
        <f>CJ20*BZ20</f>
        <v/>
      </c>
      <c r="CL20" s="596" t="n"/>
      <c r="CM20" s="596">
        <f>IF(CC20&lt;=BQ$4,BP$4,IF(CC20&lt;=BQ$5,BP$5,IF(CC20&lt;=BQ$6,BP$6,IF(CC20&lt;=BQ$7,BP$7,IF(CC20&lt;=BQ$12,BP$12,IF(CC20&lt;=BQ$13,BP$13,IF(CC20&lt;=BQ$14,BP$14,0.05)))))))</f>
        <v/>
      </c>
      <c r="CN20" s="1930">
        <f>CM20*CC20</f>
        <v/>
      </c>
      <c r="CO20" s="596" t="n"/>
      <c r="CP20" s="596">
        <f>IF(CF20&lt;=BT$4,BS$4,IF(CF20&lt;=BT$5,BS$5,IF(CF20&lt;=BT$6,BS$6,IF(CF20&lt;=BT$7,BS$7,IF(CF20&lt;=BT$12,BS$12,IF(CF20&lt;=BT$13,BS$13,IF(CF20&lt;=BT$14,BS$14,0.05)))))))</f>
        <v/>
      </c>
      <c r="CQ20" s="1930">
        <f>CP20*SUM(CN20,CK20,CF20)</f>
        <v/>
      </c>
      <c r="CR20" s="596" t="n"/>
      <c r="CS20" s="1931">
        <f>IF(CI20&lt;=BW$4,BV$4,IF(CI20&lt;=BW$5,BV$5,IF(CI20&lt;=BW$6,BV$6,IF(CI20&lt;=BW$7,BV$7,IF(CI20&lt;=BW$12,BV$12,IF(CI20&lt;=BW$13,BV$13,IF(CI20&lt;=BW$14,BV$14,0.05)))))))</f>
        <v/>
      </c>
      <c r="CT20" s="1930">
        <f>CS20*CI20</f>
        <v/>
      </c>
      <c r="CV20" s="1932">
        <f>0.07*SUM(CF20,CK20,CN20,CQ20,CT20)</f>
        <v/>
      </c>
      <c r="CX20" s="1932">
        <f>SUM(CV20,CT20,CQ20,CN20,CK20,CF20)</f>
        <v/>
      </c>
      <c r="CY20" s="1933">
        <f>SUM(CT20,CQ20,CN20,CK20)</f>
        <v/>
      </c>
      <c r="CZ20" s="596">
        <f>CY20/CX20</f>
        <v/>
      </c>
    </row>
    <row r="21" customFormat="1" s="585">
      <c r="A21" s="647" t="n"/>
      <c r="B21" s="1941" t="n"/>
      <c r="C21" s="1944" t="n"/>
      <c r="D21" s="1962">
        <f>B21*C21</f>
        <v/>
      </c>
      <c r="E21" s="1957" t="n"/>
      <c r="F21" s="600" t="n"/>
      <c r="H21" s="635" t="inlineStr">
        <is>
          <t>6" Rubber Cove    (/LF)</t>
        </is>
      </c>
      <c r="I21" s="1948">
        <f>IF(J20&lt;=100,validation!$U$24,IF(J20&lt;150,validation!$U$26,IF(J20&lt;200,validation!$U$28,IF(J20&lt;250,validation!$U$30,IF(J20&lt;=300,validation!$U$32,IF(J20&lt;350,validation!$U$34,IF(J20&lt;400,validation!$U$36,IF(J20&lt;500,validation!$U$38,validation!$U$40))))))))</f>
        <v/>
      </c>
      <c r="J21" s="1949">
        <f>E32</f>
        <v/>
      </c>
      <c r="K21" s="1950">
        <f>ROUNDUP((I21*J21),0)</f>
        <v/>
      </c>
      <c r="M21" s="650" t="inlineStr">
        <is>
          <t>Epoxy:</t>
        </is>
      </c>
      <c r="N21" s="1958">
        <f>'Stnd Alts'!E243</f>
        <v/>
      </c>
      <c r="O21" s="652" t="inlineStr">
        <is>
          <t>Mock-Up*</t>
        </is>
      </c>
      <c r="P21" s="600" t="n"/>
      <c r="AJ21" s="1930" t="n">
        <v>14000</v>
      </c>
      <c r="AK21" s="1930" t="n"/>
      <c r="AL21" s="1930" t="n"/>
      <c r="AM21" s="1930">
        <f>AJ21</f>
        <v/>
      </c>
      <c r="AN21" s="1930" t="n"/>
      <c r="AO21" s="1930" t="n"/>
      <c r="AP21" s="1930">
        <f>AJ21+AM21</f>
        <v/>
      </c>
      <c r="AQ21" s="1930" t="n"/>
      <c r="AR21" s="1930" t="n"/>
      <c r="AS21" s="1930">
        <f>AP21</f>
        <v/>
      </c>
      <c r="AT21" s="596">
        <f>IF(AJ21&lt;=#REF!,#REF!,IF(AJ21&lt;=#REF!,#REF!,IF(AJ21&lt;=#REF!,#REF!,IF(AJ21&lt;=#REF!,#REF!,IF(AJ21&lt;=#REF!,#REF!,IF(AJ21&lt;=#REF!,#REF!,IF(AJ21&lt;=#REF!,#REF!,0.05)))))))</f>
        <v/>
      </c>
      <c r="AU21" s="1930">
        <f>AT21*AJ21</f>
        <v/>
      </c>
      <c r="AV21" s="596" t="n"/>
      <c r="AW21" s="596">
        <f>IF(AM21&lt;=#REF!,#REF!,IF(AM21&lt;=#REF!,#REF!,IF(AM21&lt;=#REF!,#REF!,IF(AM21&lt;=#REF!,#REF!,IF(AM21&lt;=#REF!,#REF!,IF(AM21&lt;=#REF!,#REF!,IF(AM21&lt;=#REF!,#REF!,0.05)))))))</f>
        <v/>
      </c>
      <c r="AX21" s="1930">
        <f>AW21*AM21</f>
        <v/>
      </c>
      <c r="AY21" s="596" t="n"/>
      <c r="AZ21" s="596">
        <f>IF(AP21&lt;=#REF!,#REF!,IF(AP21&lt;=#REF!,#REF!,IF(AP21&lt;=#REF!,#REF!,IF(AP21&lt;=#REF!,#REF!,IF(AP21&lt;=#REF!,#REF!,IF(AP21&lt;=#REF!,#REF!,IF(AP21&lt;=#REF!,#REF!,0.05)))))))</f>
        <v/>
      </c>
      <c r="BA21" s="1930">
        <f>AZ21*SUM(AX21,AU21,AP21)</f>
        <v/>
      </c>
      <c r="BB21" s="596" t="n"/>
      <c r="BC21" s="1931">
        <f>IF(AS21&lt;=#REF!,#REF!,IF(AS21&lt;=#REF!,#REF!,IF(AS21&lt;=#REF!,#REF!,IF(AS21&lt;=#REF!,#REF!,IF(AS21&lt;=#REF!,#REF!,IF(AS21&lt;=#REF!,#REF!,IF(AS21&lt;=#REF!,#REF!,0.05)))))))</f>
        <v/>
      </c>
      <c r="BD21" s="1930">
        <f>BC21*AS21</f>
        <v/>
      </c>
      <c r="BF21" s="1932">
        <f>0.07*SUM(AP21,AU21,AX21,BA21,BD21)</f>
        <v/>
      </c>
      <c r="BH21" s="1932">
        <f>SUM(BF21,BD21,BA21,AX21,AU21,AP21)</f>
        <v/>
      </c>
      <c r="BI21" s="1933">
        <f>SUM(BD21,BA21,AX21,AU21)</f>
        <v/>
      </c>
      <c r="BJ21" s="596">
        <f>BI21/BH21</f>
        <v/>
      </c>
      <c r="BZ21" s="1930" t="n">
        <v>14000</v>
      </c>
      <c r="CA21" s="1930" t="n"/>
      <c r="CB21" s="1930" t="n"/>
      <c r="CC21" s="1930">
        <f>BZ21</f>
        <v/>
      </c>
      <c r="CD21" s="1930" t="n"/>
      <c r="CE21" s="1930" t="n"/>
      <c r="CF21" s="1930">
        <f>BZ21+CC21</f>
        <v/>
      </c>
      <c r="CG21" s="1930" t="n"/>
      <c r="CH21" s="1930" t="n"/>
      <c r="CI21" s="1930">
        <f>CF21</f>
        <v/>
      </c>
      <c r="CJ21" s="596">
        <f>IF(BZ21&lt;=BN$4,BM$4,IF(BZ21&lt;=BN$5,BM$5,IF(BZ21&lt;=BN$6,BM$6,IF(BZ21&lt;=BN$7,BM$7,IF(BZ21&lt;=BN$12,BM$12,IF(BZ21&lt;=BN$13,BM$13,IF(BZ21&lt;=BN$14,BM$14,0.05)))))))</f>
        <v/>
      </c>
      <c r="CK21" s="1930">
        <f>CJ21*BZ21</f>
        <v/>
      </c>
      <c r="CL21" s="596" t="n"/>
      <c r="CM21" s="596">
        <f>IF(CC21&lt;=BQ$4,BP$4,IF(CC21&lt;=BQ$5,BP$5,IF(CC21&lt;=BQ$6,BP$6,IF(CC21&lt;=BQ$7,BP$7,IF(CC21&lt;=BQ$12,BP$12,IF(CC21&lt;=BQ$13,BP$13,IF(CC21&lt;=BQ$14,BP$14,0.05)))))))</f>
        <v/>
      </c>
      <c r="CN21" s="1930">
        <f>CM21*CC21</f>
        <v/>
      </c>
      <c r="CO21" s="596" t="n"/>
      <c r="CP21" s="596">
        <f>IF(CF21&lt;=BT$4,BS$4,IF(CF21&lt;=BT$5,BS$5,IF(CF21&lt;=BT$6,BS$6,IF(CF21&lt;=BT$7,BS$7,IF(CF21&lt;=BT$12,BS$12,IF(CF21&lt;=BT$13,BS$13,IF(CF21&lt;=BT$14,BS$14,0.05)))))))</f>
        <v/>
      </c>
      <c r="CQ21" s="1930">
        <f>CP21*SUM(CN21,CK21,CF21)</f>
        <v/>
      </c>
      <c r="CR21" s="596" t="n"/>
      <c r="CS21" s="1931">
        <f>IF(CI21&lt;=BW$4,BV$4,IF(CI21&lt;=BW$5,BV$5,IF(CI21&lt;=BW$6,BV$6,IF(CI21&lt;=BW$7,BV$7,IF(CI21&lt;=BW$12,BV$12,IF(CI21&lt;=BW$13,BV$13,IF(CI21&lt;=BW$14,BV$14,0.05)))))))</f>
        <v/>
      </c>
      <c r="CT21" s="1930">
        <f>CS21*CI21</f>
        <v/>
      </c>
      <c r="CV21" s="1932">
        <f>0.07*SUM(CF21,CK21,CN21,CQ21,CT21)</f>
        <v/>
      </c>
      <c r="CX21" s="1932">
        <f>SUM(CV21,CT21,CQ21,CN21,CK21,CF21)</f>
        <v/>
      </c>
      <c r="CY21" s="1933">
        <f>SUM(CT21,CQ21,CN21,CK21)</f>
        <v/>
      </c>
      <c r="CZ21" s="596">
        <f>CY21/CX21</f>
        <v/>
      </c>
    </row>
    <row r="22" customFormat="1" s="585">
      <c r="A22" s="647" t="n"/>
      <c r="B22" s="1941" t="n"/>
      <c r="C22" s="1944" t="n"/>
      <c r="D22" s="1962">
        <f>B22*C22</f>
        <v/>
      </c>
      <c r="E22" s="1957" t="n"/>
      <c r="F22" s="600" t="n"/>
      <c r="G22" s="600" t="n"/>
      <c r="H22" s="653" t="inlineStr">
        <is>
          <t>4" Line Striping    (/LF)</t>
        </is>
      </c>
      <c r="I22" s="1959">
        <f>IF(J22&lt;=100,validation!$R$44,IF(J22&lt;150,validation!$R$46,IF(J22&lt;200,validation!$R$48,IF(J22&lt;250,validation!$R$50,IF(J22&lt;=300,validation!$R$52,IF(J22&lt;350,validation!$R$54,IF(J22&lt;400,validation!$R$56,IF(J22&lt;500,validation!$R$58,validation!$R$60))))))))</f>
        <v/>
      </c>
      <c r="J22" s="1960" t="n">
        <v>0</v>
      </c>
      <c r="K22" s="1961">
        <f>ROUNDUP((I22*J22),0)</f>
        <v/>
      </c>
      <c r="M22" s="657" t="inlineStr">
        <is>
          <t>**In Town**</t>
        </is>
      </c>
      <c r="N22" s="1958">
        <f>'Stnd Alts'!E145</f>
        <v/>
      </c>
      <c r="O22" s="652" t="inlineStr">
        <is>
          <t>Mob Fee*</t>
        </is>
      </c>
      <c r="P22" s="590" t="inlineStr">
        <is>
          <t>*see "Stnd Alts" tab</t>
        </is>
      </c>
      <c r="AJ22" s="1930" t="n">
        <v>15000</v>
      </c>
      <c r="AK22" s="1930" t="n"/>
      <c r="AL22" s="1930" t="n"/>
      <c r="AM22" s="1930">
        <f>AJ22</f>
        <v/>
      </c>
      <c r="AN22" s="1930" t="n"/>
      <c r="AO22" s="1930" t="n"/>
      <c r="AP22" s="1930">
        <f>AJ22+AM22</f>
        <v/>
      </c>
      <c r="AQ22" s="1930" t="n"/>
      <c r="AR22" s="1930" t="n"/>
      <c r="AS22" s="1930">
        <f>AP22</f>
        <v/>
      </c>
      <c r="AT22" s="596">
        <f>IF(AJ22&lt;=#REF!,#REF!,IF(AJ22&lt;=#REF!,#REF!,IF(AJ22&lt;=#REF!,#REF!,IF(AJ22&lt;=#REF!,#REF!,IF(AJ22&lt;=#REF!,#REF!,IF(AJ22&lt;=#REF!,#REF!,IF(AJ22&lt;=#REF!,#REF!,0.05)))))))</f>
        <v/>
      </c>
      <c r="AU22" s="1930">
        <f>AT22*AJ22</f>
        <v/>
      </c>
      <c r="AV22" s="596" t="n"/>
      <c r="AW22" s="596">
        <f>IF(AM22&lt;=#REF!,#REF!,IF(AM22&lt;=#REF!,#REF!,IF(AM22&lt;=#REF!,#REF!,IF(AM22&lt;=#REF!,#REF!,IF(AM22&lt;=#REF!,#REF!,IF(AM22&lt;=#REF!,#REF!,IF(AM22&lt;=#REF!,#REF!,0.05)))))))</f>
        <v/>
      </c>
      <c r="AX22" s="1930">
        <f>AW22*AM22</f>
        <v/>
      </c>
      <c r="AY22" s="596" t="n"/>
      <c r="AZ22" s="596">
        <f>IF(AP22&lt;=#REF!,#REF!,IF(AP22&lt;=#REF!,#REF!,IF(AP22&lt;=#REF!,#REF!,IF(AP22&lt;=#REF!,#REF!,IF(AP22&lt;=#REF!,#REF!,IF(AP22&lt;=#REF!,#REF!,IF(AP22&lt;=#REF!,#REF!,0.05)))))))</f>
        <v/>
      </c>
      <c r="BA22" s="1930">
        <f>AZ22*SUM(AX22,AU22,AP22)</f>
        <v/>
      </c>
      <c r="BB22" s="596" t="n"/>
      <c r="BC22" s="1931">
        <f>IF(AS22&lt;=#REF!,#REF!,IF(AS22&lt;=#REF!,#REF!,IF(AS22&lt;=#REF!,#REF!,IF(AS22&lt;=#REF!,#REF!,IF(AS22&lt;=#REF!,#REF!,IF(AS22&lt;=#REF!,#REF!,IF(AS22&lt;=#REF!,#REF!,0.05)))))))</f>
        <v/>
      </c>
      <c r="BD22" s="1930">
        <f>BC22*AS22</f>
        <v/>
      </c>
      <c r="BF22" s="1932">
        <f>0.07*SUM(AP22,AU22,AX22,BA22,BD22)</f>
        <v/>
      </c>
      <c r="BH22" s="1932">
        <f>SUM(BF22,BD22,BA22,AX22,AU22,AP22)</f>
        <v/>
      </c>
      <c r="BI22" s="1933">
        <f>SUM(BD22,BA22,AX22,AU22)</f>
        <v/>
      </c>
      <c r="BJ22" s="596">
        <f>BI22/BH22</f>
        <v/>
      </c>
      <c r="BZ22" s="1930" t="n">
        <v>15000</v>
      </c>
      <c r="CA22" s="1930" t="n"/>
      <c r="CB22" s="1930" t="n"/>
      <c r="CC22" s="1930">
        <f>BZ22</f>
        <v/>
      </c>
      <c r="CD22" s="1930" t="n"/>
      <c r="CE22" s="1930" t="n"/>
      <c r="CF22" s="1930">
        <f>BZ22+CC22</f>
        <v/>
      </c>
      <c r="CG22" s="1930" t="n"/>
      <c r="CH22" s="1930" t="n"/>
      <c r="CI22" s="1930">
        <f>CF22</f>
        <v/>
      </c>
      <c r="CJ22" s="596">
        <f>IF(BZ22&lt;=BN$4,BM$4,IF(BZ22&lt;=BN$5,BM$5,IF(BZ22&lt;=BN$6,BM$6,IF(BZ22&lt;=BN$7,BM$7,IF(BZ22&lt;=BN$12,BM$12,IF(BZ22&lt;=BN$13,BM$13,IF(BZ22&lt;=BN$14,BM$14,0.05)))))))</f>
        <v/>
      </c>
      <c r="CK22" s="1930">
        <f>CJ22*BZ22</f>
        <v/>
      </c>
      <c r="CL22" s="596" t="n"/>
      <c r="CM22" s="596">
        <f>IF(CC22&lt;=BQ$4,BP$4,IF(CC22&lt;=BQ$5,BP$5,IF(CC22&lt;=BQ$6,BP$6,IF(CC22&lt;=BQ$7,BP$7,IF(CC22&lt;=BQ$12,BP$12,IF(CC22&lt;=BQ$13,BP$13,IF(CC22&lt;=BQ$14,BP$14,0.05)))))))</f>
        <v/>
      </c>
      <c r="CN22" s="1930">
        <f>CM22*CC22</f>
        <v/>
      </c>
      <c r="CO22" s="596" t="n"/>
      <c r="CP22" s="596">
        <f>IF(CF22&lt;=BT$4,BS$4,IF(CF22&lt;=BT$5,BS$5,IF(CF22&lt;=BT$6,BS$6,IF(CF22&lt;=BT$7,BS$7,IF(CF22&lt;=BT$12,BS$12,IF(CF22&lt;=BT$13,BS$13,IF(CF22&lt;=BT$14,BS$14,0.05)))))))</f>
        <v/>
      </c>
      <c r="CQ22" s="1930">
        <f>CP22*SUM(CN22,CK22,CF22)</f>
        <v/>
      </c>
      <c r="CR22" s="596" t="n"/>
      <c r="CS22" s="1931">
        <f>IF(CI22&lt;=BW$4,BV$4,IF(CI22&lt;=BW$5,BV$5,IF(CI22&lt;=BW$6,BV$6,IF(CI22&lt;=BW$7,BV$7,IF(CI22&lt;=BW$12,BV$12,IF(CI22&lt;=BW$13,BV$13,IF(CI22&lt;=BW$14,BV$14,0.05)))))))</f>
        <v/>
      </c>
      <c r="CT22" s="1930">
        <f>CS22*CI22</f>
        <v/>
      </c>
      <c r="CV22" s="1932">
        <f>0.07*SUM(CF22,CK22,CN22,CQ22,CT22)</f>
        <v/>
      </c>
      <c r="CX22" s="1932">
        <f>SUM(CV22,CT22,CQ22,CN22,CK22,CF22)</f>
        <v/>
      </c>
      <c r="CY22" s="1933">
        <f>SUM(CT22,CQ22,CN22,CK22)</f>
        <v/>
      </c>
      <c r="CZ22" s="596">
        <f>CY22/CX22</f>
        <v/>
      </c>
    </row>
    <row r="23" customFormat="1" s="585">
      <c r="A23" s="647" t="n"/>
      <c r="B23" s="1941" t="n"/>
      <c r="C23" s="1944" t="n"/>
      <c r="D23" s="1962">
        <f>B23*C23</f>
        <v/>
      </c>
      <c r="E23" s="600" t="n"/>
      <c r="F23" s="600" t="n"/>
      <c r="G23" s="600" t="n"/>
      <c r="H23" s="635" t="inlineStr">
        <is>
          <t>6" Line Striping    (/LF)</t>
        </is>
      </c>
      <c r="I23" s="1948">
        <f>IF(J22&lt;=100,validation!$U$44,IF(J22&lt;150,validation!$U$46,IF(J22&lt;200,validation!$U$48,IF(J22&lt;250,validation!$U$50,IF(J22&lt;=300,validation!$U$52,IF(J22&lt;350,validation!$U$54,IF(J22&lt;400,validation!$U$56,IF(J22&lt;500,validation!$U$58,validation!$U$60))))))))</f>
        <v/>
      </c>
      <c r="J23" s="1949" t="n">
        <v>0</v>
      </c>
      <c r="K23" s="1950">
        <f>ROUNDUP((I23*J23),0)</f>
        <v/>
      </c>
      <c r="O23" s="590" t="n"/>
      <c r="AJ23" s="1930" t="n">
        <v>16000</v>
      </c>
      <c r="AK23" s="1930" t="n"/>
      <c r="AL23" s="1930" t="n"/>
      <c r="AM23" s="1930">
        <f>AJ23</f>
        <v/>
      </c>
      <c r="AN23" s="1930" t="n"/>
      <c r="AO23" s="1930" t="n"/>
      <c r="AP23" s="1930">
        <f>AJ23+AM23</f>
        <v/>
      </c>
      <c r="AQ23" s="1930" t="n"/>
      <c r="AR23" s="1930" t="n"/>
      <c r="AS23" s="1930">
        <f>AP23</f>
        <v/>
      </c>
      <c r="AT23" s="596">
        <f>IF(AJ23&lt;=#REF!,#REF!,IF(AJ23&lt;=#REF!,#REF!,IF(AJ23&lt;=#REF!,#REF!,IF(AJ23&lt;=#REF!,#REF!,IF(AJ23&lt;=#REF!,#REF!,IF(AJ23&lt;=#REF!,#REF!,IF(AJ23&lt;=#REF!,#REF!,0.05)))))))</f>
        <v/>
      </c>
      <c r="AU23" s="1930">
        <f>AT23*AJ23</f>
        <v/>
      </c>
      <c r="AV23" s="596" t="n"/>
      <c r="AW23" s="596">
        <f>IF(AM23&lt;=#REF!,#REF!,IF(AM23&lt;=#REF!,#REF!,IF(AM23&lt;=#REF!,#REF!,IF(AM23&lt;=#REF!,#REF!,IF(AM23&lt;=#REF!,#REF!,IF(AM23&lt;=#REF!,#REF!,IF(AM23&lt;=#REF!,#REF!,0.05)))))))</f>
        <v/>
      </c>
      <c r="AX23" s="1930">
        <f>AW23*AM23</f>
        <v/>
      </c>
      <c r="AY23" s="596" t="n"/>
      <c r="AZ23" s="596">
        <f>IF(AP23&lt;=#REF!,#REF!,IF(AP23&lt;=#REF!,#REF!,IF(AP23&lt;=#REF!,#REF!,IF(AP23&lt;=#REF!,#REF!,IF(AP23&lt;=#REF!,#REF!,IF(AP23&lt;=#REF!,#REF!,IF(AP23&lt;=#REF!,#REF!,0.05)))))))</f>
        <v/>
      </c>
      <c r="BA23" s="1930">
        <f>AZ23*SUM(AX23,AU23,AP23)</f>
        <v/>
      </c>
      <c r="BB23" s="596" t="n"/>
      <c r="BC23" s="1931">
        <f>IF(AS23&lt;=#REF!,#REF!,IF(AS23&lt;=#REF!,#REF!,IF(AS23&lt;=#REF!,#REF!,IF(AS23&lt;=#REF!,#REF!,IF(AS23&lt;=#REF!,#REF!,IF(AS23&lt;=#REF!,#REF!,IF(AS23&lt;=#REF!,#REF!,0.05)))))))</f>
        <v/>
      </c>
      <c r="BD23" s="1930">
        <f>BC23*AS23</f>
        <v/>
      </c>
      <c r="BF23" s="1932">
        <f>0.07*SUM(AP23,AU23,AX23,BA23,BD23)</f>
        <v/>
      </c>
      <c r="BH23" s="1932">
        <f>SUM(BF23,BD23,BA23,AX23,AU23,AP23)</f>
        <v/>
      </c>
      <c r="BI23" s="1933">
        <f>SUM(BD23,BA23,AX23,AU23)</f>
        <v/>
      </c>
      <c r="BJ23" s="596">
        <f>BI23/BH23</f>
        <v/>
      </c>
      <c r="BZ23" s="1930" t="n">
        <v>16000</v>
      </c>
      <c r="CA23" s="1930" t="n"/>
      <c r="CB23" s="1930" t="n"/>
      <c r="CC23" s="1930">
        <f>BZ23</f>
        <v/>
      </c>
      <c r="CD23" s="1930" t="n"/>
      <c r="CE23" s="1930" t="n"/>
      <c r="CF23" s="1930">
        <f>BZ23+CC23</f>
        <v/>
      </c>
      <c r="CG23" s="1930" t="n"/>
      <c r="CH23" s="1930" t="n"/>
      <c r="CI23" s="1930">
        <f>CF23</f>
        <v/>
      </c>
      <c r="CJ23" s="596">
        <f>IF(BZ23&lt;=BN$4,BM$4,IF(BZ23&lt;=BN$5,BM$5,IF(BZ23&lt;=BN$6,BM$6,IF(BZ23&lt;=BN$7,BM$7,IF(BZ23&lt;=BN$12,BM$12,IF(BZ23&lt;=BN$13,BM$13,IF(BZ23&lt;=BN$14,BM$14,0.05)))))))</f>
        <v/>
      </c>
      <c r="CK23" s="1930">
        <f>CJ23*BZ23</f>
        <v/>
      </c>
      <c r="CL23" s="596" t="n"/>
      <c r="CM23" s="596">
        <f>IF(CC23&lt;=BQ$4,BP$4,IF(CC23&lt;=BQ$5,BP$5,IF(CC23&lt;=BQ$6,BP$6,IF(CC23&lt;=BQ$7,BP$7,IF(CC23&lt;=BQ$12,BP$12,IF(CC23&lt;=BQ$13,BP$13,IF(CC23&lt;=BQ$14,BP$14,0.05)))))))</f>
        <v/>
      </c>
      <c r="CN23" s="1930">
        <f>CM23*CC23</f>
        <v/>
      </c>
      <c r="CO23" s="596" t="n"/>
      <c r="CP23" s="596">
        <f>IF(CF23&lt;=BT$4,BS$4,IF(CF23&lt;=BT$5,BS$5,IF(CF23&lt;=BT$6,BS$6,IF(CF23&lt;=BT$7,BS$7,IF(CF23&lt;=BT$12,BS$12,IF(CF23&lt;=BT$13,BS$13,IF(CF23&lt;=BT$14,BS$14,0.05)))))))</f>
        <v/>
      </c>
      <c r="CQ23" s="1930">
        <f>CP23*SUM(CN23,CK23,CF23)</f>
        <v/>
      </c>
      <c r="CR23" s="596" t="n"/>
      <c r="CS23" s="1931">
        <f>IF(CI23&lt;=BW$4,BV$4,IF(CI23&lt;=BW$5,BV$5,IF(CI23&lt;=BW$6,BV$6,IF(CI23&lt;=BW$7,BV$7,IF(CI23&lt;=BW$12,BV$12,IF(CI23&lt;=BW$13,BV$13,IF(CI23&lt;=BW$14,BV$14,0.05)))))))</f>
        <v/>
      </c>
      <c r="CT23" s="1930">
        <f>CS23*CI23</f>
        <v/>
      </c>
      <c r="CV23" s="1932">
        <f>0.07*SUM(CF23,CK23,CN23,CQ23,CT23)</f>
        <v/>
      </c>
      <c r="CX23" s="1932">
        <f>SUM(CV23,CT23,CQ23,CN23,CK23,CF23)</f>
        <v/>
      </c>
      <c r="CY23" s="1933">
        <f>SUM(CT23,CQ23,CN23,CK23)</f>
        <v/>
      </c>
      <c r="CZ23" s="596">
        <f>CY23/CX23</f>
        <v/>
      </c>
    </row>
    <row r="24" customFormat="1" s="585">
      <c r="A24" s="647" t="n"/>
      <c r="B24" s="1941" t="n"/>
      <c r="C24" s="1944" t="n"/>
      <c r="D24" s="1962">
        <f>B24*C24</f>
        <v/>
      </c>
      <c r="E24" s="600" t="n"/>
      <c r="F24" s="600" t="n"/>
      <c r="G24" s="600" t="n"/>
      <c r="H24" s="658" t="inlineStr">
        <is>
          <t>Patch: Gallons CoveRez</t>
        </is>
      </c>
      <c r="I24" s="1963" t="n">
        <v>86</v>
      </c>
      <c r="J24" s="1964">
        <f>(SUM(D18:D19))</f>
        <v/>
      </c>
      <c r="K24" s="1965">
        <f>ROUND(J24/I24,0)</f>
        <v/>
      </c>
      <c r="L24" s="662" t="inlineStr">
        <is>
          <t># of Gallons (if CoveRez)</t>
        </is>
      </c>
      <c r="O24" s="1945" t="n"/>
      <c r="AJ24" s="1966" t="n">
        <v>17000</v>
      </c>
      <c r="AK24" s="1966" t="n"/>
      <c r="AL24" s="1966" t="n"/>
      <c r="AM24" s="1966">
        <f>AJ24</f>
        <v/>
      </c>
      <c r="AN24" s="1966" t="n"/>
      <c r="AO24" s="1966" t="n"/>
      <c r="AP24" s="1966">
        <f>AJ24+AM24</f>
        <v/>
      </c>
      <c r="AQ24" s="1966" t="n"/>
      <c r="AR24" s="1966" t="n"/>
      <c r="AS24" s="1930">
        <f>AP24</f>
        <v/>
      </c>
      <c r="AT24" s="665">
        <f>IF(AJ24&lt;=#REF!,#REF!,IF(AJ24&lt;=#REF!,#REF!,IF(AJ24&lt;=#REF!,#REF!,IF(AJ24&lt;=#REF!,#REF!,IF(AJ24&lt;=#REF!,#REF!,IF(AJ24&lt;=#REF!,#REF!,IF(AJ24&lt;=#REF!,#REF!,0.05)))))))</f>
        <v/>
      </c>
      <c r="AU24" s="1966">
        <f>AT24*AJ24</f>
        <v/>
      </c>
      <c r="AV24" s="665" t="n"/>
      <c r="AW24" s="665">
        <f>IF(AM24&lt;=#REF!,#REF!,IF(AM24&lt;=#REF!,#REF!,IF(AM24&lt;=#REF!,#REF!,IF(AM24&lt;=#REF!,#REF!,IF(AM24&lt;=#REF!,#REF!,IF(AM24&lt;=#REF!,#REF!,IF(AM24&lt;=#REF!,#REF!,0.05)))))))</f>
        <v/>
      </c>
      <c r="AX24" s="1966">
        <f>AW24*AM24</f>
        <v/>
      </c>
      <c r="AY24" s="665" t="n"/>
      <c r="AZ24" s="665">
        <f>IF(AP24&lt;=#REF!,#REF!,IF(AP24&lt;=#REF!,#REF!,IF(AP24&lt;=#REF!,#REF!,IF(AP24&lt;=#REF!,#REF!,IF(AP24&lt;=#REF!,#REF!,IF(AP24&lt;=#REF!,#REF!,IF(AP24&lt;=#REF!,#REF!,0.05)))))))</f>
        <v/>
      </c>
      <c r="BA24" s="1930">
        <f>AZ24*SUM(AX24,AU24,AP24)</f>
        <v/>
      </c>
      <c r="BB24" s="665" t="n"/>
      <c r="BC24" s="1967">
        <f>IF(AS24&lt;=#REF!,#REF!,IF(AS24&lt;=#REF!,#REF!,IF(AS24&lt;=#REF!,#REF!,IF(AS24&lt;=#REF!,#REF!,IF(AS24&lt;=#REF!,#REF!,IF(AS24&lt;=#REF!,#REF!,IF(AS24&lt;=#REF!,#REF!,0.05)))))))</f>
        <v/>
      </c>
      <c r="BD24" s="1966">
        <f>BC24*AS24</f>
        <v/>
      </c>
      <c r="BE24" s="667" t="n"/>
      <c r="BF24" s="1968">
        <f>0.07*SUM(AP24,AU24,AX24,BA24,BD24)</f>
        <v/>
      </c>
      <c r="BG24" s="667" t="n"/>
      <c r="BH24" s="1968">
        <f>SUM(BF24,BD24,BA24,AX24,AU24,AP24)</f>
        <v/>
      </c>
      <c r="BI24" s="1969">
        <f>SUM(BD24,BA24,AX24,AU24)</f>
        <v/>
      </c>
      <c r="BJ24" s="665">
        <f>BI24/BH24</f>
        <v/>
      </c>
      <c r="BZ24" s="1966" t="n">
        <v>17000</v>
      </c>
      <c r="CA24" s="1966" t="n"/>
      <c r="CB24" s="1966" t="n"/>
      <c r="CC24" s="1966">
        <f>BZ24</f>
        <v/>
      </c>
      <c r="CD24" s="1966" t="n"/>
      <c r="CE24" s="1966" t="n"/>
      <c r="CF24" s="1966">
        <f>BZ24+CC24</f>
        <v/>
      </c>
      <c r="CG24" s="1966" t="n"/>
      <c r="CH24" s="1966" t="n"/>
      <c r="CI24" s="1930">
        <f>CF24</f>
        <v/>
      </c>
      <c r="CJ24" s="665">
        <f>IF(BZ24&lt;=BN$4,BM$4,IF(BZ24&lt;=BN$5,BM$5,IF(BZ24&lt;=BN$6,BM$6,IF(BZ24&lt;=BN$7,BM$7,IF(BZ24&lt;=BN$12,BM$12,IF(BZ24&lt;=BN$13,BM$13,IF(BZ24&lt;=BN$14,BM$14,0.05)))))))</f>
        <v/>
      </c>
      <c r="CK24" s="1966">
        <f>CJ24*BZ24</f>
        <v/>
      </c>
      <c r="CL24" s="665" t="n"/>
      <c r="CM24" s="665">
        <f>IF(CC24&lt;=BQ$4,BP$4,IF(CC24&lt;=BQ$5,BP$5,IF(CC24&lt;=BQ$6,BP$6,IF(CC24&lt;=BQ$7,BP$7,IF(CC24&lt;=BQ$12,BP$12,IF(CC24&lt;=BQ$13,BP$13,IF(CC24&lt;=BQ$14,BP$14,0.05)))))))</f>
        <v/>
      </c>
      <c r="CN24" s="1966">
        <f>CM24*CC24</f>
        <v/>
      </c>
      <c r="CO24" s="665" t="n"/>
      <c r="CP24" s="665">
        <f>IF(CF24&lt;=BT$4,BS$4,IF(CF24&lt;=BT$5,BS$5,IF(CF24&lt;=BT$6,BS$6,IF(CF24&lt;=BT$7,BS$7,IF(CF24&lt;=BT$12,BS$12,IF(CF24&lt;=BT$13,BS$13,IF(CF24&lt;=BT$14,BS$14,0.05)))))))</f>
        <v/>
      </c>
      <c r="CQ24" s="1930">
        <f>CP24*SUM(CN24,CK24,CF24)</f>
        <v/>
      </c>
      <c r="CR24" s="665" t="n"/>
      <c r="CS24" s="1967">
        <f>IF(CI24&lt;=BW$4,BV$4,IF(CI24&lt;=BW$5,BV$5,IF(CI24&lt;=BW$6,BV$6,IF(CI24&lt;=BW$7,BV$7,IF(CI24&lt;=BW$12,BV$12,IF(CI24&lt;=BW$13,BV$13,IF(CI24&lt;=BW$14,BV$14,0.05)))))))</f>
        <v/>
      </c>
      <c r="CT24" s="1966">
        <f>CS24*CI24</f>
        <v/>
      </c>
      <c r="CU24" s="667" t="n"/>
      <c r="CV24" s="1968">
        <f>0.07*SUM(CF24,CK24,CN24,CQ24,CT24)</f>
        <v/>
      </c>
      <c r="CW24" s="667" t="n"/>
      <c r="CX24" s="1968">
        <f>SUM(CV24,CT24,CQ24,CN24,CK24,CF24)</f>
        <v/>
      </c>
      <c r="CY24" s="1969">
        <f>SUM(CT24,CQ24,CN24,CK24)</f>
        <v/>
      </c>
      <c r="CZ24" s="665">
        <f>CY24/CX24</f>
        <v/>
      </c>
    </row>
    <row r="25" customFormat="1" s="585">
      <c r="A25" s="647" t="n"/>
      <c r="B25" s="1941" t="n"/>
      <c r="C25" s="1944" t="n"/>
      <c r="D25" s="1962">
        <f>B25*C25</f>
        <v/>
      </c>
      <c r="E25" s="600" t="n"/>
      <c r="F25" s="600" t="n"/>
      <c r="G25" s="600" t="n"/>
      <c r="H25" s="670" t="inlineStr">
        <is>
          <t>Patch: Kits of WR</t>
        </is>
      </c>
      <c r="I25" s="1972" t="n">
        <v>59</v>
      </c>
      <c r="J25" s="1973">
        <f>(SUM(D18:D19))</f>
        <v/>
      </c>
      <c r="K25" s="1974">
        <f>ROUND(J25/I25,0)</f>
        <v/>
      </c>
      <c r="L25" s="662" t="inlineStr">
        <is>
          <t># of Kits (if WR)</t>
        </is>
      </c>
      <c r="O25" s="663" t="inlineStr">
        <is>
          <t>Takeoff Tab</t>
        </is>
      </c>
      <c r="P25" s="633" t="inlineStr">
        <is>
          <t>sf</t>
        </is>
      </c>
      <c r="Q25" s="633" t="inlineStr">
        <is>
          <t>lf</t>
        </is>
      </c>
      <c r="R25" s="674" t="inlineStr">
        <is>
          <t>extra cell</t>
        </is>
      </c>
      <c r="S25" s="674" t="inlineStr">
        <is>
          <t>extra cell</t>
        </is>
      </c>
      <c r="T25" s="674" t="inlineStr">
        <is>
          <t>extra cell</t>
        </is>
      </c>
      <c r="AJ25" s="1930" t="n">
        <v>18000</v>
      </c>
      <c r="AK25" s="1930" t="n"/>
      <c r="AL25" s="1930" t="n"/>
      <c r="AM25" s="1930">
        <f>AJ25</f>
        <v/>
      </c>
      <c r="AN25" s="1930" t="n"/>
      <c r="AO25" s="1930" t="n"/>
      <c r="AP25" s="1930">
        <f>AJ25+AM25</f>
        <v/>
      </c>
      <c r="AQ25" s="1930" t="n"/>
      <c r="AR25" s="1930" t="n"/>
      <c r="AS25" s="1930">
        <f>AP25</f>
        <v/>
      </c>
      <c r="AT25" s="596">
        <f>IF(AJ25&lt;=#REF!,#REF!,IF(AJ25&lt;=#REF!,#REF!,IF(AJ25&lt;=#REF!,#REF!,IF(AJ25&lt;=#REF!,#REF!,IF(AJ25&lt;=#REF!,#REF!,IF(AJ25&lt;=#REF!,#REF!,IF(AJ25&lt;=#REF!,#REF!,0.05)))))))</f>
        <v/>
      </c>
      <c r="AU25" s="1930">
        <f>AT25*AJ25</f>
        <v/>
      </c>
      <c r="AV25" s="596" t="n"/>
      <c r="AW25" s="596">
        <f>IF(AM25&lt;=#REF!,#REF!,IF(AM25&lt;=#REF!,#REF!,IF(AM25&lt;=#REF!,#REF!,IF(AM25&lt;=#REF!,#REF!,IF(AM25&lt;=#REF!,#REF!,IF(AM25&lt;=#REF!,#REF!,IF(AM25&lt;=#REF!,#REF!,0.05)))))))</f>
        <v/>
      </c>
      <c r="AX25" s="1930">
        <f>AW25*AM25</f>
        <v/>
      </c>
      <c r="AY25" s="596" t="n"/>
      <c r="AZ25" s="596">
        <f>IF(AP25&lt;=#REF!,#REF!,IF(AP25&lt;=#REF!,#REF!,IF(AP25&lt;=#REF!,#REF!,IF(AP25&lt;=#REF!,#REF!,IF(AP25&lt;=#REF!,#REF!,IF(AP25&lt;=#REF!,#REF!,IF(AP25&lt;=#REF!,#REF!,0.05)))))))</f>
        <v/>
      </c>
      <c r="BA25" s="1930">
        <f>AZ25*SUM(AX25,AU25,AP25)</f>
        <v/>
      </c>
      <c r="BB25" s="596" t="n"/>
      <c r="BC25" s="1931">
        <f>IF(AS25&lt;=#REF!,#REF!,IF(AS25&lt;=#REF!,#REF!,IF(AS25&lt;=#REF!,#REF!,IF(AS25&lt;=#REF!,#REF!,IF(AS25&lt;=#REF!,#REF!,IF(AS25&lt;=#REF!,#REF!,IF(AS25&lt;=#REF!,#REF!,0.05)))))))</f>
        <v/>
      </c>
      <c r="BD25" s="1930">
        <f>BC25*AS25</f>
        <v/>
      </c>
      <c r="BF25" s="1932">
        <f>0.07*SUM(AP25,AU25,AX25,BA25,BD25)</f>
        <v/>
      </c>
      <c r="BH25" s="1932">
        <f>SUM(BF25,BD25,BA25,AX25,AU25,AP25)</f>
        <v/>
      </c>
      <c r="BI25" s="1933">
        <f>SUM(BD25,BA25,AX25,AU25)</f>
        <v/>
      </c>
      <c r="BJ25" s="596">
        <f>BI25/BH25</f>
        <v/>
      </c>
      <c r="BZ25" s="1930" t="n">
        <v>18000</v>
      </c>
      <c r="CA25" s="1930" t="n"/>
      <c r="CB25" s="1930" t="n"/>
      <c r="CC25" s="1930">
        <f>BZ25</f>
        <v/>
      </c>
      <c r="CD25" s="1930" t="n"/>
      <c r="CE25" s="1930" t="n"/>
      <c r="CF25" s="1930">
        <f>BZ25+CC25</f>
        <v/>
      </c>
      <c r="CG25" s="1930" t="n"/>
      <c r="CH25" s="1930" t="n"/>
      <c r="CI25" s="1930">
        <f>CF25</f>
        <v/>
      </c>
      <c r="CJ25" s="596">
        <f>IF(BZ25&lt;=BN$4,BM$4,IF(BZ25&lt;=BN$5,BM$5,IF(BZ25&lt;=BN$6,BM$6,IF(BZ25&lt;=BN$7,BM$7,IF(BZ25&lt;=BN$12,BM$12,IF(BZ25&lt;=BN$13,BM$13,IF(BZ25&lt;=BN$14,BM$14,0.05)))))))</f>
        <v/>
      </c>
      <c r="CK25" s="1930">
        <f>CJ25*BZ25</f>
        <v/>
      </c>
      <c r="CL25" s="596" t="n"/>
      <c r="CM25" s="596">
        <f>IF(CC25&lt;=BQ$4,BP$4,IF(CC25&lt;=BQ$5,BP$5,IF(CC25&lt;=BQ$6,BP$6,IF(CC25&lt;=BQ$7,BP$7,IF(CC25&lt;=BQ$12,BP$12,IF(CC25&lt;=BQ$13,BP$13,IF(CC25&lt;=BQ$14,BP$14,0.05)))))))</f>
        <v/>
      </c>
      <c r="CN25" s="1930">
        <f>CM25*CC25</f>
        <v/>
      </c>
      <c r="CO25" s="596" t="n"/>
      <c r="CP25" s="596">
        <f>IF(CF25&lt;=BT$4,BS$4,IF(CF25&lt;=BT$5,BS$5,IF(CF25&lt;=BT$6,BS$6,IF(CF25&lt;=BT$7,BS$7,IF(CF25&lt;=BT$12,BS$12,IF(CF25&lt;=BT$13,BS$13,IF(CF25&lt;=BT$14,BS$14,0.05)))))))</f>
        <v/>
      </c>
      <c r="CQ25" s="1930">
        <f>CP25*SUM(CN25,CK25,CF25)</f>
        <v/>
      </c>
      <c r="CR25" s="596" t="n"/>
      <c r="CS25" s="1931">
        <f>IF(CI25&lt;=BW$4,BV$4,IF(CI25&lt;=BW$5,BV$5,IF(CI25&lt;=BW$6,BV$6,IF(CI25&lt;=BW$7,BV$7,IF(CI25&lt;=BW$12,BV$12,IF(CI25&lt;=BW$13,BV$13,IF(CI25&lt;=BW$14,BV$14,0.05)))))))</f>
        <v/>
      </c>
      <c r="CT25" s="1930">
        <f>CS25*CI25</f>
        <v/>
      </c>
      <c r="CV25" s="1932">
        <f>0.07*SUM(CF25,CK25,CN25,CQ25,CT25)</f>
        <v/>
      </c>
      <c r="CX25" s="1932">
        <f>SUM(CV25,CT25,CQ25,CN25,CK25,CF25)</f>
        <v/>
      </c>
      <c r="CY25" s="1933">
        <f>SUM(CT25,CQ25,CN25,CK25)</f>
        <v/>
      </c>
      <c r="CZ25" s="596">
        <f>CY25/CX25</f>
        <v/>
      </c>
    </row>
    <row r="26" customFormat="1" s="585">
      <c r="A26" s="647" t="n"/>
      <c r="B26" s="1941" t="n"/>
      <c r="C26" s="1944" t="n"/>
      <c r="D26" s="1962">
        <f>B26*C26</f>
        <v/>
      </c>
      <c r="E26" s="600" t="n"/>
      <c r="F26" s="600" t="n"/>
      <c r="G26" s="600" t="n"/>
      <c r="I26" s="590" t="n"/>
      <c r="O26" s="675">
        <f>Takeoff!B14</f>
        <v/>
      </c>
      <c r="P26" s="1975">
        <f>Takeoff!C14</f>
        <v/>
      </c>
      <c r="Q26" s="1975">
        <f>Takeoff!D14</f>
        <v/>
      </c>
      <c r="R26" s="1975">
        <f>Takeoff!E14</f>
        <v/>
      </c>
      <c r="S26" s="1945">
        <f>Takeoff!F14</f>
        <v/>
      </c>
      <c r="T26" s="1945">
        <f>Takeoff!G14</f>
        <v/>
      </c>
      <c r="AJ26" s="1930" t="n">
        <v>19000</v>
      </c>
      <c r="AK26" s="1930" t="n"/>
      <c r="AL26" s="1930" t="n"/>
      <c r="AM26" s="1930">
        <f>AJ26</f>
        <v/>
      </c>
      <c r="AN26" s="1930" t="n"/>
      <c r="AO26" s="1930" t="n"/>
      <c r="AP26" s="1930">
        <f>AJ26+AM26</f>
        <v/>
      </c>
      <c r="AQ26" s="1930" t="n"/>
      <c r="AR26" s="1930" t="n"/>
      <c r="AS26" s="1930">
        <f>AP26</f>
        <v/>
      </c>
      <c r="AT26" s="596">
        <f>IF(AJ26&lt;=#REF!,#REF!,IF(AJ26&lt;=#REF!,#REF!,IF(AJ26&lt;=#REF!,#REF!,IF(AJ26&lt;=#REF!,#REF!,IF(AJ26&lt;=#REF!,#REF!,IF(AJ26&lt;=#REF!,#REF!,IF(AJ26&lt;=#REF!,#REF!,0.05)))))))</f>
        <v/>
      </c>
      <c r="AU26" s="1930">
        <f>AT26*AJ26</f>
        <v/>
      </c>
      <c r="AV26" s="596" t="n"/>
      <c r="AW26" s="596">
        <f>IF(AM26&lt;=#REF!,#REF!,IF(AM26&lt;=#REF!,#REF!,IF(AM26&lt;=#REF!,#REF!,IF(AM26&lt;=#REF!,#REF!,IF(AM26&lt;=#REF!,#REF!,IF(AM26&lt;=#REF!,#REF!,IF(AM26&lt;=#REF!,#REF!,0.05)))))))</f>
        <v/>
      </c>
      <c r="AX26" s="1930">
        <f>AW26*AM26</f>
        <v/>
      </c>
      <c r="AY26" s="596" t="n"/>
      <c r="AZ26" s="596">
        <f>IF(AP26&lt;=#REF!,#REF!,IF(AP26&lt;=#REF!,#REF!,IF(AP26&lt;=#REF!,#REF!,IF(AP26&lt;=#REF!,#REF!,IF(AP26&lt;=#REF!,#REF!,IF(AP26&lt;=#REF!,#REF!,IF(AP26&lt;=#REF!,#REF!,0.05)))))))</f>
        <v/>
      </c>
      <c r="BA26" s="1930">
        <f>AZ26*SUM(AX26,AU26,AP26)</f>
        <v/>
      </c>
      <c r="BB26" s="596" t="n"/>
      <c r="BC26" s="1931">
        <f>IF(AS26&lt;=#REF!,#REF!,IF(AS26&lt;=#REF!,#REF!,IF(AS26&lt;=#REF!,#REF!,IF(AS26&lt;=#REF!,#REF!,IF(AS26&lt;=#REF!,#REF!,IF(AS26&lt;=#REF!,#REF!,IF(AS26&lt;=#REF!,#REF!,0.05)))))))</f>
        <v/>
      </c>
      <c r="BD26" s="1930">
        <f>BC26*AS26</f>
        <v/>
      </c>
      <c r="BF26" s="1932">
        <f>0.07*SUM(AP26,AU26,AX26,BA26,BD26)</f>
        <v/>
      </c>
      <c r="BH26" s="1932">
        <f>SUM(BF26,BD26,BA26,AX26,AU26,AP26)</f>
        <v/>
      </c>
      <c r="BI26" s="1933">
        <f>SUM(BD26,BA26,AX26,AU26)</f>
        <v/>
      </c>
      <c r="BJ26" s="596">
        <f>BI26/BH26</f>
        <v/>
      </c>
      <c r="BZ26" s="1930" t="n">
        <v>19000</v>
      </c>
      <c r="CA26" s="1930" t="n"/>
      <c r="CB26" s="1930" t="n"/>
      <c r="CC26" s="1930">
        <f>BZ26</f>
        <v/>
      </c>
      <c r="CD26" s="1930" t="n"/>
      <c r="CE26" s="1930" t="n"/>
      <c r="CF26" s="1930">
        <f>BZ26+CC26</f>
        <v/>
      </c>
      <c r="CG26" s="1930" t="n"/>
      <c r="CH26" s="1930" t="n"/>
      <c r="CI26" s="1930">
        <f>CF26</f>
        <v/>
      </c>
      <c r="CJ26" s="596">
        <f>IF(BZ26&lt;=BN$4,BM$4,IF(BZ26&lt;=BN$5,BM$5,IF(BZ26&lt;=BN$6,BM$6,IF(BZ26&lt;=BN$7,BM$7,IF(BZ26&lt;=BN$12,BM$12,IF(BZ26&lt;=BN$13,BM$13,IF(BZ26&lt;=BN$14,BM$14,0.05)))))))</f>
        <v/>
      </c>
      <c r="CK26" s="1930">
        <f>CJ26*BZ26</f>
        <v/>
      </c>
      <c r="CL26" s="596" t="n"/>
      <c r="CM26" s="596">
        <f>IF(CC26&lt;=BQ$4,BP$4,IF(CC26&lt;=BQ$5,BP$5,IF(CC26&lt;=BQ$6,BP$6,IF(CC26&lt;=BQ$7,BP$7,IF(CC26&lt;=BQ$12,BP$12,IF(CC26&lt;=BQ$13,BP$13,IF(CC26&lt;=BQ$14,BP$14,0.05)))))))</f>
        <v/>
      </c>
      <c r="CN26" s="1930">
        <f>CM26*CC26</f>
        <v/>
      </c>
      <c r="CO26" s="596" t="n"/>
      <c r="CP26" s="596">
        <f>IF(CF26&lt;=BT$4,BS$4,IF(CF26&lt;=BT$5,BS$5,IF(CF26&lt;=BT$6,BS$6,IF(CF26&lt;=BT$7,BS$7,IF(CF26&lt;=BT$12,BS$12,IF(CF26&lt;=BT$13,BS$13,IF(CF26&lt;=BT$14,BS$14,0.05)))))))</f>
        <v/>
      </c>
      <c r="CQ26" s="1930">
        <f>CP26*SUM(CN26,CK26,CF26)</f>
        <v/>
      </c>
      <c r="CR26" s="596" t="n"/>
      <c r="CS26" s="1931">
        <f>IF(CI26&lt;=BW$4,BV$4,IF(CI26&lt;=BW$5,BV$5,IF(CI26&lt;=BW$6,BV$6,IF(CI26&lt;=BW$7,BV$7,IF(CI26&lt;=BW$12,BV$12,IF(CI26&lt;=BW$13,BV$13,IF(CI26&lt;=BW$14,BV$14,0.05)))))))</f>
        <v/>
      </c>
      <c r="CT26" s="1930">
        <f>CS26*CI26</f>
        <v/>
      </c>
      <c r="CV26" s="1932">
        <f>0.07*SUM(CF26,CK26,CN26,CQ26,CT26)</f>
        <v/>
      </c>
      <c r="CX26" s="1932">
        <f>SUM(CV26,CT26,CQ26,CN26,CK26,CF26)</f>
        <v/>
      </c>
      <c r="CY26" s="1933">
        <f>SUM(CT26,CQ26,CN26,CK26)</f>
        <v/>
      </c>
      <c r="CZ26" s="596">
        <f>CY26/CX26</f>
        <v/>
      </c>
    </row>
    <row r="27" customFormat="1" s="585">
      <c r="A27" s="647" t="n"/>
      <c r="B27" s="1941" t="n"/>
      <c r="C27" s="1944" t="n"/>
      <c r="D27" s="1962">
        <f>B27*C27</f>
        <v/>
      </c>
      <c r="E27" s="600" t="n"/>
      <c r="F27" s="600" t="n"/>
      <c r="G27" s="600" t="n"/>
      <c r="H27" s="600" t="n"/>
      <c r="O27" s="675">
        <f>Takeoff!I14</f>
        <v/>
      </c>
      <c r="P27" s="1975">
        <f>Takeoff!J14</f>
        <v/>
      </c>
      <c r="Q27" s="1975">
        <f>Takeoff!K14</f>
        <v/>
      </c>
      <c r="R27" s="1975">
        <f>Takeoff!L14</f>
        <v/>
      </c>
      <c r="S27" s="1945">
        <f>Takeoff!M14</f>
        <v/>
      </c>
      <c r="T27" s="1945">
        <f>Takeoff!N14</f>
        <v/>
      </c>
      <c r="AV27" s="1930" t="n">
        <v>20000</v>
      </c>
      <c r="AW27" s="1930" t="n"/>
      <c r="AX27" s="1930" t="n"/>
      <c r="AY27" s="1930">
        <f>AV27</f>
        <v/>
      </c>
      <c r="AZ27" s="1930" t="n"/>
      <c r="BA27" s="1930" t="n"/>
      <c r="BB27" s="1930">
        <f>AV27+AY27</f>
        <v/>
      </c>
      <c r="BC27" s="1930" t="n"/>
      <c r="BD27" s="1930" t="n"/>
      <c r="BE27" s="1930">
        <f>BB27</f>
        <v/>
      </c>
      <c r="BF27" s="596">
        <f>IF(AV27&lt;=#REF!,#REF!,IF(AV27&lt;=#REF!,#REF!,IF(AV27&lt;=#REF!,#REF!,IF(AV27&lt;=#REF!,#REF!,IF(AV27&lt;=#REF!,#REF!,IF(AV27&lt;=#REF!,#REF!,IF(AV27&lt;=#REF!,#REF!,0.05)))))))</f>
        <v/>
      </c>
      <c r="BG27" s="1930">
        <f>BF27*AV27</f>
        <v/>
      </c>
      <c r="BH27" s="596" t="n"/>
      <c r="BI27" s="596">
        <f>IF(AY27&lt;=#REF!,#REF!,IF(AY27&lt;=#REF!,#REF!,IF(AY27&lt;=#REF!,#REF!,IF(AY27&lt;=#REF!,#REF!,IF(AY27&lt;=#REF!,#REF!,IF(AY27&lt;=#REF!,#REF!,IF(AY27&lt;=#REF!,#REF!,0.05)))))))</f>
        <v/>
      </c>
      <c r="BJ27" s="1930">
        <f>BI27*AY27</f>
        <v/>
      </c>
      <c r="BK27" s="596" t="n"/>
      <c r="BL27" s="596">
        <f>IF(BB27&lt;=#REF!,#REF!,IF(BB27&lt;=#REF!,#REF!,IF(BB27&lt;=#REF!,#REF!,IF(BB27&lt;=#REF!,#REF!,IF(BB27&lt;=#REF!,#REF!,IF(BB27&lt;=#REF!,#REF!,IF(BB27&lt;=#REF!,#REF!,0.05)))))))</f>
        <v/>
      </c>
      <c r="BM27" s="1930">
        <f>BL27*SUM(BJ27,BG27,BB27)</f>
        <v/>
      </c>
      <c r="BN27" s="596" t="n"/>
      <c r="BO27" s="1931">
        <f>IF(BE27&lt;=#REF!,#REF!,IF(BE27&lt;=#REF!,#REF!,IF(BE27&lt;=#REF!,#REF!,IF(BE27&lt;=#REF!,#REF!,IF(BE27&lt;=#REF!,#REF!,IF(BE27&lt;=#REF!,#REF!,IF(BE27&lt;=#REF!,#REF!,0.05)))))))</f>
        <v/>
      </c>
      <c r="BP27" s="1930">
        <f>BO27*BE27</f>
        <v/>
      </c>
      <c r="BR27" s="1932">
        <f>0.07*SUM(BB27,BG27,BJ27,BM27,BP27)</f>
        <v/>
      </c>
      <c r="BT27" s="1932">
        <f>SUM(BR27,BP27,BM27,BJ27,BG27,BB27)</f>
        <v/>
      </c>
      <c r="BU27" s="1933">
        <f>SUM(BP27,BM27,BJ27,BG27)</f>
        <v/>
      </c>
      <c r="BV27" s="596">
        <f>BU27/BT27</f>
        <v/>
      </c>
      <c r="CL27" s="1930" t="n">
        <v>20000</v>
      </c>
      <c r="CM27" s="1930" t="n"/>
      <c r="CN27" s="1930" t="n"/>
      <c r="CO27" s="1930">
        <f>CL27</f>
        <v/>
      </c>
      <c r="CP27" s="1930" t="n"/>
      <c r="CQ27" s="1930" t="n"/>
      <c r="CR27" s="1930">
        <f>CL27+CO27</f>
        <v/>
      </c>
      <c r="CS27" s="1930" t="n"/>
      <c r="CT27" s="1930" t="n"/>
      <c r="CU27" s="1930">
        <f>CR27</f>
        <v/>
      </c>
      <c r="CV27" s="596">
        <f>IF(CL27&lt;=BN$4,BM$4,IF(CL27&lt;=BN$5,BM$5,IF(CL27&lt;=BN$6,BM$6,IF(CL27&lt;=BN$7,BM$7,IF(CL27&lt;=BN$12,BM$12,IF(CL27&lt;=BN$13,BM$13,IF(CL27&lt;=BN$14,BM$14,0.05)))))))</f>
        <v/>
      </c>
      <c r="CW27" s="1930">
        <f>CV27*CL27</f>
        <v/>
      </c>
      <c r="CX27" s="596" t="n"/>
      <c r="CY27" s="596">
        <f>IF(CO27&lt;=BQ$4,BP$4,IF(CO27&lt;=BQ$5,BP$5,IF(CO27&lt;=BQ$6,BP$6,IF(CO27&lt;=BQ$7,BP$7,IF(CO27&lt;=BQ$12,BP$12,IF(CO27&lt;=BQ$13,BP$13,IF(CO27&lt;=BQ$14,BP$14,0.05)))))))</f>
        <v/>
      </c>
      <c r="CZ27" s="1930">
        <f>CY27*CO27</f>
        <v/>
      </c>
      <c r="DA27" s="596" t="n"/>
      <c r="DB27" s="596">
        <f>IF(CR27&lt;=BT$4,BS$4,IF(CR27&lt;=BT$5,BS$5,IF(CR27&lt;=BT$6,BS$6,IF(CR27&lt;=BT$7,BS$7,IF(CR27&lt;=BT$12,BS$12,IF(CR27&lt;=BT$13,BS$13,IF(CR27&lt;=BT$14,BS$14,0.05)))))))</f>
        <v/>
      </c>
      <c r="DC27" s="1930">
        <f>DB27*SUM(CZ27,CW27,CR27)</f>
        <v/>
      </c>
      <c r="DD27" s="596" t="n"/>
      <c r="DE27" s="1931">
        <f>IF(CU27&lt;=BW$4,BV$4,IF(CU27&lt;=BW$5,BV$5,IF(CU27&lt;=BW$6,BV$6,IF(CU27&lt;=BW$7,BV$7,IF(CU27&lt;=BW$12,BV$12,IF(CU27&lt;=BW$13,BV$13,IF(CU27&lt;=BW$14,BV$14,0.05)))))))</f>
        <v/>
      </c>
      <c r="DF27" s="1930">
        <f>DE27*CU27</f>
        <v/>
      </c>
      <c r="DH27" s="1932">
        <f>0.07*SUM(CR27,CW27,CZ27,DC27,DF27)</f>
        <v/>
      </c>
      <c r="DJ27" s="1932">
        <f>SUM(DH27,DF27,DC27,CZ27,CW27,CR27)</f>
        <v/>
      </c>
      <c r="DK27" s="1933">
        <f>SUM(DF27,DC27,CZ27,CW27)</f>
        <v/>
      </c>
      <c r="DL27" s="596">
        <f>DK27/DJ27</f>
        <v/>
      </c>
    </row>
    <row r="28" customFormat="1" s="585">
      <c r="A28" s="641" t="inlineStr">
        <is>
          <t>MATERIAL - Extras</t>
        </is>
      </c>
      <c r="B28" s="1976" t="n"/>
      <c r="C28" s="1977" t="n"/>
      <c r="D28" s="1978" t="n"/>
      <c r="E28" s="600" t="n"/>
      <c r="F28" s="600" t="n"/>
      <c r="G28" s="600" t="n"/>
      <c r="O28" s="675">
        <f>Takeoff!P14</f>
        <v/>
      </c>
      <c r="P28" s="1975">
        <f>Takeoff!Q14</f>
        <v/>
      </c>
      <c r="Q28" s="1975">
        <f>Takeoff!R14</f>
        <v/>
      </c>
      <c r="R28" s="1975">
        <f>Takeoff!S14</f>
        <v/>
      </c>
      <c r="S28" s="1945">
        <f>Takeoff!T14</f>
        <v/>
      </c>
      <c r="T28" s="1945">
        <f>Takeoff!U14</f>
        <v/>
      </c>
      <c r="AV28" s="1930" t="n">
        <v>21000</v>
      </c>
      <c r="AW28" s="1930" t="n"/>
      <c r="AX28" s="1930" t="n"/>
      <c r="AY28" s="1930">
        <f>AV28</f>
        <v/>
      </c>
      <c r="AZ28" s="1930" t="n"/>
      <c r="BA28" s="1930" t="n"/>
      <c r="BB28" s="1930">
        <f>AV28+AY28</f>
        <v/>
      </c>
      <c r="BC28" s="1930" t="n"/>
      <c r="BD28" s="1930" t="n"/>
      <c r="BE28" s="1930">
        <f>BB28</f>
        <v/>
      </c>
      <c r="BF28" s="596">
        <f>IF(AV28&lt;=#REF!,#REF!,IF(AV28&lt;=#REF!,#REF!,IF(AV28&lt;=#REF!,#REF!,IF(AV28&lt;=#REF!,#REF!,IF(AV28&lt;=#REF!,#REF!,IF(AV28&lt;=#REF!,#REF!,IF(AV28&lt;=#REF!,#REF!,0.05)))))))</f>
        <v/>
      </c>
      <c r="BG28" s="1930">
        <f>BF28*AV28</f>
        <v/>
      </c>
      <c r="BH28" s="596" t="n"/>
      <c r="BI28" s="596">
        <f>IF(AY28&lt;=#REF!,#REF!,IF(AY28&lt;=#REF!,#REF!,IF(AY28&lt;=#REF!,#REF!,IF(AY28&lt;=#REF!,#REF!,IF(AY28&lt;=#REF!,#REF!,IF(AY28&lt;=#REF!,#REF!,IF(AY28&lt;=#REF!,#REF!,0.05)))))))</f>
        <v/>
      </c>
      <c r="BJ28" s="1930">
        <f>BI28*AY28</f>
        <v/>
      </c>
      <c r="BK28" s="596" t="n"/>
      <c r="BL28" s="596">
        <f>IF(BB28&lt;=#REF!,#REF!,IF(BB28&lt;=#REF!,#REF!,IF(BB28&lt;=#REF!,#REF!,IF(BB28&lt;=#REF!,#REF!,IF(BB28&lt;=#REF!,#REF!,IF(BB28&lt;=#REF!,#REF!,IF(BB28&lt;=#REF!,#REF!,0.05)))))))</f>
        <v/>
      </c>
      <c r="BM28" s="1930">
        <f>BL28*SUM(BJ28,BG28,BB28)</f>
        <v/>
      </c>
      <c r="BN28" s="596" t="n"/>
      <c r="BO28" s="1931">
        <f>IF(BE28&lt;=#REF!,#REF!,IF(BE28&lt;=#REF!,#REF!,IF(BE28&lt;=#REF!,#REF!,IF(BE28&lt;=#REF!,#REF!,IF(BE28&lt;=#REF!,#REF!,IF(BE28&lt;=#REF!,#REF!,IF(BE28&lt;=#REF!,#REF!,0.05)))))))</f>
        <v/>
      </c>
      <c r="BP28" s="1930">
        <f>BO28*BE28</f>
        <v/>
      </c>
      <c r="BR28" s="1932">
        <f>0.07*SUM(BB28,BG28,BJ28,BM28,BP28)</f>
        <v/>
      </c>
      <c r="BT28" s="1932">
        <f>SUM(BR28,BP28,BM28,BJ28,BG28,BB28)</f>
        <v/>
      </c>
      <c r="BU28" s="1933">
        <f>SUM(BP28,BM28,BJ28,BG28)</f>
        <v/>
      </c>
      <c r="BV28" s="596">
        <f>BU28/BT28</f>
        <v/>
      </c>
      <c r="CL28" s="1930" t="n">
        <v>21000</v>
      </c>
      <c r="CM28" s="1930" t="n"/>
      <c r="CN28" s="1930" t="n"/>
      <c r="CO28" s="1930">
        <f>CL28</f>
        <v/>
      </c>
      <c r="CP28" s="1930" t="n"/>
      <c r="CQ28" s="1930" t="n"/>
      <c r="CR28" s="1930">
        <f>CL28+CO28</f>
        <v/>
      </c>
      <c r="CS28" s="1930" t="n"/>
      <c r="CT28" s="1930" t="n"/>
      <c r="CU28" s="1930">
        <f>CR28</f>
        <v/>
      </c>
      <c r="CV28" s="596">
        <f>IF(CL28&lt;=BN$4,BM$4,IF(CL28&lt;=BN$5,BM$5,IF(CL28&lt;=BN$6,BM$6,IF(CL28&lt;=BN$7,BM$7,IF(CL28&lt;=BN$12,BM$12,IF(CL28&lt;=BN$13,BM$13,IF(CL28&lt;=BN$14,BM$14,0.05)))))))</f>
        <v/>
      </c>
      <c r="CW28" s="1930">
        <f>CV28*CL28</f>
        <v/>
      </c>
      <c r="CX28" s="596" t="n"/>
      <c r="CY28" s="596">
        <f>IF(CO28&lt;=BQ$4,BP$4,IF(CO28&lt;=BQ$5,BP$5,IF(CO28&lt;=BQ$6,BP$6,IF(CO28&lt;=BQ$7,BP$7,IF(CO28&lt;=BQ$12,BP$12,IF(CO28&lt;=BQ$13,BP$13,IF(CO28&lt;=BQ$14,BP$14,0.05)))))))</f>
        <v/>
      </c>
      <c r="CZ28" s="1930">
        <f>CY28*CO28</f>
        <v/>
      </c>
      <c r="DA28" s="596" t="n"/>
      <c r="DB28" s="596">
        <f>IF(CR28&lt;=BT$4,BS$4,IF(CR28&lt;=BT$5,BS$5,IF(CR28&lt;=BT$6,BS$6,IF(CR28&lt;=BT$7,BS$7,IF(CR28&lt;=BT$12,BS$12,IF(CR28&lt;=BT$13,BS$13,IF(CR28&lt;=BT$14,BS$14,0.05)))))))</f>
        <v/>
      </c>
      <c r="DC28" s="1930">
        <f>DB28*SUM(CZ28,CW28,CR28)</f>
        <v/>
      </c>
      <c r="DD28" s="596" t="n"/>
      <c r="DE28" s="1931">
        <f>IF(CU28&lt;=BW$4,BV$4,IF(CU28&lt;=BW$5,BV$5,IF(CU28&lt;=BW$6,BV$6,IF(CU28&lt;=BW$7,BV$7,IF(CU28&lt;=BW$12,BV$12,IF(CU28&lt;=BW$13,BV$13,IF(CU28&lt;=BW$14,BV$14,0.05)))))))</f>
        <v/>
      </c>
      <c r="DF28" s="1930">
        <f>DE28*CU28</f>
        <v/>
      </c>
      <c r="DH28" s="1932">
        <f>0.07*SUM(CR28,CW28,CZ28,DC28,DF28)</f>
        <v/>
      </c>
      <c r="DJ28" s="1932">
        <f>SUM(DH28,DF28,DC28,CZ28,CW28,CR28)</f>
        <v/>
      </c>
      <c r="DK28" s="1933">
        <f>SUM(DF28,DC28,CZ28,CW28)</f>
        <v/>
      </c>
      <c r="DL28" s="596">
        <f>DK28/DJ28</f>
        <v/>
      </c>
    </row>
    <row r="29" customFormat="1" s="585">
      <c r="A29" s="647" t="n"/>
      <c r="B29" s="1941" t="n"/>
      <c r="C29" s="1944" t="n"/>
      <c r="D29" s="1962">
        <f>B29*C29</f>
        <v/>
      </c>
      <c r="E29" s="600" t="n"/>
      <c r="F29" s="600" t="n"/>
      <c r="G29" s="600" t="n"/>
      <c r="O29" s="675">
        <f>Takeoff!I3</f>
        <v/>
      </c>
      <c r="P29" s="1975">
        <f>Takeoff!J3</f>
        <v/>
      </c>
      <c r="Q29" s="1979">
        <f>Takeoff!K3</f>
        <v/>
      </c>
      <c r="R29" s="1975">
        <f>Takeoff!L3</f>
        <v/>
      </c>
      <c r="S29" s="1945">
        <f>Takeoff!M3</f>
        <v/>
      </c>
      <c r="T29" s="1945">
        <f>Takeoff!N3</f>
        <v/>
      </c>
      <c r="AV29" s="1930" t="n">
        <v>22000</v>
      </c>
      <c r="AW29" s="1930" t="n"/>
      <c r="AX29" s="1930" t="n"/>
      <c r="AY29" s="1930">
        <f>AV29</f>
        <v/>
      </c>
      <c r="AZ29" s="1930" t="n"/>
      <c r="BA29" s="1930" t="n"/>
      <c r="BB29" s="1930">
        <f>AV29+AY29</f>
        <v/>
      </c>
      <c r="BC29" s="1930" t="n"/>
      <c r="BD29" s="1930" t="n"/>
      <c r="BE29" s="1930">
        <f>BB29</f>
        <v/>
      </c>
      <c r="BF29" s="596">
        <f>IF(AV29&lt;=#REF!,#REF!,IF(AV29&lt;=#REF!,#REF!,IF(AV29&lt;=#REF!,#REF!,IF(AV29&lt;=#REF!,#REF!,IF(AV29&lt;=#REF!,#REF!,IF(AV29&lt;=#REF!,#REF!,IF(AV29&lt;=#REF!,#REF!,0.05)))))))</f>
        <v/>
      </c>
      <c r="BG29" s="1930">
        <f>BF29*AV29</f>
        <v/>
      </c>
      <c r="BH29" s="596" t="n"/>
      <c r="BI29" s="596">
        <f>IF(AY29&lt;=#REF!,#REF!,IF(AY29&lt;=#REF!,#REF!,IF(AY29&lt;=#REF!,#REF!,IF(AY29&lt;=#REF!,#REF!,IF(AY29&lt;=#REF!,#REF!,IF(AY29&lt;=#REF!,#REF!,IF(AY29&lt;=#REF!,#REF!,0.05)))))))</f>
        <v/>
      </c>
      <c r="BJ29" s="1930">
        <f>BI29*AY29</f>
        <v/>
      </c>
      <c r="BK29" s="596" t="n"/>
      <c r="BL29" s="596">
        <f>IF(BB29&lt;=#REF!,#REF!,IF(BB29&lt;=#REF!,#REF!,IF(BB29&lt;=#REF!,#REF!,IF(BB29&lt;=#REF!,#REF!,IF(BB29&lt;=#REF!,#REF!,IF(BB29&lt;=#REF!,#REF!,IF(BB29&lt;=#REF!,#REF!,0.05)))))))</f>
        <v/>
      </c>
      <c r="BM29" s="1930">
        <f>BL29*SUM(BJ29,BG29,BB29)</f>
        <v/>
      </c>
      <c r="BN29" s="596" t="n"/>
      <c r="BO29" s="1931">
        <f>IF(BE29&lt;=#REF!,#REF!,IF(BE29&lt;=#REF!,#REF!,IF(BE29&lt;=#REF!,#REF!,IF(BE29&lt;=#REF!,#REF!,IF(BE29&lt;=#REF!,#REF!,IF(BE29&lt;=#REF!,#REF!,IF(BE29&lt;=#REF!,#REF!,0.05)))))))</f>
        <v/>
      </c>
      <c r="BP29" s="1930">
        <f>BO29*BE29</f>
        <v/>
      </c>
      <c r="BR29" s="1932">
        <f>0.07*SUM(BB29,BG29,BJ29,BM29,BP29)</f>
        <v/>
      </c>
      <c r="BT29" s="1932">
        <f>SUM(BR29,BP29,BM29,BJ29,BG29,BB29)</f>
        <v/>
      </c>
      <c r="BU29" s="1933">
        <f>SUM(BP29,BM29,BJ29,BG29)</f>
        <v/>
      </c>
      <c r="BV29" s="596">
        <f>BU29/BT29</f>
        <v/>
      </c>
      <c r="CL29" s="1930" t="n">
        <v>22000</v>
      </c>
      <c r="CM29" s="1930" t="n"/>
      <c r="CN29" s="1930" t="n"/>
      <c r="CO29" s="1930">
        <f>CL29</f>
        <v/>
      </c>
      <c r="CP29" s="1930" t="n"/>
      <c r="CQ29" s="1930" t="n"/>
      <c r="CR29" s="1930">
        <f>CL29+CO29</f>
        <v/>
      </c>
      <c r="CS29" s="1930" t="n"/>
      <c r="CT29" s="1930" t="n"/>
      <c r="CU29" s="1930">
        <f>CR29</f>
        <v/>
      </c>
      <c r="CV29" s="596">
        <f>IF(CL29&lt;=BN$4,BM$4,IF(CL29&lt;=BN$5,BM$5,IF(CL29&lt;=BN$6,BM$6,IF(CL29&lt;=BN$7,BM$7,IF(CL29&lt;=BN$12,BM$12,IF(CL29&lt;=BN$13,BM$13,IF(CL29&lt;=BN$14,BM$14,0.05)))))))</f>
        <v/>
      </c>
      <c r="CW29" s="1930">
        <f>CV29*CL29</f>
        <v/>
      </c>
      <c r="CX29" s="596" t="n"/>
      <c r="CY29" s="596">
        <f>IF(CO29&lt;=BQ$4,BP$4,IF(CO29&lt;=BQ$5,BP$5,IF(CO29&lt;=BQ$6,BP$6,IF(CO29&lt;=BQ$7,BP$7,IF(CO29&lt;=BQ$12,BP$12,IF(CO29&lt;=BQ$13,BP$13,IF(CO29&lt;=BQ$14,BP$14,0.05)))))))</f>
        <v/>
      </c>
      <c r="CZ29" s="1930">
        <f>CY29*CO29</f>
        <v/>
      </c>
      <c r="DA29" s="596" t="n"/>
      <c r="DB29" s="596">
        <f>IF(CR29&lt;=BT$4,BS$4,IF(CR29&lt;=BT$5,BS$5,IF(CR29&lt;=BT$6,BS$6,IF(CR29&lt;=BT$7,BS$7,IF(CR29&lt;=BT$12,BS$12,IF(CR29&lt;=BT$13,BS$13,IF(CR29&lt;=BT$14,BS$14,0.05)))))))</f>
        <v/>
      </c>
      <c r="DC29" s="1930">
        <f>DB29*SUM(CZ29,CW29,CR29)</f>
        <v/>
      </c>
      <c r="DD29" s="596" t="n"/>
      <c r="DE29" s="1931">
        <f>IF(CU29&lt;=BW$4,BV$4,IF(CU29&lt;=BW$5,BV$5,IF(CU29&lt;=BW$6,BV$6,IF(CU29&lt;=BW$7,BV$7,IF(CU29&lt;=BW$12,BV$12,IF(CU29&lt;=BW$13,BV$13,IF(CU29&lt;=BW$14,BV$14,0.05)))))))</f>
        <v/>
      </c>
      <c r="DF29" s="1930">
        <f>DE29*CU29</f>
        <v/>
      </c>
      <c r="DH29" s="1932">
        <f>0.07*SUM(CR29,CW29,CZ29,DC29,DF29)</f>
        <v/>
      </c>
      <c r="DJ29" s="1932">
        <f>SUM(DH29,DF29,DC29,CZ29,CW29,CR29)</f>
        <v/>
      </c>
      <c r="DK29" s="1933">
        <f>SUM(DF29,DC29,CZ29,CW29)</f>
        <v/>
      </c>
      <c r="DL29" s="596">
        <f>DK29/DJ29</f>
        <v/>
      </c>
    </row>
    <row r="30" ht="16.05" customFormat="1" customHeight="1" s="585">
      <c r="A30" s="647" t="n"/>
      <c r="B30" s="1941" t="n"/>
      <c r="C30" s="1944" t="n"/>
      <c r="D30" s="1962">
        <f>B30*C30</f>
        <v/>
      </c>
      <c r="E30" s="600" t="n"/>
      <c r="F30" s="600" t="n"/>
      <c r="G30" s="600" t="n"/>
      <c r="Q30" s="600" t="n"/>
      <c r="R30" s="600" t="n"/>
      <c r="S30" s="600" t="n"/>
      <c r="T30" s="600" t="n"/>
      <c r="AV30" s="1930" t="n">
        <v>23000</v>
      </c>
      <c r="AW30" s="1930" t="n"/>
      <c r="AX30" s="1930" t="n"/>
      <c r="AY30" s="1930">
        <f>AV30</f>
        <v/>
      </c>
      <c r="AZ30" s="1930" t="n"/>
      <c r="BA30" s="1930" t="n"/>
      <c r="BB30" s="1930">
        <f>AV30+AY30</f>
        <v/>
      </c>
      <c r="BC30" s="1930" t="n"/>
      <c r="BD30" s="1930" t="n"/>
      <c r="BE30" s="1930">
        <f>BB30</f>
        <v/>
      </c>
      <c r="BF30" s="596">
        <f>IF(AV30&lt;=#REF!,#REF!,IF(AV30&lt;=#REF!,#REF!,IF(AV30&lt;=#REF!,#REF!,IF(AV30&lt;=#REF!,#REF!,IF(AV30&lt;=#REF!,#REF!,IF(AV30&lt;=#REF!,#REF!,IF(AV30&lt;=#REF!,#REF!,0.05)))))))</f>
        <v/>
      </c>
      <c r="BG30" s="1930">
        <f>BF30*AV30</f>
        <v/>
      </c>
      <c r="BH30" s="596" t="n"/>
      <c r="BI30" s="596">
        <f>IF(AY30&lt;=#REF!,#REF!,IF(AY30&lt;=#REF!,#REF!,IF(AY30&lt;=#REF!,#REF!,IF(AY30&lt;=#REF!,#REF!,IF(AY30&lt;=#REF!,#REF!,IF(AY30&lt;=#REF!,#REF!,IF(AY30&lt;=#REF!,#REF!,0.05)))))))</f>
        <v/>
      </c>
      <c r="BJ30" s="1930">
        <f>BI30*AY30</f>
        <v/>
      </c>
      <c r="BK30" s="596" t="n"/>
      <c r="BL30" s="596">
        <f>IF(BB30&lt;=#REF!,#REF!,IF(BB30&lt;=#REF!,#REF!,IF(BB30&lt;=#REF!,#REF!,IF(BB30&lt;=#REF!,#REF!,IF(BB30&lt;=#REF!,#REF!,IF(BB30&lt;=#REF!,#REF!,IF(BB30&lt;=#REF!,#REF!,0.05)))))))</f>
        <v/>
      </c>
      <c r="BM30" s="1930">
        <f>BL30*SUM(BJ30,BG30,BB30)</f>
        <v/>
      </c>
      <c r="BN30" s="596" t="n"/>
      <c r="BO30" s="1931">
        <f>IF(BE30&lt;=#REF!,#REF!,IF(BE30&lt;=#REF!,#REF!,IF(BE30&lt;=#REF!,#REF!,IF(BE30&lt;=#REF!,#REF!,IF(BE30&lt;=#REF!,#REF!,IF(BE30&lt;=#REF!,#REF!,IF(BE30&lt;=#REF!,#REF!,0.05)))))))</f>
        <v/>
      </c>
      <c r="BP30" s="1930">
        <f>BO30*BE30</f>
        <v/>
      </c>
      <c r="BR30" s="1932">
        <f>0.07*SUM(BB30,BG30,BJ30,BM30,BP30)</f>
        <v/>
      </c>
      <c r="BT30" s="1932">
        <f>SUM(BR30,BP30,BM30,BJ30,BG30,BB30)</f>
        <v/>
      </c>
      <c r="BU30" s="1933">
        <f>SUM(BP30,BM30,BJ30,BG30)</f>
        <v/>
      </c>
      <c r="BV30" s="596">
        <f>BU30/BT30</f>
        <v/>
      </c>
      <c r="CL30" s="1930" t="n">
        <v>23000</v>
      </c>
      <c r="CM30" s="1930" t="n"/>
      <c r="CN30" s="1930" t="n"/>
      <c r="CO30" s="1930">
        <f>CL30</f>
        <v/>
      </c>
      <c r="CP30" s="1930" t="n"/>
      <c r="CQ30" s="1930" t="n"/>
      <c r="CR30" s="1930">
        <f>CL30+CO30</f>
        <v/>
      </c>
      <c r="CS30" s="1930" t="n"/>
      <c r="CT30" s="1930" t="n"/>
      <c r="CU30" s="1930">
        <f>CR30</f>
        <v/>
      </c>
      <c r="CV30" s="596">
        <f>IF(CL30&lt;=BN$4,BM$4,IF(CL30&lt;=BN$5,BM$5,IF(CL30&lt;=BN$6,BM$6,IF(CL30&lt;=BN$7,BM$7,IF(CL30&lt;=BN$12,BM$12,IF(CL30&lt;=BN$13,BM$13,IF(CL30&lt;=BN$14,BM$14,0.05)))))))</f>
        <v/>
      </c>
      <c r="CW30" s="1930">
        <f>CV30*CL30</f>
        <v/>
      </c>
      <c r="CX30" s="596" t="n"/>
      <c r="CY30" s="596">
        <f>IF(CO30&lt;=BQ$4,BP$4,IF(CO30&lt;=BQ$5,BP$5,IF(CO30&lt;=BQ$6,BP$6,IF(CO30&lt;=BQ$7,BP$7,IF(CO30&lt;=BQ$12,BP$12,IF(CO30&lt;=BQ$13,BP$13,IF(CO30&lt;=BQ$14,BP$14,0.05)))))))</f>
        <v/>
      </c>
      <c r="CZ30" s="1930">
        <f>CY30*CO30</f>
        <v/>
      </c>
      <c r="DA30" s="596" t="n"/>
      <c r="DB30" s="596">
        <f>IF(CR30&lt;=BT$4,BS$4,IF(CR30&lt;=BT$5,BS$5,IF(CR30&lt;=BT$6,BS$6,IF(CR30&lt;=BT$7,BS$7,IF(CR30&lt;=BT$12,BS$12,IF(CR30&lt;=BT$13,BS$13,IF(CR30&lt;=BT$14,BS$14,0.05)))))))</f>
        <v/>
      </c>
      <c r="DC30" s="1930">
        <f>DB30*SUM(CZ30,CW30,CR30)</f>
        <v/>
      </c>
      <c r="DD30" s="596" t="n"/>
      <c r="DE30" s="1931">
        <f>IF(CU30&lt;=BW$4,BV$4,IF(CU30&lt;=BW$5,BV$5,IF(CU30&lt;=BW$6,BV$6,IF(CU30&lt;=BW$7,BV$7,IF(CU30&lt;=BW$12,BV$12,IF(CU30&lt;=BW$13,BV$13,IF(CU30&lt;=BW$14,BV$14,0.05)))))))</f>
        <v/>
      </c>
      <c r="DF30" s="1930">
        <f>DE30*CU30</f>
        <v/>
      </c>
      <c r="DH30" s="1932">
        <f>0.07*SUM(CR30,CW30,CZ30,DC30,DF30)</f>
        <v/>
      </c>
      <c r="DJ30" s="1932">
        <f>SUM(DH30,DF30,DC30,CZ30,CW30,CR30)</f>
        <v/>
      </c>
      <c r="DK30" s="1933">
        <f>SUM(DF30,DC30,CZ30,CW30)</f>
        <v/>
      </c>
      <c r="DL30" s="596">
        <f>DK30/DJ30</f>
        <v/>
      </c>
    </row>
    <row r="31" ht="16.05" customFormat="1" customHeight="1" s="585">
      <c r="A31" s="647" t="n"/>
      <c r="B31" s="1941" t="n"/>
      <c r="C31" s="1944" t="n"/>
      <c r="D31" s="1962">
        <f>B31*C31</f>
        <v/>
      </c>
      <c r="E31" s="600" t="n"/>
      <c r="F31" s="600" t="n"/>
      <c r="G31" s="714" t="inlineStr">
        <is>
          <t>? Yes / No ?</t>
        </is>
      </c>
      <c r="H31" s="933" t="inlineStr">
        <is>
          <t>Special Transitions ?</t>
        </is>
      </c>
      <c r="I31" s="590" t="inlineStr">
        <is>
          <t>"Nat. Guard" = 8' @ ~$130 ea. ($16.25 /lf.)</t>
        </is>
      </c>
      <c r="O31" s="1425" t="inlineStr">
        <is>
          <t>Cant Cove Calculator (must be a 45° Angle):</t>
        </is>
      </c>
      <c r="P31" s="1426" t="n"/>
      <c r="Q31" s="1426" t="n"/>
      <c r="R31" s="1427" t="n"/>
      <c r="S31" s="600" t="n"/>
      <c r="T31" s="600" t="n"/>
      <c r="AV31" s="1930" t="n"/>
      <c r="AW31" s="1930" t="n"/>
      <c r="AX31" s="1930" t="n"/>
      <c r="AY31" s="1930" t="n"/>
      <c r="AZ31" s="1930" t="n"/>
      <c r="BA31" s="1930" t="n"/>
      <c r="BB31" s="1930" t="n"/>
      <c r="BC31" s="1930" t="n"/>
      <c r="BD31" s="1930" t="n"/>
      <c r="BE31" s="1930" t="n"/>
      <c r="BF31" s="596" t="n"/>
      <c r="BG31" s="1930" t="n"/>
      <c r="BH31" s="596" t="n"/>
      <c r="BI31" s="596" t="n"/>
      <c r="BJ31" s="1930" t="n"/>
      <c r="BK31" s="596" t="n"/>
      <c r="BL31" s="596" t="n"/>
      <c r="BM31" s="1930" t="n"/>
      <c r="BN31" s="596" t="n"/>
      <c r="BO31" s="1931" t="n"/>
      <c r="BP31" s="1930" t="n"/>
      <c r="BR31" s="1932" t="n"/>
      <c r="BT31" s="1932" t="n"/>
      <c r="BU31" s="1933" t="n"/>
      <c r="BV31" s="596" t="n"/>
      <c r="CL31" s="1930" t="n"/>
      <c r="CM31" s="1930" t="n"/>
      <c r="CN31" s="1930" t="n"/>
      <c r="CO31" s="1930" t="n"/>
      <c r="CP31" s="1930" t="n"/>
      <c r="CQ31" s="1930" t="n"/>
      <c r="CR31" s="1930" t="n"/>
      <c r="CS31" s="1930" t="n"/>
      <c r="CT31" s="1930" t="n"/>
      <c r="CU31" s="1930" t="n"/>
      <c r="CV31" s="596" t="n"/>
      <c r="CW31" s="1930" t="n"/>
      <c r="CX31" s="596" t="n"/>
      <c r="CY31" s="596" t="n"/>
      <c r="CZ31" s="1930" t="n"/>
      <c r="DA31" s="596" t="n"/>
      <c r="DB31" s="596" t="n"/>
      <c r="DC31" s="1930" t="n"/>
      <c r="DD31" s="596" t="n"/>
      <c r="DE31" s="1931" t="n"/>
      <c r="DF31" s="1930" t="n"/>
      <c r="DH31" s="1932" t="n"/>
      <c r="DJ31" s="1932" t="n"/>
      <c r="DK31" s="1933" t="n"/>
      <c r="DL31" s="596" t="n"/>
    </row>
    <row r="32" ht="16.05" customFormat="1" customHeight="1" s="585">
      <c r="A32" s="683" t="inlineStr">
        <is>
          <t>MATERIAL - Cove</t>
        </is>
      </c>
      <c r="B32" s="1976" t="n"/>
      <c r="C32" s="1977" t="n"/>
      <c r="D32" s="1978" t="n"/>
      <c r="E32" s="1954">
        <f>SUM(G33:G34)</f>
        <v/>
      </c>
      <c r="F32" s="646" t="inlineStr">
        <is>
          <t>LF</t>
        </is>
      </c>
      <c r="G32" s="600" t="n"/>
      <c r="O32" s="1428" t="inlineStr">
        <is>
          <t>h2/1.5 = Ratio to 6" cove w/ cap (1/8" thick)</t>
        </is>
      </c>
      <c r="P32" s="1429" t="n"/>
      <c r="Q32" s="1429" t="n"/>
      <c r="R32" s="1430" t="n"/>
      <c r="AV32" s="1930" t="n">
        <v>24000</v>
      </c>
      <c r="AW32" s="1930" t="n"/>
      <c r="AX32" s="1930" t="n"/>
      <c r="AY32" s="1930">
        <f>AV32</f>
        <v/>
      </c>
      <c r="AZ32" s="1930" t="n"/>
      <c r="BA32" s="1930" t="n"/>
      <c r="BB32" s="1930">
        <f>AV32+AY32</f>
        <v/>
      </c>
      <c r="BC32" s="1930" t="n"/>
      <c r="BD32" s="1930" t="n"/>
      <c r="BE32" s="1930">
        <f>BB32</f>
        <v/>
      </c>
      <c r="BF32" s="596">
        <f>IF(AV32&lt;=#REF!,#REF!,IF(AV32&lt;=#REF!,#REF!,IF(AV32&lt;=#REF!,#REF!,IF(AV32&lt;=#REF!,#REF!,IF(AV32&lt;=#REF!,#REF!,IF(AV32&lt;=#REF!,#REF!,IF(AV32&lt;=#REF!,#REF!,0.05)))))))</f>
        <v/>
      </c>
      <c r="BG32" s="1930">
        <f>BF32*AV32</f>
        <v/>
      </c>
      <c r="BH32" s="596" t="n"/>
      <c r="BI32" s="596">
        <f>IF(AY32&lt;=#REF!,#REF!,IF(AY32&lt;=#REF!,#REF!,IF(AY32&lt;=#REF!,#REF!,IF(AY32&lt;=#REF!,#REF!,IF(AY32&lt;=#REF!,#REF!,IF(AY32&lt;=#REF!,#REF!,IF(AY32&lt;=#REF!,#REF!,0.05)))))))</f>
        <v/>
      </c>
      <c r="BJ32" s="1930">
        <f>BI32*AY32</f>
        <v/>
      </c>
      <c r="BK32" s="596" t="n"/>
      <c r="BL32" s="596">
        <f>IF(BB32&lt;=#REF!,#REF!,IF(BB32&lt;=#REF!,#REF!,IF(BB32&lt;=#REF!,#REF!,IF(BB32&lt;=#REF!,#REF!,IF(BB32&lt;=#REF!,#REF!,IF(BB32&lt;=#REF!,#REF!,IF(BB32&lt;=#REF!,#REF!,0.05)))))))</f>
        <v/>
      </c>
      <c r="BM32" s="1930">
        <f>BL32*SUM(BJ32,BG32,BB32)</f>
        <v/>
      </c>
      <c r="BN32" s="596" t="n"/>
      <c r="BO32" s="1931">
        <f>IF(BE32&lt;=#REF!,#REF!,IF(BE32&lt;=#REF!,#REF!,IF(BE32&lt;=#REF!,#REF!,IF(BE32&lt;=#REF!,#REF!,IF(BE32&lt;=#REF!,#REF!,IF(BE32&lt;=#REF!,#REF!,IF(BE32&lt;=#REF!,#REF!,0.05)))))))</f>
        <v/>
      </c>
      <c r="BP32" s="1930">
        <f>BO32*BE32</f>
        <v/>
      </c>
      <c r="BR32" s="1932">
        <f>0.07*SUM(BB32,BG32,BJ32,BM32,BP32)</f>
        <v/>
      </c>
      <c r="BT32" s="1932">
        <f>SUM(BR32,BP32,BM32,BJ32,BG32,BB32)</f>
        <v/>
      </c>
      <c r="BU32" s="1933">
        <f>SUM(BP32,BM32,BJ32,BG32)</f>
        <v/>
      </c>
      <c r="BV32" s="596">
        <f>BU32/BT32</f>
        <v/>
      </c>
      <c r="CL32" s="1930" t="n">
        <v>24000</v>
      </c>
      <c r="CM32" s="1930" t="n"/>
      <c r="CN32" s="1930" t="n"/>
      <c r="CO32" s="1930">
        <f>CL32</f>
        <v/>
      </c>
      <c r="CP32" s="1930" t="n"/>
      <c r="CQ32" s="1930" t="n"/>
      <c r="CR32" s="1930">
        <f>CL32+CO32</f>
        <v/>
      </c>
      <c r="CS32" s="1930" t="n"/>
      <c r="CT32" s="1930" t="n"/>
      <c r="CU32" s="1930">
        <f>CR32</f>
        <v/>
      </c>
      <c r="CV32" s="596">
        <f>IF(CL32&lt;=BN$4,BM$4,IF(CL32&lt;=BN$5,BM$5,IF(CL32&lt;=BN$6,BM$6,IF(CL32&lt;=BN$7,BM$7,IF(CL32&lt;=BN$12,BM$12,IF(CL32&lt;=BN$13,BM$13,IF(CL32&lt;=BN$14,BM$14,0.05)))))))</f>
        <v/>
      </c>
      <c r="CW32" s="1930">
        <f>CV32*CL32</f>
        <v/>
      </c>
      <c r="CX32" s="596" t="n"/>
      <c r="CY32" s="596">
        <f>IF(CO32&lt;=BQ$4,BP$4,IF(CO32&lt;=BQ$5,BP$5,IF(CO32&lt;=BQ$6,BP$6,IF(CO32&lt;=BQ$7,BP$7,IF(CO32&lt;=BQ$12,BP$12,IF(CO32&lt;=BQ$13,BP$13,IF(CO32&lt;=BQ$14,BP$14,0.05)))))))</f>
        <v/>
      </c>
      <c r="CZ32" s="1930">
        <f>CY32*CO32</f>
        <v/>
      </c>
      <c r="DA32" s="596" t="n"/>
      <c r="DB32" s="596">
        <f>IF(CR32&lt;=BT$4,BS$4,IF(CR32&lt;=BT$5,BS$5,IF(CR32&lt;=BT$6,BS$6,IF(CR32&lt;=BT$7,BS$7,IF(CR32&lt;=BT$12,BS$12,IF(CR32&lt;=BT$13,BS$13,IF(CR32&lt;=BT$14,BS$14,0.05)))))))</f>
        <v/>
      </c>
      <c r="DC32" s="1930">
        <f>DB32*SUM(CZ32,CW32,CR32)</f>
        <v/>
      </c>
      <c r="DD32" s="596" t="n"/>
      <c r="DE32" s="1931">
        <f>IF(CU32&lt;=BW$4,BV$4,IF(CU32&lt;=BW$5,BV$5,IF(CU32&lt;=BW$6,BV$6,IF(CU32&lt;=BW$7,BV$7,IF(CU32&lt;=BW$12,BV$12,IF(CU32&lt;=BW$13,BV$13,IF(CU32&lt;=BW$14,BV$14,0.05)))))))</f>
        <v/>
      </c>
      <c r="DF32" s="1930">
        <f>DE32*CU32</f>
        <v/>
      </c>
      <c r="DH32" s="1932">
        <f>0.07*SUM(CR32,CW32,CZ32,DC32,DF32)</f>
        <v/>
      </c>
      <c r="DJ32" s="1932">
        <f>SUM(DH32,DF32,DC32,CZ32,CW32,CR32)</f>
        <v/>
      </c>
      <c r="DK32" s="1933">
        <f>SUM(DF32,DC32,CZ32,CW32)</f>
        <v/>
      </c>
      <c r="DL32" s="596">
        <f>DK32/DJ32</f>
        <v/>
      </c>
    </row>
    <row r="33" ht="16.05" customFormat="1" customHeight="1" s="585">
      <c r="A33" s="647" t="n"/>
      <c r="B33" s="1941" t="n"/>
      <c r="C33" s="1944" t="n"/>
      <c r="D33" s="1962">
        <f>B33*C33</f>
        <v/>
      </c>
      <c r="E33" s="600" t="n"/>
      <c r="F33" s="600" t="n"/>
      <c r="G33" s="2007" t="n">
        <v>0</v>
      </c>
      <c r="H33" s="685" t="inlineStr">
        <is>
          <t>LF System 1</t>
        </is>
      </c>
      <c r="O33" s="686">
        <f>(P33*P33)/1.5</f>
        <v/>
      </c>
      <c r="P33" s="687" t="n"/>
      <c r="Q33" s="1874" t="inlineStr">
        <is>
          <t>Height of Cant Cove</t>
        </is>
      </c>
      <c r="R33" s="1875" t="n"/>
      <c r="AV33" s="1930" t="n">
        <v>25000</v>
      </c>
      <c r="AW33" s="1930" t="n"/>
      <c r="AX33" s="1930" t="n"/>
      <c r="AY33" s="1930">
        <f>AV33</f>
        <v/>
      </c>
      <c r="AZ33" s="1930" t="n"/>
      <c r="BA33" s="1930" t="n"/>
      <c r="BB33" s="1930">
        <f>AV33+AY33</f>
        <v/>
      </c>
      <c r="BC33" s="1930" t="n"/>
      <c r="BD33" s="1930" t="n"/>
      <c r="BE33" s="1930">
        <f>BB33</f>
        <v/>
      </c>
      <c r="BF33" s="596">
        <f>IF(AV33&lt;=#REF!,#REF!,IF(AV33&lt;=#REF!,#REF!,IF(AV33&lt;=#REF!,#REF!,IF(AV33&lt;=#REF!,#REF!,IF(AV33&lt;=#REF!,#REF!,IF(AV33&lt;=#REF!,#REF!,IF(AV33&lt;=#REF!,#REF!,0.05)))))))</f>
        <v/>
      </c>
      <c r="BG33" s="1930">
        <f>BF33*AV33</f>
        <v/>
      </c>
      <c r="BH33" s="596" t="n"/>
      <c r="BI33" s="596">
        <f>IF(AY33&lt;=#REF!,#REF!,IF(AY33&lt;=#REF!,#REF!,IF(AY33&lt;=#REF!,#REF!,IF(AY33&lt;=#REF!,#REF!,IF(AY33&lt;=#REF!,#REF!,IF(AY33&lt;=#REF!,#REF!,IF(AY33&lt;=#REF!,#REF!,0.05)))))))</f>
        <v/>
      </c>
      <c r="BJ33" s="1930">
        <f>BI33*AY33</f>
        <v/>
      </c>
      <c r="BK33" s="596" t="n"/>
      <c r="BL33" s="596">
        <f>IF(BB33&lt;=#REF!,#REF!,IF(BB33&lt;=#REF!,#REF!,IF(BB33&lt;=#REF!,#REF!,IF(BB33&lt;=#REF!,#REF!,IF(BB33&lt;=#REF!,#REF!,IF(BB33&lt;=#REF!,#REF!,IF(BB33&lt;=#REF!,#REF!,0.05)))))))</f>
        <v/>
      </c>
      <c r="BM33" s="1930">
        <f>BL33*SUM(BJ33,BG33,BB33)</f>
        <v/>
      </c>
      <c r="BN33" s="596" t="n"/>
      <c r="BO33" s="1931">
        <f>IF(BE33&lt;=#REF!,#REF!,IF(BE33&lt;=#REF!,#REF!,IF(BE33&lt;=#REF!,#REF!,IF(BE33&lt;=#REF!,#REF!,IF(BE33&lt;=#REF!,#REF!,IF(BE33&lt;=#REF!,#REF!,IF(BE33&lt;=#REF!,#REF!,0.05)))))))</f>
        <v/>
      </c>
      <c r="BP33" s="1930">
        <f>BO33*BE33</f>
        <v/>
      </c>
      <c r="BR33" s="1932">
        <f>0.07*SUM(BB33,BG33,BJ33,BM33,BP33)</f>
        <v/>
      </c>
      <c r="BT33" s="1932">
        <f>SUM(BR33,BP33,BM33,BJ33,BG33,BB33)</f>
        <v/>
      </c>
      <c r="BU33" s="1933">
        <f>SUM(BP33,BM33,BJ33,BG33)</f>
        <v/>
      </c>
      <c r="BV33" s="596">
        <f>BU33/BT33</f>
        <v/>
      </c>
      <c r="CL33" s="1930" t="n">
        <v>25000</v>
      </c>
      <c r="CM33" s="1930" t="n"/>
      <c r="CN33" s="1930" t="n"/>
      <c r="CO33" s="1930">
        <f>CL33</f>
        <v/>
      </c>
      <c r="CP33" s="1930" t="n"/>
      <c r="CQ33" s="1930" t="n"/>
      <c r="CR33" s="1930">
        <f>CL33+CO33</f>
        <v/>
      </c>
      <c r="CS33" s="1930" t="n"/>
      <c r="CT33" s="1930" t="n"/>
      <c r="CU33" s="1930">
        <f>CR33</f>
        <v/>
      </c>
      <c r="CV33" s="596">
        <f>IF(CL33&lt;=BN$4,BM$4,IF(CL33&lt;=BN$5,BM$5,IF(CL33&lt;=BN$6,BM$6,IF(CL33&lt;=BN$7,BM$7,IF(CL33&lt;=BN$12,BM$12,IF(CL33&lt;=BN$13,BM$13,IF(CL33&lt;=BN$14,BM$14,0.05)))))))</f>
        <v/>
      </c>
      <c r="CW33" s="1930">
        <f>CV33*CL33</f>
        <v/>
      </c>
      <c r="CX33" s="596" t="n"/>
      <c r="CY33" s="596">
        <f>IF(CO33&lt;=BQ$4,BP$4,IF(CO33&lt;=BQ$5,BP$5,IF(CO33&lt;=BQ$6,BP$6,IF(CO33&lt;=BQ$7,BP$7,IF(CO33&lt;=BQ$12,BP$12,IF(CO33&lt;=BQ$13,BP$13,IF(CO33&lt;=BQ$14,BP$14,0.05)))))))</f>
        <v/>
      </c>
      <c r="CZ33" s="1930">
        <f>CY33*CO33</f>
        <v/>
      </c>
      <c r="DA33" s="596" t="n"/>
      <c r="DB33" s="596">
        <f>IF(CR33&lt;=BT$4,BS$4,IF(CR33&lt;=BT$5,BS$5,IF(CR33&lt;=BT$6,BS$6,IF(CR33&lt;=BT$7,BS$7,IF(CR33&lt;=BT$12,BS$12,IF(CR33&lt;=BT$13,BS$13,IF(CR33&lt;=BT$14,BS$14,0.05)))))))</f>
        <v/>
      </c>
      <c r="DC33" s="1930">
        <f>DB33*SUM(CZ33,CW33,CR33)</f>
        <v/>
      </c>
      <c r="DD33" s="596" t="n"/>
      <c r="DE33" s="1931">
        <f>IF(CU33&lt;=BW$4,BV$4,IF(CU33&lt;=BW$5,BV$5,IF(CU33&lt;=BW$6,BV$6,IF(CU33&lt;=BW$7,BV$7,IF(CU33&lt;=BW$12,BV$12,IF(CU33&lt;=BW$13,BV$13,IF(CU33&lt;=BW$14,BV$14,0.05)))))))</f>
        <v/>
      </c>
      <c r="DF33" s="1930">
        <f>DE33*CU33</f>
        <v/>
      </c>
      <c r="DH33" s="1932">
        <f>0.07*SUM(CR33,CW33,CZ33,DC33,DF33)</f>
        <v/>
      </c>
      <c r="DJ33" s="1932">
        <f>SUM(DH33,DF33,DC33,CZ33,CW33,CR33)</f>
        <v/>
      </c>
      <c r="DK33" s="1933">
        <f>SUM(DF33,DC33,CZ33,CW33)</f>
        <v/>
      </c>
      <c r="DL33" s="596">
        <f>DK33/DJ33</f>
        <v/>
      </c>
    </row>
    <row r="34" customFormat="1" s="585">
      <c r="A34" s="647" t="n"/>
      <c r="B34" s="1941" t="n"/>
      <c r="C34" s="1944" t="n"/>
      <c r="D34" s="1962">
        <f>B34*C34</f>
        <v/>
      </c>
      <c r="E34" s="600" t="n"/>
      <c r="F34" s="600" t="n"/>
      <c r="G34" s="2007" t="n">
        <v>0</v>
      </c>
      <c r="H34" s="685" t="inlineStr">
        <is>
          <t>LF System 2</t>
        </is>
      </c>
      <c r="O34" s="686">
        <f>P34*O33</f>
        <v/>
      </c>
      <c r="P34" s="687" t="n"/>
      <c r="Q34" s="1874" t="inlineStr">
        <is>
          <t>Total Resin + Hardner</t>
        </is>
      </c>
      <c r="R34" s="1875" t="n"/>
      <c r="AV34" s="1930" t="n">
        <v>26000</v>
      </c>
      <c r="AW34" s="1930" t="n"/>
      <c r="AX34" s="1930" t="n"/>
      <c r="AY34" s="1930">
        <f>AV34</f>
        <v/>
      </c>
      <c r="AZ34" s="1930" t="n"/>
      <c r="BA34" s="1930" t="n"/>
      <c r="BB34" s="1930">
        <f>AV34+AY34</f>
        <v/>
      </c>
      <c r="BC34" s="1930" t="n"/>
      <c r="BD34" s="1930" t="n"/>
      <c r="BE34" s="1930">
        <f>BB34</f>
        <v/>
      </c>
      <c r="BF34" s="596">
        <f>IF(AV34&lt;=#REF!,#REF!,IF(AV34&lt;=#REF!,#REF!,IF(AV34&lt;=#REF!,#REF!,IF(AV34&lt;=#REF!,#REF!,IF(AV34&lt;=#REF!,#REF!,IF(AV34&lt;=#REF!,#REF!,IF(AV34&lt;=#REF!,#REF!,0.05)))))))</f>
        <v/>
      </c>
      <c r="BG34" s="1930">
        <f>BF34*AV34</f>
        <v/>
      </c>
      <c r="BH34" s="596" t="n"/>
      <c r="BI34" s="596">
        <f>IF(AY34&lt;=#REF!,#REF!,IF(AY34&lt;=#REF!,#REF!,IF(AY34&lt;=#REF!,#REF!,IF(AY34&lt;=#REF!,#REF!,IF(AY34&lt;=#REF!,#REF!,IF(AY34&lt;=#REF!,#REF!,IF(AY34&lt;=#REF!,#REF!,0.05)))))))</f>
        <v/>
      </c>
      <c r="BJ34" s="1930">
        <f>BI34*AY34</f>
        <v/>
      </c>
      <c r="BK34" s="596" t="n"/>
      <c r="BL34" s="596">
        <f>IF(BB34&lt;=#REF!,#REF!,IF(BB34&lt;=#REF!,#REF!,IF(BB34&lt;=#REF!,#REF!,IF(BB34&lt;=#REF!,#REF!,IF(BB34&lt;=#REF!,#REF!,IF(BB34&lt;=#REF!,#REF!,IF(BB34&lt;=#REF!,#REF!,0.05)))))))</f>
        <v/>
      </c>
      <c r="BM34" s="1930">
        <f>BL34*SUM(BJ34,BG34,BB34)</f>
        <v/>
      </c>
      <c r="BN34" s="596" t="n"/>
      <c r="BO34" s="1931">
        <f>IF(BE34&lt;=#REF!,#REF!,IF(BE34&lt;=#REF!,#REF!,IF(BE34&lt;=#REF!,#REF!,IF(BE34&lt;=#REF!,#REF!,IF(BE34&lt;=#REF!,#REF!,IF(BE34&lt;=#REF!,#REF!,IF(BE34&lt;=#REF!,#REF!,0.05)))))))</f>
        <v/>
      </c>
      <c r="BP34" s="1930">
        <f>BO34*BE34</f>
        <v/>
      </c>
      <c r="BR34" s="1932">
        <f>0.07*SUM(BB34,BG34,BJ34,BM34,BP34)</f>
        <v/>
      </c>
      <c r="BT34" s="1932">
        <f>SUM(BR34,BP34,BM34,BJ34,BG34,BB34)</f>
        <v/>
      </c>
      <c r="BU34" s="1933">
        <f>SUM(BP34,BM34,BJ34,BG34)</f>
        <v/>
      </c>
      <c r="BV34" s="596">
        <f>BU34/BT34</f>
        <v/>
      </c>
      <c r="CL34" s="1930" t="n">
        <v>26000</v>
      </c>
      <c r="CM34" s="1930" t="n"/>
      <c r="CN34" s="1930" t="n"/>
      <c r="CO34" s="1930">
        <f>CL34</f>
        <v/>
      </c>
      <c r="CP34" s="1930" t="n"/>
      <c r="CQ34" s="1930" t="n"/>
      <c r="CR34" s="1930">
        <f>CL34+CO34</f>
        <v/>
      </c>
      <c r="CS34" s="1930" t="n"/>
      <c r="CT34" s="1930" t="n"/>
      <c r="CU34" s="1930">
        <f>CR34</f>
        <v/>
      </c>
      <c r="CV34" s="596">
        <f>IF(CL34&lt;=BN$4,BM$4,IF(CL34&lt;=BN$5,BM$5,IF(CL34&lt;=BN$6,BM$6,IF(CL34&lt;=BN$7,BM$7,IF(CL34&lt;=BN$12,BM$12,IF(CL34&lt;=BN$13,BM$13,IF(CL34&lt;=BN$14,BM$14,0.05)))))))</f>
        <v/>
      </c>
      <c r="CW34" s="1930">
        <f>CV34*CL34</f>
        <v/>
      </c>
      <c r="CX34" s="596" t="n"/>
      <c r="CY34" s="596">
        <f>IF(CO34&lt;=BQ$4,BP$4,IF(CO34&lt;=BQ$5,BP$5,IF(CO34&lt;=BQ$6,BP$6,IF(CO34&lt;=BQ$7,BP$7,IF(CO34&lt;=BQ$12,BP$12,IF(CO34&lt;=BQ$13,BP$13,IF(CO34&lt;=BQ$14,BP$14,0.05)))))))</f>
        <v/>
      </c>
      <c r="CZ34" s="1930">
        <f>CY34*CO34</f>
        <v/>
      </c>
      <c r="DA34" s="596" t="n"/>
      <c r="DB34" s="596">
        <f>IF(CR34&lt;=BT$4,BS$4,IF(CR34&lt;=BT$5,BS$5,IF(CR34&lt;=BT$6,BS$6,IF(CR34&lt;=BT$7,BS$7,IF(CR34&lt;=BT$12,BS$12,IF(CR34&lt;=BT$13,BS$13,IF(CR34&lt;=BT$14,BS$14,0.05)))))))</f>
        <v/>
      </c>
      <c r="DC34" s="1930">
        <f>DB34*SUM(CZ34,CW34,CR34)</f>
        <v/>
      </c>
      <c r="DD34" s="596" t="n"/>
      <c r="DE34" s="1931">
        <f>IF(CU34&lt;=BW$4,BV$4,IF(CU34&lt;=BW$5,BV$5,IF(CU34&lt;=BW$6,BV$6,IF(CU34&lt;=BW$7,BV$7,IF(CU34&lt;=BW$12,BV$12,IF(CU34&lt;=BW$13,BV$13,IF(CU34&lt;=BW$14,BV$14,0.05)))))))</f>
        <v/>
      </c>
      <c r="DF34" s="1930">
        <f>DE34*CU34</f>
        <v/>
      </c>
      <c r="DH34" s="1932">
        <f>0.07*SUM(CR34,CW34,CZ34,DC34,DF34)</f>
        <v/>
      </c>
      <c r="DJ34" s="1932">
        <f>SUM(DH34,DF34,DC34,CZ34,CW34,CR34)</f>
        <v/>
      </c>
      <c r="DK34" s="1933">
        <f>SUM(DF34,DC34,CZ34,CW34)</f>
        <v/>
      </c>
      <c r="DL34" s="596">
        <f>DK34/DJ34</f>
        <v/>
      </c>
    </row>
    <row r="35" customFormat="1" s="585">
      <c r="A35" s="647" t="n"/>
      <c r="B35" s="1941" t="n"/>
      <c r="C35" s="1944" t="n"/>
      <c r="D35" s="1962">
        <f>B35*C35</f>
        <v/>
      </c>
      <c r="E35" s="600" t="n"/>
      <c r="F35" s="600" t="n"/>
      <c r="G35" s="600" t="n"/>
      <c r="H35" s="600" t="n"/>
      <c r="K35" s="1091" t="inlineStr">
        <is>
          <t>divided SF</t>
        </is>
      </c>
      <c r="L35" s="1982">
        <f>$B$42/M35</f>
        <v/>
      </c>
      <c r="M35" s="1983" t="n">
        <v>6</v>
      </c>
      <c r="N35" s="1094" t="inlineStr">
        <is>
          <t># divided by</t>
        </is>
      </c>
      <c r="O35" s="686">
        <f>P35*O33</f>
        <v/>
      </c>
      <c r="P35" s="687" t="n"/>
      <c r="Q35" s="1874" t="inlineStr">
        <is>
          <t>Total Aggregate</t>
        </is>
      </c>
      <c r="R35" s="1875" t="n"/>
      <c r="AV35" s="1930" t="n">
        <v>27000</v>
      </c>
      <c r="AW35" s="1930" t="n"/>
      <c r="AX35" s="1930" t="n"/>
      <c r="AY35" s="1930">
        <f>AV35</f>
        <v/>
      </c>
      <c r="AZ35" s="1930" t="n"/>
      <c r="BA35" s="1930" t="n"/>
      <c r="BB35" s="1930">
        <f>AV35+AY35</f>
        <v/>
      </c>
      <c r="BC35" s="1930" t="n"/>
      <c r="BD35" s="1930" t="n"/>
      <c r="BE35" s="1930">
        <f>BB35</f>
        <v/>
      </c>
      <c r="BF35" s="596">
        <f>IF(AV35&lt;=#REF!,#REF!,IF(AV35&lt;=#REF!,#REF!,IF(AV35&lt;=#REF!,#REF!,IF(AV35&lt;=#REF!,#REF!,IF(AV35&lt;=#REF!,#REF!,IF(AV35&lt;=#REF!,#REF!,IF(AV35&lt;=#REF!,#REF!,0.05)))))))</f>
        <v/>
      </c>
      <c r="BG35" s="1930">
        <f>BF35*AV35</f>
        <v/>
      </c>
      <c r="BH35" s="596" t="n"/>
      <c r="BI35" s="596">
        <f>IF(AY35&lt;=#REF!,#REF!,IF(AY35&lt;=#REF!,#REF!,IF(AY35&lt;=#REF!,#REF!,IF(AY35&lt;=#REF!,#REF!,IF(AY35&lt;=#REF!,#REF!,IF(AY35&lt;=#REF!,#REF!,IF(AY35&lt;=#REF!,#REF!,0.05)))))))</f>
        <v/>
      </c>
      <c r="BJ35" s="1930">
        <f>BI35*AY35</f>
        <v/>
      </c>
      <c r="BK35" s="596" t="n"/>
      <c r="BL35" s="596">
        <f>IF(BB35&lt;=#REF!,#REF!,IF(BB35&lt;=#REF!,#REF!,IF(BB35&lt;=#REF!,#REF!,IF(BB35&lt;=#REF!,#REF!,IF(BB35&lt;=#REF!,#REF!,IF(BB35&lt;=#REF!,#REF!,IF(BB35&lt;=#REF!,#REF!,0.05)))))))</f>
        <v/>
      </c>
      <c r="BM35" s="1930">
        <f>BL35*SUM(BJ35,BG35,BB35)</f>
        <v/>
      </c>
      <c r="BN35" s="596" t="n"/>
      <c r="BO35" s="1931">
        <f>IF(BE35&lt;=#REF!,#REF!,IF(BE35&lt;=#REF!,#REF!,IF(BE35&lt;=#REF!,#REF!,IF(BE35&lt;=#REF!,#REF!,IF(BE35&lt;=#REF!,#REF!,IF(BE35&lt;=#REF!,#REF!,IF(BE35&lt;=#REF!,#REF!,0.05)))))))</f>
        <v/>
      </c>
      <c r="BP35" s="1930">
        <f>BO35*BE35</f>
        <v/>
      </c>
      <c r="BR35" s="1932">
        <f>0.07*SUM(BB35,BG35,BJ35,BM35,BP35)</f>
        <v/>
      </c>
      <c r="BT35" s="1932">
        <f>SUM(BR35,BP35,BM35,BJ35,BG35,BB35)</f>
        <v/>
      </c>
      <c r="BU35" s="1933">
        <f>SUM(BP35,BM35,BJ35,BG35)</f>
        <v/>
      </c>
      <c r="BV35" s="596">
        <f>BU35/BT35</f>
        <v/>
      </c>
      <c r="CL35" s="1930" t="n">
        <v>27000</v>
      </c>
      <c r="CM35" s="1930" t="n"/>
      <c r="CN35" s="1930" t="n"/>
      <c r="CO35" s="1930">
        <f>CL35</f>
        <v/>
      </c>
      <c r="CP35" s="1930" t="n"/>
      <c r="CQ35" s="1930" t="n"/>
      <c r="CR35" s="1930">
        <f>CL35+CO35</f>
        <v/>
      </c>
      <c r="CS35" s="1930" t="n"/>
      <c r="CT35" s="1930" t="n"/>
      <c r="CU35" s="1930">
        <f>CR35</f>
        <v/>
      </c>
      <c r="CV35" s="596">
        <f>IF(CL35&lt;=BN$4,BM$4,IF(CL35&lt;=BN$5,BM$5,IF(CL35&lt;=BN$6,BM$6,IF(CL35&lt;=BN$7,BM$7,IF(CL35&lt;=BN$12,BM$12,IF(CL35&lt;=BN$13,BM$13,IF(CL35&lt;=BN$14,BM$14,0.05)))))))</f>
        <v/>
      </c>
      <c r="CW35" s="1930">
        <f>CV35*CL35</f>
        <v/>
      </c>
      <c r="CX35" s="596" t="n"/>
      <c r="CY35" s="596">
        <f>IF(CO35&lt;=BQ$4,BP$4,IF(CO35&lt;=BQ$5,BP$5,IF(CO35&lt;=BQ$6,BP$6,IF(CO35&lt;=BQ$7,BP$7,IF(CO35&lt;=BQ$12,BP$12,IF(CO35&lt;=BQ$13,BP$13,IF(CO35&lt;=BQ$14,BP$14,0.05)))))))</f>
        <v/>
      </c>
      <c r="CZ35" s="1930">
        <f>CY35*CO35</f>
        <v/>
      </c>
      <c r="DA35" s="596" t="n"/>
      <c r="DB35" s="596">
        <f>IF(CR35&lt;=BT$4,BS$4,IF(CR35&lt;=BT$5,BS$5,IF(CR35&lt;=BT$6,BS$6,IF(CR35&lt;=BT$7,BS$7,IF(CR35&lt;=BT$12,BS$12,IF(CR35&lt;=BT$13,BS$13,IF(CR35&lt;=BT$14,BS$14,0.05)))))))</f>
        <v/>
      </c>
      <c r="DC35" s="1930">
        <f>DB35*SUM(CZ35,CW35,CR35)</f>
        <v/>
      </c>
      <c r="DD35" s="596" t="n"/>
      <c r="DE35" s="1931">
        <f>IF(CU35&lt;=BW$4,BV$4,IF(CU35&lt;=BW$5,BV$5,IF(CU35&lt;=BW$6,BV$6,IF(CU35&lt;=BW$7,BV$7,IF(CU35&lt;=BW$12,BV$12,IF(CU35&lt;=BW$13,BV$13,IF(CU35&lt;=BW$14,BV$14,0.05)))))))</f>
        <v/>
      </c>
      <c r="DF35" s="1930">
        <f>DE35*CU35</f>
        <v/>
      </c>
      <c r="DH35" s="1932">
        <f>0.07*SUM(CR35,CW35,CZ35,DC35,DF35)</f>
        <v/>
      </c>
      <c r="DJ35" s="1932">
        <f>SUM(DH35,DF35,DC35,CZ35,CW35,CR35)</f>
        <v/>
      </c>
      <c r="DK35" s="1933">
        <f>SUM(DF35,DC35,CZ35,CW35)</f>
        <v/>
      </c>
      <c r="DL35" s="596">
        <f>DK35/DJ35</f>
        <v/>
      </c>
    </row>
    <row r="36" customFormat="1" s="585">
      <c r="A36" s="688" t="n"/>
      <c r="B36" s="1984" t="n"/>
      <c r="C36" s="1985" t="n"/>
      <c r="D36" s="1986">
        <f>B36*C36</f>
        <v/>
      </c>
      <c r="E36" s="600" t="n"/>
      <c r="F36" s="600" t="n"/>
      <c r="G36" s="600" t="n"/>
      <c r="H36" s="600" t="n"/>
      <c r="K36" s="1091" t="inlineStr">
        <is>
          <t>divided SF</t>
        </is>
      </c>
      <c r="L36" s="1982">
        <f>$B$42/M36</f>
        <v/>
      </c>
      <c r="M36" s="1983" t="n">
        <v>5</v>
      </c>
      <c r="N36" s="1094" t="inlineStr">
        <is>
          <t># divided by</t>
        </is>
      </c>
      <c r="O36" s="686">
        <f>P36*O33</f>
        <v/>
      </c>
      <c r="P36" s="687" t="n"/>
      <c r="Q36" s="1980" t="inlineStr">
        <is>
          <t>WR</t>
        </is>
      </c>
      <c r="R36" s="699" t="n"/>
      <c r="AV36" s="1930" t="n">
        <v>28000</v>
      </c>
      <c r="AW36" s="1930" t="n"/>
      <c r="AX36" s="1930" t="n"/>
      <c r="AY36" s="1930">
        <f>AV36</f>
        <v/>
      </c>
      <c r="AZ36" s="1930" t="n"/>
      <c r="BA36" s="1930" t="n"/>
      <c r="BB36" s="1930">
        <f>AV36+AY36</f>
        <v/>
      </c>
      <c r="BC36" s="1930" t="n"/>
      <c r="BD36" s="1930" t="n"/>
      <c r="BE36" s="1930">
        <f>BB36</f>
        <v/>
      </c>
      <c r="BF36" s="596">
        <f>IF(AV36&lt;=#REF!,#REF!,IF(AV36&lt;=#REF!,#REF!,IF(AV36&lt;=#REF!,#REF!,IF(AV36&lt;=#REF!,#REF!,IF(AV36&lt;=#REF!,#REF!,IF(AV36&lt;=#REF!,#REF!,IF(AV36&lt;=#REF!,#REF!,0.05)))))))</f>
        <v/>
      </c>
      <c r="BG36" s="1930">
        <f>BF36*AV36</f>
        <v/>
      </c>
      <c r="BH36" s="596" t="n"/>
      <c r="BI36" s="596">
        <f>IF(AY36&lt;=#REF!,#REF!,IF(AY36&lt;=#REF!,#REF!,IF(AY36&lt;=#REF!,#REF!,IF(AY36&lt;=#REF!,#REF!,IF(AY36&lt;=#REF!,#REF!,IF(AY36&lt;=#REF!,#REF!,IF(AY36&lt;=#REF!,#REF!,0.05)))))))</f>
        <v/>
      </c>
      <c r="BJ36" s="1930">
        <f>BI36*AY36</f>
        <v/>
      </c>
      <c r="BK36" s="596" t="n"/>
      <c r="BL36" s="596">
        <f>IF(BB36&lt;=#REF!,#REF!,IF(BB36&lt;=#REF!,#REF!,IF(BB36&lt;=#REF!,#REF!,IF(BB36&lt;=#REF!,#REF!,IF(BB36&lt;=#REF!,#REF!,IF(BB36&lt;=#REF!,#REF!,IF(BB36&lt;=#REF!,#REF!,0.05)))))))</f>
        <v/>
      </c>
      <c r="BM36" s="1930">
        <f>BL36*SUM(BJ36,BG36,BB36)</f>
        <v/>
      </c>
      <c r="BN36" s="596" t="n"/>
      <c r="BO36" s="1931">
        <f>IF(BE36&lt;=#REF!,#REF!,IF(BE36&lt;=#REF!,#REF!,IF(BE36&lt;=#REF!,#REF!,IF(BE36&lt;=#REF!,#REF!,IF(BE36&lt;=#REF!,#REF!,IF(BE36&lt;=#REF!,#REF!,IF(BE36&lt;=#REF!,#REF!,0.05)))))))</f>
        <v/>
      </c>
      <c r="BP36" s="1930">
        <f>BO36*BE36</f>
        <v/>
      </c>
      <c r="BR36" s="1932">
        <f>0.07*SUM(BB36,BG36,BJ36,BM36,BP36)</f>
        <v/>
      </c>
      <c r="BT36" s="1932">
        <f>SUM(BR36,BP36,BM36,BJ36,BG36,BB36)</f>
        <v/>
      </c>
      <c r="BU36" s="1933">
        <f>SUM(BP36,BM36,BJ36,BG36)</f>
        <v/>
      </c>
      <c r="BV36" s="596">
        <f>BU36/BT36</f>
        <v/>
      </c>
      <c r="CL36" s="1930" t="n">
        <v>28000</v>
      </c>
      <c r="CM36" s="1930" t="n"/>
      <c r="CN36" s="1930" t="n"/>
      <c r="CO36" s="1930">
        <f>CL36</f>
        <v/>
      </c>
      <c r="CP36" s="1930" t="n"/>
      <c r="CQ36" s="1930" t="n"/>
      <c r="CR36" s="1930">
        <f>CL36+CO36</f>
        <v/>
      </c>
      <c r="CS36" s="1930" t="n"/>
      <c r="CT36" s="1930" t="n"/>
      <c r="CU36" s="1930">
        <f>CR36</f>
        <v/>
      </c>
      <c r="CV36" s="596">
        <f>IF(CL36&lt;=BN$4,BM$4,IF(CL36&lt;=BN$5,BM$5,IF(CL36&lt;=BN$6,BM$6,IF(CL36&lt;=BN$7,BM$7,IF(CL36&lt;=BN$12,BM$12,IF(CL36&lt;=BN$13,BM$13,IF(CL36&lt;=BN$14,BM$14,0.05)))))))</f>
        <v/>
      </c>
      <c r="CW36" s="1930">
        <f>CV36*CL36</f>
        <v/>
      </c>
      <c r="CX36" s="596" t="n"/>
      <c r="CY36" s="596">
        <f>IF(CO36&lt;=BQ$4,BP$4,IF(CO36&lt;=BQ$5,BP$5,IF(CO36&lt;=BQ$6,BP$6,IF(CO36&lt;=BQ$7,BP$7,IF(CO36&lt;=BQ$12,BP$12,IF(CO36&lt;=BQ$13,BP$13,IF(CO36&lt;=BQ$14,BP$14,0.05)))))))</f>
        <v/>
      </c>
      <c r="CZ36" s="1930">
        <f>CY36*CO36</f>
        <v/>
      </c>
      <c r="DA36" s="596" t="n"/>
      <c r="DB36" s="596">
        <f>IF(CR36&lt;=BT$4,BS$4,IF(CR36&lt;=BT$5,BS$5,IF(CR36&lt;=BT$6,BS$6,IF(CR36&lt;=BT$7,BS$7,IF(CR36&lt;=BT$12,BS$12,IF(CR36&lt;=BT$13,BS$13,IF(CR36&lt;=BT$14,BS$14,0.05)))))))</f>
        <v/>
      </c>
      <c r="DC36" s="1930">
        <f>DB36*SUM(CZ36,CW36,CR36)</f>
        <v/>
      </c>
      <c r="DD36" s="596" t="n"/>
      <c r="DE36" s="1931">
        <f>IF(CU36&lt;=BW$4,BV$4,IF(CU36&lt;=BW$5,BV$5,IF(CU36&lt;=BW$6,BV$6,IF(CU36&lt;=BW$7,BV$7,IF(CU36&lt;=BW$12,BV$12,IF(CU36&lt;=BW$13,BV$13,IF(CU36&lt;=BW$14,BV$14,0.05)))))))</f>
        <v/>
      </c>
      <c r="DF36" s="1930">
        <f>DE36*CU36</f>
        <v/>
      </c>
      <c r="DH36" s="1932">
        <f>0.07*SUM(CR36,CW36,CZ36,DC36,DF36)</f>
        <v/>
      </c>
      <c r="DJ36" s="1932">
        <f>SUM(DH36,DF36,DC36,CZ36,CW36,CR36)</f>
        <v/>
      </c>
      <c r="DK36" s="1933">
        <f>SUM(DF36,DC36,CZ36,CW36)</f>
        <v/>
      </c>
      <c r="DL36" s="596">
        <f>DK36/DJ36</f>
        <v/>
      </c>
    </row>
    <row r="37" ht="16.05" customFormat="1" customHeight="1" s="585">
      <c r="A37" s="1783" t="inlineStr">
        <is>
          <t>Material Sub Total</t>
        </is>
      </c>
      <c r="B37" s="1533" t="n"/>
      <c r="C37" s="2166" t="n"/>
      <c r="D37" s="1987">
        <f>ROUNDUP(SUM(D18:D36),0)</f>
        <v/>
      </c>
      <c r="E37" s="1826" t="inlineStr">
        <is>
          <t>+6% $ Price for SW 5/1/2026 ?</t>
        </is>
      </c>
      <c r="F37" s="1772" t="n"/>
      <c r="G37" s="1829" t="inlineStr">
        <is>
          <t>and Torginol +6%</t>
        </is>
      </c>
      <c r="H37" s="600" t="n"/>
      <c r="K37" s="1091" t="inlineStr">
        <is>
          <t>divided SF</t>
        </is>
      </c>
      <c r="L37" s="1982">
        <f>$B$42/M37</f>
        <v/>
      </c>
      <c r="M37" s="1983" t="n">
        <v>4</v>
      </c>
      <c r="N37" s="1094" t="inlineStr">
        <is>
          <t># divided by</t>
        </is>
      </c>
      <c r="AV37" s="1930" t="n">
        <v>29000</v>
      </c>
      <c r="AW37" s="1930" t="n"/>
      <c r="AX37" s="1930" t="n"/>
      <c r="AY37" s="1930">
        <f>AV37</f>
        <v/>
      </c>
      <c r="AZ37" s="1930" t="n"/>
      <c r="BA37" s="1930" t="n"/>
      <c r="BB37" s="1930">
        <f>AV37+AY37</f>
        <v/>
      </c>
      <c r="BC37" s="1930" t="n"/>
      <c r="BD37" s="1930" t="n"/>
      <c r="BE37" s="1930">
        <f>BB37</f>
        <v/>
      </c>
      <c r="BF37" s="596">
        <f>IF(AV37&lt;=#REF!,#REF!,IF(AV37&lt;=#REF!,#REF!,IF(AV37&lt;=#REF!,#REF!,IF(AV37&lt;=#REF!,#REF!,IF(AV37&lt;=#REF!,#REF!,IF(AV37&lt;=#REF!,#REF!,IF(AV37&lt;=#REF!,#REF!,0.05)))))))</f>
        <v/>
      </c>
      <c r="BG37" s="1930">
        <f>BF37*AV37</f>
        <v/>
      </c>
      <c r="BH37" s="596" t="n"/>
      <c r="BI37" s="596">
        <f>IF(AY37&lt;=#REF!,#REF!,IF(AY37&lt;=#REF!,#REF!,IF(AY37&lt;=#REF!,#REF!,IF(AY37&lt;=#REF!,#REF!,IF(AY37&lt;=#REF!,#REF!,IF(AY37&lt;=#REF!,#REF!,IF(AY37&lt;=#REF!,#REF!,0.05)))))))</f>
        <v/>
      </c>
      <c r="BJ37" s="1930">
        <f>BI37*AY37</f>
        <v/>
      </c>
      <c r="BK37" s="596" t="n"/>
      <c r="BL37" s="596">
        <f>IF(BB37&lt;=#REF!,#REF!,IF(BB37&lt;=#REF!,#REF!,IF(BB37&lt;=#REF!,#REF!,IF(BB37&lt;=#REF!,#REF!,IF(BB37&lt;=#REF!,#REF!,IF(BB37&lt;=#REF!,#REF!,IF(BB37&lt;=#REF!,#REF!,0.05)))))))</f>
        <v/>
      </c>
      <c r="BM37" s="1930">
        <f>BL37*SUM(BJ37,BG37,BB37)</f>
        <v/>
      </c>
      <c r="BN37" s="596" t="n"/>
      <c r="BO37" s="1931">
        <f>IF(BE37&lt;=#REF!,#REF!,IF(BE37&lt;=#REF!,#REF!,IF(BE37&lt;=#REF!,#REF!,IF(BE37&lt;=#REF!,#REF!,IF(BE37&lt;=#REF!,#REF!,IF(BE37&lt;=#REF!,#REF!,IF(BE37&lt;=#REF!,#REF!,0.05)))))))</f>
        <v/>
      </c>
      <c r="BP37" s="1930">
        <f>BO37*BE37</f>
        <v/>
      </c>
      <c r="BR37" s="1932">
        <f>0.07*SUM(BB37,BG37,BJ37,BM37,BP37)</f>
        <v/>
      </c>
      <c r="BT37" s="1932">
        <f>SUM(BR37,BP37,BM37,BJ37,BG37,BB37)</f>
        <v/>
      </c>
      <c r="BU37" s="1933">
        <f>SUM(BP37,BM37,BJ37,BG37)</f>
        <v/>
      </c>
      <c r="BV37" s="596">
        <f>BU37/BT37</f>
        <v/>
      </c>
      <c r="CL37" s="1930" t="n">
        <v>29000</v>
      </c>
      <c r="CM37" s="1930" t="n"/>
      <c r="CN37" s="1930" t="n"/>
      <c r="CO37" s="1930">
        <f>CL37</f>
        <v/>
      </c>
      <c r="CP37" s="1930" t="n"/>
      <c r="CQ37" s="1930" t="n"/>
      <c r="CR37" s="1930">
        <f>CL37+CO37</f>
        <v/>
      </c>
      <c r="CS37" s="1930" t="n"/>
      <c r="CT37" s="1930" t="n"/>
      <c r="CU37" s="1930">
        <f>CR37</f>
        <v/>
      </c>
      <c r="CV37" s="596">
        <f>IF(CL37&lt;=BN$4,BM$4,IF(CL37&lt;=BN$5,BM$5,IF(CL37&lt;=BN$6,BM$6,IF(CL37&lt;=BN$7,BM$7,IF(CL37&lt;=BN$12,BM$12,IF(CL37&lt;=BN$13,BM$13,IF(CL37&lt;=BN$14,BM$14,0.05)))))))</f>
        <v/>
      </c>
      <c r="CW37" s="1930">
        <f>CV37*CL37</f>
        <v/>
      </c>
      <c r="CX37" s="596" t="n"/>
      <c r="CY37" s="596">
        <f>IF(CO37&lt;=BQ$4,BP$4,IF(CO37&lt;=BQ$5,BP$5,IF(CO37&lt;=BQ$6,BP$6,IF(CO37&lt;=BQ$7,BP$7,IF(CO37&lt;=BQ$12,BP$12,IF(CO37&lt;=BQ$13,BP$13,IF(CO37&lt;=BQ$14,BP$14,0.05)))))))</f>
        <v/>
      </c>
      <c r="CZ37" s="1930">
        <f>CY37*CO37</f>
        <v/>
      </c>
      <c r="DA37" s="596" t="n"/>
      <c r="DB37" s="596">
        <f>IF(CR37&lt;=BT$4,BS$4,IF(CR37&lt;=BT$5,BS$5,IF(CR37&lt;=BT$6,BS$6,IF(CR37&lt;=BT$7,BS$7,IF(CR37&lt;=BT$12,BS$12,IF(CR37&lt;=BT$13,BS$13,IF(CR37&lt;=BT$14,BS$14,0.05)))))))</f>
        <v/>
      </c>
      <c r="DC37" s="1930">
        <f>DB37*SUM(CZ37,CW37,CR37)</f>
        <v/>
      </c>
      <c r="DD37" s="596" t="n"/>
      <c r="DE37" s="1931">
        <f>IF(CU37&lt;=BW$4,BV$4,IF(CU37&lt;=BW$5,BV$5,IF(CU37&lt;=BW$6,BV$6,IF(CU37&lt;=BW$7,BV$7,IF(CU37&lt;=BW$12,BV$12,IF(CU37&lt;=BW$13,BV$13,IF(CU37&lt;=BW$14,BV$14,0.05)))))))</f>
        <v/>
      </c>
      <c r="DF37" s="1930">
        <f>DE37*CU37</f>
        <v/>
      </c>
      <c r="DH37" s="1932">
        <f>0.07*SUM(CR37,CW37,CZ37,DC37,DF37)</f>
        <v/>
      </c>
      <c r="DJ37" s="1932">
        <f>SUM(DH37,DF37,DC37,CZ37,CW37,CR37)</f>
        <v/>
      </c>
      <c r="DK37" s="1933">
        <f>SUM(DF37,DC37,CZ37,CW37)</f>
        <v/>
      </c>
      <c r="DL37" s="596">
        <f>DK37/DJ37</f>
        <v/>
      </c>
    </row>
    <row r="38" customFormat="1" s="585">
      <c r="A38" s="693" t="inlineStr">
        <is>
          <t>Discount / Overage</t>
        </is>
      </c>
      <c r="B38" s="1824" t="n">
        <v>0.06</v>
      </c>
      <c r="C38" s="2368" t="inlineStr">
        <is>
          <t>includes ---&gt;</t>
        </is>
      </c>
      <c r="D38" s="2369">
        <f>ROUNDUP(SUM(D18:D20,D21:D28,D29:D32,D33:D36)*B38,0)</f>
        <v/>
      </c>
      <c r="E38" s="697" t="inlineStr">
        <is>
          <t>Material Discount? *update cells*</t>
        </is>
      </c>
      <c r="F38" s="1776" t="n"/>
      <c r="G38" s="698">
        <f>IF(H38="15%","Request Discount:",IF(H38="20%","Request Discount:",IF(H38="25%","Request Discount:")))</f>
        <v/>
      </c>
      <c r="H38" s="699">
        <f>IF(D37&gt;=100000,"25%",IF(D37&gt;=30000,"20%",IF(D37&gt;=10000,"15%")))</f>
        <v/>
      </c>
      <c r="J38" s="700" t="n"/>
      <c r="K38" s="1091" t="inlineStr">
        <is>
          <t>divided SF</t>
        </is>
      </c>
      <c r="L38" s="1982">
        <f>$B$42/M38</f>
        <v/>
      </c>
      <c r="M38" s="1983" t="n">
        <v>3</v>
      </c>
      <c r="N38" s="1094" t="inlineStr">
        <is>
          <t># divided by</t>
        </is>
      </c>
      <c r="O38" s="1982">
        <f>O40/M38</f>
        <v/>
      </c>
      <c r="AV38" s="1930" t="n">
        <v>30000</v>
      </c>
      <c r="AW38" s="1930" t="n"/>
      <c r="AX38" s="1930" t="n"/>
      <c r="AY38" s="1930">
        <f>AV38</f>
        <v/>
      </c>
      <c r="AZ38" s="1930" t="n"/>
      <c r="BA38" s="1930" t="n"/>
      <c r="BB38" s="1930">
        <f>AV38+AY38</f>
        <v/>
      </c>
      <c r="BC38" s="1930" t="n"/>
      <c r="BD38" s="1930" t="n"/>
      <c r="BE38" s="1930">
        <f>BB38</f>
        <v/>
      </c>
      <c r="BF38" s="596">
        <f>IF(AV38&lt;=#REF!,#REF!,IF(AV38&lt;=#REF!,#REF!,IF(AV38&lt;=#REF!,#REF!,IF(AV38&lt;=#REF!,#REF!,IF(AV38&lt;=#REF!,#REF!,IF(AV38&lt;=#REF!,#REF!,IF(AV38&lt;=#REF!,#REF!,0.05)))))))</f>
        <v/>
      </c>
      <c r="BG38" s="1930">
        <f>BF38*AV38</f>
        <v/>
      </c>
      <c r="BH38" s="596" t="n"/>
      <c r="BI38" s="596">
        <f>IF(AY38&lt;=#REF!,#REF!,IF(AY38&lt;=#REF!,#REF!,IF(AY38&lt;=#REF!,#REF!,IF(AY38&lt;=#REF!,#REF!,IF(AY38&lt;=#REF!,#REF!,IF(AY38&lt;=#REF!,#REF!,IF(AY38&lt;=#REF!,#REF!,0.05)))))))</f>
        <v/>
      </c>
      <c r="BJ38" s="1930">
        <f>BI38*AY38</f>
        <v/>
      </c>
      <c r="BK38" s="596" t="n"/>
      <c r="BL38" s="596">
        <f>IF(BB38&lt;=#REF!,#REF!,IF(BB38&lt;=#REF!,#REF!,IF(BB38&lt;=#REF!,#REF!,IF(BB38&lt;=#REF!,#REF!,IF(BB38&lt;=#REF!,#REF!,IF(BB38&lt;=#REF!,#REF!,IF(BB38&lt;=#REF!,#REF!,0.05)))))))</f>
        <v/>
      </c>
      <c r="BM38" s="1930">
        <f>BL38*SUM(BJ38,BG38,BB38)</f>
        <v/>
      </c>
      <c r="BN38" s="596" t="n"/>
      <c r="BO38" s="1931">
        <f>IF(BE38&lt;=#REF!,#REF!,IF(BE38&lt;=#REF!,#REF!,IF(BE38&lt;=#REF!,#REF!,IF(BE38&lt;=#REF!,#REF!,IF(BE38&lt;=#REF!,#REF!,IF(BE38&lt;=#REF!,#REF!,IF(BE38&lt;=#REF!,#REF!,0.05)))))))</f>
        <v/>
      </c>
      <c r="BP38" s="1930">
        <f>BO38*BE38</f>
        <v/>
      </c>
      <c r="BR38" s="1932">
        <f>0.07*SUM(BB38,BG38,BJ38,BM38,BP38)</f>
        <v/>
      </c>
      <c r="BT38" s="1932">
        <f>SUM(BR38,BP38,BM38,BJ38,BG38,BB38)</f>
        <v/>
      </c>
      <c r="BU38" s="1933">
        <f>SUM(BP38,BM38,BJ38,BG38)</f>
        <v/>
      </c>
      <c r="BV38" s="596">
        <f>BU38/BT38</f>
        <v/>
      </c>
      <c r="CL38" s="1930" t="n">
        <v>30000</v>
      </c>
      <c r="CM38" s="1930" t="n"/>
      <c r="CN38" s="1930" t="n"/>
      <c r="CO38" s="1930">
        <f>CL38</f>
        <v/>
      </c>
      <c r="CP38" s="1930" t="n"/>
      <c r="CQ38" s="1930" t="n"/>
      <c r="CR38" s="1930">
        <f>CL38+CO38</f>
        <v/>
      </c>
      <c r="CS38" s="1930" t="n"/>
      <c r="CT38" s="1930" t="n"/>
      <c r="CU38" s="1930">
        <f>CR38</f>
        <v/>
      </c>
      <c r="CV38" s="596">
        <f>IF(CL38&lt;=BN$4,BM$4,IF(CL38&lt;=BN$5,BM$5,IF(CL38&lt;=BN$6,BM$6,IF(CL38&lt;=BN$7,BM$7,IF(CL38&lt;=BN$12,BM$12,IF(CL38&lt;=BN$13,BM$13,IF(CL38&lt;=BN$14,BM$14,0.05)))))))</f>
        <v/>
      </c>
      <c r="CW38" s="1930">
        <f>CV38*CL38</f>
        <v/>
      </c>
      <c r="CX38" s="596" t="n"/>
      <c r="CY38" s="596">
        <f>IF(CO38&lt;=BQ$4,BP$4,IF(CO38&lt;=BQ$5,BP$5,IF(CO38&lt;=BQ$6,BP$6,IF(CO38&lt;=BQ$7,BP$7,IF(CO38&lt;=BQ$12,BP$12,IF(CO38&lt;=BQ$13,BP$13,IF(CO38&lt;=BQ$14,BP$14,0.05)))))))</f>
        <v/>
      </c>
      <c r="CZ38" s="1930">
        <f>CY38*CO38</f>
        <v/>
      </c>
      <c r="DA38" s="596" t="n"/>
      <c r="DB38" s="596">
        <f>IF(CR38&lt;=BT$4,BS$4,IF(CR38&lt;=BT$5,BS$5,IF(CR38&lt;=BT$6,BS$6,IF(CR38&lt;=BT$7,BS$7,IF(CR38&lt;=BT$12,BS$12,IF(CR38&lt;=BT$13,BS$13,IF(CR38&lt;=BT$14,BS$14,0.05)))))))</f>
        <v/>
      </c>
      <c r="DC38" s="1930">
        <f>DB38*SUM(CZ38,CW38,CR38)</f>
        <v/>
      </c>
      <c r="DD38" s="596" t="n"/>
      <c r="DE38" s="1931">
        <f>IF(CU38&lt;=BW$4,BV$4,IF(CU38&lt;=BW$5,BV$5,IF(CU38&lt;=BW$6,BV$6,IF(CU38&lt;=BW$7,BV$7,IF(CU38&lt;=BW$12,BV$12,IF(CU38&lt;=BW$13,BV$13,IF(CU38&lt;=BW$14,BV$14,0.05)))))))</f>
        <v/>
      </c>
      <c r="DF38" s="1930">
        <f>DE38*CU38</f>
        <v/>
      </c>
      <c r="DH38" s="1932">
        <f>0.07*SUM(CR38,CW38,CZ38,DC38,DF38)</f>
        <v/>
      </c>
      <c r="DJ38" s="1932">
        <f>SUM(DH38,DF38,DC38,CZ38,CW38,CR38)</f>
        <v/>
      </c>
      <c r="DK38" s="1933">
        <f>SUM(DF38,DC38,CZ38,CW38)</f>
        <v/>
      </c>
      <c r="DL38" s="596">
        <f>DK38/DJ38</f>
        <v/>
      </c>
    </row>
    <row r="39" customFormat="1" s="585">
      <c r="A39" s="701" t="inlineStr">
        <is>
          <t>Shipping + Matr'l Escln</t>
        </is>
      </c>
      <c r="B39" s="900">
        <f>(0.05+IF(D37&lt;=5000,0.1,IF(D37&lt;=10000,0.06,0.04)))</f>
        <v/>
      </c>
      <c r="C39" s="1989" t="n"/>
      <c r="D39" s="2168">
        <f>ROUNDUP(D37*B39,0)</f>
        <v/>
      </c>
      <c r="E39" s="600" t="n"/>
      <c r="G39" s="705" t="n"/>
      <c r="H39" s="706" t="inlineStr">
        <is>
          <t>Material Budget</t>
        </is>
      </c>
      <c r="I39" s="707" t="n"/>
      <c r="K39" s="1091" t="inlineStr">
        <is>
          <t>divided SF</t>
        </is>
      </c>
      <c r="L39" s="1982">
        <f>$B$42/M39</f>
        <v/>
      </c>
      <c r="M39" s="1983" t="n">
        <v>2</v>
      </c>
      <c r="N39" s="1094" t="inlineStr">
        <is>
          <t># divided by</t>
        </is>
      </c>
      <c r="O39" s="1982">
        <f>O40/M39</f>
        <v/>
      </c>
      <c r="AA39" s="1477" t="inlineStr">
        <is>
          <t>MACRO Single Flake</t>
        </is>
      </c>
      <c r="AV39" s="1930" t="n">
        <v>31000</v>
      </c>
      <c r="AW39" s="1930" t="n"/>
      <c r="AX39" s="1930" t="n"/>
      <c r="AY39" s="1930">
        <f>AV39</f>
        <v/>
      </c>
      <c r="AZ39" s="1930" t="n"/>
      <c r="BA39" s="1930" t="n"/>
      <c r="BB39" s="1930">
        <f>AV39+AY39</f>
        <v/>
      </c>
      <c r="BC39" s="1930" t="n"/>
      <c r="BD39" s="1930" t="n"/>
      <c r="BE39" s="1930">
        <f>BB39</f>
        <v/>
      </c>
      <c r="BF39" s="596">
        <f>IF(AV39&lt;=#REF!,#REF!,IF(AV39&lt;=#REF!,#REF!,IF(AV39&lt;=#REF!,#REF!,IF(AV39&lt;=#REF!,#REF!,IF(AV39&lt;=#REF!,#REF!,IF(AV39&lt;=#REF!,#REF!,IF(AV39&lt;=#REF!,#REF!,0.05)))))))</f>
        <v/>
      </c>
      <c r="BG39" s="1930">
        <f>BF39*AV39</f>
        <v/>
      </c>
      <c r="BH39" s="596" t="n"/>
      <c r="BI39" s="596">
        <f>IF(AY39&lt;=#REF!,#REF!,IF(AY39&lt;=#REF!,#REF!,IF(AY39&lt;=#REF!,#REF!,IF(AY39&lt;=#REF!,#REF!,IF(AY39&lt;=#REF!,#REF!,IF(AY39&lt;=#REF!,#REF!,IF(AY39&lt;=#REF!,#REF!,0.05)))))))</f>
        <v/>
      </c>
      <c r="BJ39" s="1930">
        <f>BI39*AY39</f>
        <v/>
      </c>
      <c r="BK39" s="596" t="n"/>
      <c r="BL39" s="596">
        <f>IF(BB39&lt;=#REF!,#REF!,IF(BB39&lt;=#REF!,#REF!,IF(BB39&lt;=#REF!,#REF!,IF(BB39&lt;=#REF!,#REF!,IF(BB39&lt;=#REF!,#REF!,IF(BB39&lt;=#REF!,#REF!,IF(BB39&lt;=#REF!,#REF!,0.05)))))))</f>
        <v/>
      </c>
      <c r="BM39" s="1930">
        <f>BL39*SUM(BJ39,BG39,BB39)</f>
        <v/>
      </c>
      <c r="BN39" s="596" t="n"/>
      <c r="BO39" s="1931">
        <f>IF(BE39&lt;=#REF!,#REF!,IF(BE39&lt;=#REF!,#REF!,IF(BE39&lt;=#REF!,#REF!,IF(BE39&lt;=#REF!,#REF!,IF(BE39&lt;=#REF!,#REF!,IF(BE39&lt;=#REF!,#REF!,IF(BE39&lt;=#REF!,#REF!,0.05)))))))</f>
        <v/>
      </c>
      <c r="BP39" s="1930">
        <f>BO39*BE39</f>
        <v/>
      </c>
      <c r="BR39" s="1932">
        <f>0.07*SUM(BB39,BG39,BJ39,BM39,BP39)</f>
        <v/>
      </c>
      <c r="BT39" s="1932">
        <f>SUM(BR39,BP39,BM39,BJ39,BG39,BB39)</f>
        <v/>
      </c>
      <c r="BU39" s="1933">
        <f>SUM(BP39,BM39,BJ39,BG39)</f>
        <v/>
      </c>
      <c r="BV39" s="596">
        <f>BU39/BT39</f>
        <v/>
      </c>
      <c r="CL39" s="1930" t="n">
        <v>31000</v>
      </c>
      <c r="CM39" s="1930" t="n"/>
      <c r="CN39" s="1930" t="n"/>
      <c r="CO39" s="1930">
        <f>CL39</f>
        <v/>
      </c>
      <c r="CP39" s="1930" t="n"/>
      <c r="CQ39" s="1930" t="n"/>
      <c r="CR39" s="1930">
        <f>CL39+CO39</f>
        <v/>
      </c>
      <c r="CS39" s="1930" t="n"/>
      <c r="CT39" s="1930" t="n"/>
      <c r="CU39" s="1930">
        <f>CR39</f>
        <v/>
      </c>
      <c r="CV39" s="596">
        <f>IF(CL39&lt;=BN$4,BM$4,IF(CL39&lt;=BN$5,BM$5,IF(CL39&lt;=BN$6,BM$6,IF(CL39&lt;=BN$7,BM$7,IF(CL39&lt;=BN$12,BM$12,IF(CL39&lt;=BN$13,BM$13,IF(CL39&lt;=BN$14,BM$14,0.05)))))))</f>
        <v/>
      </c>
      <c r="CW39" s="1930">
        <f>CV39*CL39</f>
        <v/>
      </c>
      <c r="CX39" s="596" t="n"/>
      <c r="CY39" s="596">
        <f>IF(CO39&lt;=BQ$4,BP$4,IF(CO39&lt;=BQ$5,BP$5,IF(CO39&lt;=BQ$6,BP$6,IF(CO39&lt;=BQ$7,BP$7,IF(CO39&lt;=BQ$12,BP$12,IF(CO39&lt;=BQ$13,BP$13,IF(CO39&lt;=BQ$14,BP$14,0.05)))))))</f>
        <v/>
      </c>
      <c r="CZ39" s="1930">
        <f>CY39*CO39</f>
        <v/>
      </c>
      <c r="DA39" s="596" t="n"/>
      <c r="DB39" s="596">
        <f>IF(CR39&lt;=BT$4,BS$4,IF(CR39&lt;=BT$5,BS$5,IF(CR39&lt;=BT$6,BS$6,IF(CR39&lt;=BT$7,BS$7,IF(CR39&lt;=BT$12,BS$12,IF(CR39&lt;=BT$13,BS$13,IF(CR39&lt;=BT$14,BS$14,0.05)))))))</f>
        <v/>
      </c>
      <c r="DC39" s="1930">
        <f>DB39*SUM(CZ39,CW39,CR39)</f>
        <v/>
      </c>
      <c r="DD39" s="596" t="n"/>
      <c r="DE39" s="1931">
        <f>IF(CU39&lt;=BW$4,BV$4,IF(CU39&lt;=BW$5,BV$5,IF(CU39&lt;=BW$6,BV$6,IF(CU39&lt;=BW$7,BV$7,IF(CU39&lt;=BW$12,BV$12,IF(CU39&lt;=BW$13,BV$13,IF(CU39&lt;=BW$14,BV$14,0.05)))))))</f>
        <v/>
      </c>
      <c r="DF39" s="1930">
        <f>DE39*CU39</f>
        <v/>
      </c>
      <c r="DH39" s="1932">
        <f>0.07*SUM(CR39,CW39,CZ39,DC39,DF39)</f>
        <v/>
      </c>
      <c r="DJ39" s="1932">
        <f>SUM(DH39,DF39,DC39,CZ39,CW39,CR39)</f>
        <v/>
      </c>
      <c r="DK39" s="1933">
        <f>SUM(DF39,DC39,CZ39,CW39)</f>
        <v/>
      </c>
      <c r="DL39" s="596">
        <f>DK39/DJ39</f>
        <v/>
      </c>
    </row>
    <row r="40" customFormat="1" s="585">
      <c r="A40" s="708" t="inlineStr">
        <is>
          <t>Material Total</t>
        </is>
      </c>
      <c r="B40" s="709" t="n"/>
      <c r="C40" s="1991" t="n"/>
      <c r="D40" s="1991">
        <f>SUM(D37:D39)</f>
        <v/>
      </c>
      <c r="E40" s="711">
        <f>D40/B42</f>
        <v/>
      </c>
      <c r="F40" s="712" t="inlineStr">
        <is>
          <t>Material $/SF</t>
        </is>
      </c>
      <c r="G40" s="1944" t="n"/>
      <c r="H40" s="1992">
        <f>D40</f>
        <v/>
      </c>
      <c r="I40" s="596" t="n"/>
      <c r="J40" s="600" t="n"/>
      <c r="K40" s="1453" t="inlineStr">
        <is>
          <t>TOTAL SF</t>
        </is>
      </c>
      <c r="L40" s="1993">
        <f>B42</f>
        <v/>
      </c>
      <c r="O40" s="1994">
        <f>I44</f>
        <v/>
      </c>
      <c r="P40" s="1459" t="inlineStr">
        <is>
          <t>SF for System</t>
        </is>
      </c>
      <c r="Q40" s="1995">
        <f>J44</f>
        <v/>
      </c>
      <c r="R40" s="699" t="inlineStr">
        <is>
          <t>LF Cove</t>
        </is>
      </c>
      <c r="S40" s="1462">
        <f>Q40/O40</f>
        <v/>
      </c>
      <c r="T40" s="1094" t="inlineStr">
        <is>
          <t>cove ratio</t>
        </is>
      </c>
      <c r="AA40" s="1994">
        <f>B42</f>
        <v/>
      </c>
      <c r="AB40" s="1459" t="inlineStr">
        <is>
          <t>SF for System</t>
        </is>
      </c>
      <c r="AC40" s="1995">
        <f>D42</f>
        <v/>
      </c>
      <c r="AD40" s="699" t="inlineStr">
        <is>
          <t>LF Cove</t>
        </is>
      </c>
      <c r="AE40" s="1462">
        <f>AC40/AA40</f>
        <v/>
      </c>
      <c r="AF40" s="1094" t="inlineStr">
        <is>
          <t>cove ratio</t>
        </is>
      </c>
      <c r="AV40" s="1930" t="n">
        <v>32000</v>
      </c>
      <c r="AW40" s="1930" t="n"/>
      <c r="AX40" s="1930" t="n"/>
      <c r="AY40" s="1930">
        <f>AV40</f>
        <v/>
      </c>
      <c r="AZ40" s="1930" t="n"/>
      <c r="BA40" s="1930" t="n"/>
      <c r="BB40" s="1930">
        <f>AV40+AY40</f>
        <v/>
      </c>
      <c r="BC40" s="1930" t="n"/>
      <c r="BD40" s="1930" t="n"/>
      <c r="BE40" s="1930">
        <f>BB40</f>
        <v/>
      </c>
      <c r="BF40" s="596">
        <f>IF(AV40&lt;=#REF!,#REF!,IF(AV40&lt;=#REF!,#REF!,IF(AV40&lt;=#REF!,#REF!,IF(AV40&lt;=#REF!,#REF!,IF(AV40&lt;=#REF!,#REF!,IF(AV40&lt;=#REF!,#REF!,IF(AV40&lt;=#REF!,#REF!,0.05)))))))</f>
        <v/>
      </c>
      <c r="BG40" s="1930">
        <f>BF40*AV40</f>
        <v/>
      </c>
      <c r="BH40" s="596" t="n"/>
      <c r="BI40" s="596">
        <f>IF(AY40&lt;=#REF!,#REF!,IF(AY40&lt;=#REF!,#REF!,IF(AY40&lt;=#REF!,#REF!,IF(AY40&lt;=#REF!,#REF!,IF(AY40&lt;=#REF!,#REF!,IF(AY40&lt;=#REF!,#REF!,IF(AY40&lt;=#REF!,#REF!,0.05)))))))</f>
        <v/>
      </c>
      <c r="BJ40" s="1930">
        <f>BI40*AY40</f>
        <v/>
      </c>
      <c r="BK40" s="596" t="n"/>
      <c r="BL40" s="596">
        <f>IF(BB40&lt;=#REF!,#REF!,IF(BB40&lt;=#REF!,#REF!,IF(BB40&lt;=#REF!,#REF!,IF(BB40&lt;=#REF!,#REF!,IF(BB40&lt;=#REF!,#REF!,IF(BB40&lt;=#REF!,#REF!,IF(BB40&lt;=#REF!,#REF!,0.05)))))))</f>
        <v/>
      </c>
      <c r="BM40" s="1930">
        <f>BL40*SUM(BJ40,BG40,BB40)</f>
        <v/>
      </c>
      <c r="BN40" s="596" t="n"/>
      <c r="BO40" s="1931">
        <f>IF(BE40&lt;=#REF!,#REF!,IF(BE40&lt;=#REF!,#REF!,IF(BE40&lt;=#REF!,#REF!,IF(BE40&lt;=#REF!,#REF!,IF(BE40&lt;=#REF!,#REF!,IF(BE40&lt;=#REF!,#REF!,IF(BE40&lt;=#REF!,#REF!,0.05)))))))</f>
        <v/>
      </c>
      <c r="BP40" s="1930">
        <f>BO40*BE40</f>
        <v/>
      </c>
      <c r="BR40" s="1932">
        <f>0.07*SUM(BB40,BG40,BJ40,BM40,BP40)</f>
        <v/>
      </c>
      <c r="BT40" s="1932">
        <f>SUM(BR40,BP40,BM40,BJ40,BG40,BB40)</f>
        <v/>
      </c>
      <c r="BU40" s="1933">
        <f>SUM(BP40,BM40,BJ40,BG40)</f>
        <v/>
      </c>
      <c r="BV40" s="596">
        <f>BU40/BT40</f>
        <v/>
      </c>
      <c r="CL40" s="1930" t="n">
        <v>32000</v>
      </c>
      <c r="CM40" s="1930" t="n"/>
      <c r="CN40" s="1930" t="n"/>
      <c r="CO40" s="1930">
        <f>CL40</f>
        <v/>
      </c>
      <c r="CP40" s="1930" t="n"/>
      <c r="CQ40" s="1930" t="n"/>
      <c r="CR40" s="1930">
        <f>CL40+CO40</f>
        <v/>
      </c>
      <c r="CS40" s="1930" t="n"/>
      <c r="CT40" s="1930" t="n"/>
      <c r="CU40" s="1930">
        <f>CR40</f>
        <v/>
      </c>
      <c r="CV40" s="596">
        <f>IF(CL40&lt;=BN$4,BM$4,IF(CL40&lt;=BN$5,BM$5,IF(CL40&lt;=BN$6,BM$6,IF(CL40&lt;=BN$7,BM$7,IF(CL40&lt;=BN$12,BM$12,IF(CL40&lt;=BN$13,BM$13,IF(CL40&lt;=BN$14,BM$14,0.05)))))))</f>
        <v/>
      </c>
      <c r="CW40" s="1930">
        <f>CV40*CL40</f>
        <v/>
      </c>
      <c r="CX40" s="596" t="n"/>
      <c r="CY40" s="596">
        <f>IF(CO40&lt;=BQ$4,BP$4,IF(CO40&lt;=BQ$5,BP$5,IF(CO40&lt;=BQ$6,BP$6,IF(CO40&lt;=BQ$7,BP$7,IF(CO40&lt;=BQ$12,BP$12,IF(CO40&lt;=BQ$13,BP$13,IF(CO40&lt;=BQ$14,BP$14,0.05)))))))</f>
        <v/>
      </c>
      <c r="CZ40" s="1930">
        <f>CY40*CO40</f>
        <v/>
      </c>
      <c r="DA40" s="596" t="n"/>
      <c r="DB40" s="596">
        <f>IF(CR40&lt;=BT$4,BS$4,IF(CR40&lt;=BT$5,BS$5,IF(CR40&lt;=BT$6,BS$6,IF(CR40&lt;=BT$7,BS$7,IF(CR40&lt;=BT$12,BS$12,IF(CR40&lt;=BT$13,BS$13,IF(CR40&lt;=BT$14,BS$14,0.05)))))))</f>
        <v/>
      </c>
      <c r="DC40" s="1930">
        <f>DB40*SUM(CZ40,CW40,CR40)</f>
        <v/>
      </c>
      <c r="DD40" s="596" t="n"/>
      <c r="DE40" s="1931">
        <f>IF(CU40&lt;=BW$4,BV$4,IF(CU40&lt;=BW$5,BV$5,IF(CU40&lt;=BW$6,BV$6,IF(CU40&lt;=BW$7,BV$7,IF(CU40&lt;=BW$12,BV$12,IF(CU40&lt;=BW$13,BV$13,IF(CU40&lt;=BW$14,BV$14,0.05)))))))</f>
        <v/>
      </c>
      <c r="DF40" s="1930">
        <f>DE40*CU40</f>
        <v/>
      </c>
      <c r="DH40" s="1932">
        <f>0.07*SUM(CR40,CW40,CZ40,DC40,DF40)</f>
        <v/>
      </c>
      <c r="DJ40" s="1932">
        <f>SUM(DH40,DF40,DC40,CZ40,CW40,CR40)</f>
        <v/>
      </c>
      <c r="DK40" s="1933">
        <f>SUM(DF40,DC40,CZ40,CW40)</f>
        <v/>
      </c>
      <c r="DL40" s="596">
        <f>DK40/DJ40</f>
        <v/>
      </c>
    </row>
    <row r="41" customFormat="1" s="585">
      <c r="A41" s="714" t="inlineStr">
        <is>
          <t>Floor ONLY SF:</t>
        </is>
      </c>
      <c r="B41" s="1996">
        <f>E20</f>
        <v/>
      </c>
      <c r="C41" s="714" t="n"/>
      <c r="D41" s="1996" t="n"/>
      <c r="E41" s="600" t="n"/>
      <c r="G41" s="716" t="n"/>
      <c r="H41" s="600" t="n"/>
      <c r="I41" s="600" t="n"/>
      <c r="L41" s="717" t="inlineStr">
        <is>
          <t xml:space="preserve">             # of Guys (epoxy)</t>
        </is>
      </c>
      <c r="M41" s="718" t="n"/>
      <c r="O41" s="1132" t="inlineStr">
        <is>
          <t>(Avg.)   Guys</t>
        </is>
      </c>
      <c r="P41" s="1130" t="inlineStr">
        <is>
          <t>(Avg.)     Days</t>
        </is>
      </c>
      <c r="Q41" s="1091" t="inlineStr">
        <is>
          <t>Labor Value</t>
        </is>
      </c>
      <c r="R41" s="1138" t="inlineStr">
        <is>
          <t>Wage Rate</t>
        </is>
      </c>
      <c r="AA41" s="1132" t="inlineStr">
        <is>
          <t>(Avg.)   Guys</t>
        </is>
      </c>
      <c r="AB41" s="1130" t="inlineStr">
        <is>
          <t>(Avg.)     Days</t>
        </is>
      </c>
      <c r="AC41" s="1091" t="inlineStr">
        <is>
          <t>Labor Value</t>
        </is>
      </c>
      <c r="AD41" s="1138" t="inlineStr">
        <is>
          <t>Wage Rate</t>
        </is>
      </c>
      <c r="AV41" s="1930" t="n">
        <v>33000</v>
      </c>
      <c r="AW41" s="1930" t="n"/>
      <c r="AX41" s="1930" t="n"/>
      <c r="AY41" s="1930">
        <f>AV41</f>
        <v/>
      </c>
      <c r="AZ41" s="1930" t="n"/>
      <c r="BA41" s="1930" t="n"/>
      <c r="BB41" s="1930">
        <f>AV41+AY41</f>
        <v/>
      </c>
      <c r="BC41" s="1930" t="n"/>
      <c r="BD41" s="1930" t="n"/>
      <c r="BE41" s="1930">
        <f>BB41</f>
        <v/>
      </c>
      <c r="BF41" s="596">
        <f>IF(AV41&lt;=#REF!,#REF!,IF(AV41&lt;=#REF!,#REF!,IF(AV41&lt;=#REF!,#REF!,IF(AV41&lt;=#REF!,#REF!,IF(AV41&lt;=#REF!,#REF!,IF(AV41&lt;=#REF!,#REF!,IF(AV41&lt;=#REF!,#REF!,0.05)))))))</f>
        <v/>
      </c>
      <c r="BG41" s="1930">
        <f>BF41*AV41</f>
        <v/>
      </c>
      <c r="BH41" s="596" t="n"/>
      <c r="BI41" s="596">
        <f>IF(AY41&lt;=#REF!,#REF!,IF(AY41&lt;=#REF!,#REF!,IF(AY41&lt;=#REF!,#REF!,IF(AY41&lt;=#REF!,#REF!,IF(AY41&lt;=#REF!,#REF!,IF(AY41&lt;=#REF!,#REF!,IF(AY41&lt;=#REF!,#REF!,0.05)))))))</f>
        <v/>
      </c>
      <c r="BJ41" s="1930">
        <f>BI41*AY41</f>
        <v/>
      </c>
      <c r="BK41" s="596" t="n"/>
      <c r="BL41" s="596">
        <f>IF(BB41&lt;=#REF!,#REF!,IF(BB41&lt;=#REF!,#REF!,IF(BB41&lt;=#REF!,#REF!,IF(BB41&lt;=#REF!,#REF!,IF(BB41&lt;=#REF!,#REF!,IF(BB41&lt;=#REF!,#REF!,IF(BB41&lt;=#REF!,#REF!,0.05)))))))</f>
        <v/>
      </c>
      <c r="BM41" s="1930">
        <f>BL41*SUM(BJ41,BG41,BB41)</f>
        <v/>
      </c>
      <c r="BN41" s="596" t="n"/>
      <c r="BO41" s="1931">
        <f>IF(BE41&lt;=#REF!,#REF!,IF(BE41&lt;=#REF!,#REF!,IF(BE41&lt;=#REF!,#REF!,IF(BE41&lt;=#REF!,#REF!,IF(BE41&lt;=#REF!,#REF!,IF(BE41&lt;=#REF!,#REF!,IF(BE41&lt;=#REF!,#REF!,0.05)))))))</f>
        <v/>
      </c>
      <c r="BP41" s="1930">
        <f>BO41*BE41</f>
        <v/>
      </c>
      <c r="BR41" s="1932">
        <f>0.07*SUM(BB41,BG41,BJ41,BM41,BP41)</f>
        <v/>
      </c>
      <c r="BT41" s="1932">
        <f>SUM(BR41,BP41,BM41,BJ41,BG41,BB41)</f>
        <v/>
      </c>
      <c r="BU41" s="1933">
        <f>SUM(BP41,BM41,BJ41,BG41)</f>
        <v/>
      </c>
      <c r="BV41" s="596">
        <f>BU41/BT41</f>
        <v/>
      </c>
      <c r="CL41" s="1930" t="n">
        <v>33000</v>
      </c>
      <c r="CM41" s="1930" t="n"/>
      <c r="CN41" s="1930" t="n"/>
      <c r="CO41" s="1930">
        <f>CL41</f>
        <v/>
      </c>
      <c r="CP41" s="1930" t="n"/>
      <c r="CQ41" s="1930" t="n"/>
      <c r="CR41" s="1930">
        <f>CL41+CO41</f>
        <v/>
      </c>
      <c r="CS41" s="1930" t="n"/>
      <c r="CT41" s="1930" t="n"/>
      <c r="CU41" s="1930">
        <f>CR41</f>
        <v/>
      </c>
      <c r="CV41" s="596">
        <f>IF(CL41&lt;=BN$4,BM$4,IF(CL41&lt;=BN$5,BM$5,IF(CL41&lt;=BN$6,BM$6,IF(CL41&lt;=BN$7,BM$7,IF(CL41&lt;=BN$12,BM$12,IF(CL41&lt;=BN$13,BM$13,IF(CL41&lt;=BN$14,BM$14,0.05)))))))</f>
        <v/>
      </c>
      <c r="CW41" s="1930">
        <f>CV41*CL41</f>
        <v/>
      </c>
      <c r="CX41" s="596" t="n"/>
      <c r="CY41" s="596">
        <f>IF(CO41&lt;=BQ$4,BP$4,IF(CO41&lt;=BQ$5,BP$5,IF(CO41&lt;=BQ$6,BP$6,IF(CO41&lt;=BQ$7,BP$7,IF(CO41&lt;=BQ$12,BP$12,IF(CO41&lt;=BQ$13,BP$13,IF(CO41&lt;=BQ$14,BP$14,0.05)))))))</f>
        <v/>
      </c>
      <c r="CZ41" s="1930">
        <f>CY41*CO41</f>
        <v/>
      </c>
      <c r="DA41" s="596" t="n"/>
      <c r="DB41" s="596">
        <f>IF(CR41&lt;=BT$4,BS$4,IF(CR41&lt;=BT$5,BS$5,IF(CR41&lt;=BT$6,BS$6,IF(CR41&lt;=BT$7,BS$7,IF(CR41&lt;=BT$12,BS$12,IF(CR41&lt;=BT$13,BS$13,IF(CR41&lt;=BT$14,BS$14,0.05)))))))</f>
        <v/>
      </c>
      <c r="DC41" s="1930">
        <f>DB41*SUM(CZ41,CW41,CR41)</f>
        <v/>
      </c>
      <c r="DD41" s="596" t="n"/>
      <c r="DE41" s="1931">
        <f>IF(CU41&lt;=BW$4,BV$4,IF(CU41&lt;=BW$5,BV$5,IF(CU41&lt;=BW$6,BV$6,IF(CU41&lt;=BW$7,BV$7,IF(CU41&lt;=BW$12,BV$12,IF(CU41&lt;=BW$13,BV$13,IF(CU41&lt;=BW$14,BV$14,0.05)))))))</f>
        <v/>
      </c>
      <c r="DF41" s="1930">
        <f>DE41*CU41</f>
        <v/>
      </c>
      <c r="DH41" s="1932">
        <f>0.07*SUM(CR41,CW41,CZ41,DC41,DF41)</f>
        <v/>
      </c>
      <c r="DJ41" s="1932">
        <f>SUM(DH41,DF41,DC41,CZ41,CW41,CR41)</f>
        <v/>
      </c>
      <c r="DK41" s="1933">
        <f>SUM(DF41,DC41,CZ41,CW41)</f>
        <v/>
      </c>
      <c r="DL41" s="596">
        <f>DK41/DJ41</f>
        <v/>
      </c>
    </row>
    <row r="42" customFormat="1" s="585">
      <c r="A42" s="719" t="inlineStr">
        <is>
          <t>Square Footage:</t>
        </is>
      </c>
      <c r="B42" s="1997">
        <f>E20</f>
        <v/>
      </c>
      <c r="C42" s="719" t="inlineStr">
        <is>
          <t>Linear Footage:</t>
        </is>
      </c>
      <c r="D42" s="1998">
        <f>E32</f>
        <v/>
      </c>
      <c r="E42" s="722" t="inlineStr">
        <is>
          <t>8 hour days</t>
        </is>
      </c>
      <c r="F42" s="723">
        <f>D42/B42</f>
        <v/>
      </c>
      <c r="G42" s="724" t="inlineStr">
        <is>
          <t>: Ratio of Cove-Floor</t>
        </is>
      </c>
      <c r="H42" s="725" t="inlineStr">
        <is>
          <t>15%-25% = Normal</t>
        </is>
      </c>
      <c r="I42" s="726" t="inlineStr">
        <is>
          <t>SF for MH Calc</t>
        </is>
      </c>
      <c r="J42" s="727" t="inlineStr">
        <is>
          <t>LF</t>
        </is>
      </c>
      <c r="K42" s="728" t="inlineStr">
        <is>
          <t>Cove Ratio %</t>
        </is>
      </c>
      <c r="L42" s="729" t="inlineStr">
        <is>
          <t>Flake or lesser</t>
        </is>
      </c>
      <c r="M42" s="729" t="inlineStr">
        <is>
          <t>Qrtz/SLB or +</t>
        </is>
      </c>
      <c r="O42" s="1133" t="n">
        <v>3</v>
      </c>
      <c r="P42" s="1131">
        <f>P47/O42</f>
        <v/>
      </c>
      <c r="Q42" s="1999">
        <f>O42*P42*R42*8</f>
        <v/>
      </c>
      <c r="R42" s="2000">
        <f>C44</f>
        <v/>
      </c>
      <c r="AA42" s="1480" t="n">
        <v>3</v>
      </c>
      <c r="AB42" s="1131">
        <f>AB47/AA42</f>
        <v/>
      </c>
      <c r="AC42" s="1999">
        <f>AA42*AB42*AD42*8</f>
        <v/>
      </c>
      <c r="AD42" s="2000">
        <f>C44</f>
        <v/>
      </c>
      <c r="AV42" s="1930" t="n">
        <v>34000</v>
      </c>
      <c r="AW42" s="1930" t="n"/>
      <c r="AX42" s="1930" t="n"/>
      <c r="AY42" s="1930">
        <f>AV42</f>
        <v/>
      </c>
      <c r="AZ42" s="1930" t="n"/>
      <c r="BA42" s="1930" t="n"/>
      <c r="BB42" s="1930">
        <f>AV42+AY42</f>
        <v/>
      </c>
      <c r="BC42" s="1930" t="n"/>
      <c r="BD42" s="1930" t="n"/>
      <c r="BE42" s="1930">
        <f>BB42</f>
        <v/>
      </c>
      <c r="BF42" s="596">
        <f>IF(AV42&lt;=#REF!,#REF!,IF(AV42&lt;=#REF!,#REF!,IF(AV42&lt;=#REF!,#REF!,IF(AV42&lt;=#REF!,#REF!,IF(AV42&lt;=#REF!,#REF!,IF(AV42&lt;=#REF!,#REF!,IF(AV42&lt;=#REF!,#REF!,0.05)))))))</f>
        <v/>
      </c>
      <c r="BG42" s="1930">
        <f>BF42*AV42</f>
        <v/>
      </c>
      <c r="BH42" s="596" t="n"/>
      <c r="BI42" s="596">
        <f>IF(AY42&lt;=#REF!,#REF!,IF(AY42&lt;=#REF!,#REF!,IF(AY42&lt;=#REF!,#REF!,IF(AY42&lt;=#REF!,#REF!,IF(AY42&lt;=#REF!,#REF!,IF(AY42&lt;=#REF!,#REF!,IF(AY42&lt;=#REF!,#REF!,0.05)))))))</f>
        <v/>
      </c>
      <c r="BJ42" s="1930">
        <f>BI42*AY42</f>
        <v/>
      </c>
      <c r="BK42" s="596" t="n"/>
      <c r="BL42" s="596">
        <f>IF(BB42&lt;=#REF!,#REF!,IF(BB42&lt;=#REF!,#REF!,IF(BB42&lt;=#REF!,#REF!,IF(BB42&lt;=#REF!,#REF!,IF(BB42&lt;=#REF!,#REF!,IF(BB42&lt;=#REF!,#REF!,IF(BB42&lt;=#REF!,#REF!,0.05)))))))</f>
        <v/>
      </c>
      <c r="BM42" s="1930">
        <f>BL42*SUM(BJ42,BG42,BB42)</f>
        <v/>
      </c>
      <c r="BN42" s="596" t="n"/>
      <c r="BO42" s="1931">
        <f>IF(BE42&lt;=#REF!,#REF!,IF(BE42&lt;=#REF!,#REF!,IF(BE42&lt;=#REF!,#REF!,IF(BE42&lt;=#REF!,#REF!,IF(BE42&lt;=#REF!,#REF!,IF(BE42&lt;=#REF!,#REF!,IF(BE42&lt;=#REF!,#REF!,0.05)))))))</f>
        <v/>
      </c>
      <c r="BP42" s="1930">
        <f>BO42*BE42</f>
        <v/>
      </c>
      <c r="BR42" s="1932">
        <f>0.07*SUM(BB42,BG42,BJ42,BM42,BP42)</f>
        <v/>
      </c>
      <c r="BT42" s="1932">
        <f>SUM(BR42,BP42,BM42,BJ42,BG42,BB42)</f>
        <v/>
      </c>
      <c r="BU42" s="1933">
        <f>SUM(BP42,BM42,BJ42,BG42)</f>
        <v/>
      </c>
      <c r="BV42" s="596">
        <f>BU42/BT42</f>
        <v/>
      </c>
      <c r="CL42" s="1930" t="n">
        <v>34000</v>
      </c>
      <c r="CM42" s="1930" t="n"/>
      <c r="CN42" s="1930" t="n"/>
      <c r="CO42" s="1930">
        <f>CL42</f>
        <v/>
      </c>
      <c r="CP42" s="1930" t="n"/>
      <c r="CQ42" s="1930" t="n"/>
      <c r="CR42" s="1930">
        <f>CL42+CO42</f>
        <v/>
      </c>
      <c r="CS42" s="1930" t="n"/>
      <c r="CT42" s="1930" t="n"/>
      <c r="CU42" s="1930">
        <f>CR42</f>
        <v/>
      </c>
      <c r="CV42" s="596">
        <f>IF(CL42&lt;=BN$4,BM$4,IF(CL42&lt;=BN$5,BM$5,IF(CL42&lt;=BN$6,BM$6,IF(CL42&lt;=BN$7,BM$7,IF(CL42&lt;=BN$12,BM$12,IF(CL42&lt;=BN$13,BM$13,IF(CL42&lt;=BN$14,BM$14,0.05)))))))</f>
        <v/>
      </c>
      <c r="CW42" s="1930">
        <f>CV42*CL42</f>
        <v/>
      </c>
      <c r="CX42" s="596" t="n"/>
      <c r="CY42" s="596">
        <f>IF(CO42&lt;=BQ$4,BP$4,IF(CO42&lt;=BQ$5,BP$5,IF(CO42&lt;=BQ$6,BP$6,IF(CO42&lt;=BQ$7,BP$7,IF(CO42&lt;=BQ$12,BP$12,IF(CO42&lt;=BQ$13,BP$13,IF(CO42&lt;=BQ$14,BP$14,0.05)))))))</f>
        <v/>
      </c>
      <c r="CZ42" s="1930">
        <f>CY42*CO42</f>
        <v/>
      </c>
      <c r="DA42" s="596" t="n"/>
      <c r="DB42" s="596">
        <f>IF(CR42&lt;=BT$4,BS$4,IF(CR42&lt;=BT$5,BS$5,IF(CR42&lt;=BT$6,BS$6,IF(CR42&lt;=BT$7,BS$7,IF(CR42&lt;=BT$12,BS$12,IF(CR42&lt;=BT$13,BS$13,IF(CR42&lt;=BT$14,BS$14,0.05)))))))</f>
        <v/>
      </c>
      <c r="DC42" s="1930">
        <f>DB42*SUM(CZ42,CW42,CR42)</f>
        <v/>
      </c>
      <c r="DD42" s="596" t="n"/>
      <c r="DE42" s="1931">
        <f>IF(CU42&lt;=BW$4,BV$4,IF(CU42&lt;=BW$5,BV$5,IF(CU42&lt;=BW$6,BV$6,IF(CU42&lt;=BW$7,BV$7,IF(CU42&lt;=BW$12,BV$12,IF(CU42&lt;=BW$13,BV$13,IF(CU42&lt;=BW$14,BV$14,0.05)))))))</f>
        <v/>
      </c>
      <c r="DF42" s="1930">
        <f>DE42*CU42</f>
        <v/>
      </c>
      <c r="DH42" s="1932">
        <f>0.07*SUM(CR42,CW42,CZ42,DC42,DF42)</f>
        <v/>
      </c>
      <c r="DJ42" s="1932">
        <f>SUM(DH42,DF42,DC42,CZ42,CW42,CR42)</f>
        <v/>
      </c>
      <c r="DK42" s="1933">
        <f>SUM(DF42,DC42,CZ42,CW42)</f>
        <v/>
      </c>
      <c r="DL42" s="596">
        <f>DK42/DJ42</f>
        <v/>
      </c>
    </row>
    <row r="43" customFormat="1" s="585">
      <c r="A43" s="730" t="inlineStr">
        <is>
          <t>Labor:              Guys</t>
        </is>
      </c>
      <c r="B43" s="731" t="inlineStr">
        <is>
          <t>Days</t>
        </is>
      </c>
      <c r="C43" s="731" t="inlineStr">
        <is>
          <t>Rate (PW?)</t>
        </is>
      </c>
      <c r="D43" s="732" t="inlineStr">
        <is>
          <t>Totals</t>
        </is>
      </c>
      <c r="E43" s="1877">
        <f>(IF(D5="Yes","PW","-"))</f>
        <v/>
      </c>
      <c r="F43" s="734" t="inlineStr">
        <is>
          <t>Estimated SF/MH</t>
        </is>
      </c>
      <c r="G43" s="735" t="inlineStr">
        <is>
          <t>SF/MH Benchmark (1K sf - 3K sf)</t>
        </is>
      </c>
      <c r="H43" s="736" t="n"/>
      <c r="K43" s="737" t="n"/>
      <c r="L43" s="738" t="n">
        <v>2</v>
      </c>
      <c r="M43" s="738" t="n">
        <v>2</v>
      </c>
      <c r="N43" s="585" t="inlineStr">
        <is>
          <t>&lt; 500 sf</t>
        </is>
      </c>
      <c r="O43" s="1456" t="inlineStr">
        <is>
          <t>UNIT</t>
        </is>
      </c>
      <c r="P43" s="1508" t="inlineStr">
        <is>
          <t>Prep</t>
        </is>
      </c>
      <c r="Q43" s="1508" t="inlineStr">
        <is>
          <t>Cove</t>
        </is>
      </c>
      <c r="R43" s="1508" t="inlineStr">
        <is>
          <t>Prime</t>
        </is>
      </c>
      <c r="S43" s="1508" t="inlineStr">
        <is>
          <t>Broadcast</t>
        </is>
      </c>
      <c r="T43" s="1509" t="inlineStr">
        <is>
          <t>(? double BC ?)</t>
        </is>
      </c>
      <c r="U43" s="1508" t="inlineStr">
        <is>
          <t>Grout</t>
        </is>
      </c>
      <c r="V43" s="1509" t="inlineStr">
        <is>
          <t>(? double Grout ?)</t>
        </is>
      </c>
      <c r="W43" s="1508" t="inlineStr">
        <is>
          <t>Topcoat</t>
        </is>
      </c>
      <c r="AA43" s="1456" t="inlineStr">
        <is>
          <t>UNIT</t>
        </is>
      </c>
      <c r="AB43" s="1508" t="inlineStr">
        <is>
          <t>Prep / Patch</t>
        </is>
      </c>
      <c r="AC43" s="1508" t="inlineStr">
        <is>
          <t>Cove</t>
        </is>
      </c>
      <c r="AD43" s="1508" t="inlineStr">
        <is>
          <t>Prime</t>
        </is>
      </c>
      <c r="AE43" s="1508" t="inlineStr">
        <is>
          <t>Broadcast</t>
        </is>
      </c>
      <c r="AF43" s="1509" t="inlineStr">
        <is>
          <t>(? double BC ?)</t>
        </is>
      </c>
      <c r="AG43" s="1508" t="inlineStr">
        <is>
          <t>Grout</t>
        </is>
      </c>
      <c r="AH43" s="1509" t="inlineStr">
        <is>
          <t>(? double Grout ?)</t>
        </is>
      </c>
      <c r="AI43" s="1508" t="inlineStr">
        <is>
          <t>Topcoat</t>
        </is>
      </c>
      <c r="AV43" s="1930" t="n">
        <v>35000</v>
      </c>
      <c r="AW43" s="1930" t="n"/>
      <c r="AX43" s="1930" t="n"/>
      <c r="AY43" s="1930">
        <f>AV43</f>
        <v/>
      </c>
      <c r="AZ43" s="1930" t="n"/>
      <c r="BA43" s="1930" t="n"/>
      <c r="BB43" s="1930">
        <f>AV43+AY43</f>
        <v/>
      </c>
      <c r="BC43" s="1930" t="n"/>
      <c r="BD43" s="1930" t="n"/>
      <c r="BE43" s="1930">
        <f>BB43</f>
        <v/>
      </c>
      <c r="BF43" s="596">
        <f>IF(AV43&lt;=#REF!,#REF!,IF(AV43&lt;=#REF!,#REF!,IF(AV43&lt;=#REF!,#REF!,IF(AV43&lt;=#REF!,#REF!,IF(AV43&lt;=#REF!,#REF!,IF(AV43&lt;=#REF!,#REF!,IF(AV43&lt;=#REF!,#REF!,0.05)))))))</f>
        <v/>
      </c>
      <c r="BG43" s="1930">
        <f>BF43*AV43</f>
        <v/>
      </c>
      <c r="BH43" s="596" t="n"/>
      <c r="BI43" s="596">
        <f>IF(AY43&lt;=#REF!,#REF!,IF(AY43&lt;=#REF!,#REF!,IF(AY43&lt;=#REF!,#REF!,IF(AY43&lt;=#REF!,#REF!,IF(AY43&lt;=#REF!,#REF!,IF(AY43&lt;=#REF!,#REF!,IF(AY43&lt;=#REF!,#REF!,0.05)))))))</f>
        <v/>
      </c>
      <c r="BJ43" s="1930">
        <f>BI43*AY43</f>
        <v/>
      </c>
      <c r="BK43" s="596" t="n"/>
      <c r="BL43" s="596">
        <f>IF(BB43&lt;=#REF!,#REF!,IF(BB43&lt;=#REF!,#REF!,IF(BB43&lt;=#REF!,#REF!,IF(BB43&lt;=#REF!,#REF!,IF(BB43&lt;=#REF!,#REF!,IF(BB43&lt;=#REF!,#REF!,IF(BB43&lt;=#REF!,#REF!,0.05)))))))</f>
        <v/>
      </c>
      <c r="BM43" s="1930">
        <f>BL43*SUM(BJ43,BG43,BB43)</f>
        <v/>
      </c>
      <c r="BN43" s="596" t="n"/>
      <c r="BO43" s="1931">
        <f>IF(BE43&lt;=#REF!,#REF!,IF(BE43&lt;=#REF!,#REF!,IF(BE43&lt;=#REF!,#REF!,IF(BE43&lt;=#REF!,#REF!,IF(BE43&lt;=#REF!,#REF!,IF(BE43&lt;=#REF!,#REF!,IF(BE43&lt;=#REF!,#REF!,0.05)))))))</f>
        <v/>
      </c>
      <c r="BP43" s="1930">
        <f>BO43*BE43</f>
        <v/>
      </c>
      <c r="BR43" s="1932">
        <f>0.07*SUM(BB43,BG43,BJ43,BM43,BP43)</f>
        <v/>
      </c>
      <c r="BT43" s="1932">
        <f>SUM(BR43,BP43,BM43,BJ43,BG43,BB43)</f>
        <v/>
      </c>
      <c r="BU43" s="1933">
        <f>SUM(BP43,BM43,BJ43,BG43)</f>
        <v/>
      </c>
      <c r="BV43" s="596">
        <f>BU43/BT43</f>
        <v/>
      </c>
      <c r="CL43" s="1930" t="n">
        <v>35000</v>
      </c>
      <c r="CM43" s="1930" t="n"/>
      <c r="CN43" s="1930" t="n"/>
      <c r="CO43" s="1930">
        <f>CL43</f>
        <v/>
      </c>
      <c r="CP43" s="1930" t="n"/>
      <c r="CQ43" s="1930" t="n"/>
      <c r="CR43" s="1930">
        <f>CL43+CO43</f>
        <v/>
      </c>
      <c r="CS43" s="1930" t="n"/>
      <c r="CT43" s="1930" t="n"/>
      <c r="CU43" s="1930">
        <f>CR43</f>
        <v/>
      </c>
      <c r="CV43" s="596">
        <f>IF(CL43&lt;=BN$4,BM$4,IF(CL43&lt;=BN$5,BM$5,IF(CL43&lt;=BN$6,BM$6,IF(CL43&lt;=BN$7,BM$7,IF(CL43&lt;=BN$12,BM$12,IF(CL43&lt;=BN$13,BM$13,IF(CL43&lt;=BN$14,BM$14,0.05)))))))</f>
        <v/>
      </c>
      <c r="CW43" s="1930">
        <f>CV43*CL43</f>
        <v/>
      </c>
      <c r="CX43" s="596" t="n"/>
      <c r="CY43" s="596">
        <f>IF(CO43&lt;=BQ$4,BP$4,IF(CO43&lt;=BQ$5,BP$5,IF(CO43&lt;=BQ$6,BP$6,IF(CO43&lt;=BQ$7,BP$7,IF(CO43&lt;=BQ$12,BP$12,IF(CO43&lt;=BQ$13,BP$13,IF(CO43&lt;=BQ$14,BP$14,0.05)))))))</f>
        <v/>
      </c>
      <c r="CZ43" s="1930">
        <f>CY43*CO43</f>
        <v/>
      </c>
      <c r="DA43" s="596" t="n"/>
      <c r="DB43" s="596">
        <f>IF(CR43&lt;=BT$4,BS$4,IF(CR43&lt;=BT$5,BS$5,IF(CR43&lt;=BT$6,BS$6,IF(CR43&lt;=BT$7,BS$7,IF(CR43&lt;=BT$12,BS$12,IF(CR43&lt;=BT$13,BS$13,IF(CR43&lt;=BT$14,BS$14,0.05)))))))</f>
        <v/>
      </c>
      <c r="DC43" s="1930">
        <f>DB43*SUM(CZ43,CW43,CR43)</f>
        <v/>
      </c>
      <c r="DD43" s="596" t="n"/>
      <c r="DE43" s="1931">
        <f>IF(CU43&lt;=BW$4,BV$4,IF(CU43&lt;=BW$5,BV$5,IF(CU43&lt;=BW$6,BV$6,IF(CU43&lt;=BW$7,BV$7,IF(CU43&lt;=BW$12,BV$12,IF(CU43&lt;=BW$13,BV$13,IF(CU43&lt;=BW$14,BV$14,0.05)))))))</f>
        <v/>
      </c>
      <c r="DF43" s="1930">
        <f>DE43*CU43</f>
        <v/>
      </c>
      <c r="DH43" s="1932">
        <f>0.07*SUM(CR43,CW43,CZ43,DC43,DF43)</f>
        <v/>
      </c>
      <c r="DJ43" s="1932">
        <f>SUM(DH43,DF43,DC43,CZ43,CW43,CR43)</f>
        <v/>
      </c>
      <c r="DK43" s="1933">
        <f>SUM(DF43,DC43,CZ43,CW43)</f>
        <v/>
      </c>
      <c r="DL43" s="596">
        <f>DK43/DJ43</f>
        <v/>
      </c>
    </row>
    <row r="44" customFormat="1" s="585">
      <c r="A44" s="1084" t="n">
        <v>3</v>
      </c>
      <c r="B44" s="1083" t="n">
        <v>5</v>
      </c>
      <c r="C44" s="2001" t="n">
        <v>33</v>
      </c>
      <c r="D44" s="741">
        <f>(A44*B44*C44)*IF($E$42="8 hour days",8,10)</f>
        <v/>
      </c>
      <c r="E44" s="733" t="n"/>
      <c r="F44" s="742">
        <f>I44/(D44/C44)</f>
        <v/>
      </c>
      <c r="G44" s="743" t="inlineStr">
        <is>
          <t>Floor Type</t>
        </is>
      </c>
      <c r="H44" s="744" t="n"/>
      <c r="I44" s="2002">
        <f>B42</f>
        <v/>
      </c>
      <c r="J44" s="2002">
        <f>D42</f>
        <v/>
      </c>
      <c r="K44" s="737">
        <f>J44/I44</f>
        <v/>
      </c>
      <c r="L44" s="624" t="n">
        <v>3</v>
      </c>
      <c r="M44" s="624" t="n">
        <v>3</v>
      </c>
      <c r="N44" s="600" t="inlineStr">
        <is>
          <t>500 - 1500 sf</t>
        </is>
      </c>
      <c r="O44" s="1457" t="inlineStr">
        <is>
          <t>Guys</t>
        </is>
      </c>
      <c r="P44" s="1061" t="n">
        <v>3</v>
      </c>
      <c r="Q44" s="585">
        <f>P44</f>
        <v/>
      </c>
      <c r="R44" s="585">
        <f>P44</f>
        <v/>
      </c>
      <c r="S44" s="585">
        <f>P44</f>
        <v/>
      </c>
      <c r="T44" s="1066">
        <f>P44</f>
        <v/>
      </c>
      <c r="U44" s="585">
        <f>P44</f>
        <v/>
      </c>
      <c r="V44" s="1066">
        <f>P44</f>
        <v/>
      </c>
      <c r="W44" s="585">
        <f>P44</f>
        <v/>
      </c>
      <c r="AA44" s="1457" t="inlineStr">
        <is>
          <t>Guys</t>
        </is>
      </c>
      <c r="AB44" s="1061" t="n">
        <v>3</v>
      </c>
      <c r="AC44" s="585">
        <f>AB44</f>
        <v/>
      </c>
      <c r="AD44" s="585">
        <f>AB44</f>
        <v/>
      </c>
      <c r="AE44" s="585">
        <f>AB44</f>
        <v/>
      </c>
      <c r="AF44" s="1407" t="n"/>
      <c r="AG44" s="585">
        <f>AB44</f>
        <v/>
      </c>
      <c r="AH44" s="1407" t="n"/>
      <c r="AI44" s="585">
        <f>AB44</f>
        <v/>
      </c>
      <c r="AV44" s="1930" t="n">
        <v>36000</v>
      </c>
      <c r="AW44" s="1930" t="n"/>
      <c r="AX44" s="1930" t="n"/>
      <c r="AY44" s="1930">
        <f>AV44</f>
        <v/>
      </c>
      <c r="AZ44" s="1930" t="n"/>
      <c r="BA44" s="1930" t="n"/>
      <c r="BB44" s="1930">
        <f>AV44+AY44</f>
        <v/>
      </c>
      <c r="BC44" s="1930" t="n"/>
      <c r="BD44" s="1930" t="n"/>
      <c r="BE44" s="1930">
        <f>BB44</f>
        <v/>
      </c>
      <c r="BF44" s="596">
        <f>IF(AV44&lt;=#REF!,#REF!,IF(AV44&lt;=#REF!,#REF!,IF(AV44&lt;=#REF!,#REF!,IF(AV44&lt;=#REF!,#REF!,IF(AV44&lt;=#REF!,#REF!,IF(AV44&lt;=#REF!,#REF!,IF(AV44&lt;=#REF!,#REF!,0.05)))))))</f>
        <v/>
      </c>
      <c r="BG44" s="1930">
        <f>BF44*AV44</f>
        <v/>
      </c>
      <c r="BH44" s="596" t="n"/>
      <c r="BI44" s="596">
        <f>IF(AY44&lt;=#REF!,#REF!,IF(AY44&lt;=#REF!,#REF!,IF(AY44&lt;=#REF!,#REF!,IF(AY44&lt;=#REF!,#REF!,IF(AY44&lt;=#REF!,#REF!,IF(AY44&lt;=#REF!,#REF!,IF(AY44&lt;=#REF!,#REF!,0.05)))))))</f>
        <v/>
      </c>
      <c r="BJ44" s="1930">
        <f>BI44*AY44</f>
        <v/>
      </c>
      <c r="BK44" s="596" t="n"/>
      <c r="BL44" s="596">
        <f>IF(BB44&lt;=#REF!,#REF!,IF(BB44&lt;=#REF!,#REF!,IF(BB44&lt;=#REF!,#REF!,IF(BB44&lt;=#REF!,#REF!,IF(BB44&lt;=#REF!,#REF!,IF(BB44&lt;=#REF!,#REF!,IF(BB44&lt;=#REF!,#REF!,0.05)))))))</f>
        <v/>
      </c>
      <c r="BM44" s="1930">
        <f>BL44*SUM(BJ44,BG44,BB44)</f>
        <v/>
      </c>
      <c r="BN44" s="596" t="n"/>
      <c r="BO44" s="1931">
        <f>IF(BE44&lt;=#REF!,#REF!,IF(BE44&lt;=#REF!,#REF!,IF(BE44&lt;=#REF!,#REF!,IF(BE44&lt;=#REF!,#REF!,IF(BE44&lt;=#REF!,#REF!,IF(BE44&lt;=#REF!,#REF!,IF(BE44&lt;=#REF!,#REF!,0.05)))))))</f>
        <v/>
      </c>
      <c r="BP44" s="1930">
        <f>BO44*BE44</f>
        <v/>
      </c>
      <c r="BR44" s="1932">
        <f>0.07*SUM(BB44,BG44,BJ44,BM44,BP44)</f>
        <v/>
      </c>
      <c r="BT44" s="1932">
        <f>SUM(BR44,BP44,BM44,BJ44,BG44,BB44)</f>
        <v/>
      </c>
      <c r="BU44" s="1933">
        <f>SUM(BP44,BM44,BJ44,BG44)</f>
        <v/>
      </c>
      <c r="BV44" s="596">
        <f>BU44/BT44</f>
        <v/>
      </c>
      <c r="CL44" s="1930" t="n">
        <v>36000</v>
      </c>
      <c r="CM44" s="1930" t="n"/>
      <c r="CN44" s="1930" t="n"/>
      <c r="CO44" s="1930">
        <f>CL44</f>
        <v/>
      </c>
      <c r="CP44" s="1930" t="n"/>
      <c r="CQ44" s="1930" t="n"/>
      <c r="CR44" s="1930">
        <f>CL44+CO44</f>
        <v/>
      </c>
      <c r="CS44" s="1930" t="n"/>
      <c r="CT44" s="1930" t="n"/>
      <c r="CU44" s="1930">
        <f>CR44</f>
        <v/>
      </c>
      <c r="CV44" s="596">
        <f>IF(CL44&lt;=BN$4,BM$4,IF(CL44&lt;=BN$5,BM$5,IF(CL44&lt;=BN$6,BM$6,IF(CL44&lt;=BN$7,BM$7,IF(CL44&lt;=BN$12,BM$12,IF(CL44&lt;=BN$13,BM$13,IF(CL44&lt;=BN$14,BM$14,0.05)))))))</f>
        <v/>
      </c>
      <c r="CW44" s="1930">
        <f>CV44*CL44</f>
        <v/>
      </c>
      <c r="CX44" s="596" t="n"/>
      <c r="CY44" s="596">
        <f>IF(CO44&lt;=BQ$4,BP$4,IF(CO44&lt;=BQ$5,BP$5,IF(CO44&lt;=BQ$6,BP$6,IF(CO44&lt;=BQ$7,BP$7,IF(CO44&lt;=BQ$12,BP$12,IF(CO44&lt;=BQ$13,BP$13,IF(CO44&lt;=BQ$14,BP$14,0.05)))))))</f>
        <v/>
      </c>
      <c r="CZ44" s="1930">
        <f>CY44*CO44</f>
        <v/>
      </c>
      <c r="DA44" s="596" t="n"/>
      <c r="DB44" s="596">
        <f>IF(CR44&lt;=BT$4,BS$4,IF(CR44&lt;=BT$5,BS$5,IF(CR44&lt;=BT$6,BS$6,IF(CR44&lt;=BT$7,BS$7,IF(CR44&lt;=BT$12,BS$12,IF(CR44&lt;=BT$13,BS$13,IF(CR44&lt;=BT$14,BS$14,0.05)))))))</f>
        <v/>
      </c>
      <c r="DC44" s="1930">
        <f>DB44*SUM(CZ44,CW44,CR44)</f>
        <v/>
      </c>
      <c r="DD44" s="596" t="n"/>
      <c r="DE44" s="1931">
        <f>IF(CU44&lt;=BW$4,BV$4,IF(CU44&lt;=BW$5,BV$5,IF(CU44&lt;=BW$6,BV$6,IF(CU44&lt;=BW$7,BV$7,IF(CU44&lt;=BW$12,BV$12,IF(CU44&lt;=BW$13,BV$13,IF(CU44&lt;=BW$14,BV$14,0.05)))))))</f>
        <v/>
      </c>
      <c r="DF44" s="1930">
        <f>DE44*CU44</f>
        <v/>
      </c>
      <c r="DH44" s="1932">
        <f>0.07*SUM(CR44,CW44,CZ44,DC44,DF44)</f>
        <v/>
      </c>
      <c r="DJ44" s="1932">
        <f>SUM(DH44,DF44,DC44,CZ44,CW44,CR44)</f>
        <v/>
      </c>
      <c r="DK44" s="1933">
        <f>SUM(DF44,DC44,CZ44,CW44)</f>
        <v/>
      </c>
      <c r="DL44" s="596">
        <f>DK44/DJ44</f>
        <v/>
      </c>
    </row>
    <row r="45" customFormat="1" s="585">
      <c r="A45" s="1084" t="n"/>
      <c r="B45" s="1083" t="n"/>
      <c r="C45" s="2003">
        <f>C44</f>
        <v/>
      </c>
      <c r="D45" s="741">
        <f>(A45*B45*C45)*IF($E$42="8 hour days",8,10)</f>
        <v/>
      </c>
      <c r="E45" s="733" t="n"/>
      <c r="F45" s="742">
        <f>I45/(D45/C45)</f>
        <v/>
      </c>
      <c r="G45" s="743" t="inlineStr">
        <is>
          <t>Floor Type</t>
        </is>
      </c>
      <c r="H45" s="744" t="n"/>
      <c r="I45" s="2002">
        <f>H26</f>
        <v/>
      </c>
      <c r="J45" s="2002">
        <f>I26</f>
        <v/>
      </c>
      <c r="K45" s="747">
        <f>J45/I45</f>
        <v/>
      </c>
      <c r="L45" s="738" t="n">
        <v>3</v>
      </c>
      <c r="M45" s="738" t="n">
        <v>3.5</v>
      </c>
      <c r="N45" s="585" t="inlineStr">
        <is>
          <t>1,500 sf - 2,500</t>
        </is>
      </c>
      <c r="O45" s="1458" t="inlineStr">
        <is>
          <t>Days</t>
        </is>
      </c>
      <c r="P45" s="784" t="n">
        <v>1.5</v>
      </c>
      <c r="Q45" s="784" t="n">
        <v>1</v>
      </c>
      <c r="R45" s="784" t="n">
        <v>0.5</v>
      </c>
      <c r="S45" s="784" t="n">
        <v>1</v>
      </c>
      <c r="T45" s="1334" t="n">
        <v>0</v>
      </c>
      <c r="U45" s="784" t="n">
        <v>0.5</v>
      </c>
      <c r="V45" s="1334" t="n">
        <v>0</v>
      </c>
      <c r="W45" s="784" t="n">
        <v>0.5</v>
      </c>
      <c r="AA45" s="1458" t="inlineStr">
        <is>
          <t>Days</t>
        </is>
      </c>
      <c r="AB45" s="784" t="n">
        <v>1.5</v>
      </c>
      <c r="AC45" s="784" t="n">
        <v>1</v>
      </c>
      <c r="AD45" s="784" t="n">
        <v>0.5</v>
      </c>
      <c r="AE45" s="784" t="n">
        <v>1</v>
      </c>
      <c r="AF45" s="1473" t="n"/>
      <c r="AG45" s="784" t="n">
        <v>0.5</v>
      </c>
      <c r="AH45" s="1473" t="n"/>
      <c r="AI45" s="784" t="n">
        <v>0.5</v>
      </c>
      <c r="AV45" s="1930" t="n">
        <v>37000</v>
      </c>
      <c r="AW45" s="1930" t="n"/>
      <c r="AX45" s="1930" t="n"/>
      <c r="AY45" s="1930">
        <f>AV45</f>
        <v/>
      </c>
      <c r="AZ45" s="1930" t="n"/>
      <c r="BA45" s="1930" t="n"/>
      <c r="BB45" s="1930">
        <f>AV45+AY45</f>
        <v/>
      </c>
      <c r="BC45" s="1930" t="n"/>
      <c r="BD45" s="1930" t="n"/>
      <c r="BE45" s="1930">
        <f>BB45</f>
        <v/>
      </c>
      <c r="BF45" s="596">
        <f>IF(AV45&lt;=#REF!,#REF!,IF(AV45&lt;=#REF!,#REF!,IF(AV45&lt;=#REF!,#REF!,IF(AV45&lt;=#REF!,#REF!,IF(AV45&lt;=#REF!,#REF!,IF(AV45&lt;=#REF!,#REF!,IF(AV45&lt;=#REF!,#REF!,0.05)))))))</f>
        <v/>
      </c>
      <c r="BG45" s="1930">
        <f>BF45*AV45</f>
        <v/>
      </c>
      <c r="BH45" s="596" t="n"/>
      <c r="BI45" s="596">
        <f>IF(AY45&lt;=#REF!,#REF!,IF(AY45&lt;=#REF!,#REF!,IF(AY45&lt;=#REF!,#REF!,IF(AY45&lt;=#REF!,#REF!,IF(AY45&lt;=#REF!,#REF!,IF(AY45&lt;=#REF!,#REF!,IF(AY45&lt;=#REF!,#REF!,0.05)))))))</f>
        <v/>
      </c>
      <c r="BJ45" s="1930">
        <f>BI45*AY45</f>
        <v/>
      </c>
      <c r="BK45" s="596" t="n"/>
      <c r="BL45" s="596">
        <f>IF(BB45&lt;=#REF!,#REF!,IF(BB45&lt;=#REF!,#REF!,IF(BB45&lt;=#REF!,#REF!,IF(BB45&lt;=#REF!,#REF!,IF(BB45&lt;=#REF!,#REF!,IF(BB45&lt;=#REF!,#REF!,IF(BB45&lt;=#REF!,#REF!,0.05)))))))</f>
        <v/>
      </c>
      <c r="BM45" s="1930">
        <f>BL45*SUM(BJ45,BG45,BB45)</f>
        <v/>
      </c>
      <c r="BN45" s="596" t="n"/>
      <c r="BO45" s="1931">
        <f>IF(BE45&lt;=#REF!,#REF!,IF(BE45&lt;=#REF!,#REF!,IF(BE45&lt;=#REF!,#REF!,IF(BE45&lt;=#REF!,#REF!,IF(BE45&lt;=#REF!,#REF!,IF(BE45&lt;=#REF!,#REF!,IF(BE45&lt;=#REF!,#REF!,0.05)))))))</f>
        <v/>
      </c>
      <c r="BP45" s="1930">
        <f>BO45*BE45</f>
        <v/>
      </c>
      <c r="BR45" s="1932">
        <f>0.07*SUM(BB45,BG45,BJ45,BM45,BP45)</f>
        <v/>
      </c>
      <c r="BT45" s="1932">
        <f>SUM(BR45,BP45,BM45,BJ45,BG45,BB45)</f>
        <v/>
      </c>
      <c r="BU45" s="1933">
        <f>SUM(BP45,BM45,BJ45,BG45)</f>
        <v/>
      </c>
      <c r="BV45" s="596">
        <f>BU45/BT45</f>
        <v/>
      </c>
      <c r="CL45" s="1930" t="n">
        <v>37000</v>
      </c>
      <c r="CM45" s="1930" t="n"/>
      <c r="CN45" s="1930" t="n"/>
      <c r="CO45" s="1930">
        <f>CL45</f>
        <v/>
      </c>
      <c r="CP45" s="1930" t="n"/>
      <c r="CQ45" s="1930" t="n"/>
      <c r="CR45" s="1930">
        <f>CL45+CO45</f>
        <v/>
      </c>
      <c r="CS45" s="1930" t="n"/>
      <c r="CT45" s="1930" t="n"/>
      <c r="CU45" s="1930">
        <f>CR45</f>
        <v/>
      </c>
      <c r="CV45" s="596">
        <f>IF(CL45&lt;=BN$4,BM$4,IF(CL45&lt;=BN$5,BM$5,IF(CL45&lt;=BN$6,BM$6,IF(CL45&lt;=BN$7,BM$7,IF(CL45&lt;=BN$12,BM$12,IF(CL45&lt;=BN$13,BM$13,IF(CL45&lt;=BN$14,BM$14,0.05)))))))</f>
        <v/>
      </c>
      <c r="CW45" s="1930">
        <f>CV45*CL45</f>
        <v/>
      </c>
      <c r="CX45" s="596" t="n"/>
      <c r="CY45" s="596">
        <f>IF(CO45&lt;=BQ$4,BP$4,IF(CO45&lt;=BQ$5,BP$5,IF(CO45&lt;=BQ$6,BP$6,IF(CO45&lt;=BQ$7,BP$7,IF(CO45&lt;=BQ$12,BP$12,IF(CO45&lt;=BQ$13,BP$13,IF(CO45&lt;=BQ$14,BP$14,0.05)))))))</f>
        <v/>
      </c>
      <c r="CZ45" s="1930">
        <f>CY45*CO45</f>
        <v/>
      </c>
      <c r="DA45" s="596" t="n"/>
      <c r="DB45" s="596">
        <f>IF(CR45&lt;=BT$4,BS$4,IF(CR45&lt;=BT$5,BS$5,IF(CR45&lt;=BT$6,BS$6,IF(CR45&lt;=BT$7,BS$7,IF(CR45&lt;=BT$12,BS$12,IF(CR45&lt;=BT$13,BS$13,IF(CR45&lt;=BT$14,BS$14,0.05)))))))</f>
        <v/>
      </c>
      <c r="DC45" s="1930">
        <f>DB45*SUM(CZ45,CW45,CR45)</f>
        <v/>
      </c>
      <c r="DD45" s="596" t="n"/>
      <c r="DE45" s="1931">
        <f>IF(CU45&lt;=BW$4,BV$4,IF(CU45&lt;=BW$5,BV$5,IF(CU45&lt;=BW$6,BV$6,IF(CU45&lt;=BW$7,BV$7,IF(CU45&lt;=BW$12,BV$12,IF(CU45&lt;=BW$13,BV$13,IF(CU45&lt;=BW$14,BV$14,0.05)))))))</f>
        <v/>
      </c>
      <c r="DF45" s="1930">
        <f>DE45*CU45</f>
        <v/>
      </c>
      <c r="DH45" s="1932">
        <f>0.07*SUM(CR45,CW45,CZ45,DC45,DF45)</f>
        <v/>
      </c>
      <c r="DJ45" s="1932">
        <f>SUM(DH45,DF45,DC45,CZ45,CW45,CR45)</f>
        <v/>
      </c>
      <c r="DK45" s="1933">
        <f>SUM(DF45,DC45,CZ45,CW45)</f>
        <v/>
      </c>
      <c r="DL45" s="596">
        <f>DK45/DJ45</f>
        <v/>
      </c>
    </row>
    <row r="46" customFormat="1" s="585">
      <c r="A46" s="1084" t="n"/>
      <c r="B46" s="1083" t="n"/>
      <c r="C46" s="2003">
        <f>C44</f>
        <v/>
      </c>
      <c r="D46" s="741">
        <f>(A46*B46*C46)*IF($E$42="8 hour days",8,10)</f>
        <v/>
      </c>
      <c r="E46" s="733" t="n"/>
      <c r="F46" s="742">
        <f>I46/(D46/C46)</f>
        <v/>
      </c>
      <c r="G46" s="743" t="inlineStr">
        <is>
          <t>Floor Type</t>
        </is>
      </c>
      <c r="H46" s="744" t="n"/>
      <c r="I46" s="2002">
        <f>H27</f>
        <v/>
      </c>
      <c r="J46" s="2002">
        <f>I27</f>
        <v/>
      </c>
      <c r="K46" s="747">
        <f>J46/I46</f>
        <v/>
      </c>
      <c r="L46" s="738" t="n">
        <v>4</v>
      </c>
      <c r="M46" s="738" t="n">
        <v>4.5</v>
      </c>
      <c r="N46" s="585" t="inlineStr">
        <is>
          <t>2,500 to 3,000</t>
        </is>
      </c>
      <c r="O46" s="1103" t="n"/>
      <c r="P46" s="585">
        <f>P44*P45</f>
        <v/>
      </c>
      <c r="Q46" s="585">
        <f>Q44*Q45</f>
        <v/>
      </c>
      <c r="R46" s="585">
        <f>R44*R45</f>
        <v/>
      </c>
      <c r="S46" s="585">
        <f>S44*S45</f>
        <v/>
      </c>
      <c r="T46" s="1066">
        <f>T44*T45</f>
        <v/>
      </c>
      <c r="U46" s="585">
        <f>U44*U45</f>
        <v/>
      </c>
      <c r="V46" s="1066">
        <f>V44*V45</f>
        <v/>
      </c>
      <c r="W46" s="585">
        <f>W44*W45</f>
        <v/>
      </c>
      <c r="AA46" s="1103" t="n"/>
      <c r="AB46" s="585">
        <f>AB44*AB45</f>
        <v/>
      </c>
      <c r="AC46" s="585">
        <f>AC44*AC45</f>
        <v/>
      </c>
      <c r="AD46" s="585">
        <f>AD44*AD45</f>
        <v/>
      </c>
      <c r="AE46" s="585">
        <f>AE44*AE45</f>
        <v/>
      </c>
      <c r="AF46" s="1066">
        <f>AF44*AF45</f>
        <v/>
      </c>
      <c r="AG46" s="585">
        <f>AG44*AG45</f>
        <v/>
      </c>
      <c r="AH46" s="1066">
        <f>AH44*AH45</f>
        <v/>
      </c>
      <c r="AI46" s="585">
        <f>AI44*AI45</f>
        <v/>
      </c>
      <c r="AV46" s="1930" t="n">
        <v>37000</v>
      </c>
      <c r="AW46" s="1930" t="n"/>
      <c r="AX46" s="1930" t="n"/>
      <c r="AY46" s="1930">
        <f>AV46</f>
        <v/>
      </c>
      <c r="AZ46" s="1930" t="n"/>
      <c r="BA46" s="1930" t="n"/>
      <c r="BB46" s="1930">
        <f>AV46+AY46</f>
        <v/>
      </c>
      <c r="BC46" s="1930" t="n"/>
      <c r="BD46" s="1930" t="n"/>
      <c r="BE46" s="1930">
        <f>BB46</f>
        <v/>
      </c>
      <c r="BF46" s="596">
        <f>IF(AV46&lt;=#REF!,#REF!,IF(AV46&lt;=#REF!,#REF!,IF(AV46&lt;=#REF!,#REF!,IF(AV46&lt;=#REF!,#REF!,IF(AV46&lt;=#REF!,#REF!,IF(AV46&lt;=#REF!,#REF!,IF(AV46&lt;=#REF!,#REF!,0.05)))))))</f>
        <v/>
      </c>
      <c r="BG46" s="1930">
        <f>BF46*AV46</f>
        <v/>
      </c>
      <c r="BH46" s="596" t="n"/>
      <c r="BI46" s="596">
        <f>IF(AY46&lt;=#REF!,#REF!,IF(AY46&lt;=#REF!,#REF!,IF(AY46&lt;=#REF!,#REF!,IF(AY46&lt;=#REF!,#REF!,IF(AY46&lt;=#REF!,#REF!,IF(AY46&lt;=#REF!,#REF!,IF(AY46&lt;=#REF!,#REF!,0.05)))))))</f>
        <v/>
      </c>
      <c r="BJ46" s="1930">
        <f>BI46*AY46</f>
        <v/>
      </c>
      <c r="BK46" s="596" t="n"/>
      <c r="BL46" s="596">
        <f>IF(BB46&lt;=#REF!,#REF!,IF(BB46&lt;=#REF!,#REF!,IF(BB46&lt;=#REF!,#REF!,IF(BB46&lt;=#REF!,#REF!,IF(BB46&lt;=#REF!,#REF!,IF(BB46&lt;=#REF!,#REF!,IF(BB46&lt;=#REF!,#REF!,0.05)))))))</f>
        <v/>
      </c>
      <c r="BM46" s="1930">
        <f>BL46*SUM(BJ46,BG46,BB46)</f>
        <v/>
      </c>
      <c r="BN46" s="596" t="n"/>
      <c r="BO46" s="1931">
        <f>IF(BE46&lt;=#REF!,#REF!,IF(BE46&lt;=#REF!,#REF!,IF(BE46&lt;=#REF!,#REF!,IF(BE46&lt;=#REF!,#REF!,IF(BE46&lt;=#REF!,#REF!,IF(BE46&lt;=#REF!,#REF!,IF(BE46&lt;=#REF!,#REF!,0.05)))))))</f>
        <v/>
      </c>
      <c r="BP46" s="1930">
        <f>BO46*BE46</f>
        <v/>
      </c>
      <c r="BR46" s="1932">
        <f>0.07*SUM(BB46,BG46,BJ46,BM46,BP46)</f>
        <v/>
      </c>
      <c r="BT46" s="1932">
        <f>SUM(BR46,BP46,BM46,BJ46,BG46,BB46)</f>
        <v/>
      </c>
      <c r="BU46" s="1933">
        <f>SUM(BP46,BM46,BJ46,BG46)</f>
        <v/>
      </c>
      <c r="BV46" s="596">
        <f>BU46/BT46</f>
        <v/>
      </c>
      <c r="CL46" s="1930" t="n">
        <v>37000</v>
      </c>
      <c r="CM46" s="1930" t="n"/>
      <c r="CN46" s="1930" t="n"/>
      <c r="CO46" s="1930">
        <f>CL46</f>
        <v/>
      </c>
      <c r="CP46" s="1930" t="n"/>
      <c r="CQ46" s="1930" t="n"/>
      <c r="CR46" s="1930">
        <f>CL46+CO46</f>
        <v/>
      </c>
      <c r="CS46" s="1930" t="n"/>
      <c r="CT46" s="1930" t="n"/>
      <c r="CU46" s="1930">
        <f>CR46</f>
        <v/>
      </c>
      <c r="CV46" s="596">
        <f>IF(CL46&lt;=BN$4,BM$4,IF(CL46&lt;=BN$5,BM$5,IF(CL46&lt;=BN$6,BM$6,IF(CL46&lt;=BN$7,BM$7,IF(CL46&lt;=BN$12,BM$12,IF(CL46&lt;=BN$13,BM$13,IF(CL46&lt;=BN$14,BM$14,0.05)))))))</f>
        <v/>
      </c>
      <c r="CW46" s="1930">
        <f>CV46*CL46</f>
        <v/>
      </c>
      <c r="CX46" s="596" t="n"/>
      <c r="CY46" s="596">
        <f>IF(CO46&lt;=BQ$4,BP$4,IF(CO46&lt;=BQ$5,BP$5,IF(CO46&lt;=BQ$6,BP$6,IF(CO46&lt;=BQ$7,BP$7,IF(CO46&lt;=BQ$12,BP$12,IF(CO46&lt;=BQ$13,BP$13,IF(CO46&lt;=BQ$14,BP$14,0.05)))))))</f>
        <v/>
      </c>
      <c r="CZ46" s="1930">
        <f>CY46*CO46</f>
        <v/>
      </c>
      <c r="DA46" s="596" t="n"/>
      <c r="DB46" s="596">
        <f>IF(CR46&lt;=BT$4,BS$4,IF(CR46&lt;=BT$5,BS$5,IF(CR46&lt;=BT$6,BS$6,IF(CR46&lt;=BT$7,BS$7,IF(CR46&lt;=BT$12,BS$12,IF(CR46&lt;=BT$13,BS$13,IF(CR46&lt;=BT$14,BS$14,0.05)))))))</f>
        <v/>
      </c>
      <c r="DC46" s="1930">
        <f>DB46*SUM(CZ46,CW46,CR46)</f>
        <v/>
      </c>
      <c r="DD46" s="596" t="n"/>
      <c r="DE46" s="1931">
        <f>IF(CU46&lt;=BW$4,BV$4,IF(CU46&lt;=BW$5,BV$5,IF(CU46&lt;=BW$6,BV$6,IF(CU46&lt;=BW$7,BV$7,IF(CU46&lt;=BW$12,BV$12,IF(CU46&lt;=BW$13,BV$13,IF(CU46&lt;=BW$14,BV$14,0.05)))))))</f>
        <v/>
      </c>
      <c r="DF46" s="1930">
        <f>DE46*CU46</f>
        <v/>
      </c>
      <c r="DH46" s="1932">
        <f>0.07*SUM(CR46,CW46,CZ46,DC46,DF46)</f>
        <v/>
      </c>
      <c r="DJ46" s="1932">
        <f>SUM(DH46,DF46,DC46,CZ46,CW46,CR46)</f>
        <v/>
      </c>
      <c r="DK46" s="1933">
        <f>SUM(DF46,DC46,CZ46,CW46)</f>
        <v/>
      </c>
      <c r="DL46" s="596">
        <f>DK46/DJ46</f>
        <v/>
      </c>
    </row>
    <row r="47" customFormat="1" s="585">
      <c r="A47" s="1084" t="n"/>
      <c r="B47" s="1083" t="n"/>
      <c r="C47" s="2003">
        <f>C44</f>
        <v/>
      </c>
      <c r="D47" s="741">
        <f>(A47*B47*C47)*IF($E$42="8 hour days",8,10)</f>
        <v/>
      </c>
      <c r="E47" s="733" t="n"/>
      <c r="F47" s="742">
        <f>I47/(D47/C47)</f>
        <v/>
      </c>
      <c r="G47" s="743" t="inlineStr">
        <is>
          <t>Floor Type</t>
        </is>
      </c>
      <c r="H47" s="744" t="n"/>
      <c r="I47" s="2004">
        <f>H27</f>
        <v/>
      </c>
      <c r="J47" s="2005">
        <f>I27</f>
        <v/>
      </c>
      <c r="K47" s="747">
        <f>J47/I47</f>
        <v/>
      </c>
      <c r="L47" s="738" t="n">
        <v>4.5</v>
      </c>
      <c r="M47" s="738" t="n">
        <v>5</v>
      </c>
      <c r="N47" s="585" t="inlineStr">
        <is>
          <t>3,000 +</t>
        </is>
      </c>
      <c r="P47" s="1134">
        <f>SUM(P46:W46)</f>
        <v/>
      </c>
      <c r="Q47" s="954" t="inlineStr">
        <is>
          <t>factor</t>
        </is>
      </c>
      <c r="AB47" s="1134">
        <f>SUM(AB46:AI46)</f>
        <v/>
      </c>
      <c r="AC47" s="954" t="inlineStr">
        <is>
          <t>factor</t>
        </is>
      </c>
      <c r="AV47" s="1930" t="n"/>
      <c r="AW47" s="1930" t="n"/>
      <c r="AX47" s="1930" t="n"/>
      <c r="AY47" s="1930" t="n"/>
      <c r="AZ47" s="1930" t="n"/>
      <c r="BA47" s="1930" t="n"/>
      <c r="BB47" s="1930" t="n"/>
      <c r="BC47" s="1930" t="n"/>
      <c r="BD47" s="1930" t="n"/>
      <c r="BE47" s="1930" t="n"/>
      <c r="BF47" s="596" t="n"/>
      <c r="BG47" s="1930" t="n"/>
      <c r="BH47" s="596" t="n"/>
      <c r="BI47" s="596" t="n"/>
      <c r="BJ47" s="1930" t="n"/>
      <c r="BK47" s="596" t="n"/>
      <c r="BL47" s="596" t="n"/>
      <c r="BM47" s="1930" t="n"/>
      <c r="BN47" s="596" t="n"/>
      <c r="BO47" s="1931" t="n"/>
      <c r="BP47" s="1930" t="n"/>
      <c r="BR47" s="1932" t="n"/>
      <c r="BT47" s="1932" t="n"/>
      <c r="BU47" s="1933" t="n"/>
      <c r="BV47" s="596" t="n"/>
      <c r="CL47" s="1930" t="n"/>
      <c r="CM47" s="1930" t="n"/>
      <c r="CN47" s="1930" t="n"/>
      <c r="CO47" s="1930" t="n"/>
      <c r="CP47" s="1930" t="n"/>
      <c r="CQ47" s="1930" t="n"/>
      <c r="CR47" s="1930" t="n"/>
      <c r="CS47" s="1930" t="n"/>
      <c r="CT47" s="1930" t="n"/>
      <c r="CU47" s="1930" t="n"/>
      <c r="CV47" s="596" t="n"/>
      <c r="CW47" s="1930" t="n"/>
      <c r="CX47" s="596" t="n"/>
      <c r="CY47" s="596" t="n"/>
      <c r="CZ47" s="1930" t="n"/>
      <c r="DA47" s="596" t="n"/>
      <c r="DB47" s="596" t="n"/>
      <c r="DC47" s="1930" t="n"/>
      <c r="DD47" s="596" t="n"/>
      <c r="DE47" s="1931" t="n"/>
      <c r="DF47" s="1930" t="n"/>
      <c r="DH47" s="1932" t="n"/>
      <c r="DJ47" s="1932" t="n"/>
      <c r="DK47" s="1933" t="n"/>
      <c r="DL47" s="596" t="n"/>
    </row>
    <row r="48" customFormat="1" s="585">
      <c r="A48" s="750" t="inlineStr">
        <is>
          <t>Travel:             Guys</t>
        </is>
      </c>
      <c r="B48" s="751" t="inlineStr">
        <is>
          <t>Hours</t>
        </is>
      </c>
      <c r="C48" s="751" t="inlineStr">
        <is>
          <t>Rate</t>
        </is>
      </c>
      <c r="D48" s="752" t="n"/>
      <c r="E48" s="733" t="n"/>
      <c r="F48" s="753" t="n"/>
      <c r="G48" s="600" t="n"/>
      <c r="H48" s="1171" t="inlineStr">
        <is>
          <t>Sum of Above SF:</t>
        </is>
      </c>
      <c r="I48" s="2006">
        <f>SUM(I44:I47)</f>
        <v/>
      </c>
      <c r="J48" s="2006">
        <f>SUM(J44:J47)</f>
        <v/>
      </c>
      <c r="K48" s="1944" t="n"/>
      <c r="O48" s="2007">
        <f>O50/M38</f>
        <v/>
      </c>
      <c r="P48" s="1730" t="inlineStr">
        <is>
          <t>3rd of sf</t>
        </is>
      </c>
      <c r="AV48" s="1930" t="n">
        <v>38000</v>
      </c>
      <c r="AW48" s="1930" t="n"/>
      <c r="AX48" s="1930" t="n"/>
      <c r="AY48" s="1930">
        <f>AV48</f>
        <v/>
      </c>
      <c r="AZ48" s="1930" t="n"/>
      <c r="BA48" s="1930" t="n"/>
      <c r="BB48" s="1930">
        <f>AV48+AY48</f>
        <v/>
      </c>
      <c r="BC48" s="1930" t="n"/>
      <c r="BD48" s="1930" t="n"/>
      <c r="BE48" s="1930">
        <f>BB48</f>
        <v/>
      </c>
      <c r="BF48" s="596">
        <f>IF(AV48&lt;=#REF!,#REF!,IF(AV48&lt;=#REF!,#REF!,IF(AV48&lt;=#REF!,#REF!,IF(AV48&lt;=#REF!,#REF!,IF(AV48&lt;=#REF!,#REF!,IF(AV48&lt;=#REF!,#REF!,IF(AV48&lt;=#REF!,#REF!,0.05)))))))</f>
        <v/>
      </c>
      <c r="BG48" s="1930">
        <f>BF48*AV48</f>
        <v/>
      </c>
      <c r="BH48" s="596" t="n"/>
      <c r="BI48" s="596">
        <f>IF(AY48&lt;=#REF!,#REF!,IF(AY48&lt;=#REF!,#REF!,IF(AY48&lt;=#REF!,#REF!,IF(AY48&lt;=#REF!,#REF!,IF(AY48&lt;=#REF!,#REF!,IF(AY48&lt;=#REF!,#REF!,IF(AY48&lt;=#REF!,#REF!,0.05)))))))</f>
        <v/>
      </c>
      <c r="BJ48" s="1930">
        <f>BI48*AY48</f>
        <v/>
      </c>
      <c r="BK48" s="596" t="n"/>
      <c r="BL48" s="596">
        <f>IF(BB48&lt;=#REF!,#REF!,IF(BB48&lt;=#REF!,#REF!,IF(BB48&lt;=#REF!,#REF!,IF(BB48&lt;=#REF!,#REF!,IF(BB48&lt;=#REF!,#REF!,IF(BB48&lt;=#REF!,#REF!,IF(BB48&lt;=#REF!,#REF!,0.05)))))))</f>
        <v/>
      </c>
      <c r="BM48" s="1930">
        <f>BL48*SUM(BJ48,BG48,BB48)</f>
        <v/>
      </c>
      <c r="BN48" s="596" t="n"/>
      <c r="BO48" s="1931">
        <f>IF(BE48&lt;=#REF!,#REF!,IF(BE48&lt;=#REF!,#REF!,IF(BE48&lt;=#REF!,#REF!,IF(BE48&lt;=#REF!,#REF!,IF(BE48&lt;=#REF!,#REF!,IF(BE48&lt;=#REF!,#REF!,IF(BE48&lt;=#REF!,#REF!,0.05)))))))</f>
        <v/>
      </c>
      <c r="BP48" s="1930">
        <f>BO48*BE48</f>
        <v/>
      </c>
      <c r="BR48" s="1932">
        <f>0.07*SUM(BB48,BG48,BJ48,BM48,BP48)</f>
        <v/>
      </c>
      <c r="BT48" s="1932">
        <f>SUM(BR48,BP48,BM48,BJ48,BG48,BB48)</f>
        <v/>
      </c>
      <c r="BU48" s="1933">
        <f>SUM(BP48,BM48,BJ48,BG48)</f>
        <v/>
      </c>
      <c r="BV48" s="596">
        <f>BU48/BT48</f>
        <v/>
      </c>
      <c r="CL48" s="1930" t="n">
        <v>38000</v>
      </c>
      <c r="CM48" s="1930" t="n"/>
      <c r="CN48" s="1930" t="n"/>
      <c r="CO48" s="1930">
        <f>CL48</f>
        <v/>
      </c>
      <c r="CP48" s="1930" t="n"/>
      <c r="CQ48" s="1930" t="n"/>
      <c r="CR48" s="1930">
        <f>CL48+CO48</f>
        <v/>
      </c>
      <c r="CS48" s="1930" t="n"/>
      <c r="CT48" s="1930" t="n"/>
      <c r="CU48" s="1930">
        <f>CR48</f>
        <v/>
      </c>
      <c r="CV48" s="596">
        <f>IF(CL48&lt;=BN$4,BM$4,IF(CL48&lt;=BN$5,BM$5,IF(CL48&lt;=BN$6,BM$6,IF(CL48&lt;=BN$7,BM$7,IF(CL48&lt;=BN$12,BM$12,IF(CL48&lt;=BN$13,BM$13,IF(CL48&lt;=BN$14,BM$14,0.05)))))))</f>
        <v/>
      </c>
      <c r="CW48" s="1930">
        <f>CV48*CL48</f>
        <v/>
      </c>
      <c r="CX48" s="596" t="n"/>
      <c r="CY48" s="596">
        <f>IF(CO48&lt;=BQ$4,BP$4,IF(CO48&lt;=BQ$5,BP$5,IF(CO48&lt;=BQ$6,BP$6,IF(CO48&lt;=BQ$7,BP$7,IF(CO48&lt;=BQ$12,BP$12,IF(CO48&lt;=BQ$13,BP$13,IF(CO48&lt;=BQ$14,BP$14,0.05)))))))</f>
        <v/>
      </c>
      <c r="CZ48" s="1930">
        <f>CY48*CO48</f>
        <v/>
      </c>
      <c r="DA48" s="596" t="n"/>
      <c r="DB48" s="596">
        <f>IF(CR48&lt;=BT$4,BS$4,IF(CR48&lt;=BT$5,BS$5,IF(CR48&lt;=BT$6,BS$6,IF(CR48&lt;=BT$7,BS$7,IF(CR48&lt;=BT$12,BS$12,IF(CR48&lt;=BT$13,BS$13,IF(CR48&lt;=BT$14,BS$14,0.05)))))))</f>
        <v/>
      </c>
      <c r="DC48" s="1930">
        <f>DB48*SUM(CZ48,CW48,CR48)</f>
        <v/>
      </c>
      <c r="DD48" s="596" t="n"/>
      <c r="DE48" s="1931">
        <f>IF(CU48&lt;=BW$4,BV$4,IF(CU48&lt;=BW$5,BV$5,IF(CU48&lt;=BW$6,BV$6,IF(CU48&lt;=BW$7,BV$7,IF(CU48&lt;=BW$12,BV$12,IF(CU48&lt;=BW$13,BV$13,IF(CU48&lt;=BW$14,BV$14,0.05)))))))</f>
        <v/>
      </c>
      <c r="DF48" s="1930">
        <f>DE48*CU48</f>
        <v/>
      </c>
      <c r="DH48" s="1932">
        <f>0.07*SUM(CR48,CW48,CZ48,DC48,DF48)</f>
        <v/>
      </c>
      <c r="DJ48" s="1932">
        <f>SUM(DH48,DF48,DC48,CZ48,CW48,CR48)</f>
        <v/>
      </c>
      <c r="DK48" s="1933">
        <f>SUM(DF48,DC48,CZ48,CW48)</f>
        <v/>
      </c>
      <c r="DL48" s="596">
        <f>DK48/DJ48</f>
        <v/>
      </c>
    </row>
    <row r="49" customFormat="1" s="585">
      <c r="A49" s="1085">
        <f>(A44*B44)+(A45*B45)+(A46*B46)+(A47*B47)</f>
        <v/>
      </c>
      <c r="B49" s="1086">
        <f>Epoxy!B52</f>
        <v/>
      </c>
      <c r="C49" s="2008" t="n">
        <v>33</v>
      </c>
      <c r="D49" s="757">
        <f>(A49*B49*C49)</f>
        <v/>
      </c>
      <c r="E49" s="758">
        <f>Epoxy!E52</f>
        <v/>
      </c>
      <c r="F49" s="753" t="n"/>
      <c r="G49" s="705" t="n"/>
      <c r="H49" s="1143" t="n"/>
      <c r="I49" s="760">
        <f>(((D50-D49)/C44)/A44)/40</f>
        <v/>
      </c>
      <c r="J49" s="761" t="inlineStr">
        <is>
          <t># of 40 hour weeks</t>
        </is>
      </c>
      <c r="K49" s="2009" t="n"/>
      <c r="L49" s="763" t="n"/>
      <c r="M49" s="770" t="inlineStr">
        <is>
          <t>Holidays - Double Time</t>
        </is>
      </c>
      <c r="N49" s="763" t="n"/>
      <c r="O49" s="2007">
        <f>O50/M39</f>
        <v/>
      </c>
      <c r="P49" s="685" t="inlineStr">
        <is>
          <t>1/2 of sf</t>
        </is>
      </c>
      <c r="AA49" s="1382" t="inlineStr">
        <is>
          <t>(micro) Double Flake -or- Qrtz/ShpFlr</t>
        </is>
      </c>
      <c r="AB49" s="1476" t="n"/>
      <c r="AV49" s="1930" t="n">
        <v>39000</v>
      </c>
      <c r="AW49" s="1930" t="n"/>
      <c r="AX49" s="1930" t="n"/>
      <c r="AY49" s="1930">
        <f>AV49</f>
        <v/>
      </c>
      <c r="AZ49" s="1930" t="n"/>
      <c r="BA49" s="1930" t="n"/>
      <c r="BB49" s="1930">
        <f>AV49+AY49</f>
        <v/>
      </c>
      <c r="BC49" s="1930" t="n"/>
      <c r="BD49" s="1930" t="n"/>
      <c r="BE49" s="1930">
        <f>BB49</f>
        <v/>
      </c>
      <c r="BF49" s="596">
        <f>IF(AV49&lt;=#REF!,#REF!,IF(AV49&lt;=#REF!,#REF!,IF(AV49&lt;=#REF!,#REF!,IF(AV49&lt;=#REF!,#REF!,IF(AV49&lt;=#REF!,#REF!,IF(AV49&lt;=#REF!,#REF!,IF(AV49&lt;=#REF!,#REF!,0.05)))))))</f>
        <v/>
      </c>
      <c r="BG49" s="1930">
        <f>BF49*AV49</f>
        <v/>
      </c>
      <c r="BH49" s="596" t="n"/>
      <c r="BI49" s="596">
        <f>IF(AY49&lt;=#REF!,#REF!,IF(AY49&lt;=#REF!,#REF!,IF(AY49&lt;=#REF!,#REF!,IF(AY49&lt;=#REF!,#REF!,IF(AY49&lt;=#REF!,#REF!,IF(AY49&lt;=#REF!,#REF!,IF(AY49&lt;=#REF!,#REF!,0.05)))))))</f>
        <v/>
      </c>
      <c r="BJ49" s="1930">
        <f>BI49*AY49</f>
        <v/>
      </c>
      <c r="BK49" s="596" t="n"/>
      <c r="BL49" s="596">
        <f>IF(BB49&lt;=#REF!,#REF!,IF(BB49&lt;=#REF!,#REF!,IF(BB49&lt;=#REF!,#REF!,IF(BB49&lt;=#REF!,#REF!,IF(BB49&lt;=#REF!,#REF!,IF(BB49&lt;=#REF!,#REF!,IF(BB49&lt;=#REF!,#REF!,0.05)))))))</f>
        <v/>
      </c>
      <c r="BM49" s="1930">
        <f>BL49*SUM(BJ49,BG49,BB49)</f>
        <v/>
      </c>
      <c r="BN49" s="596" t="n"/>
      <c r="BO49" s="1931">
        <f>IF(BE49&lt;=#REF!,#REF!,IF(BE49&lt;=#REF!,#REF!,IF(BE49&lt;=#REF!,#REF!,IF(BE49&lt;=#REF!,#REF!,IF(BE49&lt;=#REF!,#REF!,IF(BE49&lt;=#REF!,#REF!,IF(BE49&lt;=#REF!,#REF!,0.05)))))))</f>
        <v/>
      </c>
      <c r="BP49" s="1930">
        <f>BO49*BE49</f>
        <v/>
      </c>
      <c r="BR49" s="1932">
        <f>0.07*SUM(BB49,BG49,BJ49,BM49,BP49)</f>
        <v/>
      </c>
      <c r="BT49" s="1932">
        <f>SUM(BR49,BP49,BM49,BJ49,BG49,BB49)</f>
        <v/>
      </c>
      <c r="BU49" s="1933">
        <f>SUM(BP49,BM49,BJ49,BG49)</f>
        <v/>
      </c>
      <c r="BV49" s="596">
        <f>BU49/BT49</f>
        <v/>
      </c>
      <c r="CL49" s="1930" t="n">
        <v>39000</v>
      </c>
      <c r="CM49" s="1930" t="n"/>
      <c r="CN49" s="1930" t="n"/>
      <c r="CO49" s="1930">
        <f>CL49</f>
        <v/>
      </c>
      <c r="CP49" s="1930" t="n"/>
      <c r="CQ49" s="1930" t="n"/>
      <c r="CR49" s="1930">
        <f>CL49+CO49</f>
        <v/>
      </c>
      <c r="CS49" s="1930" t="n"/>
      <c r="CT49" s="1930" t="n"/>
      <c r="CU49" s="1930">
        <f>CR49</f>
        <v/>
      </c>
      <c r="CV49" s="596">
        <f>IF(CL49&lt;=BN$4,BM$4,IF(CL49&lt;=BN$5,BM$5,IF(CL49&lt;=BN$6,BM$6,IF(CL49&lt;=BN$7,BM$7,IF(CL49&lt;=BN$12,BM$12,IF(CL49&lt;=BN$13,BM$13,IF(CL49&lt;=BN$14,BM$14,0.05)))))))</f>
        <v/>
      </c>
      <c r="CW49" s="1930">
        <f>CV49*CL49</f>
        <v/>
      </c>
      <c r="CX49" s="596" t="n"/>
      <c r="CY49" s="596">
        <f>IF(CO49&lt;=BQ$4,BP$4,IF(CO49&lt;=BQ$5,BP$5,IF(CO49&lt;=BQ$6,BP$6,IF(CO49&lt;=BQ$7,BP$7,IF(CO49&lt;=BQ$12,BP$12,IF(CO49&lt;=BQ$13,BP$13,IF(CO49&lt;=BQ$14,BP$14,0.05)))))))</f>
        <v/>
      </c>
      <c r="CZ49" s="1930">
        <f>CY49*CO49</f>
        <v/>
      </c>
      <c r="DA49" s="596" t="n"/>
      <c r="DB49" s="596">
        <f>IF(CR49&lt;=BT$4,BS$4,IF(CR49&lt;=BT$5,BS$5,IF(CR49&lt;=BT$6,BS$6,IF(CR49&lt;=BT$7,BS$7,IF(CR49&lt;=BT$12,BS$12,IF(CR49&lt;=BT$13,BS$13,IF(CR49&lt;=BT$14,BS$14,0.05)))))))</f>
        <v/>
      </c>
      <c r="DC49" s="1930">
        <f>DB49*SUM(CZ49,CW49,CR49)</f>
        <v/>
      </c>
      <c r="DD49" s="596" t="n"/>
      <c r="DE49" s="1931">
        <f>IF(CU49&lt;=BW$4,BV$4,IF(CU49&lt;=BW$5,BV$5,IF(CU49&lt;=BW$6,BV$6,IF(CU49&lt;=BW$7,BV$7,IF(CU49&lt;=BW$12,BV$12,IF(CU49&lt;=BW$13,BV$13,IF(CU49&lt;=BW$14,BV$14,0.05)))))))</f>
        <v/>
      </c>
      <c r="DF49" s="1930">
        <f>DE49*CU49</f>
        <v/>
      </c>
      <c r="DH49" s="1932">
        <f>0.07*SUM(CR49,CW49,CZ49,DC49,DF49)</f>
        <v/>
      </c>
      <c r="DJ49" s="1932">
        <f>SUM(DH49,DF49,DC49,CZ49,CW49,CR49)</f>
        <v/>
      </c>
      <c r="DK49" s="1933">
        <f>SUM(DF49,DC49,CZ49,CW49)</f>
        <v/>
      </c>
      <c r="DL49" s="596">
        <f>DK49/DJ49</f>
        <v/>
      </c>
    </row>
    <row r="50" customFormat="1" s="585">
      <c r="A50" s="764" t="inlineStr">
        <is>
          <t xml:space="preserve">Install Labor </t>
        </is>
      </c>
      <c r="B50" s="765" t="n"/>
      <c r="C50" s="766" t="n"/>
      <c r="D50" s="2010">
        <f>ROUNDUP(SUM(D44:D49),0)</f>
        <v/>
      </c>
      <c r="E50" s="766">
        <f>D50/B42</f>
        <v/>
      </c>
      <c r="F50" s="766" t="inlineStr">
        <is>
          <t>Labor $/SF</t>
        </is>
      </c>
      <c r="G50" s="2011" t="n"/>
      <c r="H50" s="2012" t="n"/>
      <c r="I50" s="768">
        <f>ROUNDUP(I49,0)</f>
        <v/>
      </c>
      <c r="J50" s="769" t="inlineStr">
        <is>
          <t># of weeks rounded up</t>
        </is>
      </c>
      <c r="K50" s="2009" t="n"/>
      <c r="M50" s="763" t="inlineStr">
        <is>
          <t>New Year's Day</t>
        </is>
      </c>
      <c r="O50" s="1994">
        <f>I45</f>
        <v/>
      </c>
      <c r="P50" s="1459" t="inlineStr">
        <is>
          <t>SF for System</t>
        </is>
      </c>
      <c r="Q50" s="1995">
        <f>J45</f>
        <v/>
      </c>
      <c r="R50" s="699" t="inlineStr">
        <is>
          <t>LF Cove</t>
        </is>
      </c>
      <c r="S50" s="1462">
        <f>Q50/O50</f>
        <v/>
      </c>
      <c r="T50" s="1094" t="inlineStr">
        <is>
          <t>cove ratio</t>
        </is>
      </c>
      <c r="AA50" s="1994">
        <f>B42</f>
        <v/>
      </c>
      <c r="AB50" s="1459" t="inlineStr">
        <is>
          <t>SF for System</t>
        </is>
      </c>
      <c r="AC50" s="1995">
        <f>D42</f>
        <v/>
      </c>
      <c r="AD50" s="699" t="inlineStr">
        <is>
          <t>LF Cove</t>
        </is>
      </c>
      <c r="AE50" s="1462">
        <f>AC50/AA50</f>
        <v/>
      </c>
      <c r="AF50" s="1094" t="inlineStr">
        <is>
          <t>cove ratio</t>
        </is>
      </c>
    </row>
    <row r="51" ht="16.2" customFormat="1" customHeight="1" s="585" thickBot="1">
      <c r="A51" s="1527" t="inlineStr">
        <is>
          <t>Labor Escalation</t>
        </is>
      </c>
      <c r="B51" s="1533" t="inlineStr">
        <is>
          <t>(rate esc. only)</t>
        </is>
      </c>
      <c r="C51" s="1557">
        <f>IF(D5="Yes",5%,0)</f>
        <v/>
      </c>
      <c r="D51" s="2013">
        <f>ROUNDUP((D50*C51),0)</f>
        <v/>
      </c>
      <c r="E51" s="1556" t="inlineStr">
        <is>
          <t>+5%IFPWorLong Lead Job (12+ months)</t>
        </is>
      </c>
      <c r="F51" s="1558" t="n"/>
      <c r="G51" s="2014" t="n"/>
      <c r="H51" s="2015" t="n"/>
      <c r="I51" s="1526" t="n"/>
      <c r="J51" s="1043" t="n"/>
      <c r="K51" s="1944" t="n"/>
      <c r="M51" s="763" t="inlineStr">
        <is>
          <t>Memorial Day</t>
        </is>
      </c>
      <c r="O51" s="1481" t="inlineStr">
        <is>
          <t>(Avg.)   Guys</t>
        </is>
      </c>
      <c r="P51" s="1130" t="inlineStr">
        <is>
          <t>(Avg.)     Days</t>
        </is>
      </c>
      <c r="Q51" s="1091" t="inlineStr">
        <is>
          <t>Labor Value</t>
        </is>
      </c>
      <c r="R51" s="1138" t="inlineStr">
        <is>
          <t>Wage Rate</t>
        </is>
      </c>
      <c r="AA51" s="1132" t="inlineStr">
        <is>
          <t>(Avg.)   Guys</t>
        </is>
      </c>
      <c r="AB51" s="1130" t="inlineStr">
        <is>
          <t>(Avg.)     Days</t>
        </is>
      </c>
      <c r="AC51" s="1091" t="inlineStr">
        <is>
          <t>Labor Value</t>
        </is>
      </c>
      <c r="AD51" s="1138" t="inlineStr">
        <is>
          <t>Wage Rate</t>
        </is>
      </c>
    </row>
    <row r="52" customFormat="1" s="585">
      <c r="A52" s="771" t="inlineStr">
        <is>
          <t>Labor Burden</t>
        </is>
      </c>
      <c r="B52" s="766" t="n"/>
      <c r="C52" s="772" t="n">
        <v>0.12</v>
      </c>
      <c r="D52" s="2016">
        <f>ROUNDUP((D50+D51)*C52,0)</f>
        <v/>
      </c>
      <c r="E52" s="600" t="n"/>
      <c r="F52" s="600" t="n"/>
      <c r="G52" s="2017" t="n"/>
      <c r="H52" s="2017" t="n"/>
      <c r="I52" s="1585" t="inlineStr">
        <is>
          <t xml:space="preserve">               ** Cement Mason **              </t>
        </is>
      </c>
      <c r="J52" s="1586" t="n"/>
      <c r="K52" s="1587" t="inlineStr">
        <is>
          <t xml:space="preserve">                      ** Painter **                      </t>
        </is>
      </c>
      <c r="L52" s="1588" t="n"/>
      <c r="M52" s="763" t="inlineStr">
        <is>
          <t>July 4th</t>
        </is>
      </c>
      <c r="O52" s="1480" t="n">
        <v>3</v>
      </c>
      <c r="P52" s="1131">
        <f>P57/O52</f>
        <v/>
      </c>
      <c r="Q52" s="1999">
        <f>O52*P52*R52*8</f>
        <v/>
      </c>
      <c r="R52" s="2000">
        <f>C45</f>
        <v/>
      </c>
      <c r="AA52" s="1480" t="n">
        <v>3</v>
      </c>
      <c r="AB52" s="1131">
        <f>AB57/AA52</f>
        <v/>
      </c>
      <c r="AC52" s="1999">
        <f>AA52*AB52*AD52*8</f>
        <v/>
      </c>
      <c r="AD52" s="2000">
        <f>C44</f>
        <v/>
      </c>
    </row>
    <row r="53" customFormat="1" s="585">
      <c r="A53" s="600" t="n"/>
      <c r="B53" s="1877" t="n"/>
      <c r="C53" s="1944" t="n"/>
      <c r="D53" s="1944" t="n"/>
      <c r="E53" s="1944" t="n"/>
      <c r="F53" s="600" t="n"/>
      <c r="G53" s="600" t="n"/>
      <c r="H53" s="834" t="n"/>
      <c r="I53" s="1576" t="inlineStr">
        <is>
          <t>Prevailing Wage Rate:</t>
        </is>
      </c>
      <c r="J53" s="2018">
        <f>SUM(J54:J55)</f>
        <v/>
      </c>
      <c r="K53" s="1576" t="inlineStr">
        <is>
          <t>Prevailing Wage Rate:</t>
        </is>
      </c>
      <c r="L53" s="2018">
        <f>SUM(L54:L55)</f>
        <v/>
      </c>
      <c r="M53" s="763" t="inlineStr">
        <is>
          <t>Labor Day</t>
        </is>
      </c>
      <c r="O53" s="1456" t="inlineStr">
        <is>
          <t>UNIT</t>
        </is>
      </c>
      <c r="P53" s="1508" t="inlineStr">
        <is>
          <t>Prep / Patch</t>
        </is>
      </c>
      <c r="Q53" s="1508" t="inlineStr">
        <is>
          <t>Cove</t>
        </is>
      </c>
      <c r="R53" s="1508" t="inlineStr">
        <is>
          <t>Prime</t>
        </is>
      </c>
      <c r="S53" s="1508" t="inlineStr">
        <is>
          <t>Broadcast</t>
        </is>
      </c>
      <c r="T53" s="1509" t="inlineStr">
        <is>
          <t>(? double BC ?)</t>
        </is>
      </c>
      <c r="U53" s="1508" t="inlineStr">
        <is>
          <t>Grout</t>
        </is>
      </c>
      <c r="V53" s="1509" t="inlineStr">
        <is>
          <t>(? double Grout ?)</t>
        </is>
      </c>
      <c r="W53" s="1508" t="inlineStr">
        <is>
          <t>Topcoat</t>
        </is>
      </c>
      <c r="AA53" s="1456" t="inlineStr">
        <is>
          <t>UNIT</t>
        </is>
      </c>
      <c r="AB53" s="1508" t="inlineStr">
        <is>
          <t>Prep / Patch</t>
        </is>
      </c>
      <c r="AC53" s="1508" t="inlineStr">
        <is>
          <t>Cove</t>
        </is>
      </c>
      <c r="AD53" s="1508" t="inlineStr">
        <is>
          <t>Prime</t>
        </is>
      </c>
      <c r="AE53" s="1508" t="inlineStr">
        <is>
          <t>Broadcast</t>
        </is>
      </c>
      <c r="AF53" s="1509" t="inlineStr">
        <is>
          <t>(? double BC ?)</t>
        </is>
      </c>
      <c r="AG53" s="1508" t="inlineStr">
        <is>
          <t>Grout</t>
        </is>
      </c>
      <c r="AH53" s="1509" t="inlineStr">
        <is>
          <t>(? double Grout ?)</t>
        </is>
      </c>
      <c r="AI53" s="1508" t="inlineStr">
        <is>
          <t>Topcoat</t>
        </is>
      </c>
    </row>
    <row r="54" customFormat="1" s="585">
      <c r="A54" s="621" t="inlineStr">
        <is>
          <t>TOOLING &amp; CONSUMABLES</t>
        </is>
      </c>
      <c r="B54" s="622" t="inlineStr">
        <is>
          <t>Quantity</t>
        </is>
      </c>
      <c r="C54" s="778" t="inlineStr">
        <is>
          <t>Cost</t>
        </is>
      </c>
      <c r="D54" s="2019" t="inlineStr">
        <is>
          <t>Totals</t>
        </is>
      </c>
      <c r="E54" s="600" t="n"/>
      <c r="F54" s="600" t="n"/>
      <c r="G54" s="780" t="n"/>
      <c r="H54" s="834" t="n"/>
      <c r="I54" s="1578" t="inlineStr">
        <is>
          <t>rate =</t>
        </is>
      </c>
      <c r="J54" s="2020" t="n">
        <v>0</v>
      </c>
      <c r="K54" s="1578" t="inlineStr">
        <is>
          <t>rate =</t>
        </is>
      </c>
      <c r="L54" s="2020" t="n">
        <v>0</v>
      </c>
      <c r="M54" s="763" t="inlineStr">
        <is>
          <t>Thanksgiving</t>
        </is>
      </c>
      <c r="O54" s="1457" t="inlineStr">
        <is>
          <t>Guys</t>
        </is>
      </c>
      <c r="P54" s="1061" t="n">
        <v>3</v>
      </c>
      <c r="Q54" s="585">
        <f>P54</f>
        <v/>
      </c>
      <c r="R54" s="585">
        <f>P54</f>
        <v/>
      </c>
      <c r="S54" s="585">
        <f>P54</f>
        <v/>
      </c>
      <c r="T54" s="1066">
        <f>P54</f>
        <v/>
      </c>
      <c r="U54" s="585">
        <f>P54</f>
        <v/>
      </c>
      <c r="V54" s="1066">
        <f>P54</f>
        <v/>
      </c>
      <c r="W54" s="585">
        <f>P54</f>
        <v/>
      </c>
      <c r="AA54" s="1457" t="inlineStr">
        <is>
          <t>Guys</t>
        </is>
      </c>
      <c r="AB54" s="1061" t="n">
        <v>3</v>
      </c>
      <c r="AC54" s="585">
        <f>AB54</f>
        <v/>
      </c>
      <c r="AD54" s="585">
        <f>AB54</f>
        <v/>
      </c>
      <c r="AE54" s="585">
        <f>AB54</f>
        <v/>
      </c>
      <c r="AF54" s="1066">
        <f>AB54</f>
        <v/>
      </c>
      <c r="AG54" s="585">
        <f>AB54</f>
        <v/>
      </c>
      <c r="AH54" s="1407" t="n"/>
      <c r="AI54" s="585">
        <f>AB54</f>
        <v/>
      </c>
    </row>
    <row r="55" customFormat="1" s="585">
      <c r="A55" s="628" t="inlineStr">
        <is>
          <t>Moisture Test</t>
        </is>
      </c>
      <c r="B55" s="774">
        <f>ROUNDUP(IF(B42&gt;2000,B42/1000,2),0)</f>
        <v/>
      </c>
      <c r="C55" s="1944" t="n">
        <v>35</v>
      </c>
      <c r="D55" s="1962">
        <f>ROUNDUP(B55*C55,0)</f>
        <v/>
      </c>
      <c r="E55" s="600" t="n"/>
      <c r="F55" s="600" t="n"/>
      <c r="G55" s="2021" t="n"/>
      <c r="H55" s="782" t="n"/>
      <c r="I55" s="1580" t="inlineStr">
        <is>
          <t>+ fringes =</t>
        </is>
      </c>
      <c r="J55" s="2022" t="n">
        <v>0</v>
      </c>
      <c r="K55" s="1580" t="inlineStr">
        <is>
          <t>+ fringes =</t>
        </is>
      </c>
      <c r="L55" s="2022" t="n">
        <v>0</v>
      </c>
      <c r="M55" s="763" t="inlineStr">
        <is>
          <t>Christmas</t>
        </is>
      </c>
      <c r="O55" s="1458" t="inlineStr">
        <is>
          <t>Days</t>
        </is>
      </c>
      <c r="P55" s="784" t="n">
        <v>1.5</v>
      </c>
      <c r="Q55" s="784" t="n">
        <v>1</v>
      </c>
      <c r="R55" s="784" t="n">
        <v>0.5</v>
      </c>
      <c r="S55" s="784" t="n">
        <v>1</v>
      </c>
      <c r="T55" s="1334" t="n">
        <v>0</v>
      </c>
      <c r="U55" s="784" t="n">
        <v>0.5</v>
      </c>
      <c r="V55" s="1334" t="n">
        <v>0</v>
      </c>
      <c r="W55" s="784">
        <f>U55</f>
        <v/>
      </c>
      <c r="AA55" s="1458" t="inlineStr">
        <is>
          <t>Days</t>
        </is>
      </c>
      <c r="AB55" s="784" t="n">
        <v>1.5</v>
      </c>
      <c r="AC55" s="784" t="n">
        <v>1</v>
      </c>
      <c r="AD55" s="784" t="n">
        <v>0.5</v>
      </c>
      <c r="AE55" s="784" t="n">
        <v>1</v>
      </c>
      <c r="AF55" s="1334" t="n">
        <v>1</v>
      </c>
      <c r="AG55" s="784" t="n">
        <v>0.5</v>
      </c>
      <c r="AH55" s="1473" t="n"/>
      <c r="AI55" s="784" t="n">
        <v>0.5</v>
      </c>
    </row>
    <row r="56" customFormat="1" s="585">
      <c r="A56" s="628" t="inlineStr">
        <is>
          <t>Tooling &amp; Consumables</t>
        </is>
      </c>
      <c r="B56" s="774">
        <f>B42</f>
        <v/>
      </c>
      <c r="C56" s="1944" t="n">
        <v>0.33</v>
      </c>
      <c r="D56" s="1962">
        <f>ROUNDUP(IF((B56*C56)&gt;150,(B56*C56),150),0)</f>
        <v/>
      </c>
      <c r="E56" s="600" t="n"/>
      <c r="F56" s="600" t="n"/>
      <c r="G56" s="600" t="n"/>
      <c r="H56" s="774" t="n"/>
      <c r="I56" s="864" t="inlineStr">
        <is>
          <t xml:space="preserve">    Foreman *min. $32 Cement Mason</t>
        </is>
      </c>
      <c r="J56" s="2023" t="n"/>
      <c r="K56" s="864" t="inlineStr">
        <is>
          <t xml:space="preserve">          Foreman *min. $32 Painter</t>
        </is>
      </c>
      <c r="L56" s="2023" t="n"/>
      <c r="O56" s="1103" t="n"/>
      <c r="P56" s="585">
        <f>P54*P55</f>
        <v/>
      </c>
      <c r="Q56" s="585">
        <f>Q54*Q55</f>
        <v/>
      </c>
      <c r="R56" s="585">
        <f>R54*R55</f>
        <v/>
      </c>
      <c r="S56" s="585">
        <f>S54*S55</f>
        <v/>
      </c>
      <c r="T56" s="1066">
        <f>T54*T55</f>
        <v/>
      </c>
      <c r="U56" s="585">
        <f>U54*U55</f>
        <v/>
      </c>
      <c r="V56" s="1066">
        <f>V54*V55</f>
        <v/>
      </c>
      <c r="W56" s="585">
        <f>W54*W55</f>
        <v/>
      </c>
      <c r="AA56" s="1103" t="n"/>
      <c r="AB56" s="585">
        <f>AB54*AB55</f>
        <v/>
      </c>
      <c r="AC56" s="585">
        <f>AC54*AC55</f>
        <v/>
      </c>
      <c r="AD56" s="585">
        <f>AD54*AD55</f>
        <v/>
      </c>
      <c r="AE56" s="585">
        <f>AE54*AE55</f>
        <v/>
      </c>
      <c r="AF56" s="1066">
        <f>AF54*AF55</f>
        <v/>
      </c>
      <c r="AG56" s="585">
        <f>AG54*AG55</f>
        <v/>
      </c>
      <c r="AH56" s="1066">
        <f>AH54*AH55</f>
        <v/>
      </c>
      <c r="AI56" s="585">
        <f>AI54*AI55</f>
        <v/>
      </c>
    </row>
    <row r="57" ht="16.2" customFormat="1" customHeight="1" s="585" thickBot="1">
      <c r="A57" s="628" t="inlineStr">
        <is>
          <t>Demo Tooling (/sf)</t>
        </is>
      </c>
      <c r="B57" s="774" t="n"/>
      <c r="C57" s="1944" t="n">
        <v>0.33</v>
      </c>
      <c r="D57" s="1962">
        <f>ROUNDUP(B57*C57,0)</f>
        <v/>
      </c>
      <c r="E57" s="787" t="inlineStr">
        <is>
          <t>($0.17 glue/VCT/carpet or $0.33 demo tile)</t>
        </is>
      </c>
      <c r="F57" s="600" t="n"/>
      <c r="G57" s="600" t="n"/>
      <c r="H57" s="774" t="n"/>
      <c r="I57" s="1583" t="inlineStr">
        <is>
          <t xml:space="preserve">    (Entry *min. $23 Cement Mason)</t>
        </is>
      </c>
      <c r="J57" s="2024" t="n"/>
      <c r="K57" s="1583" t="inlineStr">
        <is>
          <t xml:space="preserve">          (Entry *min. $23 Painter)</t>
        </is>
      </c>
      <c r="L57" s="2024" t="n"/>
      <c r="P57" s="1134">
        <f>SUM(P56:W56)</f>
        <v/>
      </c>
      <c r="Q57" s="954" t="inlineStr">
        <is>
          <t>factor</t>
        </is>
      </c>
      <c r="AB57" s="1134">
        <f>SUM(AB56:AI56)</f>
        <v/>
      </c>
      <c r="AC57" s="954" t="inlineStr">
        <is>
          <t>factor</t>
        </is>
      </c>
    </row>
    <row r="58" ht="16.2" customFormat="1" customHeight="1" s="585" thickBot="1">
      <c r="A58" s="628" t="inlineStr">
        <is>
          <t>Plastic</t>
        </is>
      </c>
      <c r="B58" s="774" t="n"/>
      <c r="C58" s="1944" t="n"/>
      <c r="D58" s="1962">
        <f>ROUNDUP(B58*C58,0)</f>
        <v/>
      </c>
      <c r="E58" s="600" t="n"/>
      <c r="F58" s="600" t="n"/>
      <c r="G58" s="600" t="n"/>
      <c r="H58" s="782" t="n"/>
      <c r="I58" s="2025" t="inlineStr">
        <is>
          <t>1:1 "Entry" Half Wage</t>
        </is>
      </c>
      <c r="J58" s="2026">
        <f>IF((J53/2)&lt;23,23,(J53/2))</f>
        <v/>
      </c>
      <c r="K58" s="2027" t="inlineStr">
        <is>
          <t>1:1 "Entry" Half Wage</t>
        </is>
      </c>
      <c r="L58" s="2026">
        <f>IF((L53/2)&lt;23,23,(L53/2))</f>
        <v/>
      </c>
      <c r="AA58" s="1478" t="inlineStr">
        <is>
          <t>SLB / MDB</t>
        </is>
      </c>
    </row>
    <row r="59" ht="16.2" customFormat="1" customHeight="1" s="585" thickBot="1">
      <c r="A59" s="1565" t="inlineStr">
        <is>
          <t>Tooling and Consumables Total</t>
        </is>
      </c>
      <c r="B59" s="1566" t="n"/>
      <c r="C59" s="2028" t="n"/>
      <c r="D59" s="2029">
        <f>SUM(D55:D58)</f>
        <v/>
      </c>
      <c r="E59" s="600" t="n"/>
      <c r="F59" s="600" t="n"/>
      <c r="G59" s="662" t="n"/>
      <c r="H59" s="793" t="n"/>
      <c r="I59" s="1944" t="n"/>
      <c r="J59" s="1595" t="inlineStr">
        <is>
          <t xml:space="preserve"> "Entry" Laborer for MO "State" Wage ONLY</t>
        </is>
      </c>
      <c r="K59" s="1594" t="n"/>
      <c r="L59" s="590" t="inlineStr">
        <is>
          <t>NOT davis-bacon</t>
        </is>
      </c>
      <c r="AA59" s="1994">
        <f>B42</f>
        <v/>
      </c>
      <c r="AB59" s="1459" t="inlineStr">
        <is>
          <t>SF for System</t>
        </is>
      </c>
      <c r="AC59" s="1995">
        <f>D42</f>
        <v/>
      </c>
      <c r="AD59" s="699" t="inlineStr">
        <is>
          <t>LF Cove</t>
        </is>
      </c>
      <c r="AE59" s="1462">
        <f>AC59/AA59</f>
        <v/>
      </c>
      <c r="AF59" s="1094" t="inlineStr">
        <is>
          <t>cove ratio</t>
        </is>
      </c>
    </row>
    <row r="60" customFormat="1" s="585">
      <c r="A60" s="600" t="n"/>
      <c r="B60" s="1877" t="n"/>
      <c r="C60" s="1944" t="n"/>
      <c r="D60" s="1944" t="n"/>
      <c r="E60" s="600" t="n"/>
      <c r="F60" s="600" t="n"/>
      <c r="G60" s="600" t="n"/>
      <c r="H60" s="1046">
        <f>E42</f>
        <v/>
      </c>
      <c r="I60" s="714" t="n"/>
      <c r="J60" s="2031" t="n"/>
      <c r="AA60" s="1132" t="inlineStr">
        <is>
          <t>(Avg.)   Guys</t>
        </is>
      </c>
      <c r="AB60" s="1130" t="inlineStr">
        <is>
          <t>(Avg.)     Days</t>
        </is>
      </c>
      <c r="AC60" s="1091" t="inlineStr">
        <is>
          <t>Labor Value</t>
        </is>
      </c>
      <c r="AD60" s="1138" t="inlineStr">
        <is>
          <t>Wage Rate</t>
        </is>
      </c>
    </row>
    <row r="61" customFormat="1" s="585">
      <c r="A61" s="621" t="inlineStr">
        <is>
          <t>TRAVEL</t>
        </is>
      </c>
      <c r="B61" s="622" t="inlineStr">
        <is>
          <t>Quantity</t>
        </is>
      </c>
      <c r="C61" s="778" t="inlineStr">
        <is>
          <t>Cost</t>
        </is>
      </c>
      <c r="D61" s="2019" t="inlineStr">
        <is>
          <t>Totals</t>
        </is>
      </c>
      <c r="E61" s="600" t="n"/>
      <c r="F61" s="600" t="n"/>
      <c r="G61" s="1409" t="inlineStr">
        <is>
          <t xml:space="preserve">Total Man Hours </t>
        </is>
      </c>
      <c r="H61" s="1410">
        <f>(((A44*B44)+(A45*B45)+(A46*B46)+(A47*B47))*IF($E$42="8 hour days",8,10))+(A49*B49)</f>
        <v/>
      </c>
      <c r="I61" s="600" t="n"/>
      <c r="J61" s="1936" t="n"/>
      <c r="K61" s="1936" t="n"/>
      <c r="AA61" s="1480" t="n">
        <v>3</v>
      </c>
      <c r="AB61" s="1131">
        <f>AB66/AA61</f>
        <v/>
      </c>
      <c r="AC61" s="1999">
        <f>AA61*AB61*AD61*8</f>
        <v/>
      </c>
      <c r="AD61" s="2000">
        <f>C44</f>
        <v/>
      </c>
    </row>
    <row r="62" customFormat="1" s="585">
      <c r="A62" s="628" t="inlineStr">
        <is>
          <t>Travel - Lodging</t>
        </is>
      </c>
      <c r="B62" s="774">
        <f>IF(B4="No",((D50-D49)/C44)/8)</f>
        <v/>
      </c>
      <c r="C62" s="1944" t="n">
        <v>70</v>
      </c>
      <c r="D62" s="1962">
        <f>ROUNDUP(B62*C62,0)</f>
        <v/>
      </c>
      <c r="E62" s="600" t="n"/>
      <c r="F62" s="600" t="n"/>
      <c r="G62" s="1048" t="inlineStr">
        <is>
          <t xml:space="preserve">Total Days </t>
        </is>
      </c>
      <c r="H62" s="1389">
        <f>H61/IF($E$42="8 hour days",8,10)/H63</f>
        <v/>
      </c>
      <c r="I62" s="1944" t="n"/>
      <c r="J62" s="1928" t="n"/>
      <c r="AA62" s="1456" t="inlineStr">
        <is>
          <t>UNIT</t>
        </is>
      </c>
      <c r="AB62" s="1508" t="inlineStr">
        <is>
          <t>Prep / Patch</t>
        </is>
      </c>
      <c r="AC62" s="1508" t="inlineStr">
        <is>
          <t>Cove</t>
        </is>
      </c>
      <c r="AD62" s="1508" t="inlineStr">
        <is>
          <t xml:space="preserve">Prime  </t>
        </is>
      </c>
      <c r="AE62" s="1712" t="inlineStr">
        <is>
          <t>SL/MD +Broadcast</t>
        </is>
      </c>
      <c r="AF62" s="1509" t="inlineStr">
        <is>
          <t>(? double BC ?)</t>
        </is>
      </c>
      <c r="AG62" s="1508" t="inlineStr">
        <is>
          <t>Grout</t>
        </is>
      </c>
      <c r="AH62" s="1509" t="inlineStr">
        <is>
          <t>(? double Grout ?)</t>
        </is>
      </c>
      <c r="AI62" s="1508" t="inlineStr">
        <is>
          <t>Topcoat</t>
        </is>
      </c>
    </row>
    <row r="63" customFormat="1" s="585">
      <c r="A63" s="628" t="inlineStr">
        <is>
          <t>Travel - Food</t>
        </is>
      </c>
      <c r="B63" s="774">
        <f>B62</f>
        <v/>
      </c>
      <c r="C63" s="1944" t="n">
        <v>45</v>
      </c>
      <c r="D63" s="1962">
        <f>ROUNDUP(B63*C63,0)</f>
        <v/>
      </c>
      <c r="E63" s="795" t="n"/>
      <c r="F63" s="600" t="n"/>
      <c r="G63" s="1444" t="inlineStr">
        <is>
          <t>^based on X crew size:</t>
        </is>
      </c>
      <c r="H63" s="2030">
        <f>A44</f>
        <v/>
      </c>
      <c r="I63" s="662" t="n"/>
      <c r="J63" s="1928" t="n"/>
      <c r="AA63" s="1457" t="inlineStr">
        <is>
          <t>Guys</t>
        </is>
      </c>
      <c r="AB63" s="1061" t="n">
        <v>3</v>
      </c>
      <c r="AC63" s="585">
        <f>AB63</f>
        <v/>
      </c>
      <c r="AD63" s="1407" t="n"/>
      <c r="AE63" s="585">
        <f>AB63</f>
        <v/>
      </c>
      <c r="AF63" s="1407" t="n"/>
      <c r="AG63" s="1407" t="n"/>
      <c r="AH63" s="1407" t="n"/>
      <c r="AI63" s="585">
        <f>AB63</f>
        <v/>
      </c>
    </row>
    <row r="64" customFormat="1" s="585">
      <c r="A64" s="628" t="n"/>
      <c r="B64" s="774" t="n"/>
      <c r="C64" s="1944" t="n"/>
      <c r="D64" s="1962" t="n"/>
      <c r="E64" s="600" t="n"/>
      <c r="F64" s="600" t="n"/>
      <c r="G64" s="600" t="n"/>
      <c r="H64" s="774" t="n"/>
      <c r="I64" s="1944" t="n"/>
      <c r="J64" s="1928" t="n"/>
      <c r="AA64" s="1458" t="inlineStr">
        <is>
          <t>Days</t>
        </is>
      </c>
      <c r="AB64" s="784" t="n">
        <v>1.5</v>
      </c>
      <c r="AC64" s="784" t="n">
        <v>1</v>
      </c>
      <c r="AD64" s="1473" t="n"/>
      <c r="AE64" s="784" t="n">
        <v>1</v>
      </c>
      <c r="AF64" s="1473" t="n"/>
      <c r="AG64" s="1473" t="n"/>
      <c r="AH64" s="1473" t="n"/>
      <c r="AI64" s="784" t="n">
        <v>0.5</v>
      </c>
    </row>
    <row r="65" customFormat="1" s="585">
      <c r="A65" s="1565" t="inlineStr">
        <is>
          <t>Travel Costs Total</t>
        </is>
      </c>
      <c r="B65" s="1566" t="n"/>
      <c r="C65" s="2028" t="n"/>
      <c r="D65" s="2029">
        <f>SUM(D62:D64)</f>
        <v/>
      </c>
      <c r="E65" s="600" t="n"/>
      <c r="F65" s="600" t="n"/>
      <c r="G65" s="662" t="n"/>
      <c r="H65" s="793" t="n"/>
      <c r="I65" s="714" t="n"/>
      <c r="J65" s="2031" t="n"/>
      <c r="AA65" s="1103" t="n"/>
      <c r="AB65" s="585">
        <f>AB63*AB64</f>
        <v/>
      </c>
      <c r="AC65" s="585">
        <f>AC63*AC64</f>
        <v/>
      </c>
      <c r="AD65" s="585">
        <f>AD63*AD64</f>
        <v/>
      </c>
      <c r="AE65" s="585">
        <f>AE63*AE64</f>
        <v/>
      </c>
      <c r="AF65" s="1066">
        <f>AF63*AF64</f>
        <v/>
      </c>
      <c r="AG65" s="585">
        <f>AG63*AG64</f>
        <v/>
      </c>
      <c r="AH65" s="1066">
        <f>AH63*AH64</f>
        <v/>
      </c>
      <c r="AI65" s="585">
        <f>AI63*AI64</f>
        <v/>
      </c>
    </row>
    <row r="66" customFormat="1" s="585">
      <c r="A66" s="600" t="n"/>
      <c r="B66" s="1877" t="n"/>
      <c r="C66" s="1944" t="n"/>
      <c r="D66" s="1944" t="n"/>
      <c r="E66" s="600" t="n"/>
      <c r="F66" s="600" t="n"/>
      <c r="G66" s="600" t="n"/>
      <c r="I66" s="714" t="n"/>
      <c r="J66" s="2031" t="n"/>
      <c r="AB66" s="1134">
        <f>SUM(AB65:AI65)</f>
        <v/>
      </c>
      <c r="AC66" s="954" t="inlineStr">
        <is>
          <t>factor</t>
        </is>
      </c>
    </row>
    <row r="67" customFormat="1" s="585">
      <c r="A67" s="796" t="inlineStr">
        <is>
          <t>SUB-TOTAL COSTS</t>
        </is>
      </c>
      <c r="B67" s="797" t="n"/>
      <c r="C67" s="2032" t="n"/>
      <c r="D67" s="2033">
        <f>ROUNDUP(SUM(D40,D50:D52,D59,D65),0)</f>
        <v/>
      </c>
      <c r="E67" s="2034">
        <f>D67/B42</f>
        <v/>
      </c>
      <c r="F67" s="801" t="inlineStr">
        <is>
          <t>Sub-Total $/SF</t>
        </is>
      </c>
      <c r="G67" s="600" t="n"/>
      <c r="AA67" s="1479" t="inlineStr">
        <is>
          <t>Hybrid Double BC</t>
        </is>
      </c>
    </row>
    <row r="68" customFormat="1" s="585">
      <c r="A68" s="600" t="n"/>
      <c r="B68" s="1877" t="n"/>
      <c r="C68" s="1944" t="n"/>
      <c r="D68" s="1944" t="n"/>
      <c r="E68" s="600" t="n"/>
      <c r="F68" s="600" t="n"/>
      <c r="G68" s="600" t="n"/>
      <c r="AA68" s="1994">
        <f>B42</f>
        <v/>
      </c>
      <c r="AB68" s="1459" t="inlineStr">
        <is>
          <t>SF for System</t>
        </is>
      </c>
      <c r="AC68" s="1995">
        <f>D42</f>
        <v/>
      </c>
      <c r="AD68" s="699" t="inlineStr">
        <is>
          <t>LF Cove</t>
        </is>
      </c>
      <c r="AE68" s="1462">
        <f>AC68/AA68</f>
        <v/>
      </c>
      <c r="AF68" s="1094" t="inlineStr">
        <is>
          <t>cove ratio</t>
        </is>
      </c>
    </row>
    <row r="69" customFormat="1" s="585">
      <c r="A69" s="621" t="inlineStr">
        <is>
          <t>MARKUP</t>
        </is>
      </c>
      <c r="B69" s="622" t="inlineStr">
        <is>
          <t>%</t>
        </is>
      </c>
      <c r="C69" s="2035" t="n"/>
      <c r="D69" s="2019" t="inlineStr">
        <is>
          <t>Totals</t>
        </is>
      </c>
      <c r="E69" s="600" t="n"/>
      <c r="F69" s="2036">
        <f>SUM(D67,D79,D82)</f>
        <v/>
      </c>
      <c r="G69" s="811" t="inlineStr">
        <is>
          <t>Total "Estimated Costs" w/taxes + fees + bond</t>
        </is>
      </c>
      <c r="H69" s="812" t="n"/>
      <c r="I69" s="2037">
        <f>F69/C84</f>
        <v/>
      </c>
      <c r="AA69" s="1132" t="inlineStr">
        <is>
          <t>(Avg.)   Guys</t>
        </is>
      </c>
      <c r="AB69" s="1130" t="inlineStr">
        <is>
          <t>(Avg.)     Days</t>
        </is>
      </c>
      <c r="AC69" s="1091" t="inlineStr">
        <is>
          <t>Labor Value</t>
        </is>
      </c>
      <c r="AD69" s="1138" t="inlineStr">
        <is>
          <t>Wage Rate</t>
        </is>
      </c>
    </row>
    <row r="70" customFormat="1" s="585">
      <c r="A70" s="817" t="inlineStr">
        <is>
          <t>GP (before lines below)</t>
        </is>
      </c>
      <c r="B70" s="122">
        <f>IF(D67&lt;6500,0.52,IF(D67&lt;15000,0.45,IF(D67&lt;22500,0.35,IF(D67&lt;32500,0.32,0.3))))</f>
        <v/>
      </c>
      <c r="C70" s="1944" t="n"/>
      <c r="D70" s="2038">
        <f>ROUNDUP(SUM(D67,D77,D80)/(1-B70),0)-ROUNDUP(SUM(D67,D77,D80),0)</f>
        <v/>
      </c>
      <c r="E70" s="600" t="n"/>
      <c r="F70" s="2039">
        <f>(((A44*B44)+(A45*B45)+(A46*B46)+(A47*B47))*IF($E$42="8 hour days",8,10))+(A49*B49)</f>
        <v/>
      </c>
      <c r="G70" s="815" t="inlineStr">
        <is>
          <t>Man Hour Budget (Raken)</t>
        </is>
      </c>
      <c r="H70" s="815" t="n"/>
      <c r="AA70" s="1480" t="n">
        <v>3</v>
      </c>
      <c r="AB70" s="1131">
        <f>AB75/AA70</f>
        <v/>
      </c>
      <c r="AC70" s="1999">
        <f>AA70*AB70*AD70*8</f>
        <v/>
      </c>
      <c r="AD70" s="2000">
        <f>C44</f>
        <v/>
      </c>
    </row>
    <row r="71" customFormat="1" s="585">
      <c r="A71" s="817" t="inlineStr">
        <is>
          <t>Hard Bid Discount</t>
        </is>
      </c>
      <c r="B71" s="2040">
        <f>IF(B5="yes",IF(D67&gt;=60000,-0.04,IF(B4="yes",IF(D67&gt;=13000,-0.025,0))))</f>
        <v/>
      </c>
      <c r="C71" s="1944" t="n"/>
      <c r="D71" s="1962">
        <f>ROUNDUP(SUM(D67,D70)*B71,0)</f>
        <v/>
      </c>
      <c r="E71" s="600" t="n"/>
      <c r="F71" s="2041">
        <f>F84/H62</f>
        <v/>
      </c>
      <c r="G71" s="1447" t="inlineStr">
        <is>
          <t>GP per Day</t>
        </is>
      </c>
      <c r="H71" s="809">
        <f>E42</f>
        <v/>
      </c>
      <c r="AA71" s="1456" t="inlineStr">
        <is>
          <t>UNIT</t>
        </is>
      </c>
      <c r="AB71" s="1508" t="inlineStr">
        <is>
          <t>Prep / Patch</t>
        </is>
      </c>
      <c r="AC71" s="1508" t="inlineStr">
        <is>
          <t>Cove</t>
        </is>
      </c>
      <c r="AD71" s="1508" t="inlineStr">
        <is>
          <t>Prime</t>
        </is>
      </c>
      <c r="AE71" s="1712" t="inlineStr">
        <is>
          <t>SL + Broadcast</t>
        </is>
      </c>
      <c r="AF71" s="1509" t="inlineStr">
        <is>
          <t>(? double BC ?)</t>
        </is>
      </c>
      <c r="AG71" s="1508" t="inlineStr">
        <is>
          <t>Grout</t>
        </is>
      </c>
      <c r="AH71" s="1474" t="inlineStr">
        <is>
          <t>(? double Grout ?)</t>
        </is>
      </c>
      <c r="AI71" s="1508" t="inlineStr">
        <is>
          <t>Topcoat</t>
        </is>
      </c>
    </row>
    <row r="72" customFormat="1" s="585">
      <c r="A72" s="628" t="inlineStr">
        <is>
          <t>Superintendent &amp; PTO</t>
        </is>
      </c>
      <c r="B72" s="819" t="n">
        <v>0.03</v>
      </c>
      <c r="C72" s="2042" t="n"/>
      <c r="D72" s="1962">
        <f>ROUNDUP(SUM(D67:D71,D74,D77,D80)*B72,0)</f>
        <v/>
      </c>
      <c r="E72" s="600" t="n"/>
      <c r="AA72" s="1457" t="inlineStr">
        <is>
          <t>Guys</t>
        </is>
      </c>
      <c r="AB72" s="1061" t="n">
        <v>3</v>
      </c>
      <c r="AC72" s="585">
        <f>AB72</f>
        <v/>
      </c>
      <c r="AD72" s="1407" t="n"/>
      <c r="AE72" s="585">
        <f>AB72</f>
        <v/>
      </c>
      <c r="AF72" s="1066">
        <f>AB72</f>
        <v/>
      </c>
      <c r="AG72" s="585">
        <f>AB72</f>
        <v/>
      </c>
      <c r="AH72" s="1066">
        <f>AB72</f>
        <v/>
      </c>
      <c r="AI72" s="585">
        <f>AB72</f>
        <v/>
      </c>
    </row>
    <row r="73" customFormat="1" s="585">
      <c r="A73" s="628" t="inlineStr">
        <is>
          <t>Soft Costs</t>
        </is>
      </c>
      <c r="B73" s="819" t="n">
        <v>0.13</v>
      </c>
      <c r="C73" s="2042" t="n"/>
      <c r="D73" s="1962">
        <f>(ROUNDUP(SUM(D67:D72,D74,D77,D80)*B73,0))+0</f>
        <v/>
      </c>
      <c r="E73" s="600" t="n"/>
      <c r="F73" s="600" t="n"/>
      <c r="G73" s="1877" t="n"/>
      <c r="I73" s="2043" t="n"/>
      <c r="AA73" s="1458" t="inlineStr">
        <is>
          <t>Days</t>
        </is>
      </c>
      <c r="AB73" s="784" t="n">
        <v>1.5</v>
      </c>
      <c r="AC73" s="784" t="n">
        <v>1</v>
      </c>
      <c r="AD73" s="1473" t="n"/>
      <c r="AE73" s="784" t="n">
        <v>1</v>
      </c>
      <c r="AF73" s="1334" t="n">
        <v>1</v>
      </c>
      <c r="AG73" s="784" t="n">
        <v>0.5</v>
      </c>
      <c r="AH73" s="1475" t="n">
        <v>0.5</v>
      </c>
      <c r="AI73" s="784" t="n">
        <v>0.5</v>
      </c>
    </row>
    <row r="74" customFormat="1" s="585">
      <c r="A74" s="820" t="inlineStr">
        <is>
          <t>Contingency</t>
        </is>
      </c>
      <c r="B74" s="1575" t="inlineStr">
        <is>
          <t>-- ?? --&gt;</t>
        </is>
      </c>
      <c r="C74" s="2044" t="n"/>
      <c r="D74" s="2045" t="n">
        <v>0</v>
      </c>
      <c r="E74" s="600" t="n"/>
      <c r="J74" s="809" t="n"/>
      <c r="AA74" s="1103" t="n"/>
      <c r="AB74" s="585">
        <f>AB72*AB73</f>
        <v/>
      </c>
      <c r="AC74" s="585">
        <f>AC72*AC73</f>
        <v/>
      </c>
      <c r="AD74" s="585">
        <f>AD72*AD73</f>
        <v/>
      </c>
      <c r="AE74" s="585">
        <f>AE72*AE73</f>
        <v/>
      </c>
      <c r="AF74" s="1066">
        <f>AF72*AF73</f>
        <v/>
      </c>
      <c r="AG74" s="585">
        <f>AG72*AG73</f>
        <v/>
      </c>
      <c r="AH74" s="1066">
        <f>AH72*AH73</f>
        <v/>
      </c>
      <c r="AI74" s="585">
        <f>AI72*AI73</f>
        <v/>
      </c>
    </row>
    <row r="75" customFormat="1" s="585">
      <c r="A75" s="600" t="n"/>
      <c r="B75" s="1877" t="n"/>
      <c r="C75" s="1944" t="n"/>
      <c r="D75" s="1944" t="n"/>
      <c r="E75" s="600" t="n"/>
      <c r="AB75" s="1134">
        <f>SUM(AB74:AI74)</f>
        <v/>
      </c>
      <c r="AC75" s="954" t="inlineStr">
        <is>
          <t>factor</t>
        </is>
      </c>
    </row>
    <row r="76" customFormat="1" s="585">
      <c r="A76" s="621" t="inlineStr">
        <is>
          <t>TAXES &amp; FEES</t>
        </is>
      </c>
      <c r="B76" s="622" t="inlineStr">
        <is>
          <t>%</t>
        </is>
      </c>
      <c r="C76" s="778" t="n"/>
      <c r="D76" s="2019" t="inlineStr">
        <is>
          <t>Totals</t>
        </is>
      </c>
      <c r="E76" s="600" t="n"/>
      <c r="J76" s="2046">
        <f>(J79-J77-J78)</f>
        <v/>
      </c>
      <c r="K76" s="590" t="n"/>
      <c r="AA76" s="1543" t="inlineStr">
        <is>
          <t>Gard</t>
        </is>
      </c>
    </row>
    <row r="77" customFormat="1" s="585">
      <c r="A77" s="628" t="inlineStr">
        <is>
          <t>Sales Tax</t>
        </is>
      </c>
      <c r="B77" s="2047">
        <f>IF($B$6="no",0,0.09475)</f>
        <v/>
      </c>
      <c r="C77" s="2042" t="n"/>
      <c r="D77" s="1962">
        <f>ROUNDUP(SUM(D40)*B77,0)</f>
        <v/>
      </c>
      <c r="E77" s="600" t="n"/>
      <c r="J77" s="2046" t="n"/>
      <c r="K77" s="585" t="inlineStr">
        <is>
          <t>sales tax (enter rounded)</t>
        </is>
      </c>
      <c r="AA77" s="1994">
        <f>B42</f>
        <v/>
      </c>
      <c r="AB77" s="1459" t="inlineStr">
        <is>
          <t>SF for System</t>
        </is>
      </c>
      <c r="AC77" s="1995">
        <f>D42</f>
        <v/>
      </c>
      <c r="AD77" s="699" t="inlineStr">
        <is>
          <t>LF Cove</t>
        </is>
      </c>
      <c r="AE77" s="1462">
        <f>AC77/AA77</f>
        <v/>
      </c>
      <c r="AF77" s="1094" t="inlineStr">
        <is>
          <t>cove ratio</t>
        </is>
      </c>
    </row>
    <row r="78" customFormat="1" s="585">
      <c r="A78" s="804">
        <f>Polish!A75</f>
        <v/>
      </c>
      <c r="B78" s="2048">
        <f>IF(D6="yes",0.1,0)</f>
        <v/>
      </c>
      <c r="C78" s="1944" t="n"/>
      <c r="D78" s="1962">
        <f>ROUNDUP(SUM(D50:D52,D59,D65,D70:D74,D80)*B78,0)</f>
        <v/>
      </c>
      <c r="E78" s="758">
        <f>IF(D6="yes","*10% is placeholder. Adjust to actual if project awarded"," ")</f>
        <v/>
      </c>
      <c r="J78" s="2049" t="n"/>
      <c r="K78" s="784" t="inlineStr">
        <is>
          <t>ks remodel (enter rounded)</t>
        </is>
      </c>
      <c r="AA78" s="1132" t="inlineStr">
        <is>
          <t>(Avg.)   Guys</t>
        </is>
      </c>
      <c r="AB78" s="1130" t="inlineStr">
        <is>
          <t>(Avg.)     Days</t>
        </is>
      </c>
      <c r="AC78" s="1091" t="inlineStr">
        <is>
          <t>Labor Value</t>
        </is>
      </c>
      <c r="AD78" s="1138" t="inlineStr">
        <is>
          <t>Wage Rate</t>
        </is>
      </c>
    </row>
    <row r="79" customFormat="1" s="585">
      <c r="A79" s="1565" t="inlineStr">
        <is>
          <t>Total Taxes</t>
        </is>
      </c>
      <c r="B79" s="1566" t="n"/>
      <c r="C79" s="2028" t="n"/>
      <c r="D79" s="2029">
        <f>SUM(D77:D78)</f>
        <v/>
      </c>
      <c r="E79" s="758" t="n"/>
      <c r="J79" s="2046">
        <f>D85</f>
        <v/>
      </c>
      <c r="K79" s="590" t="inlineStr">
        <is>
          <t>total</t>
        </is>
      </c>
      <c r="AA79" s="1480" t="n">
        <v>3</v>
      </c>
      <c r="AB79" s="1131">
        <f>AB84/AA79</f>
        <v/>
      </c>
      <c r="AC79" s="1999">
        <f>AA79*AB79*AD79*8</f>
        <v/>
      </c>
      <c r="AD79" s="2000">
        <f>C44</f>
        <v/>
      </c>
    </row>
    <row r="80" customFormat="1" s="585">
      <c r="A80" s="628" t="inlineStr">
        <is>
          <t>Fees + Textura + ?</t>
        </is>
      </c>
      <c r="B80" s="2047" t="n"/>
      <c r="C80" s="1944" t="n"/>
      <c r="D80" s="1962">
        <f>ROUNDUP(B80*C80,0)</f>
        <v/>
      </c>
      <c r="E80" s="600" t="n"/>
      <c r="F80" s="600" t="n"/>
      <c r="G80" s="600" t="n"/>
      <c r="AA80" s="1456" t="inlineStr">
        <is>
          <t>UNIT</t>
        </is>
      </c>
      <c r="AB80" s="1508" t="inlineStr">
        <is>
          <t>Prep / Patch</t>
        </is>
      </c>
      <c r="AC80" s="1542" t="inlineStr">
        <is>
          <t>Cove</t>
        </is>
      </c>
      <c r="AD80" s="1508" t="inlineStr">
        <is>
          <t xml:space="preserve">Prime  </t>
        </is>
      </c>
      <c r="AE80" s="1508" t="inlineStr">
        <is>
          <t>Body/Gard</t>
        </is>
      </c>
      <c r="AF80" s="1509" t="inlineStr">
        <is>
          <t>(? double BC ?)</t>
        </is>
      </c>
      <c r="AG80" s="1508" t="inlineStr">
        <is>
          <t>Grout</t>
        </is>
      </c>
      <c r="AH80" s="1509" t="inlineStr">
        <is>
          <t>(? double Grout ?)</t>
        </is>
      </c>
      <c r="AI80" s="1508" t="inlineStr">
        <is>
          <t>Topcoat</t>
        </is>
      </c>
    </row>
    <row r="81" customFormat="1" s="585">
      <c r="A81" s="635" t="inlineStr">
        <is>
          <t>Bond</t>
        </is>
      </c>
      <c r="B81" s="806" t="n">
        <v>0</v>
      </c>
      <c r="C81" s="1948" t="n"/>
      <c r="D81" s="2050">
        <f>ROUNDUP(SUM(D67,D70,D71,D72:D74,D77,D78:D80)*B81,0)</f>
        <v/>
      </c>
      <c r="E81" s="600" t="n"/>
      <c r="F81" s="600" t="n"/>
      <c r="G81" s="600" t="n"/>
      <c r="AA81" s="1457" t="inlineStr">
        <is>
          <t>Guys</t>
        </is>
      </c>
      <c r="AB81" s="1061" t="n">
        <v>3</v>
      </c>
      <c r="AC81" s="1066">
        <f>AB81</f>
        <v/>
      </c>
      <c r="AD81" s="585">
        <f>AB81</f>
        <v/>
      </c>
      <c r="AE81" s="585">
        <f>AB81</f>
        <v/>
      </c>
      <c r="AF81" s="1407" t="n"/>
      <c r="AG81" s="1407" t="n"/>
      <c r="AH81" s="1407" t="n"/>
      <c r="AI81" s="585">
        <f>AB81</f>
        <v/>
      </c>
    </row>
    <row r="82" customFormat="1" s="585">
      <c r="A82" s="789" t="inlineStr">
        <is>
          <t>Total Fees + Bond</t>
        </is>
      </c>
      <c r="B82" s="790" t="n"/>
      <c r="C82" s="2051" t="n"/>
      <c r="D82" s="2052">
        <f>ROUNDUP(SUM(D80:D81),0)</f>
        <v/>
      </c>
      <c r="E82" s="600" t="n"/>
      <c r="F82" s="600" t="n"/>
      <c r="AA82" s="1458" t="inlineStr">
        <is>
          <t>Days</t>
        </is>
      </c>
      <c r="AB82" s="784" t="n">
        <v>1.5</v>
      </c>
      <c r="AC82" s="1334" t="n">
        <v>1</v>
      </c>
      <c r="AD82" s="784" t="n">
        <v>0.5</v>
      </c>
      <c r="AE82" s="784" t="n">
        <v>1</v>
      </c>
      <c r="AF82" s="1473" t="n"/>
      <c r="AG82" s="1473" t="n"/>
      <c r="AH82" s="1473" t="n"/>
      <c r="AI82" s="784" t="n">
        <v>0.5</v>
      </c>
    </row>
    <row r="83" customFormat="1" s="585">
      <c r="A83" s="600" t="n"/>
      <c r="B83" s="821" t="n"/>
      <c r="C83" s="1944" t="n"/>
      <c r="D83" s="1944" t="n"/>
      <c r="E83" s="600" t="n"/>
      <c r="F83" s="759" t="inlineStr">
        <is>
          <t>Mark Up + Conting.</t>
        </is>
      </c>
      <c r="G83" s="822" t="inlineStr">
        <is>
          <t>GP / MH</t>
        </is>
      </c>
      <c r="H83" s="1618" t="inlineStr">
        <is>
          <t>MarkUp + Soft Costs</t>
        </is>
      </c>
      <c r="I83" s="823" t="n"/>
      <c r="J83" s="1191" t="n"/>
      <c r="K83" s="1433" t="inlineStr">
        <is>
          <t>For PM's Reference</t>
        </is>
      </c>
      <c r="L83" s="1191" t="n"/>
      <c r="AA83" s="1103" t="n"/>
      <c r="AB83" s="585">
        <f>AB81*AB82</f>
        <v/>
      </c>
      <c r="AC83" s="1066">
        <f>AC81*AC82</f>
        <v/>
      </c>
      <c r="AD83" s="585">
        <f>AD81*AD82</f>
        <v/>
      </c>
      <c r="AE83" s="585">
        <f>AE81*AE82</f>
        <v/>
      </c>
      <c r="AF83" s="1066">
        <f>AF81*AF82</f>
        <v/>
      </c>
      <c r="AG83" s="585">
        <f>AG81*AG82</f>
        <v/>
      </c>
      <c r="AH83" s="1066">
        <f>AH81*AH82</f>
        <v/>
      </c>
      <c r="AI83" s="585">
        <f>AI81*AI82</f>
        <v/>
      </c>
    </row>
    <row r="84" ht="16.2" customFormat="1" customHeight="1" s="585" thickBot="1">
      <c r="A84" s="600" t="n"/>
      <c r="B84" s="825" t="inlineStr">
        <is>
          <t>Square Footage:</t>
        </is>
      </c>
      <c r="C84" s="2053">
        <f>B42</f>
        <v/>
      </c>
      <c r="D84" s="1944" t="n"/>
      <c r="E84" s="705" t="inlineStr">
        <is>
          <t>Less Sales Tax</t>
        </is>
      </c>
      <c r="F84" s="2054">
        <f>SUM(D70,D71,D74)</f>
        <v/>
      </c>
      <c r="G84" s="2055">
        <f>F84/F70</f>
        <v/>
      </c>
      <c r="H84" s="2056">
        <f>SUM(D70:D74)</f>
        <v/>
      </c>
      <c r="J84" s="824" t="inlineStr">
        <is>
          <t>Material + Tooling %</t>
        </is>
      </c>
      <c r="K84" s="822" t="inlineStr">
        <is>
          <t>Labor %</t>
        </is>
      </c>
      <c r="L84" s="822" t="inlineStr">
        <is>
          <t>Travel %</t>
        </is>
      </c>
      <c r="AB84" s="1134">
        <f>SUM(AB83:AI83)</f>
        <v/>
      </c>
      <c r="AC84" s="954" t="inlineStr">
        <is>
          <t>factor</t>
        </is>
      </c>
    </row>
    <row r="85" ht="16.2" customFormat="1" customHeight="1" s="585" thickBot="1">
      <c r="A85" s="829" t="inlineStr">
        <is>
          <t>TOTAL</t>
        </is>
      </c>
      <c r="B85" s="830" t="n"/>
      <c r="C85" s="2057">
        <f>D85/C84</f>
        <v/>
      </c>
      <c r="D85" s="2058">
        <f>SUM(D67,D70:D74,D79,D82)</f>
        <v/>
      </c>
      <c r="E85" s="1944">
        <f>D85-(D77+D78)</f>
        <v/>
      </c>
      <c r="F85" s="2059">
        <f>F84/(D85)</f>
        <v/>
      </c>
      <c r="G85" s="2055">
        <f>C44</f>
        <v/>
      </c>
      <c r="H85" s="2060">
        <f>H84/D85</f>
        <v/>
      </c>
      <c r="I85" s="1625" t="inlineStr">
        <is>
          <t>42% = Epoxy Goal</t>
        </is>
      </c>
      <c r="J85" s="828">
        <f>(H40+D59)/D85</f>
        <v/>
      </c>
      <c r="K85" s="828">
        <f>(SUM(D50:D52)/D85)</f>
        <v/>
      </c>
      <c r="L85" s="828">
        <f>D65/D85</f>
        <v/>
      </c>
    </row>
    <row r="86" customFormat="1" s="585">
      <c r="A86" s="834" t="n"/>
      <c r="B86" s="600" t="inlineStr">
        <is>
          <t xml:space="preserve"> </t>
        </is>
      </c>
      <c r="C86" s="1944">
        <f>D86/C84</f>
        <v/>
      </c>
      <c r="D86" s="1944">
        <f>D85-D78</f>
        <v/>
      </c>
      <c r="E86" s="753" t="inlineStr">
        <is>
          <t>(less ks remodel tax)</t>
        </is>
      </c>
      <c r="F86" s="1876" t="n"/>
      <c r="G86" s="1621" t="inlineStr">
        <is>
          <t>LaborRate from Above</t>
        </is>
      </c>
      <c r="H86" s="590" t="n"/>
      <c r="I86" s="1632" t="inlineStr">
        <is>
          <t>(epx: 42% &amp; pol: 45%)</t>
        </is>
      </c>
    </row>
    <row r="87" customFormat="1" s="585">
      <c r="A87" s="834" t="n"/>
      <c r="B87" s="2021" t="n"/>
      <c r="C87" s="2062" t="n"/>
      <c r="D87" s="2062" t="n"/>
      <c r="E87" s="753" t="n"/>
      <c r="J87" s="2061">
        <f>SUM(D40,D59)</f>
        <v/>
      </c>
      <c r="K87" s="1099">
        <f>J87/J90</f>
        <v/>
      </c>
      <c r="L87" s="1100" t="inlineStr">
        <is>
          <t>Material+Tooling</t>
        </is>
      </c>
      <c r="M87" s="759" t="inlineStr">
        <is>
          <t>% Breakdown</t>
        </is>
      </c>
    </row>
    <row r="88" customFormat="1" s="585">
      <c r="A88" s="834" t="n"/>
      <c r="B88" s="2021" t="n"/>
      <c r="C88" s="2062" t="n"/>
      <c r="D88" s="2062" t="n"/>
      <c r="E88" s="753" t="n"/>
      <c r="J88" s="2063">
        <f>SUM(D50:D52,D65)</f>
        <v/>
      </c>
      <c r="K88" s="1102">
        <f>J88/J90</f>
        <v/>
      </c>
      <c r="L88" s="1103" t="inlineStr">
        <is>
          <t>Labor + Travel</t>
        </is>
      </c>
      <c r="M88" s="600" t="n"/>
    </row>
    <row r="89" customFormat="1" s="585">
      <c r="A89" s="633" t="n"/>
      <c r="B89" s="1945" t="n"/>
      <c r="C89" s="1952" t="n"/>
      <c r="D89" s="1952" t="n"/>
      <c r="E89" s="1877" t="n"/>
      <c r="J89" s="2064">
        <f>SUM(D70:D74,D79,D82)</f>
        <v/>
      </c>
      <c r="K89" s="1105">
        <f>J89/J90</f>
        <v/>
      </c>
      <c r="L89" s="1106" t="inlineStr">
        <is>
          <t>Mark-Up + Taxes</t>
        </is>
      </c>
      <c r="M89" s="600" t="n"/>
    </row>
    <row r="90" customFormat="1" s="585">
      <c r="A90" s="633" t="n"/>
      <c r="B90" s="1945" t="n"/>
      <c r="C90" s="1952" t="n"/>
      <c r="D90" s="1952" t="n"/>
      <c r="E90" s="1877" t="n"/>
      <c r="J90" s="2064">
        <f>SUM(J87:J89)</f>
        <v/>
      </c>
      <c r="K90" s="1107">
        <f>SUM(K87:K89)</f>
        <v/>
      </c>
      <c r="L90" s="1106" t="inlineStr">
        <is>
          <t>Total</t>
        </is>
      </c>
    </row>
    <row r="91" customFormat="1" s="585">
      <c r="A91" s="633" t="n"/>
      <c r="B91" s="1945" t="n"/>
      <c r="C91" s="1952" t="n"/>
      <c r="D91" s="1952" t="n"/>
      <c r="E91" s="1877" t="n"/>
    </row>
    <row r="92" ht="21" customFormat="1" customHeight="1" s="585">
      <c r="A92" s="2065" t="inlineStr">
        <is>
          <t>System Step &amp; Day Count</t>
        </is>
      </c>
      <c r="B92" s="2066" t="n"/>
      <c r="C92" s="2066" t="n"/>
      <c r="D92" s="2066" t="n"/>
      <c r="E92" s="2066" t="n"/>
      <c r="F92" s="2066" t="n"/>
      <c r="G92" s="2066" t="n"/>
      <c r="H92" s="2066" t="n"/>
      <c r="I92" s="2066" t="n"/>
      <c r="J92" s="2066" t="n"/>
      <c r="K92" s="2066" t="n"/>
      <c r="L92" s="2066" t="n"/>
      <c r="M92" s="2066" t="n"/>
      <c r="N92" s="2067" t="n"/>
    </row>
    <row r="93" customFormat="1" s="585">
      <c r="A93" s="687" t="n"/>
      <c r="B93" s="837" t="inlineStr">
        <is>
          <t>SLB &amp; MDB</t>
        </is>
      </c>
      <c r="C93" s="698" t="n"/>
      <c r="D93" s="837" t="inlineStr">
        <is>
          <t>Trowel Hybrid</t>
        </is>
      </c>
      <c r="E93" s="698" t="n"/>
      <c r="F93" s="837" t="inlineStr">
        <is>
          <t>Standard Hybrid</t>
        </is>
      </c>
      <c r="G93" s="698" t="n"/>
      <c r="H93" s="837" t="inlineStr">
        <is>
          <t>Quartz BC</t>
        </is>
      </c>
      <c r="I93" s="698" t="n"/>
      <c r="J93" s="837" t="inlineStr">
        <is>
          <t>Flake Double</t>
        </is>
      </c>
      <c r="K93" s="698" t="n"/>
      <c r="L93" s="837" t="inlineStr">
        <is>
          <t>Flake Single</t>
        </is>
      </c>
      <c r="M93" s="698" t="n"/>
      <c r="N93" s="837" t="inlineStr">
        <is>
          <t>Gard</t>
        </is>
      </c>
    </row>
    <row r="94" customFormat="1" s="585">
      <c r="A94" s="687" t="n">
        <v>1</v>
      </c>
      <c r="B94" s="687" t="inlineStr">
        <is>
          <t>Prep</t>
        </is>
      </c>
      <c r="C94" s="687" t="n">
        <v>1</v>
      </c>
      <c r="D94" s="687" t="inlineStr">
        <is>
          <t>Prep</t>
        </is>
      </c>
      <c r="E94" s="687" t="n">
        <v>1</v>
      </c>
      <c r="F94" s="687" t="inlineStr">
        <is>
          <t>Prep</t>
        </is>
      </c>
      <c r="G94" s="687" t="n">
        <v>1</v>
      </c>
      <c r="H94" s="687" t="inlineStr">
        <is>
          <t>Prep</t>
        </is>
      </c>
      <c r="I94" s="687" t="n">
        <v>1</v>
      </c>
      <c r="J94" s="687" t="inlineStr">
        <is>
          <t>Prep</t>
        </is>
      </c>
      <c r="K94" s="687" t="n">
        <v>1</v>
      </c>
      <c r="L94" s="687" t="inlineStr">
        <is>
          <t>Prep</t>
        </is>
      </c>
      <c r="M94" s="687" t="n">
        <v>1</v>
      </c>
      <c r="N94" s="687" t="inlineStr">
        <is>
          <t>Prep</t>
        </is>
      </c>
    </row>
    <row r="95" customFormat="1" s="585">
      <c r="A95" s="687" t="n">
        <v>2</v>
      </c>
      <c r="B95" s="687" t="inlineStr">
        <is>
          <t>SL/MD + Broadcast</t>
        </is>
      </c>
      <c r="C95" s="687" t="n">
        <v>2</v>
      </c>
      <c r="D95" s="687" t="inlineStr">
        <is>
          <t>SL + Broadcast</t>
        </is>
      </c>
      <c r="E95" s="687" t="n">
        <v>2</v>
      </c>
      <c r="F95" s="687" t="inlineStr">
        <is>
          <t>SL + Broadcast</t>
        </is>
      </c>
      <c r="G95" s="687" t="n">
        <v>2</v>
      </c>
      <c r="H95" s="687" t="inlineStr">
        <is>
          <t>Prime</t>
        </is>
      </c>
      <c r="I95" s="687" t="n">
        <v>2</v>
      </c>
      <c r="J95" s="687" t="inlineStr">
        <is>
          <t>Prime</t>
        </is>
      </c>
      <c r="K95" s="687" t="n">
        <v>2</v>
      </c>
      <c r="L95" s="687" t="inlineStr">
        <is>
          <t>Prime</t>
        </is>
      </c>
      <c r="M95" s="687" t="n">
        <v>2</v>
      </c>
      <c r="N95" s="687" t="inlineStr">
        <is>
          <t>Prime</t>
        </is>
      </c>
    </row>
    <row r="96" customFormat="1" s="585">
      <c r="A96" s="687" t="n">
        <v>3</v>
      </c>
      <c r="B96" s="687" t="inlineStr">
        <is>
          <t>Topcoat</t>
        </is>
      </c>
      <c r="C96" s="687" t="n">
        <v>3</v>
      </c>
      <c r="D96" s="687" t="inlineStr">
        <is>
          <t>Broadcast</t>
        </is>
      </c>
      <c r="E96" s="687" t="n">
        <v>3</v>
      </c>
      <c r="F96" s="687" t="inlineStr">
        <is>
          <t>Broadcast</t>
        </is>
      </c>
      <c r="G96" s="687" t="n">
        <v>3</v>
      </c>
      <c r="H96" s="687" t="inlineStr">
        <is>
          <t>Broadcast</t>
        </is>
      </c>
      <c r="I96" s="687" t="n">
        <v>3</v>
      </c>
      <c r="J96" s="687" t="inlineStr">
        <is>
          <t>Broadcast</t>
        </is>
      </c>
      <c r="K96" s="687" t="n">
        <v>3</v>
      </c>
      <c r="L96" s="687" t="inlineStr">
        <is>
          <t>Broadcast</t>
        </is>
      </c>
      <c r="M96" s="687" t="n">
        <v>3</v>
      </c>
      <c r="N96" s="687" t="inlineStr">
        <is>
          <t>Base Coat</t>
        </is>
      </c>
    </row>
    <row r="97" customFormat="1" s="585">
      <c r="A97" s="687" t="n">
        <v>4</v>
      </c>
      <c r="B97" s="687" t="inlineStr">
        <is>
          <t>Cove?</t>
        </is>
      </c>
      <c r="C97" s="687" t="n">
        <v>4</v>
      </c>
      <c r="D97" s="687" t="inlineStr">
        <is>
          <t>Grout</t>
        </is>
      </c>
      <c r="E97" s="687" t="n">
        <v>4</v>
      </c>
      <c r="F97" s="687" t="inlineStr">
        <is>
          <t>Grout</t>
        </is>
      </c>
      <c r="G97" s="687" t="n">
        <v>4</v>
      </c>
      <c r="H97" s="687" t="inlineStr">
        <is>
          <t>Broadcast</t>
        </is>
      </c>
      <c r="I97" s="687" t="n">
        <v>4</v>
      </c>
      <c r="J97" s="687" t="inlineStr">
        <is>
          <t>Broadcast</t>
        </is>
      </c>
      <c r="K97" s="687" t="n">
        <v>4</v>
      </c>
      <c r="L97" s="687" t="inlineStr">
        <is>
          <t>Grout</t>
        </is>
      </c>
      <c r="M97" s="687" t="n">
        <v>4</v>
      </c>
      <c r="N97" s="687" t="inlineStr">
        <is>
          <t>Topcoat</t>
        </is>
      </c>
    </row>
    <row r="98" customFormat="1" s="585">
      <c r="A98" s="687" t="n">
        <v>5</v>
      </c>
      <c r="B98" s="687" t="inlineStr">
        <is>
          <t>Extra Patch?</t>
        </is>
      </c>
      <c r="C98" s="687" t="n">
        <v>5</v>
      </c>
      <c r="D98" s="685" t="inlineStr">
        <is>
          <t>Extra Grout</t>
        </is>
      </c>
      <c r="E98" s="687" t="n">
        <v>5</v>
      </c>
      <c r="F98" s="687" t="inlineStr">
        <is>
          <t>Topcoat</t>
        </is>
      </c>
      <c r="G98" s="687" t="n">
        <v>5</v>
      </c>
      <c r="H98" s="687" t="inlineStr">
        <is>
          <t>Grout</t>
        </is>
      </c>
      <c r="I98" s="687" t="n">
        <v>5</v>
      </c>
      <c r="J98" s="687" t="inlineStr">
        <is>
          <t>Grout</t>
        </is>
      </c>
      <c r="K98" s="687" t="n">
        <v>5</v>
      </c>
      <c r="L98" s="687" t="inlineStr">
        <is>
          <t>Topcoat</t>
        </is>
      </c>
      <c r="M98" s="687" t="n">
        <v>5</v>
      </c>
      <c r="N98" s="687" t="inlineStr">
        <is>
          <t>Cove?</t>
        </is>
      </c>
    </row>
    <row r="99" customFormat="1" s="585">
      <c r="A99" s="687" t="n"/>
      <c r="B99" s="687" t="n"/>
      <c r="C99" s="687" t="n">
        <v>6</v>
      </c>
      <c r="D99" s="687" t="inlineStr">
        <is>
          <t>Topcoat</t>
        </is>
      </c>
      <c r="E99" s="687" t="n">
        <v>6</v>
      </c>
      <c r="F99" s="687" t="inlineStr">
        <is>
          <t>Cove?</t>
        </is>
      </c>
      <c r="G99" s="687" t="n">
        <v>6</v>
      </c>
      <c r="H99" s="687" t="inlineStr">
        <is>
          <t>Topcoat</t>
        </is>
      </c>
      <c r="I99" s="687" t="n">
        <v>6</v>
      </c>
      <c r="J99" s="687" t="inlineStr">
        <is>
          <t>Topcoat</t>
        </is>
      </c>
      <c r="K99" s="687" t="n">
        <v>6</v>
      </c>
      <c r="L99" s="687" t="inlineStr">
        <is>
          <t>Cove?</t>
        </is>
      </c>
      <c r="M99" s="687" t="n">
        <v>6</v>
      </c>
      <c r="N99" s="687" t="inlineStr">
        <is>
          <t>Extra Patch?</t>
        </is>
      </c>
    </row>
    <row r="100" customFormat="1" s="585">
      <c r="A100" s="687" t="n"/>
      <c r="B100" s="687" t="n"/>
      <c r="C100" s="687" t="n">
        <v>7</v>
      </c>
      <c r="D100" s="687" t="inlineStr">
        <is>
          <t>Cove?</t>
        </is>
      </c>
      <c r="E100" s="687" t="n">
        <v>7</v>
      </c>
      <c r="F100" s="687" t="inlineStr">
        <is>
          <t>Extra Patch?</t>
        </is>
      </c>
      <c r="G100" s="687" t="n">
        <v>7</v>
      </c>
      <c r="H100" s="687" t="inlineStr">
        <is>
          <t>Cove?</t>
        </is>
      </c>
      <c r="I100" s="687" t="n">
        <v>7</v>
      </c>
      <c r="J100" s="687" t="inlineStr">
        <is>
          <t>Cove?</t>
        </is>
      </c>
      <c r="K100" s="687" t="n">
        <v>7</v>
      </c>
      <c r="L100" s="687" t="inlineStr">
        <is>
          <t>Extra Patch?</t>
        </is>
      </c>
      <c r="M100" s="687" t="n"/>
      <c r="N100" s="687" t="n"/>
    </row>
    <row r="101" customFormat="1" s="585">
      <c r="A101" s="687" t="n"/>
      <c r="B101" s="687" t="n"/>
      <c r="C101" s="687" t="n">
        <v>8</v>
      </c>
      <c r="D101" s="687" t="inlineStr">
        <is>
          <t>Extra Patch?</t>
        </is>
      </c>
      <c r="E101" s="687" t="n"/>
      <c r="F101" s="687" t="n"/>
      <c r="G101" s="687" t="n">
        <v>8</v>
      </c>
      <c r="H101" s="687" t="inlineStr">
        <is>
          <t>Extra Patch?</t>
        </is>
      </c>
      <c r="I101" s="687" t="n">
        <v>8</v>
      </c>
      <c r="J101" s="687" t="inlineStr">
        <is>
          <t>Extra Patch?</t>
        </is>
      </c>
      <c r="K101" s="687" t="n"/>
      <c r="L101" s="687" t="n"/>
      <c r="M101" s="687" t="n"/>
      <c r="N101" s="687" t="n"/>
    </row>
    <row r="102" customFormat="1" s="585">
      <c r="I102" s="1930" t="n"/>
    </row>
    <row r="103" customFormat="1" s="585"/>
    <row r="104" customFormat="1" s="585">
      <c r="A104" s="839" t="n"/>
      <c r="E104" s="847" t="inlineStr">
        <is>
          <t>OLD ---&gt;&gt;&gt;&gt;</t>
        </is>
      </c>
      <c r="F104" s="776" t="inlineStr">
        <is>
          <t>Prevailing Wage Calc:</t>
        </is>
      </c>
      <c r="G104" s="1928" t="inlineStr">
        <is>
          <t>enter rate here</t>
        </is>
      </c>
      <c r="H104" s="585" t="inlineStr">
        <is>
          <t>Foreman (Full) *min $30 Cement Mason, Mason</t>
        </is>
      </c>
    </row>
    <row r="105" customFormat="1" s="585">
      <c r="A105" s="840" t="n"/>
      <c r="F105" s="834" t="n"/>
      <c r="G105" s="1928" t="inlineStr">
        <is>
          <t>enter rate here</t>
        </is>
      </c>
      <c r="H105" s="585" t="inlineStr">
        <is>
          <t>Laborer (Full)</t>
        </is>
      </c>
    </row>
    <row r="106" customFormat="1" s="585">
      <c r="A106" s="842" t="n"/>
      <c r="F106" s="1437" t="inlineStr">
        <is>
          <t>* If Kansas (or Fed.) use FULL Laborer ----&gt;</t>
        </is>
      </c>
      <c r="G106" s="2370">
        <f>G105/2</f>
        <v/>
      </c>
      <c r="H106" s="784" t="inlineStr">
        <is>
          <t>Laborer (1/2) *min. $22</t>
        </is>
      </c>
    </row>
    <row r="107" customFormat="1" s="585">
      <c r="A107" s="844" t="n"/>
      <c r="F107" s="714" t="inlineStr">
        <is>
          <t>3+ Man Crew:</t>
        </is>
      </c>
      <c r="G107" s="2371">
        <f>AVERAGE(G104:G106)</f>
        <v/>
      </c>
      <c r="H107" s="786" t="inlineStr">
        <is>
          <t>Average</t>
        </is>
      </c>
    </row>
    <row r="108" customFormat="1" s="585">
      <c r="A108" s="845" t="n"/>
    </row>
    <row r="109" customFormat="1" s="585">
      <c r="A109" s="846" t="n"/>
      <c r="F109" s="1944" t="n"/>
      <c r="G109" s="2372">
        <f>G104</f>
        <v/>
      </c>
      <c r="H109" s="585">
        <f>H104</f>
        <v/>
      </c>
    </row>
    <row r="110" customFormat="1" s="585">
      <c r="A110" s="847" t="n"/>
      <c r="F110" s="1944" t="n"/>
      <c r="G110" s="2373">
        <f>G105</f>
        <v/>
      </c>
      <c r="H110" s="784" t="inlineStr">
        <is>
          <t>Laborer (Full)</t>
        </is>
      </c>
      <c r="I110" s="1930" t="n"/>
      <c r="L110" s="848" t="n"/>
      <c r="M110" s="2014" t="n"/>
    </row>
    <row r="111" customFormat="1" s="585">
      <c r="A111" s="849" t="n"/>
      <c r="F111" s="714" t="inlineStr">
        <is>
          <t>2 Man Crew:</t>
        </is>
      </c>
      <c r="G111" s="2371">
        <f>AVERAGE(G109:G110)</f>
        <v/>
      </c>
      <c r="H111" s="786" t="inlineStr">
        <is>
          <t>Average</t>
        </is>
      </c>
      <c r="I111" s="1930" t="n"/>
      <c r="L111" s="848" t="n"/>
      <c r="M111" s="2014" t="n"/>
    </row>
    <row r="112" customFormat="1" s="585">
      <c r="F112" s="600" t="n"/>
      <c r="G112" s="1936" t="n"/>
      <c r="H112" s="1936" t="n"/>
      <c r="I112" s="1930" t="n"/>
      <c r="L112" s="848" t="n"/>
      <c r="M112" s="2014" t="n"/>
    </row>
    <row r="113" customFormat="1" s="585">
      <c r="F113" s="1944" t="n"/>
      <c r="G113" s="2372">
        <f>G104</f>
        <v/>
      </c>
      <c r="H113" s="585">
        <f>H104</f>
        <v/>
      </c>
    </row>
    <row r="114" customFormat="1" s="585">
      <c r="F114" s="662" t="n"/>
      <c r="G114" s="2372">
        <f>G105</f>
        <v/>
      </c>
      <c r="H114" s="585" t="inlineStr">
        <is>
          <t>Laborer (Full)</t>
        </is>
      </c>
    </row>
    <row r="115" ht="16.05" customFormat="1" customHeight="1" s="585">
      <c r="F115" s="1944" t="n"/>
      <c r="G115" s="2372">
        <f>G105</f>
        <v/>
      </c>
      <c r="H115" s="585" t="inlineStr">
        <is>
          <t>Laborer (Full)</t>
        </is>
      </c>
    </row>
    <row r="116" customFormat="1" s="585">
      <c r="F116" s="1437" t="inlineStr">
        <is>
          <t>* If Kansas (or Fed.) use FULL Laborer ----&gt;</t>
        </is>
      </c>
      <c r="G116" s="2370">
        <f>G106</f>
        <v/>
      </c>
      <c r="H116" s="784" t="inlineStr">
        <is>
          <t>Laborer (1/2) *min. $22</t>
        </is>
      </c>
    </row>
    <row r="117" customFormat="1" s="585">
      <c r="F117" s="714" t="inlineStr">
        <is>
          <t>4+ Man Crew:</t>
        </is>
      </c>
      <c r="G117" s="2371">
        <f>AVERAGE(G113:G116)</f>
        <v/>
      </c>
      <c r="H117" s="786" t="inlineStr">
        <is>
          <t>Average</t>
        </is>
      </c>
    </row>
    <row r="118" customFormat="1" s="585"/>
    <row r="119" customFormat="1" s="585"/>
    <row r="120" customFormat="1" s="585"/>
    <row r="121" customFormat="1" s="585"/>
    <row r="122" customFormat="1" s="585"/>
    <row r="123" customFormat="1" s="585"/>
    <row r="124" customFormat="1" s="585"/>
    <row r="125" customFormat="1" s="585"/>
    <row r="126" customFormat="1" s="585"/>
    <row r="127" customFormat="1" s="585"/>
    <row r="128" customFormat="1" s="585"/>
    <row r="129" customFormat="1" s="585"/>
    <row r="130" customFormat="1" s="585"/>
    <row r="131" customFormat="1" s="585"/>
    <row r="132" customFormat="1" s="585"/>
    <row r="133" customFormat="1" s="585"/>
    <row r="134" customFormat="1" s="585"/>
    <row r="135" customFormat="1" s="585"/>
    <row r="136" customFormat="1" s="585"/>
    <row r="137" customFormat="1" s="585"/>
    <row r="138" customFormat="1" s="585"/>
    <row r="139" customFormat="1" s="585"/>
    <row r="140" customFormat="1" s="585"/>
    <row r="141" customFormat="1" s="585"/>
    <row r="142" customFormat="1" s="585">
      <c r="A142" s="2219" t="n"/>
      <c r="B142" s="2219" t="n"/>
      <c r="S142" s="633" t="n"/>
      <c r="T142" s="2135" t="n"/>
    </row>
    <row r="143" customFormat="1" s="585"/>
    <row r="144" customFormat="1" s="585"/>
    <row r="145" customFormat="1" s="585"/>
    <row r="146" customFormat="1" s="585"/>
    <row r="147" customFormat="1" s="585"/>
    <row r="148" customFormat="1" s="585"/>
    <row r="149" customFormat="1" s="585"/>
    <row r="150" customFormat="1" s="585"/>
    <row r="151" customFormat="1" s="585"/>
    <row r="152" customFormat="1" s="585"/>
    <row r="153" customFormat="1" s="585"/>
    <row r="154" customFormat="1" s="585"/>
    <row r="155" customFormat="1" s="585"/>
    <row r="156" customFormat="1" s="585"/>
    <row r="157" customFormat="1" s="585"/>
    <row r="158" customFormat="1" s="585"/>
    <row r="159" customFormat="1" s="585"/>
    <row r="160" customFormat="1" s="585"/>
    <row r="161" customFormat="1" s="585"/>
    <row r="162" customFormat="1" s="585"/>
    <row r="163" customFormat="1" s="585"/>
    <row r="164" customFormat="1" s="585"/>
    <row r="165" customFormat="1" s="585"/>
    <row r="166" customFormat="1" s="585"/>
    <row r="167" customFormat="1" s="585"/>
    <row r="168" customFormat="1" s="585"/>
    <row r="169" customFormat="1" s="585"/>
    <row r="170" customFormat="1" s="585"/>
    <row r="171" customFormat="1" s="585"/>
    <row r="172" customFormat="1" s="585"/>
    <row r="173" customFormat="1" s="585"/>
    <row r="174" customFormat="1" s="585"/>
    <row r="175" customFormat="1" s="585"/>
    <row r="176" customFormat="1" s="585"/>
    <row r="177" customFormat="1" s="594"/>
    <row r="178" customFormat="1" s="594"/>
    <row r="179" customFormat="1" s="594"/>
    <row r="180" customFormat="1" s="594"/>
    <row r="181" customFormat="1" s="594"/>
    <row r="182" customFormat="1" s="594"/>
    <row r="183" customFormat="1" s="594"/>
    <row r="184" customFormat="1" s="594"/>
    <row r="185" customFormat="1" s="594"/>
    <row r="186" customFormat="1" s="594"/>
    <row r="187" customFormat="1" s="594">
      <c r="A187" s="593" t="n"/>
      <c r="B187" s="593" t="n"/>
      <c r="C187" s="1936" t="n"/>
      <c r="D187" s="1936" t="n"/>
      <c r="E187" s="2186" t="n"/>
      <c r="F187" s="593" t="n"/>
      <c r="Q187" s="593" t="n"/>
      <c r="R187" s="593" t="n"/>
      <c r="S187" s="593" t="n"/>
    </row>
    <row r="188" customFormat="1" s="594">
      <c r="A188" s="593" t="n"/>
      <c r="B188" s="593" t="n"/>
      <c r="C188" s="1936" t="n"/>
      <c r="D188" s="1936" t="n"/>
      <c r="E188" s="593" t="n"/>
      <c r="F188" s="593" t="n"/>
      <c r="Q188" s="593" t="n"/>
      <c r="R188" s="593" t="n"/>
      <c r="S188" s="593" t="n"/>
    </row>
    <row r="189" customFormat="1" s="594">
      <c r="A189" s="593" t="n"/>
      <c r="B189" s="593" t="n"/>
      <c r="C189" s="1936" t="n"/>
      <c r="D189" s="1936" t="n"/>
      <c r="E189" s="593" t="n"/>
      <c r="F189" s="593" t="n"/>
      <c r="Q189" s="593" t="n"/>
      <c r="R189" s="593" t="n"/>
      <c r="S189" s="593" t="n"/>
    </row>
    <row r="190" customFormat="1" s="594">
      <c r="A190" s="593" t="n"/>
      <c r="B190" s="593" t="n"/>
      <c r="C190" s="1936" t="n"/>
      <c r="D190" s="1936" t="n"/>
      <c r="E190" s="593" t="n"/>
      <c r="F190" s="593" t="n"/>
    </row>
    <row r="191" customFormat="1" s="1916">
      <c r="A191" s="53" t="n"/>
      <c r="B191" s="53" t="n"/>
      <c r="C191" s="2145" t="n"/>
      <c r="D191" s="2145" t="n"/>
      <c r="E191" s="53" t="n"/>
      <c r="F191" s="53" t="n"/>
    </row>
    <row r="192" customFormat="1" s="1916">
      <c r="A192" s="103" t="n"/>
      <c r="B192" s="103" t="n"/>
      <c r="C192" s="2147" t="n"/>
      <c r="D192" s="2147" t="n"/>
      <c r="E192" s="53" t="n"/>
      <c r="F192" s="53" t="n"/>
    </row>
    <row r="193" customFormat="1" s="1916">
      <c r="A193" s="103" t="n"/>
      <c r="B193" s="105" t="n"/>
      <c r="C193" s="2147" t="n"/>
      <c r="D193" s="2147" t="n"/>
      <c r="E193" s="53" t="n"/>
      <c r="F193" s="53" t="n"/>
    </row>
    <row r="194" customFormat="1" s="1916">
      <c r="A194" s="103" t="n"/>
      <c r="B194" s="103" t="n"/>
      <c r="C194" s="2147" t="n"/>
      <c r="D194" s="2147" t="n"/>
      <c r="E194" s="53" t="n"/>
      <c r="F194" s="53" t="n"/>
    </row>
    <row r="195" customFormat="1" s="1916">
      <c r="A195" s="103" t="n"/>
      <c r="B195" s="105" t="n"/>
      <c r="C195" s="2147" t="n"/>
      <c r="D195" s="2147" t="n"/>
      <c r="E195" s="53" t="n"/>
      <c r="G195" s="53" t="n"/>
      <c r="H195" s="53" t="n"/>
      <c r="I195" s="53" t="n"/>
      <c r="J195" s="53" t="n"/>
      <c r="K195" s="53" t="n"/>
      <c r="L195" s="53" t="n"/>
    </row>
    <row r="196" customFormat="1" s="1916">
      <c r="A196" s="53" t="n"/>
      <c r="B196" s="53" t="n"/>
      <c r="C196" s="2145" t="n"/>
      <c r="D196" s="2145" t="n"/>
      <c r="E196" s="53" t="n"/>
      <c r="G196" s="53" t="n"/>
      <c r="H196" s="53" t="n"/>
      <c r="I196" s="53" t="n"/>
      <c r="J196" s="106" t="n"/>
      <c r="K196" s="106" t="n"/>
      <c r="L196" s="106" t="n"/>
    </row>
    <row r="197" customFormat="1" s="1916">
      <c r="A197" s="3" t="n"/>
      <c r="B197" s="2156" t="n"/>
      <c r="C197" s="3" t="n"/>
      <c r="D197" s="2156" t="n"/>
      <c r="E197" s="107" t="n"/>
      <c r="G197" s="53" t="n"/>
      <c r="H197" s="108" t="n"/>
      <c r="I197" s="53" t="n"/>
      <c r="J197" s="106" t="n"/>
      <c r="K197" s="106" t="n"/>
      <c r="L197" s="106" t="n"/>
    </row>
    <row r="198" customFormat="1" s="1916">
      <c r="A198" s="53" t="n"/>
      <c r="B198" s="53" t="n"/>
      <c r="C198" s="53" t="n"/>
      <c r="D198" s="53" t="n"/>
      <c r="E198" s="107" t="n"/>
      <c r="G198" s="53" t="n"/>
      <c r="H198" s="53" t="n"/>
      <c r="I198" s="53" t="n"/>
      <c r="J198" s="2145" t="n"/>
      <c r="K198" s="2145" t="n"/>
      <c r="L198" s="53" t="n"/>
    </row>
    <row r="199" customFormat="1" s="1916">
      <c r="A199" s="53" t="n"/>
      <c r="B199" s="53" t="n"/>
      <c r="C199" s="53" t="n"/>
      <c r="D199" s="106" t="n"/>
      <c r="E199" s="106" t="n"/>
      <c r="G199" s="53" t="n"/>
      <c r="H199" s="93" t="n"/>
      <c r="I199" s="2145" t="n"/>
      <c r="J199" s="2145" t="n"/>
      <c r="K199" s="2145" t="n"/>
      <c r="L199" s="106" t="n"/>
    </row>
    <row r="200" customFormat="1" s="1916">
      <c r="A200" s="53" t="n"/>
      <c r="B200" s="53" t="n"/>
      <c r="C200" s="53" t="n"/>
      <c r="D200" s="53" t="n"/>
      <c r="E200" s="53" t="n"/>
      <c r="G200" s="53" t="n"/>
      <c r="H200" s="93" t="n"/>
      <c r="I200" s="2145" t="n"/>
      <c r="J200" s="2145" t="n"/>
      <c r="K200" s="2145" t="n"/>
      <c r="L200" s="53" t="n"/>
    </row>
    <row r="201" customFormat="1" s="1916">
      <c r="A201" s="53" t="n"/>
      <c r="B201" s="53" t="n"/>
      <c r="C201" s="53" t="n"/>
      <c r="D201" s="106" t="n"/>
      <c r="E201" s="106" t="n"/>
      <c r="G201" s="53" t="n"/>
      <c r="H201" s="93" t="n"/>
      <c r="I201" s="2145" t="n"/>
      <c r="J201" s="2145" t="n"/>
      <c r="K201" s="2145" t="n"/>
      <c r="L201" s="106" t="n"/>
    </row>
    <row r="202" customFormat="1" s="1916">
      <c r="A202" s="53" t="n"/>
      <c r="B202" s="53" t="n"/>
      <c r="C202" s="53" t="n"/>
      <c r="D202" s="2157" t="n"/>
      <c r="E202" s="2157" t="n"/>
      <c r="F202" s="53" t="n"/>
      <c r="G202" s="103" t="n"/>
      <c r="H202" s="103" t="n"/>
      <c r="I202" s="2147" t="n"/>
      <c r="J202" s="2147" t="n"/>
      <c r="K202" s="2145" t="n"/>
      <c r="L202" s="106" t="n"/>
    </row>
    <row r="203" customFormat="1" s="1916">
      <c r="A203" s="53" t="n"/>
      <c r="B203" s="53" t="n"/>
      <c r="C203" s="2145" t="n"/>
      <c r="D203" s="2145" t="n"/>
      <c r="E203" s="2145" t="n"/>
      <c r="F203" s="53" t="n"/>
      <c r="G203" s="53" t="n"/>
      <c r="H203" s="53" t="n"/>
    </row>
    <row r="204" customFormat="1" s="1916">
      <c r="A204" s="53" t="n"/>
      <c r="B204" s="53" t="n"/>
      <c r="C204" s="53" t="n"/>
      <c r="D204" s="2145" t="n"/>
      <c r="E204" s="53" t="n"/>
      <c r="F204" s="53" t="n"/>
      <c r="G204" s="110" t="n"/>
      <c r="H204" s="53" t="n"/>
      <c r="I204" s="53" t="n"/>
      <c r="J204" s="2145" t="n"/>
      <c r="K204" s="2145" t="n"/>
    </row>
    <row r="205" customFormat="1" s="1916">
      <c r="A205" s="53" t="n"/>
      <c r="B205" s="93" t="n"/>
      <c r="C205" s="2145" t="n"/>
      <c r="D205" s="2145" t="n"/>
      <c r="E205" s="53" t="n"/>
      <c r="F205" s="53" t="n"/>
      <c r="G205" s="2156" t="n"/>
      <c r="H205" s="93" t="n"/>
      <c r="I205" s="2145" t="n"/>
      <c r="J205" s="2145" t="n"/>
      <c r="K205" s="2145" t="n"/>
    </row>
    <row r="206" customFormat="1" s="1916">
      <c r="A206" s="53" t="n"/>
      <c r="B206" s="93" t="n"/>
      <c r="C206" s="2145" t="n"/>
      <c r="D206" s="2145" t="n"/>
      <c r="E206" s="53" t="n"/>
      <c r="F206" s="53" t="n"/>
      <c r="G206" s="53" t="n"/>
      <c r="H206" s="93" t="n"/>
      <c r="I206" s="2145" t="n"/>
      <c r="J206" s="2145" t="n"/>
      <c r="K206" s="2145" t="n"/>
    </row>
    <row r="207" customFormat="1" s="1916">
      <c r="A207" s="53" t="n"/>
      <c r="B207" s="93" t="n"/>
      <c r="C207" s="2145" t="n"/>
      <c r="D207" s="2145" t="n"/>
      <c r="E207" s="53" t="n"/>
      <c r="F207" s="53" t="n"/>
      <c r="G207" s="53" t="n"/>
      <c r="H207" s="93" t="n"/>
      <c r="I207" s="2145" t="n"/>
      <c r="J207" s="2145" t="n"/>
      <c r="K207" s="2145" t="n"/>
    </row>
    <row r="208" customFormat="1" s="1916">
      <c r="A208" s="53" t="n"/>
      <c r="B208" s="93" t="n"/>
      <c r="C208" s="2145" t="n"/>
      <c r="D208" s="2145" t="n"/>
      <c r="E208" s="111" t="n"/>
      <c r="F208" s="53" t="n"/>
      <c r="G208" s="53" t="n"/>
      <c r="H208" s="93" t="n"/>
      <c r="I208" s="2145" t="n"/>
      <c r="J208" s="2145" t="n"/>
      <c r="K208" s="2145" t="n"/>
    </row>
    <row r="209" customFormat="1" s="1916">
      <c r="A209" s="53" t="n"/>
      <c r="B209" s="93" t="n"/>
      <c r="C209" s="2145" t="n"/>
      <c r="D209" s="2145" t="n"/>
      <c r="E209" s="111" t="n"/>
      <c r="F209" s="53" t="n"/>
      <c r="G209" s="53" t="n"/>
      <c r="H209" s="93" t="n"/>
      <c r="I209" s="2145" t="n"/>
      <c r="J209" s="2145" t="n"/>
      <c r="K209" s="2145" t="n"/>
    </row>
    <row r="210" customFormat="1" s="1916">
      <c r="A210" s="53" t="n"/>
      <c r="B210" s="93" t="n"/>
      <c r="C210" s="2145" t="n"/>
      <c r="D210" s="2145" t="n"/>
      <c r="E210" s="53" t="n"/>
      <c r="F210" s="53" t="n"/>
      <c r="G210" s="53" t="n"/>
      <c r="H210" s="93" t="n"/>
      <c r="I210" s="2145" t="n"/>
      <c r="J210" s="2145" t="n"/>
      <c r="K210" s="2145" t="n"/>
    </row>
    <row r="211" customFormat="1" s="1916">
      <c r="A211" s="53" t="n"/>
      <c r="B211" s="93" t="n"/>
      <c r="C211" s="2145" t="n"/>
      <c r="D211" s="2145" t="n"/>
      <c r="E211" s="53" t="n"/>
      <c r="F211" s="53" t="n"/>
      <c r="G211" s="53" t="n"/>
      <c r="H211" s="93" t="n"/>
      <c r="I211" s="2145" t="n"/>
      <c r="J211" s="2145" t="n"/>
      <c r="K211" s="2145" t="n"/>
    </row>
    <row r="212" customFormat="1" s="1916">
      <c r="A212" s="103" t="n"/>
      <c r="B212" s="103" t="n"/>
      <c r="C212" s="2147" t="n"/>
      <c r="D212" s="2147" t="n"/>
      <c r="E212" s="53" t="n"/>
      <c r="F212" s="53" t="n"/>
      <c r="G212" s="103" t="n"/>
      <c r="H212" s="103" t="n"/>
      <c r="I212" s="2147" t="n"/>
      <c r="J212" s="2147" t="n"/>
      <c r="K212" s="2147" t="n"/>
    </row>
    <row r="213" customFormat="1" s="1916">
      <c r="A213" s="53" t="n"/>
      <c r="B213" s="53" t="n"/>
      <c r="C213" s="2145" t="n"/>
      <c r="D213" s="2145" t="n"/>
      <c r="E213" s="53" t="n"/>
      <c r="F213" s="53" t="n"/>
    </row>
    <row r="214" customFormat="1" s="1916">
      <c r="A214" s="53" t="n"/>
      <c r="B214" s="53" t="n"/>
      <c r="C214" s="2145" t="n"/>
      <c r="D214" s="2147" t="n"/>
      <c r="E214" s="53" t="n"/>
      <c r="F214" s="53" t="n"/>
    </row>
    <row r="215" customFormat="1" s="1916">
      <c r="A215" s="53" t="n"/>
      <c r="B215" s="53" t="n"/>
      <c r="C215" s="2145" t="n"/>
      <c r="D215" s="2145" t="n"/>
      <c r="E215" s="53" t="n"/>
      <c r="F215" s="53" t="n"/>
    </row>
    <row r="216" customFormat="1" s="1916">
      <c r="A216" s="53" t="n"/>
      <c r="B216" s="53" t="n"/>
      <c r="C216" s="2145" t="n"/>
      <c r="D216" s="2145" t="n"/>
      <c r="E216" s="53" t="n"/>
      <c r="F216" s="53" t="n"/>
    </row>
    <row r="217" customFormat="1" s="1916">
      <c r="A217" s="53" t="n"/>
      <c r="B217" s="112" t="n"/>
      <c r="C217" s="2145" t="n"/>
      <c r="D217" s="2145" t="n"/>
      <c r="E217" s="53" t="n"/>
      <c r="F217" s="53" t="n"/>
    </row>
    <row r="218" customFormat="1" s="1916">
      <c r="A218" s="53" t="n"/>
      <c r="B218" s="112" t="n"/>
      <c r="C218" s="2145" t="n"/>
      <c r="D218" s="2145" t="n"/>
      <c r="E218" s="53" t="n"/>
      <c r="F218" s="53" t="n"/>
    </row>
    <row r="219" customFormat="1" s="1916">
      <c r="A219" s="53" t="n"/>
      <c r="B219" s="113" t="n"/>
      <c r="C219" s="2145" t="n"/>
      <c r="D219" s="2145" t="n"/>
      <c r="E219" s="53" t="n"/>
      <c r="F219" s="53" t="n"/>
    </row>
    <row r="220" customFormat="1" s="1916">
      <c r="A220" s="53" t="n"/>
      <c r="B220" s="113" t="n"/>
      <c r="C220" s="2145" t="n"/>
      <c r="D220" s="2145" t="n"/>
      <c r="E220" s="53" t="n"/>
      <c r="F220" s="53" t="n"/>
    </row>
    <row r="221" customFormat="1" s="1916">
      <c r="A221" s="53" t="n"/>
      <c r="B221" s="113" t="n"/>
      <c r="C221" s="2145" t="n"/>
      <c r="D221" s="2145" t="n"/>
      <c r="E221" s="53" t="n"/>
      <c r="F221" s="53" t="n"/>
    </row>
    <row r="222" customFormat="1" s="1916">
      <c r="A222" s="53" t="n"/>
      <c r="B222" s="113" t="n"/>
      <c r="C222" s="2145" t="n"/>
      <c r="D222" s="2145" t="n"/>
      <c r="E222" s="53" t="n"/>
      <c r="F222" s="53" t="n"/>
    </row>
    <row r="223" customFormat="1" s="1916">
      <c r="A223" s="53" t="n"/>
      <c r="B223" s="112" t="n"/>
      <c r="C223" s="2145" t="n"/>
      <c r="D223" s="2145" t="n"/>
      <c r="E223" s="53" t="n"/>
      <c r="F223" s="53" t="n"/>
    </row>
    <row r="224" customFormat="1" s="1916">
      <c r="A224" s="53" t="n"/>
      <c r="B224" s="113" t="n"/>
      <c r="C224" s="2145" t="n"/>
      <c r="D224" s="2149" t="n"/>
      <c r="E224" s="53" t="n"/>
      <c r="F224" s="53" t="n"/>
      <c r="N224" s="53" t="n"/>
    </row>
    <row r="225" customFormat="1" s="1916">
      <c r="A225" s="53" t="n"/>
      <c r="B225" s="113" t="n"/>
      <c r="C225" s="2145" t="n"/>
      <c r="D225" s="2145" t="n"/>
      <c r="E225" s="53" t="n"/>
      <c r="F225" s="53" t="n"/>
      <c r="G225" s="53" t="n"/>
      <c r="I225" s="2154" t="n"/>
      <c r="N225" s="53" t="n"/>
    </row>
    <row r="226" customFormat="1" s="1916">
      <c r="A226" s="53" t="n"/>
      <c r="B226" s="53" t="n"/>
      <c r="C226" s="2145" t="n"/>
      <c r="D226" s="2145" t="n"/>
      <c r="E226" s="2145" t="n"/>
      <c r="F226" s="2145" t="n"/>
      <c r="N226" s="53" t="n"/>
    </row>
    <row r="227" customFormat="1" s="1916">
      <c r="A227" s="53" t="n"/>
      <c r="B227" s="53" t="n"/>
      <c r="C227" s="2145" t="n"/>
      <c r="D227" s="2145" t="n"/>
      <c r="F227" s="108" t="n"/>
      <c r="N227" s="53" t="n"/>
    </row>
    <row r="228" customFormat="1" s="1916">
      <c r="D228" s="2145" t="n"/>
      <c r="L228" s="53" t="n"/>
      <c r="M228" s="53" t="n"/>
      <c r="N228" s="53" t="n"/>
      <c r="O228" s="53" t="n"/>
      <c r="P228" s="53" t="n"/>
    </row>
    <row r="229" customFormat="1" s="1916">
      <c r="L229" s="53" t="n"/>
      <c r="M229" s="53" t="n"/>
      <c r="N229" s="53" t="n"/>
      <c r="O229" s="53" t="n"/>
      <c r="P229" s="53" t="n"/>
    </row>
    <row r="230" customFormat="1" s="1916">
      <c r="L230" s="53" t="n"/>
      <c r="M230" s="53" t="n"/>
      <c r="N230" s="53" t="n"/>
      <c r="O230" s="53" t="n"/>
      <c r="P230" s="53" t="n"/>
    </row>
    <row r="231" customFormat="1" s="1916">
      <c r="A231" s="53" t="n"/>
      <c r="B231" s="53" t="n"/>
      <c r="C231" s="53" t="n"/>
      <c r="D231" s="53" t="n"/>
      <c r="L231" s="53" t="n"/>
      <c r="M231" s="53" t="n"/>
      <c r="N231" s="53" t="n"/>
      <c r="O231" s="53" t="n"/>
      <c r="P231" s="53" t="n"/>
    </row>
    <row r="232" customFormat="1" s="1916">
      <c r="A232" s="53" t="n"/>
      <c r="B232" s="53" t="n"/>
      <c r="C232" s="53" t="n"/>
      <c r="D232" s="53" t="n"/>
      <c r="E232" s="53" t="n"/>
      <c r="F232" s="53" t="n"/>
      <c r="L232" s="53" t="n"/>
      <c r="M232" s="53" t="n"/>
      <c r="N232" s="53" t="n"/>
      <c r="O232" s="53" t="n"/>
      <c r="P232" s="2145" t="n"/>
    </row>
    <row r="233" customFormat="1" s="1916">
      <c r="A233" s="53" t="n"/>
      <c r="B233" s="2155" t="n"/>
      <c r="C233" s="2145" t="n"/>
      <c r="D233" s="2145" t="n"/>
      <c r="E233" s="2156" t="n"/>
      <c r="F233" s="53" t="n"/>
      <c r="L233" s="53" t="n"/>
      <c r="M233" s="53" t="n"/>
      <c r="N233" s="2145" t="n"/>
      <c r="O233" s="2145" t="n"/>
      <c r="P233" s="2145" t="n"/>
      <c r="Q233" s="53" t="n"/>
      <c r="R233" s="53" t="n"/>
    </row>
    <row r="234" customFormat="1" s="1916">
      <c r="A234" s="53" t="n"/>
      <c r="B234" s="53" t="n"/>
      <c r="C234" s="2145" t="n"/>
      <c r="D234" s="2145" t="n"/>
      <c r="E234" s="53" t="n"/>
      <c r="F234" s="53" t="n"/>
      <c r="L234" s="53" t="n"/>
      <c r="M234" s="53" t="n"/>
      <c r="N234" s="2145" t="n"/>
      <c r="O234" s="2156" t="n"/>
      <c r="P234" s="2145" t="n"/>
      <c r="Q234" s="53" t="n"/>
      <c r="R234" s="53" t="n"/>
    </row>
    <row r="235" customFormat="1" s="1916">
      <c r="A235" s="53" t="n"/>
      <c r="B235" s="53" t="n"/>
      <c r="C235" s="2145" t="n"/>
      <c r="D235" s="2145" t="n"/>
      <c r="E235" s="53" t="n"/>
      <c r="F235" s="53" t="n"/>
      <c r="L235" s="53" t="n"/>
      <c r="M235" s="53" t="n"/>
      <c r="N235" s="2145" t="n"/>
      <c r="O235" s="2156" t="n"/>
      <c r="P235" s="2145" t="n"/>
      <c r="Q235" s="53" t="n"/>
      <c r="R235" s="53" t="n"/>
    </row>
    <row r="236" customFormat="1" s="1916">
      <c r="A236" s="53" t="n"/>
      <c r="B236" s="53" t="n"/>
      <c r="C236" s="2145" t="n"/>
      <c r="D236" s="2145" t="n"/>
      <c r="E236" s="53" t="n"/>
      <c r="F236" s="53" t="n"/>
      <c r="L236" s="53" t="n"/>
      <c r="M236" s="2145" t="n"/>
      <c r="N236" s="2149" t="n"/>
      <c r="O236" s="53" t="n"/>
      <c r="P236" s="53" t="n"/>
      <c r="Q236" s="53" t="n"/>
      <c r="R236" s="53" t="n"/>
      <c r="S236" s="53" t="n"/>
    </row>
    <row r="237" customFormat="1" s="1916">
      <c r="A237" s="53" t="n"/>
      <c r="B237" s="53" t="n"/>
      <c r="C237" s="2145" t="n"/>
      <c r="D237" s="2145" t="n"/>
      <c r="E237" s="53" t="n"/>
      <c r="F237" s="53" t="n"/>
      <c r="L237" s="53" t="n"/>
      <c r="M237" s="53" t="n"/>
      <c r="N237" s="2149" t="n"/>
      <c r="O237" s="53" t="n"/>
      <c r="P237" s="53" t="n"/>
      <c r="Q237" s="2145" t="n"/>
      <c r="R237" s="2145" t="n"/>
      <c r="S237" s="53" t="n"/>
    </row>
    <row r="238" customFormat="1" s="1916">
      <c r="A238" s="53" t="n"/>
      <c r="B238" s="53" t="n"/>
      <c r="C238" s="2145" t="n"/>
      <c r="D238" s="2145" t="n"/>
      <c r="E238" s="53" t="n"/>
      <c r="F238" s="53" t="n"/>
      <c r="L238" s="53" t="n"/>
      <c r="M238" s="53" t="n"/>
      <c r="N238" s="2149" t="n"/>
      <c r="O238" s="53" t="n"/>
      <c r="P238" s="53" t="n"/>
      <c r="Q238" s="2145" t="n"/>
      <c r="R238" s="2145" t="n"/>
      <c r="S238" s="53" t="n"/>
    </row>
    <row r="239" customFormat="1" s="1916">
      <c r="A239" s="53" t="n"/>
      <c r="B239" s="53" t="n"/>
      <c r="C239" s="2145" t="n"/>
      <c r="D239" s="2145" t="n"/>
      <c r="E239" s="53" t="n"/>
      <c r="F239" s="53" t="n"/>
      <c r="L239" s="53" t="n"/>
      <c r="M239" s="53" t="n"/>
      <c r="N239" s="2149" t="n"/>
      <c r="O239" s="53" t="n"/>
      <c r="P239" s="53" t="n"/>
      <c r="Q239" s="2145" t="n"/>
      <c r="R239" s="2145" t="n"/>
      <c r="S239" s="53" t="n"/>
    </row>
    <row r="240" customFormat="1" s="1916">
      <c r="A240" s="53" t="n"/>
      <c r="B240" s="53" t="n"/>
      <c r="C240" s="2145" t="n"/>
      <c r="D240" s="2145" t="n"/>
      <c r="E240" s="53" t="n"/>
      <c r="F240" s="53" t="n"/>
      <c r="L240" s="53" t="n"/>
      <c r="M240" s="53" t="n"/>
      <c r="N240" s="2149" t="n"/>
      <c r="O240" s="53" t="n"/>
      <c r="P240" s="53" t="n"/>
      <c r="Q240" s="2145" t="n"/>
      <c r="R240" s="2145" t="n"/>
      <c r="S240" s="53" t="n"/>
    </row>
    <row r="241" customFormat="1" s="1916">
      <c r="A241" s="53" t="n"/>
      <c r="B241" s="53" t="n"/>
      <c r="C241" s="2145" t="n"/>
      <c r="D241" s="2145" t="n"/>
      <c r="E241" s="53" t="n"/>
      <c r="F241" s="53" t="n"/>
      <c r="L241" s="53" t="n"/>
      <c r="M241" s="53" t="n"/>
      <c r="N241" s="2149" t="n"/>
      <c r="O241" s="53" t="n"/>
      <c r="P241" s="53" t="n"/>
      <c r="Q241" s="53" t="n"/>
      <c r="R241" s="53" t="n"/>
      <c r="S241" s="53" t="n"/>
    </row>
    <row r="242" customFormat="1" s="1916">
      <c r="A242" s="53" t="n"/>
      <c r="B242" s="53" t="n"/>
      <c r="C242" s="2145" t="n"/>
      <c r="D242" s="2145" t="n"/>
      <c r="E242" s="53" t="n"/>
      <c r="F242" s="53" t="n"/>
      <c r="L242" s="53" t="n"/>
      <c r="M242" s="53" t="n"/>
      <c r="N242" s="2149" t="n"/>
      <c r="O242" s="53" t="n"/>
      <c r="P242" s="53" t="n"/>
      <c r="Q242" s="53" t="n"/>
      <c r="R242" s="53" t="n"/>
      <c r="S242" s="53" t="n"/>
    </row>
    <row r="243" customFormat="1" s="1916">
      <c r="A243" s="53" t="n"/>
      <c r="B243" s="53" t="n"/>
      <c r="C243" s="2145" t="n"/>
      <c r="D243" s="2145" t="n"/>
      <c r="E243" s="53" t="n"/>
      <c r="F243" s="53" t="n"/>
      <c r="Q243" s="53" t="n"/>
      <c r="R243" s="53" t="n"/>
      <c r="S243" s="53" t="n"/>
    </row>
    <row r="244" customFormat="1" s="1916">
      <c r="A244" s="53" t="n"/>
      <c r="B244" s="53" t="n"/>
      <c r="C244" s="2145" t="n"/>
      <c r="D244" s="2145" t="n"/>
      <c r="E244" s="53" t="n"/>
      <c r="F244" s="53" t="n"/>
      <c r="Q244" s="53" t="n"/>
      <c r="R244" s="53" t="n"/>
      <c r="S244" s="53" t="n"/>
    </row>
    <row r="245" customFormat="1" s="1916">
      <c r="A245" s="53" t="n"/>
      <c r="B245" s="53" t="n"/>
      <c r="C245" s="2145" t="n"/>
      <c r="D245" s="2145" t="n"/>
      <c r="E245" s="2156" t="n"/>
      <c r="F245" s="53" t="n"/>
      <c r="Q245" s="53" t="n"/>
      <c r="R245" s="53" t="n"/>
      <c r="S245" s="53" t="n"/>
    </row>
    <row r="246" customFormat="1" s="1916">
      <c r="A246" s="53" t="n"/>
      <c r="B246" s="53" t="n"/>
      <c r="C246" s="2145" t="n"/>
      <c r="D246" s="2145" t="n"/>
      <c r="E246" s="53" t="n"/>
      <c r="F246" s="53" t="n"/>
      <c r="Q246" s="53" t="n"/>
      <c r="R246" s="53" t="n"/>
      <c r="S246" s="53" t="n"/>
    </row>
    <row r="247" customFormat="1" s="1916">
      <c r="A247" s="53" t="n"/>
      <c r="B247" s="53" t="n"/>
      <c r="C247" s="2145" t="n"/>
      <c r="D247" s="2145" t="n"/>
      <c r="E247" s="53" t="n"/>
      <c r="F247" s="53" t="n"/>
      <c r="Q247" s="53" t="n"/>
      <c r="R247" s="53" t="n"/>
      <c r="S247" s="53" t="n"/>
    </row>
    <row r="248" customFormat="1" s="1916">
      <c r="A248" s="53" t="n"/>
      <c r="B248" s="53" t="n"/>
      <c r="C248" s="2145" t="n"/>
      <c r="D248" s="2145" t="n"/>
      <c r="E248" s="53" t="n"/>
      <c r="F248" s="53" t="n"/>
    </row>
    <row r="249" customFormat="1" s="1916">
      <c r="A249" s="53" t="n"/>
      <c r="B249" s="53" t="n"/>
      <c r="C249" s="2145" t="n"/>
      <c r="D249" s="2145" t="n"/>
      <c r="E249" s="53" t="n"/>
      <c r="F249" s="53" t="n"/>
    </row>
    <row r="250" customFormat="1" s="1916">
      <c r="A250" s="103" t="n"/>
      <c r="B250" s="103" t="n"/>
      <c r="C250" s="2147" t="n"/>
      <c r="D250" s="2147" t="n"/>
      <c r="E250" s="53" t="n"/>
      <c r="F250" s="53" t="n"/>
    </row>
    <row r="251" customFormat="1" s="1916">
      <c r="A251" s="103" t="n"/>
      <c r="B251" s="105" t="n"/>
      <c r="C251" s="2147" t="n"/>
      <c r="D251" s="2147" t="n"/>
      <c r="E251" s="53" t="n"/>
      <c r="F251" s="53" t="n"/>
    </row>
    <row r="252" customFormat="1" s="1916">
      <c r="A252" s="103" t="n"/>
      <c r="B252" s="103" t="n"/>
      <c r="C252" s="2147" t="n"/>
      <c r="D252" s="2147" t="n"/>
      <c r="E252" s="53" t="n"/>
      <c r="F252" s="53" t="n"/>
    </row>
    <row r="253" customFormat="1" s="1916">
      <c r="A253" s="103" t="n"/>
      <c r="B253" s="105" t="n"/>
      <c r="C253" s="2147" t="n"/>
      <c r="D253" s="2147" t="n"/>
      <c r="E253" s="53" t="n"/>
      <c r="G253" s="53" t="n"/>
      <c r="H253" s="53" t="n"/>
      <c r="I253" s="53" t="n"/>
      <c r="J253" s="53" t="n"/>
      <c r="K253" s="53" t="n"/>
      <c r="L253" s="53" t="n"/>
    </row>
    <row r="254" customFormat="1" s="1916">
      <c r="A254" s="53" t="n"/>
      <c r="B254" s="53" t="n"/>
      <c r="C254" s="2145" t="n"/>
      <c r="D254" s="2145" t="n"/>
      <c r="E254" s="53" t="n"/>
      <c r="G254" s="53" t="n"/>
      <c r="H254" s="53" t="n"/>
      <c r="I254" s="53" t="n"/>
      <c r="J254" s="106" t="n"/>
      <c r="K254" s="106" t="n"/>
      <c r="L254" s="106" t="n"/>
    </row>
    <row r="255" customFormat="1" s="1916">
      <c r="A255" s="3" t="n"/>
      <c r="B255" s="2156" t="n"/>
      <c r="C255" s="3" t="n"/>
      <c r="D255" s="2156" t="n"/>
      <c r="E255" s="107" t="n"/>
      <c r="G255" s="53" t="n"/>
      <c r="H255" s="108" t="n"/>
      <c r="I255" s="53" t="n"/>
      <c r="J255" s="106" t="n"/>
      <c r="K255" s="106" t="n"/>
      <c r="L255" s="106" t="n"/>
    </row>
    <row r="256" customFormat="1" s="1916">
      <c r="A256" s="53" t="n"/>
      <c r="B256" s="53" t="n"/>
      <c r="C256" s="53" t="n"/>
      <c r="D256" s="53" t="n"/>
      <c r="E256" s="107" t="n"/>
      <c r="G256" s="53" t="n"/>
      <c r="H256" s="53" t="n"/>
      <c r="I256" s="53" t="n"/>
      <c r="J256" s="2145" t="n"/>
      <c r="K256" s="2145" t="n"/>
      <c r="L256" s="53" t="n"/>
    </row>
    <row r="257" customFormat="1" s="1916">
      <c r="A257" s="53" t="n"/>
      <c r="B257" s="53" t="n"/>
      <c r="C257" s="53" t="n"/>
      <c r="D257" s="106" t="n"/>
      <c r="E257" s="106" t="n"/>
      <c r="G257" s="53" t="n"/>
      <c r="H257" s="93" t="n"/>
      <c r="I257" s="2145" t="n"/>
      <c r="J257" s="2145" t="n"/>
      <c r="K257" s="2145" t="n"/>
      <c r="L257" s="106" t="n"/>
    </row>
    <row r="258" customFormat="1" s="1916">
      <c r="A258" s="53" t="n"/>
      <c r="B258" s="53" t="n"/>
      <c r="C258" s="53" t="n"/>
      <c r="D258" s="53" t="n"/>
      <c r="E258" s="53" t="n"/>
      <c r="G258" s="53" t="n"/>
      <c r="H258" s="93" t="n"/>
      <c r="I258" s="2145" t="n"/>
      <c r="J258" s="2145" t="n"/>
      <c r="K258" s="2145" t="n"/>
      <c r="L258" s="53" t="n"/>
    </row>
    <row r="259" customFormat="1" s="1916">
      <c r="A259" s="53" t="n"/>
      <c r="B259" s="53" t="n"/>
      <c r="C259" s="53" t="n"/>
      <c r="D259" s="106" t="n"/>
      <c r="E259" s="106" t="n"/>
      <c r="G259" s="53" t="n"/>
      <c r="H259" s="93" t="n"/>
      <c r="I259" s="2145" t="n"/>
      <c r="J259" s="2145" t="n"/>
      <c r="K259" s="2145" t="n"/>
      <c r="L259" s="106" t="n"/>
    </row>
    <row r="260" customFormat="1" s="1916">
      <c r="A260" s="53" t="n"/>
      <c r="B260" s="53" t="n"/>
      <c r="C260" s="53" t="n"/>
      <c r="D260" s="2157" t="n"/>
      <c r="E260" s="2157" t="n"/>
      <c r="F260" s="53" t="n"/>
      <c r="G260" s="103" t="n"/>
      <c r="H260" s="103" t="n"/>
      <c r="I260" s="2147" t="n"/>
      <c r="J260" s="2147" t="n"/>
      <c r="K260" s="2145" t="n"/>
      <c r="L260" s="106" t="n"/>
    </row>
    <row r="261" customFormat="1" s="1916">
      <c r="A261" s="53" t="n"/>
      <c r="B261" s="53" t="n"/>
      <c r="C261" s="2145" t="n"/>
      <c r="D261" s="2145" t="n"/>
      <c r="E261" s="2145" t="n"/>
      <c r="F261" s="53" t="n"/>
      <c r="G261" s="53" t="n"/>
      <c r="H261" s="53" t="n"/>
    </row>
    <row r="262" customFormat="1" s="1916">
      <c r="A262" s="53" t="n"/>
      <c r="B262" s="53" t="n"/>
      <c r="C262" s="53" t="n"/>
      <c r="D262" s="2145" t="n"/>
      <c r="E262" s="53" t="n"/>
      <c r="F262" s="53" t="n"/>
      <c r="G262" s="110" t="n"/>
      <c r="H262" s="53" t="n"/>
      <c r="I262" s="53" t="n"/>
      <c r="J262" s="2145" t="n"/>
      <c r="K262" s="2145" t="n"/>
    </row>
    <row r="263" customFormat="1" s="1916">
      <c r="A263" s="53" t="n"/>
      <c r="B263" s="93" t="n"/>
      <c r="C263" s="2145" t="n"/>
      <c r="D263" s="2145" t="n"/>
      <c r="E263" s="53" t="n"/>
      <c r="F263" s="53" t="n"/>
      <c r="G263" s="2156" t="n"/>
      <c r="H263" s="93" t="n"/>
      <c r="I263" s="2145" t="n"/>
      <c r="J263" s="2145" t="n"/>
      <c r="K263" s="2145" t="n"/>
    </row>
    <row r="264" customFormat="1" s="1916">
      <c r="A264" s="53" t="n"/>
      <c r="B264" s="93" t="n"/>
      <c r="C264" s="2145" t="n"/>
      <c r="D264" s="2145" t="n"/>
      <c r="E264" s="53" t="n"/>
      <c r="F264" s="53" t="n"/>
      <c r="G264" s="53" t="n"/>
      <c r="H264" s="93" t="n"/>
      <c r="I264" s="2145" t="n"/>
      <c r="J264" s="2145" t="n"/>
      <c r="K264" s="2145" t="n"/>
    </row>
    <row r="265" customFormat="1" s="1916">
      <c r="A265" s="53" t="n"/>
      <c r="B265" s="93" t="n"/>
      <c r="C265" s="2145" t="n"/>
      <c r="D265" s="2145" t="n"/>
      <c r="E265" s="53" t="n"/>
      <c r="F265" s="53" t="n"/>
      <c r="G265" s="53" t="n"/>
      <c r="H265" s="93" t="n"/>
      <c r="I265" s="2145" t="n"/>
      <c r="J265" s="2145" t="n"/>
      <c r="K265" s="2145" t="n"/>
    </row>
    <row r="266" customFormat="1" s="1916">
      <c r="A266" s="53" t="n"/>
      <c r="B266" s="93" t="n"/>
      <c r="C266" s="2145" t="n"/>
      <c r="D266" s="2145" t="n"/>
      <c r="E266" s="111" t="n"/>
      <c r="F266" s="53" t="n"/>
      <c r="G266" s="53" t="n"/>
      <c r="H266" s="93" t="n"/>
      <c r="I266" s="2145" t="n"/>
      <c r="J266" s="2145" t="n"/>
      <c r="K266" s="2145" t="n"/>
    </row>
    <row r="267" customFormat="1" s="1916">
      <c r="A267" s="53" t="n"/>
      <c r="B267" s="93" t="n"/>
      <c r="C267" s="2145" t="n"/>
      <c r="D267" s="2145" t="n"/>
      <c r="E267" s="111" t="n"/>
      <c r="F267" s="53" t="n"/>
      <c r="G267" s="53" t="n"/>
      <c r="H267" s="93" t="n"/>
      <c r="I267" s="2145" t="n"/>
      <c r="J267" s="2145" t="n"/>
      <c r="K267" s="2145" t="n"/>
    </row>
    <row r="268" customFormat="1" s="1916">
      <c r="A268" s="53" t="n"/>
      <c r="B268" s="93" t="n"/>
      <c r="C268" s="2145" t="n"/>
      <c r="D268" s="2145" t="n"/>
      <c r="E268" s="53" t="n"/>
      <c r="F268" s="53" t="n"/>
      <c r="G268" s="53" t="n"/>
      <c r="H268" s="93" t="n"/>
      <c r="I268" s="2145" t="n"/>
      <c r="J268" s="2145" t="n"/>
      <c r="K268" s="2145" t="n"/>
    </row>
    <row r="269" customFormat="1" s="1916">
      <c r="A269" s="53" t="n"/>
      <c r="B269" s="93" t="n"/>
      <c r="C269" s="2145" t="n"/>
      <c r="D269" s="2145" t="n"/>
      <c r="E269" s="53" t="n"/>
      <c r="F269" s="53" t="n"/>
      <c r="G269" s="53" t="n"/>
      <c r="H269" s="93" t="n"/>
      <c r="I269" s="2145" t="n"/>
      <c r="J269" s="2145" t="n"/>
      <c r="K269" s="2145" t="n"/>
    </row>
    <row r="270" customFormat="1" s="1916">
      <c r="A270" s="103" t="n"/>
      <c r="B270" s="103" t="n"/>
      <c r="C270" s="2147" t="n"/>
      <c r="D270" s="2147" t="n"/>
      <c r="E270" s="53" t="n"/>
      <c r="F270" s="53" t="n"/>
      <c r="G270" s="103" t="n"/>
      <c r="H270" s="103" t="n"/>
      <c r="I270" s="2147" t="n"/>
      <c r="J270" s="2147" t="n"/>
      <c r="K270" s="2147" t="n"/>
    </row>
    <row r="271" customFormat="1" s="1916">
      <c r="A271" s="53" t="n"/>
      <c r="B271" s="53" t="n"/>
      <c r="C271" s="2145" t="n"/>
      <c r="D271" s="2145" t="n"/>
      <c r="E271" s="53" t="n"/>
      <c r="F271" s="53" t="n"/>
    </row>
    <row r="272" customFormat="1" s="1916">
      <c r="A272" s="53" t="n"/>
      <c r="B272" s="53" t="n"/>
      <c r="C272" s="2145" t="n"/>
      <c r="D272" s="2147" t="n"/>
      <c r="E272" s="53" t="n"/>
      <c r="F272" s="53" t="n"/>
    </row>
    <row r="273" customFormat="1" s="1916">
      <c r="A273" s="53" t="n"/>
      <c r="B273" s="53" t="n"/>
      <c r="C273" s="2145" t="n"/>
      <c r="D273" s="2145" t="n"/>
      <c r="E273" s="53" t="n"/>
      <c r="F273" s="53" t="n"/>
    </row>
    <row r="274" customFormat="1" s="1916">
      <c r="A274" s="53" t="n"/>
      <c r="B274" s="53" t="n"/>
      <c r="C274" s="2145" t="n"/>
      <c r="D274" s="2145" t="n"/>
      <c r="E274" s="53" t="n"/>
      <c r="F274" s="53" t="n"/>
    </row>
    <row r="275" customFormat="1" s="1916">
      <c r="A275" s="53" t="n"/>
      <c r="B275" s="112" t="n"/>
      <c r="C275" s="2145" t="n"/>
      <c r="D275" s="2145" t="n"/>
      <c r="E275" s="53" t="n"/>
      <c r="F275" s="53" t="n"/>
    </row>
    <row r="276" customFormat="1" s="1916">
      <c r="A276" s="53" t="n"/>
      <c r="B276" s="112" t="n"/>
      <c r="C276" s="2145" t="n"/>
      <c r="D276" s="2145" t="n"/>
      <c r="E276" s="53" t="n"/>
      <c r="F276" s="53" t="n"/>
    </row>
    <row r="277" customFormat="1" s="1916">
      <c r="A277" s="53" t="n"/>
      <c r="B277" s="113" t="n"/>
      <c r="C277" s="2145" t="n"/>
      <c r="D277" s="2145" t="n"/>
      <c r="E277" s="53" t="n"/>
      <c r="F277" s="53" t="n"/>
    </row>
    <row r="278" customFormat="1" s="1916">
      <c r="A278" s="53" t="n"/>
      <c r="B278" s="113" t="n"/>
      <c r="C278" s="2145" t="n"/>
      <c r="D278" s="2145" t="n"/>
      <c r="E278" s="53" t="n"/>
      <c r="F278" s="53" t="n"/>
    </row>
    <row r="279" customFormat="1" s="1916">
      <c r="A279" s="53" t="n"/>
      <c r="B279" s="113" t="n"/>
      <c r="C279" s="2145" t="n"/>
      <c r="D279" s="2145" t="n"/>
      <c r="E279" s="53" t="n"/>
      <c r="F279" s="53" t="n"/>
    </row>
    <row r="280" customFormat="1" s="1916">
      <c r="A280" s="53" t="n"/>
      <c r="B280" s="113" t="n"/>
      <c r="C280" s="2145" t="n"/>
      <c r="D280" s="2145" t="n"/>
      <c r="E280" s="53" t="n"/>
      <c r="F280" s="53" t="n"/>
    </row>
    <row r="281" customFormat="1" s="1916">
      <c r="A281" s="53" t="n"/>
      <c r="B281" s="112" t="n"/>
      <c r="C281" s="2145" t="n"/>
      <c r="D281" s="2145" t="n"/>
      <c r="E281" s="53" t="n"/>
      <c r="F281" s="53" t="n"/>
    </row>
    <row r="282" customFormat="1" s="1916">
      <c r="A282" s="53" t="n"/>
      <c r="B282" s="112" t="n"/>
      <c r="C282" s="2145" t="n"/>
      <c r="D282" s="2145" t="n"/>
      <c r="E282" s="53" t="n"/>
      <c r="F282" s="53" t="n"/>
    </row>
    <row r="283" customFormat="1" s="1916">
      <c r="A283" s="53" t="n"/>
      <c r="B283" s="112" t="n"/>
      <c r="C283" s="2145" t="n"/>
      <c r="D283" s="2149" t="n"/>
      <c r="E283" s="53" t="n"/>
      <c r="F283" s="53" t="n"/>
      <c r="N283" s="53" t="n"/>
    </row>
    <row r="284" customFormat="1" s="1916">
      <c r="A284" s="53" t="n"/>
      <c r="B284" s="113" t="n"/>
      <c r="C284" s="2145" t="n"/>
      <c r="D284" s="2145" t="n"/>
      <c r="E284" s="53" t="n"/>
      <c r="F284" s="53" t="n"/>
      <c r="G284" s="53" t="n"/>
      <c r="I284" s="2154" t="n"/>
      <c r="N284" s="53" t="n"/>
    </row>
    <row r="285" customFormat="1" s="1916">
      <c r="A285" s="53" t="n"/>
      <c r="B285" s="53" t="n"/>
      <c r="C285" s="2145" t="n"/>
      <c r="D285" s="2145" t="n"/>
      <c r="E285" s="2145" t="n"/>
      <c r="F285" s="2145" t="n"/>
      <c r="N285" s="53" t="n"/>
    </row>
    <row r="286" customFormat="1" s="1916">
      <c r="A286" s="53" t="n"/>
      <c r="B286" s="53" t="n"/>
      <c r="C286" s="2145" t="n"/>
      <c r="D286" s="2145" t="n"/>
      <c r="F286" s="108" t="n"/>
      <c r="N286" s="53" t="n"/>
    </row>
    <row r="287" customFormat="1" s="1916">
      <c r="D287" s="2145" t="n"/>
    </row>
    <row r="288" customFormat="1" s="1916">
      <c r="A288" s="115" t="n"/>
    </row>
    <row r="289" customFormat="1" s="1916"/>
    <row r="290" customFormat="1" s="1916">
      <c r="A290" s="53" t="n"/>
      <c r="B290" s="53" t="n"/>
      <c r="C290" s="53" t="n"/>
      <c r="D290" s="53" t="n"/>
      <c r="L290" s="53" t="n"/>
      <c r="M290" s="53" t="n"/>
      <c r="N290" s="53" t="n"/>
      <c r="O290" s="53" t="n"/>
      <c r="P290" s="53" t="n"/>
    </row>
    <row r="291" customFormat="1" s="1916">
      <c r="A291" s="53" t="n"/>
      <c r="B291" s="53" t="n"/>
      <c r="C291" s="53" t="n"/>
      <c r="D291" s="53" t="n"/>
      <c r="E291" s="53" t="n"/>
      <c r="F291" s="53" t="n"/>
      <c r="L291" s="53" t="n"/>
      <c r="M291" s="53" t="n"/>
      <c r="N291" s="53" t="n"/>
      <c r="O291" s="53" t="n"/>
      <c r="P291" s="2145" t="n"/>
    </row>
    <row r="292" customFormat="1" s="1916">
      <c r="A292" s="53" t="n"/>
      <c r="B292" s="2155" t="n"/>
      <c r="C292" s="2145" t="n"/>
      <c r="D292" s="2145" t="n"/>
      <c r="E292" s="2156" t="n"/>
      <c r="F292" s="53" t="n"/>
      <c r="L292" s="53" t="n"/>
      <c r="M292" s="53" t="n"/>
      <c r="N292" s="2145" t="n"/>
      <c r="O292" s="2145" t="n"/>
      <c r="P292" s="2145" t="n"/>
    </row>
    <row r="293" customFormat="1" s="1916">
      <c r="A293" s="53" t="n"/>
      <c r="B293" s="53" t="n"/>
      <c r="C293" s="2145" t="n"/>
      <c r="D293" s="2145" t="n"/>
      <c r="E293" s="53" t="n"/>
      <c r="F293" s="53" t="n"/>
      <c r="L293" s="53" t="n"/>
      <c r="M293" s="53" t="n"/>
      <c r="N293" s="2145" t="n"/>
      <c r="O293" s="2156" t="n"/>
      <c r="P293" s="2145" t="n"/>
    </row>
    <row r="294" customFormat="1" s="1916">
      <c r="A294" s="53" t="n"/>
      <c r="B294" s="53" t="n"/>
      <c r="C294" s="2145" t="n"/>
      <c r="D294" s="2145" t="n"/>
      <c r="E294" s="53" t="n"/>
      <c r="F294" s="53" t="n"/>
      <c r="L294" s="53" t="n"/>
      <c r="M294" s="53" t="n"/>
      <c r="N294" s="2145" t="n"/>
      <c r="O294" s="2156" t="n"/>
      <c r="P294" s="2145" t="n"/>
    </row>
    <row r="295" customFormat="1" s="1916">
      <c r="A295" s="53" t="n"/>
      <c r="B295" s="53" t="n"/>
      <c r="C295" s="2145" t="n"/>
      <c r="D295" s="2145" t="n"/>
      <c r="E295" s="53" t="n"/>
      <c r="F295" s="53" t="n"/>
      <c r="L295" s="53" t="n"/>
      <c r="M295" s="2145" t="n"/>
      <c r="N295" s="2149" t="n"/>
      <c r="O295" s="53" t="n"/>
      <c r="P295" s="53" t="n"/>
      <c r="Q295" s="53" t="n"/>
      <c r="R295" s="53" t="n"/>
      <c r="S295" s="53" t="n"/>
    </row>
    <row r="296" customFormat="1" s="1916">
      <c r="A296" s="53" t="n"/>
      <c r="B296" s="53" t="n"/>
      <c r="C296" s="2145" t="n"/>
      <c r="D296" s="2145" t="n"/>
      <c r="E296" s="53" t="n"/>
      <c r="F296" s="53" t="n"/>
      <c r="L296" s="53" t="n"/>
      <c r="M296" s="53" t="n"/>
      <c r="N296" s="2149" t="n"/>
      <c r="O296" s="53" t="n"/>
      <c r="P296" s="53" t="n"/>
      <c r="Q296" s="2145" t="n"/>
      <c r="R296" s="2145" t="n"/>
      <c r="S296" s="53" t="n"/>
    </row>
    <row r="297" customFormat="1" s="1916">
      <c r="A297" s="53" t="n"/>
      <c r="B297" s="53" t="n"/>
      <c r="C297" s="2145" t="n"/>
      <c r="D297" s="2145" t="n"/>
      <c r="E297" s="53" t="n"/>
      <c r="F297" s="53" t="n"/>
      <c r="L297" s="53" t="n"/>
      <c r="M297" s="53" t="n"/>
      <c r="N297" s="2149" t="n"/>
      <c r="O297" s="53" t="n"/>
      <c r="P297" s="53" t="n"/>
      <c r="Q297" s="2145" t="n"/>
      <c r="R297" s="2145" t="n"/>
      <c r="S297" s="53" t="n"/>
    </row>
    <row r="298" customFormat="1" s="1916">
      <c r="A298" s="53" t="n"/>
      <c r="B298" s="53" t="n"/>
      <c r="C298" s="2145" t="n"/>
      <c r="D298" s="2145" t="n"/>
      <c r="E298" s="53" t="n"/>
      <c r="F298" s="53" t="n"/>
      <c r="L298" s="53" t="n"/>
      <c r="M298" s="53" t="n"/>
      <c r="N298" s="2149" t="n"/>
      <c r="O298" s="53" t="n"/>
      <c r="P298" s="53" t="n"/>
      <c r="Q298" s="2145" t="n"/>
      <c r="R298" s="2145" t="n"/>
      <c r="S298" s="53" t="n"/>
    </row>
    <row r="299" customFormat="1" s="1916">
      <c r="A299" s="53" t="n"/>
      <c r="B299" s="53" t="n"/>
      <c r="C299" s="2145" t="n"/>
      <c r="D299" s="2145" t="n"/>
      <c r="E299" s="53" t="n"/>
      <c r="F299" s="53" t="n"/>
      <c r="L299" s="53" t="n"/>
      <c r="M299" s="53" t="n"/>
      <c r="N299" s="2149" t="n"/>
      <c r="O299" s="53" t="n"/>
      <c r="P299" s="53" t="n"/>
      <c r="Q299" s="2145" t="n"/>
      <c r="R299" s="2145" t="n"/>
      <c r="S299" s="53" t="n"/>
    </row>
    <row r="300" customFormat="1" s="1916">
      <c r="A300" s="53" t="n"/>
      <c r="B300" s="53" t="n"/>
      <c r="C300" s="2145" t="n"/>
      <c r="D300" s="2145" t="n"/>
      <c r="E300" s="53" t="n"/>
      <c r="F300" s="53" t="n"/>
      <c r="L300" s="53" t="n"/>
      <c r="M300" s="53" t="n"/>
      <c r="N300" s="2149" t="n"/>
      <c r="O300" s="53" t="n"/>
      <c r="P300" s="53" t="n"/>
      <c r="Q300" s="53" t="n"/>
      <c r="R300" s="53" t="n"/>
      <c r="S300" s="53" t="n"/>
    </row>
    <row r="301" customFormat="1" s="1916">
      <c r="A301" s="53" t="n"/>
      <c r="B301" s="53" t="n"/>
      <c r="C301" s="2145" t="n"/>
      <c r="D301" s="2145" t="n"/>
      <c r="E301" s="53" t="n"/>
      <c r="F301" s="53" t="n"/>
      <c r="L301" s="53" t="n"/>
      <c r="M301" s="53" t="n"/>
      <c r="N301" s="2149" t="n"/>
      <c r="O301" s="53" t="n"/>
      <c r="P301" s="53" t="n"/>
      <c r="Q301" s="53" t="n"/>
      <c r="R301" s="53" t="n"/>
      <c r="S301" s="53" t="n"/>
    </row>
    <row r="302" customFormat="1" s="1916">
      <c r="A302" s="53" t="n"/>
      <c r="B302" s="53" t="n"/>
      <c r="C302" s="2145" t="n"/>
      <c r="D302" s="2145" t="n"/>
      <c r="E302" s="53" t="n"/>
      <c r="F302" s="53" t="n"/>
      <c r="Q302" s="53" t="n"/>
      <c r="R302" s="53" t="n"/>
      <c r="S302" s="53" t="n"/>
    </row>
    <row r="303" customFormat="1" s="1916">
      <c r="A303" s="53" t="n"/>
      <c r="B303" s="53" t="n"/>
      <c r="C303" s="2145" t="n"/>
      <c r="D303" s="2145" t="n"/>
      <c r="E303" s="53" t="n"/>
      <c r="F303" s="53" t="n"/>
      <c r="Q303" s="53" t="n"/>
      <c r="R303" s="53" t="n"/>
      <c r="S303" s="53" t="n"/>
    </row>
    <row r="304" customFormat="1" s="1916">
      <c r="A304" s="53" t="n"/>
      <c r="B304" s="53" t="n"/>
      <c r="C304" s="2145" t="n"/>
      <c r="D304" s="2145" t="n"/>
      <c r="E304" s="2156" t="n"/>
      <c r="F304" s="53" t="n"/>
      <c r="Q304" s="53" t="n"/>
      <c r="R304" s="53" t="n"/>
      <c r="S304" s="53" t="n"/>
    </row>
    <row r="305" customFormat="1" s="1916">
      <c r="A305" s="53" t="n"/>
      <c r="B305" s="53" t="n"/>
      <c r="C305" s="2145" t="n"/>
      <c r="D305" s="2145" t="n"/>
      <c r="E305" s="53" t="n"/>
      <c r="F305" s="53" t="n"/>
      <c r="Q305" s="53" t="n"/>
      <c r="R305" s="53" t="n"/>
      <c r="S305" s="53" t="n"/>
    </row>
    <row r="306" customFormat="1" s="1916">
      <c r="A306" s="53" t="n"/>
      <c r="B306" s="53" t="n"/>
      <c r="C306" s="2145" t="n"/>
      <c r="D306" s="2145" t="n"/>
      <c r="E306" s="53" t="n"/>
      <c r="F306" s="53" t="n"/>
      <c r="Q306" s="53" t="n"/>
      <c r="R306" s="53" t="n"/>
      <c r="S306" s="53" t="n"/>
    </row>
    <row r="307" customFormat="1" s="1916">
      <c r="A307" s="53" t="n"/>
      <c r="B307" s="53" t="n"/>
      <c r="C307" s="2145" t="n"/>
      <c r="D307" s="2145" t="n"/>
      <c r="E307" s="53" t="n"/>
      <c r="F307" s="53" t="n"/>
    </row>
    <row r="308" customFormat="1" s="1916">
      <c r="A308" s="53" t="n"/>
      <c r="B308" s="53" t="n"/>
      <c r="C308" s="2145" t="n"/>
      <c r="D308" s="2145" t="n"/>
      <c r="E308" s="53" t="n"/>
      <c r="F308" s="53" t="n"/>
    </row>
    <row r="309" customFormat="1" s="1916">
      <c r="A309" s="103" t="n"/>
      <c r="B309" s="103" t="n"/>
      <c r="C309" s="2147" t="n"/>
      <c r="D309" s="2147" t="n"/>
      <c r="E309" s="53" t="n"/>
      <c r="F309" s="53" t="n"/>
    </row>
    <row r="310" customFormat="1" s="1916">
      <c r="A310" s="103" t="n"/>
      <c r="B310" s="105" t="n"/>
      <c r="C310" s="2147" t="n"/>
      <c r="D310" s="2147" t="n"/>
      <c r="E310" s="53" t="n"/>
      <c r="F310" s="53" t="n"/>
    </row>
    <row r="311" customFormat="1" s="1916">
      <c r="A311" s="103" t="n"/>
      <c r="B311" s="103" t="n"/>
      <c r="C311" s="2147" t="n"/>
      <c r="D311" s="2147" t="n"/>
      <c r="E311" s="53" t="n"/>
      <c r="F311" s="53" t="n"/>
    </row>
    <row r="312" customFormat="1" s="1916">
      <c r="A312" s="103" t="n"/>
      <c r="B312" s="105" t="n"/>
      <c r="C312" s="2147" t="n"/>
      <c r="D312" s="2147" t="n"/>
      <c r="E312" s="53" t="n"/>
      <c r="G312" s="53" t="n"/>
      <c r="H312" s="53" t="n"/>
      <c r="I312" s="53" t="n"/>
      <c r="J312" s="53" t="n"/>
      <c r="K312" s="53" t="n"/>
      <c r="L312" s="53" t="n"/>
    </row>
    <row r="313" customFormat="1" s="1916">
      <c r="A313" s="53" t="n"/>
      <c r="B313" s="53" t="n"/>
      <c r="C313" s="2145" t="n"/>
      <c r="D313" s="2145" t="n"/>
      <c r="E313" s="53" t="n"/>
      <c r="G313" s="53" t="n"/>
      <c r="H313" s="53" t="n"/>
      <c r="I313" s="53" t="n"/>
      <c r="J313" s="106" t="n"/>
      <c r="K313" s="106" t="n"/>
      <c r="L313" s="106" t="n"/>
    </row>
    <row r="314" customFormat="1" s="1916">
      <c r="A314" s="3" t="n"/>
      <c r="B314" s="2156" t="n"/>
      <c r="C314" s="3" t="n"/>
      <c r="D314" s="2156" t="n"/>
      <c r="E314" s="107" t="n"/>
      <c r="G314" s="53" t="n"/>
      <c r="H314" s="108" t="n"/>
      <c r="I314" s="53" t="n"/>
      <c r="J314" s="106" t="n"/>
      <c r="K314" s="106" t="n"/>
      <c r="L314" s="106" t="n"/>
    </row>
    <row r="315" customFormat="1" s="1916">
      <c r="A315" s="53" t="n"/>
      <c r="B315" s="53" t="n"/>
      <c r="C315" s="53" t="n"/>
      <c r="D315" s="53" t="n"/>
      <c r="E315" s="107" t="n"/>
      <c r="G315" s="53" t="n"/>
      <c r="H315" s="53" t="n"/>
      <c r="I315" s="53" t="n"/>
      <c r="J315" s="2145" t="n"/>
      <c r="K315" s="2145" t="n"/>
      <c r="L315" s="53" t="n"/>
    </row>
    <row r="316" customFormat="1" s="1916">
      <c r="A316" s="53" t="n"/>
      <c r="B316" s="53" t="n"/>
      <c r="C316" s="53" t="n"/>
      <c r="D316" s="106" t="n"/>
      <c r="E316" s="106" t="n"/>
      <c r="G316" s="53" t="n"/>
      <c r="H316" s="93" t="n"/>
      <c r="I316" s="2145" t="n"/>
      <c r="J316" s="2145" t="n"/>
      <c r="K316" s="2145" t="n"/>
      <c r="L316" s="106" t="n"/>
    </row>
    <row r="317" customFormat="1" s="1916">
      <c r="A317" s="53" t="n"/>
      <c r="B317" s="53" t="n"/>
      <c r="C317" s="53" t="n"/>
      <c r="D317" s="53" t="n"/>
      <c r="E317" s="53" t="n"/>
      <c r="G317" s="53" t="n"/>
      <c r="H317" s="93" t="n"/>
      <c r="I317" s="2145" t="n"/>
      <c r="J317" s="2145" t="n"/>
      <c r="K317" s="2145" t="n"/>
      <c r="L317" s="53" t="n"/>
    </row>
    <row r="318" customFormat="1" s="1916">
      <c r="A318" s="53" t="n"/>
      <c r="B318" s="53" t="n"/>
      <c r="C318" s="53" t="n"/>
      <c r="D318" s="106" t="n"/>
      <c r="E318" s="106" t="n"/>
      <c r="G318" s="53" t="n"/>
      <c r="H318" s="93" t="n"/>
      <c r="I318" s="2145" t="n"/>
      <c r="J318" s="2145" t="n"/>
      <c r="K318" s="2145" t="n"/>
      <c r="L318" s="106" t="n"/>
    </row>
    <row r="319" customFormat="1" s="1916">
      <c r="A319" s="53" t="n"/>
      <c r="B319" s="53" t="n"/>
      <c r="C319" s="53" t="n"/>
      <c r="D319" s="2157" t="n"/>
      <c r="E319" s="2157" t="n"/>
      <c r="F319" s="53" t="n"/>
      <c r="G319" s="103" t="n"/>
      <c r="H319" s="103" t="n"/>
      <c r="I319" s="2147" t="n"/>
      <c r="J319" s="2147" t="n"/>
      <c r="K319" s="2145" t="n"/>
      <c r="L319" s="106" t="n"/>
    </row>
    <row r="320" customFormat="1" s="1916">
      <c r="A320" s="53" t="n"/>
      <c r="B320" s="53" t="n"/>
      <c r="C320" s="2145" t="n"/>
      <c r="D320" s="2145" t="n"/>
      <c r="E320" s="2145" t="n"/>
      <c r="F320" s="53" t="n"/>
      <c r="G320" s="53" t="n"/>
      <c r="H320" s="53" t="n"/>
    </row>
    <row r="321" customFormat="1" s="1916">
      <c r="A321" s="53" t="n"/>
      <c r="B321" s="53" t="n"/>
      <c r="C321" s="53" t="n"/>
      <c r="D321" s="2145" t="n"/>
      <c r="E321" s="53" t="n"/>
      <c r="F321" s="53" t="n"/>
      <c r="G321" s="110" t="n"/>
      <c r="H321" s="53" t="n"/>
      <c r="I321" s="53" t="n"/>
      <c r="J321" s="2145" t="n"/>
      <c r="K321" s="2145" t="n"/>
    </row>
    <row r="322" customFormat="1" s="1916">
      <c r="A322" s="53" t="n"/>
      <c r="B322" s="93" t="n"/>
      <c r="C322" s="2145" t="n"/>
      <c r="D322" s="2145" t="n"/>
      <c r="E322" s="53" t="n"/>
      <c r="F322" s="53" t="n"/>
      <c r="G322" s="2156" t="n"/>
      <c r="H322" s="93" t="n"/>
      <c r="I322" s="2145" t="n"/>
      <c r="J322" s="2145" t="n"/>
      <c r="K322" s="2145" t="n"/>
    </row>
    <row r="323" customFormat="1" s="1916">
      <c r="A323" s="53" t="n"/>
      <c r="B323" s="93" t="n"/>
      <c r="C323" s="2145" t="n"/>
      <c r="D323" s="2145" t="n"/>
      <c r="E323" s="53" t="n"/>
      <c r="F323" s="53" t="n"/>
      <c r="G323" s="53" t="n"/>
      <c r="H323" s="93" t="n"/>
      <c r="I323" s="2145" t="n"/>
      <c r="J323" s="2145" t="n"/>
      <c r="K323" s="2145" t="n"/>
    </row>
    <row r="324" customFormat="1" s="1916">
      <c r="A324" s="53" t="n"/>
      <c r="B324" s="93" t="n"/>
      <c r="C324" s="2145" t="n"/>
      <c r="D324" s="2145" t="n"/>
      <c r="E324" s="53" t="n"/>
      <c r="F324" s="53" t="n"/>
      <c r="G324" s="53" t="n"/>
      <c r="H324" s="93" t="n"/>
      <c r="I324" s="2145" t="n"/>
      <c r="J324" s="2145" t="n"/>
      <c r="K324" s="2145" t="n"/>
    </row>
    <row r="325" customFormat="1" s="1916">
      <c r="A325" s="53" t="n"/>
      <c r="B325" s="93" t="n"/>
      <c r="C325" s="2145" t="n"/>
      <c r="D325" s="2145" t="n"/>
      <c r="E325" s="111" t="n"/>
      <c r="F325" s="53" t="n"/>
      <c r="G325" s="53" t="n"/>
      <c r="H325" s="93" t="n"/>
      <c r="I325" s="2145" t="n"/>
      <c r="J325" s="2145" t="n"/>
      <c r="K325" s="2145" t="n"/>
    </row>
    <row r="326" customFormat="1" s="1916">
      <c r="A326" s="53" t="n"/>
      <c r="B326" s="93" t="n"/>
      <c r="C326" s="2145" t="n"/>
      <c r="D326" s="2145" t="n"/>
      <c r="E326" s="111" t="n"/>
      <c r="F326" s="53" t="n"/>
      <c r="G326" s="53" t="n"/>
      <c r="H326" s="93" t="n"/>
      <c r="I326" s="2145" t="n"/>
      <c r="J326" s="2145" t="n"/>
      <c r="K326" s="2145" t="n"/>
    </row>
    <row r="327" customFormat="1" s="1916">
      <c r="A327" s="53" t="n"/>
      <c r="B327" s="93" t="n"/>
      <c r="C327" s="2145" t="n"/>
      <c r="D327" s="2145" t="n"/>
      <c r="E327" s="53" t="n"/>
      <c r="F327" s="53" t="n"/>
      <c r="G327" s="53" t="n"/>
      <c r="H327" s="93" t="n"/>
      <c r="I327" s="2145" t="n"/>
      <c r="J327" s="2145" t="n"/>
      <c r="K327" s="2145" t="n"/>
    </row>
    <row r="328" customFormat="1" s="1916">
      <c r="A328" s="53" t="n"/>
      <c r="B328" s="93" t="n"/>
      <c r="C328" s="2145" t="n"/>
      <c r="D328" s="2145" t="n"/>
      <c r="E328" s="53" t="n"/>
      <c r="F328" s="53" t="n"/>
      <c r="G328" s="53" t="n"/>
      <c r="H328" s="93" t="n"/>
      <c r="I328" s="2145" t="n"/>
      <c r="J328" s="2145" t="n"/>
      <c r="K328" s="2145" t="n"/>
    </row>
    <row r="329" customFormat="1" s="1916">
      <c r="A329" s="103" t="n"/>
      <c r="B329" s="103" t="n"/>
      <c r="C329" s="2147" t="n"/>
      <c r="D329" s="2147" t="n"/>
      <c r="E329" s="53" t="n"/>
      <c r="F329" s="53" t="n"/>
      <c r="G329" s="103" t="n"/>
      <c r="H329" s="103" t="n"/>
      <c r="I329" s="2147" t="n"/>
      <c r="J329" s="2147" t="n"/>
      <c r="K329" s="2147" t="n"/>
    </row>
    <row r="330" customFormat="1" s="1916">
      <c r="A330" s="53" t="n"/>
      <c r="B330" s="53" t="n"/>
      <c r="C330" s="2145" t="n"/>
      <c r="D330" s="2145" t="n"/>
      <c r="E330" s="53" t="n"/>
      <c r="F330" s="53" t="n"/>
    </row>
    <row r="331" customFormat="1" s="1916">
      <c r="A331" s="53" t="n"/>
      <c r="B331" s="53" t="n"/>
      <c r="C331" s="2145" t="n"/>
      <c r="D331" s="2147" t="n"/>
      <c r="E331" s="53" t="n"/>
      <c r="F331" s="53" t="n"/>
    </row>
    <row r="332" customFormat="1" s="1916">
      <c r="A332" s="53" t="n"/>
      <c r="B332" s="53" t="n"/>
      <c r="C332" s="2145" t="n"/>
      <c r="D332" s="2145" t="n"/>
      <c r="E332" s="53" t="n"/>
      <c r="F332" s="53" t="n"/>
    </row>
    <row r="333" customFormat="1" s="1916">
      <c r="A333" s="53" t="n"/>
      <c r="B333" s="53" t="n"/>
      <c r="C333" s="2145" t="n"/>
      <c r="D333" s="2145" t="n"/>
      <c r="E333" s="53" t="n"/>
      <c r="F333" s="53" t="n"/>
    </row>
    <row r="334" customFormat="1" s="1916">
      <c r="A334" s="53" t="n"/>
      <c r="B334" s="112" t="n"/>
      <c r="C334" s="2145" t="n"/>
      <c r="D334" s="2145" t="n"/>
      <c r="E334" s="53" t="n"/>
      <c r="F334" s="53" t="n"/>
    </row>
    <row r="335" customFormat="1" s="1916">
      <c r="A335" s="53" t="n"/>
      <c r="B335" s="112" t="n"/>
      <c r="C335" s="2145" t="n"/>
      <c r="D335" s="2145" t="n"/>
      <c r="E335" s="53" t="n"/>
      <c r="F335" s="53" t="n"/>
    </row>
    <row r="336" customFormat="1" s="1916">
      <c r="A336" s="53" t="n"/>
      <c r="B336" s="113" t="n"/>
      <c r="C336" s="2145" t="n"/>
      <c r="D336" s="2145" t="n"/>
      <c r="E336" s="53" t="n"/>
      <c r="F336" s="53" t="n"/>
    </row>
    <row r="337" customFormat="1" s="1916">
      <c r="A337" s="53" t="n"/>
      <c r="B337" s="113" t="n"/>
      <c r="C337" s="2145" t="n"/>
      <c r="D337" s="2145" t="n"/>
      <c r="E337" s="53" t="n"/>
      <c r="F337" s="53" t="n"/>
    </row>
    <row r="338" customFormat="1" s="1916">
      <c r="A338" s="53" t="n"/>
      <c r="B338" s="113" t="n"/>
      <c r="C338" s="2145" t="n"/>
      <c r="D338" s="2145" t="n"/>
      <c r="E338" s="53" t="n"/>
      <c r="F338" s="53" t="n"/>
    </row>
    <row r="339" customFormat="1" s="1916">
      <c r="A339" s="53" t="n"/>
      <c r="B339" s="113" t="n"/>
      <c r="C339" s="2145" t="n"/>
      <c r="D339" s="2145" t="n"/>
      <c r="E339" s="53" t="n"/>
      <c r="F339" s="53" t="n"/>
    </row>
    <row r="340" customFormat="1" s="1916">
      <c r="A340" s="53" t="n"/>
      <c r="B340" s="112" t="n"/>
      <c r="C340" s="2145" t="n"/>
      <c r="D340" s="2145" t="n"/>
      <c r="E340" s="53" t="n"/>
      <c r="F340" s="53" t="n"/>
    </row>
    <row r="341" customFormat="1" s="1916">
      <c r="A341" s="53" t="n"/>
      <c r="B341" s="112" t="n"/>
      <c r="C341" s="2145" t="n"/>
      <c r="D341" s="2145" t="n"/>
      <c r="E341" s="53" t="n"/>
      <c r="F341" s="53" t="n"/>
    </row>
    <row r="342" customFormat="1" s="1916">
      <c r="A342" s="53" t="n"/>
      <c r="B342" s="112" t="n"/>
      <c r="C342" s="2145" t="n"/>
      <c r="D342" s="2149" t="n"/>
      <c r="E342" s="53" t="n"/>
      <c r="F342" s="53" t="n"/>
      <c r="N342" s="53" t="n"/>
    </row>
    <row r="343" customFormat="1" s="1916">
      <c r="A343" s="53" t="n"/>
      <c r="B343" s="113" t="n"/>
      <c r="C343" s="2145" t="n"/>
      <c r="D343" s="2145" t="n"/>
      <c r="E343" s="53" t="n"/>
      <c r="F343" s="53" t="n"/>
      <c r="G343" s="53" t="n"/>
      <c r="I343" s="2154" t="n"/>
      <c r="N343" s="53" t="n"/>
    </row>
    <row r="344" customFormat="1" s="1916">
      <c r="A344" s="53" t="n"/>
      <c r="B344" s="53" t="n"/>
      <c r="C344" s="2145" t="n"/>
      <c r="D344" s="2145" t="n"/>
      <c r="E344" s="2145" t="n"/>
      <c r="F344" s="2145" t="n"/>
      <c r="N344" s="53" t="n"/>
    </row>
    <row r="345" customFormat="1" s="1916">
      <c r="A345" s="53" t="n"/>
      <c r="B345" s="53" t="n"/>
      <c r="C345" s="2145" t="n"/>
      <c r="D345" s="2145" t="n"/>
      <c r="F345" s="108" t="n"/>
      <c r="N345" s="53" t="n"/>
    </row>
    <row r="346" customFormat="1" s="1916">
      <c r="A346" s="115" t="n"/>
      <c r="D346" s="2145" t="n"/>
    </row>
    <row r="347" customFormat="1" s="1916"/>
    <row r="348" customFormat="1" s="1916">
      <c r="A348" s="116" t="n"/>
    </row>
    <row r="349" customFormat="1" s="1916">
      <c r="A349" s="53" t="n"/>
      <c r="B349" s="53" t="n"/>
      <c r="C349" s="53" t="n"/>
      <c r="D349" s="53" t="n"/>
      <c r="L349" s="53" t="n"/>
      <c r="M349" s="53" t="n"/>
      <c r="N349" s="53" t="n"/>
      <c r="O349" s="53" t="n"/>
      <c r="P349" s="53" t="n"/>
    </row>
    <row r="350" customFormat="1" s="1916">
      <c r="A350" s="53" t="n"/>
      <c r="B350" s="53" t="n"/>
      <c r="C350" s="53" t="n"/>
      <c r="D350" s="53" t="n"/>
      <c r="E350" s="53" t="n"/>
      <c r="F350" s="53" t="n"/>
      <c r="L350" s="53" t="n"/>
      <c r="M350" s="53" t="n"/>
      <c r="N350" s="53" t="n"/>
      <c r="O350" s="53" t="n"/>
      <c r="P350" s="2145" t="n"/>
    </row>
    <row r="351" customFormat="1" s="1916">
      <c r="A351" s="53" t="n"/>
      <c r="B351" s="2155" t="n"/>
      <c r="C351" s="2145" t="n"/>
      <c r="D351" s="2145" t="n"/>
      <c r="E351" s="2156" t="n"/>
      <c r="F351" s="53" t="n"/>
      <c r="L351" s="53" t="n"/>
      <c r="M351" s="53" t="n"/>
      <c r="N351" s="2145" t="n"/>
      <c r="O351" s="2145" t="n"/>
      <c r="P351" s="2145" t="n"/>
    </row>
    <row r="352" customFormat="1" s="1916">
      <c r="A352" s="53" t="n"/>
      <c r="B352" s="53" t="n"/>
      <c r="C352" s="2145" t="n"/>
      <c r="D352" s="2145" t="n"/>
      <c r="E352" s="53" t="n"/>
      <c r="F352" s="53" t="n"/>
      <c r="L352" s="53" t="n"/>
      <c r="M352" s="53" t="n"/>
      <c r="N352" s="2145" t="n"/>
      <c r="O352" s="2156" t="n"/>
      <c r="P352" s="2145" t="n"/>
    </row>
    <row r="353" customFormat="1" s="1916">
      <c r="A353" s="53" t="n"/>
      <c r="B353" s="53" t="n"/>
      <c r="C353" s="2145" t="n"/>
      <c r="D353" s="2145" t="n"/>
      <c r="E353" s="53" t="n"/>
      <c r="F353" s="53" t="n"/>
      <c r="L353" s="53" t="n"/>
      <c r="M353" s="53" t="n"/>
      <c r="N353" s="2145" t="n"/>
      <c r="O353" s="2156" t="n"/>
      <c r="P353" s="2145" t="n"/>
    </row>
    <row r="354" customFormat="1" s="1916">
      <c r="A354" s="53" t="n"/>
      <c r="B354" s="53" t="n"/>
      <c r="C354" s="2145" t="n"/>
      <c r="D354" s="2145" t="n"/>
      <c r="E354" s="53" t="n"/>
      <c r="F354" s="53" t="n"/>
      <c r="L354" s="53" t="n"/>
      <c r="M354" s="2145" t="n"/>
      <c r="N354" s="2149" t="n"/>
      <c r="O354" s="53" t="n"/>
      <c r="P354" s="53" t="n"/>
      <c r="Q354" s="53" t="n"/>
      <c r="R354" s="53" t="n"/>
      <c r="S354" s="53" t="n"/>
    </row>
    <row r="355" customFormat="1" s="1916">
      <c r="A355" s="53" t="n"/>
      <c r="B355" s="53" t="n"/>
      <c r="C355" s="2145" t="n"/>
      <c r="D355" s="2145" t="n"/>
      <c r="E355" s="53" t="n"/>
      <c r="F355" s="53" t="n"/>
      <c r="L355" s="53" t="n"/>
      <c r="M355" s="53" t="n"/>
      <c r="N355" s="2149" t="n"/>
      <c r="O355" s="53" t="n"/>
      <c r="P355" s="53" t="n"/>
      <c r="Q355" s="2145" t="n"/>
      <c r="R355" s="2145" t="n"/>
      <c r="S355" s="53" t="n"/>
    </row>
    <row r="356" customFormat="1" s="1916">
      <c r="A356" s="53" t="n"/>
      <c r="B356" s="53" t="n"/>
      <c r="C356" s="2145" t="n"/>
      <c r="D356" s="2145" t="n"/>
      <c r="E356" s="53" t="n"/>
      <c r="F356" s="53" t="n"/>
      <c r="L356" s="53" t="n"/>
      <c r="M356" s="53" t="n"/>
      <c r="N356" s="2149" t="n"/>
      <c r="O356" s="53" t="n"/>
      <c r="P356" s="53" t="n"/>
      <c r="Q356" s="2145" t="n"/>
      <c r="R356" s="2145" t="n"/>
      <c r="S356" s="53" t="n"/>
    </row>
    <row r="357" customFormat="1" s="1916">
      <c r="A357" s="53" t="n"/>
      <c r="B357" s="53" t="n"/>
      <c r="C357" s="2145" t="n"/>
      <c r="D357" s="2145" t="n"/>
      <c r="E357" s="53" t="n"/>
      <c r="F357" s="53" t="n"/>
      <c r="L357" s="53" t="n"/>
      <c r="M357" s="53" t="n"/>
      <c r="N357" s="2149" t="n"/>
      <c r="O357" s="53" t="n"/>
      <c r="P357" s="53" t="n"/>
      <c r="Q357" s="2145" t="n"/>
      <c r="R357" s="2145" t="n"/>
      <c r="S357" s="53" t="n"/>
    </row>
    <row r="358" customFormat="1" s="1916">
      <c r="A358" s="53" t="n"/>
      <c r="B358" s="53" t="n"/>
      <c r="C358" s="2145" t="n"/>
      <c r="D358" s="2145" t="n"/>
      <c r="E358" s="53" t="n"/>
      <c r="F358" s="53" t="n"/>
      <c r="L358" s="53" t="n"/>
      <c r="M358" s="53" t="n"/>
      <c r="N358" s="2149" t="n"/>
      <c r="O358" s="53" t="n"/>
      <c r="P358" s="53" t="n"/>
      <c r="Q358" s="2145" t="n"/>
      <c r="R358" s="2145" t="n"/>
      <c r="S358" s="53" t="n"/>
    </row>
    <row r="359" customFormat="1" s="1916">
      <c r="A359" s="53" t="n"/>
      <c r="B359" s="53" t="n"/>
      <c r="C359" s="2145" t="n"/>
      <c r="D359" s="2145" t="n"/>
      <c r="E359" s="53" t="n"/>
      <c r="F359" s="53" t="n"/>
      <c r="L359" s="53" t="n"/>
      <c r="M359" s="53" t="n"/>
      <c r="N359" s="2149" t="n"/>
      <c r="O359" s="53" t="n"/>
      <c r="P359" s="53" t="n"/>
      <c r="Q359" s="53" t="n"/>
      <c r="R359" s="53" t="n"/>
      <c r="S359" s="53" t="n"/>
    </row>
    <row r="360" customFormat="1" s="1916">
      <c r="A360" s="53" t="n"/>
      <c r="B360" s="53" t="n"/>
      <c r="C360" s="2145" t="n"/>
      <c r="D360" s="2145" t="n"/>
      <c r="E360" s="53" t="n"/>
      <c r="F360" s="53" t="n"/>
      <c r="L360" s="53" t="n"/>
      <c r="M360" s="53" t="n"/>
      <c r="N360" s="2149" t="n"/>
      <c r="O360" s="53" t="n"/>
      <c r="P360" s="53" t="n"/>
      <c r="Q360" s="53" t="n"/>
      <c r="R360" s="53" t="n"/>
      <c r="S360" s="53" t="n"/>
    </row>
    <row r="361" customFormat="1" s="1916">
      <c r="A361" s="53" t="n"/>
      <c r="B361" s="53" t="n"/>
      <c r="C361" s="2145" t="n"/>
      <c r="D361" s="2145" t="n"/>
      <c r="E361" s="53" t="n"/>
      <c r="F361" s="53" t="n"/>
      <c r="Q361" s="53" t="n"/>
      <c r="R361" s="53" t="n"/>
      <c r="S361" s="53" t="n"/>
    </row>
    <row r="362" customFormat="1" s="1916">
      <c r="A362" s="53" t="n"/>
      <c r="B362" s="53" t="n"/>
      <c r="C362" s="2145" t="n"/>
      <c r="D362" s="2145" t="n"/>
      <c r="E362" s="53" t="n"/>
      <c r="F362" s="53" t="n"/>
      <c r="Q362" s="53" t="n"/>
      <c r="R362" s="53" t="n"/>
      <c r="S362" s="53" t="n"/>
    </row>
    <row r="363" customFormat="1" s="1916">
      <c r="A363" s="53" t="n"/>
      <c r="B363" s="53" t="n"/>
      <c r="C363" s="2145" t="n"/>
      <c r="D363" s="2145" t="n"/>
      <c r="E363" s="2156" t="n"/>
      <c r="F363" s="53" t="n"/>
      <c r="Q363" s="53" t="n"/>
      <c r="R363" s="53" t="n"/>
      <c r="S363" s="53" t="n"/>
    </row>
    <row r="364" customFormat="1" s="1916">
      <c r="A364" s="53" t="n"/>
      <c r="B364" s="53" t="n"/>
      <c r="C364" s="2145" t="n"/>
      <c r="D364" s="2145" t="n"/>
      <c r="E364" s="53" t="n"/>
      <c r="F364" s="53" t="n"/>
      <c r="Q364" s="53" t="n"/>
      <c r="R364" s="53" t="n"/>
      <c r="S364" s="53" t="n"/>
    </row>
    <row r="365" customFormat="1" s="1916">
      <c r="A365" s="53" t="n"/>
      <c r="B365" s="53" t="n"/>
      <c r="C365" s="2145" t="n"/>
      <c r="D365" s="2145" t="n"/>
      <c r="E365" s="53" t="n"/>
      <c r="F365" s="53" t="n"/>
      <c r="Q365" s="53" t="n"/>
      <c r="R365" s="53" t="n"/>
      <c r="S365" s="53" t="n"/>
    </row>
    <row r="366" customFormat="1" s="1916">
      <c r="A366" s="53" t="n"/>
      <c r="B366" s="53" t="n"/>
      <c r="C366" s="2145" t="n"/>
      <c r="D366" s="2145" t="n"/>
      <c r="E366" s="53" t="n"/>
      <c r="F366" s="53" t="n"/>
    </row>
    <row r="367" customFormat="1" s="1916">
      <c r="A367" s="53" t="n"/>
      <c r="B367" s="53" t="n"/>
      <c r="C367" s="2145" t="n"/>
      <c r="D367" s="2145" t="n"/>
      <c r="E367" s="53" t="n"/>
      <c r="F367" s="53" t="n"/>
    </row>
    <row r="368" customFormat="1" s="1916">
      <c r="A368" s="103" t="n"/>
      <c r="B368" s="103" t="n"/>
      <c r="C368" s="2147" t="n"/>
      <c r="D368" s="2147" t="n"/>
      <c r="E368" s="53" t="n"/>
      <c r="F368" s="53" t="n"/>
    </row>
    <row r="369" customFormat="1" s="1916">
      <c r="A369" s="103" t="n"/>
      <c r="B369" s="105" t="n"/>
      <c r="C369" s="2147" t="n"/>
      <c r="D369" s="2147" t="n"/>
      <c r="E369" s="53" t="n"/>
      <c r="F369" s="53" t="n"/>
    </row>
    <row r="370" customFormat="1" s="1916">
      <c r="A370" s="103" t="n"/>
      <c r="B370" s="103" t="n"/>
      <c r="C370" s="2147" t="n"/>
      <c r="D370" s="2147" t="n"/>
      <c r="E370" s="53" t="n"/>
      <c r="F370" s="53" t="n"/>
    </row>
    <row r="371" customFormat="1" s="1916">
      <c r="A371" s="103" t="n"/>
      <c r="B371" s="105" t="n"/>
      <c r="C371" s="2147" t="n"/>
      <c r="D371" s="2147" t="n"/>
      <c r="E371" s="53" t="n"/>
      <c r="G371" s="53" t="n"/>
      <c r="H371" s="53" t="n"/>
      <c r="I371" s="53" t="n"/>
      <c r="J371" s="53" t="n"/>
      <c r="K371" s="53" t="n"/>
      <c r="L371" s="53" t="n"/>
    </row>
    <row r="372" customFormat="1" s="1916">
      <c r="A372" s="53" t="n"/>
      <c r="B372" s="53" t="n"/>
      <c r="C372" s="2145" t="n"/>
      <c r="D372" s="2145" t="n"/>
      <c r="E372" s="53" t="n"/>
      <c r="G372" s="53" t="n"/>
      <c r="H372" s="53" t="n"/>
      <c r="I372" s="53" t="n"/>
      <c r="J372" s="106" t="n"/>
      <c r="K372" s="106" t="n"/>
      <c r="L372" s="106" t="n"/>
    </row>
    <row r="373" customFormat="1" s="1916">
      <c r="A373" s="3" t="n"/>
      <c r="B373" s="2156" t="n"/>
      <c r="C373" s="3" t="n"/>
      <c r="D373" s="2156" t="n"/>
      <c r="E373" s="107" t="n"/>
      <c r="G373" s="53" t="n"/>
      <c r="H373" s="108" t="n"/>
      <c r="I373" s="53" t="n"/>
      <c r="J373" s="106" t="n"/>
      <c r="K373" s="106" t="n"/>
      <c r="L373" s="106" t="n"/>
    </row>
    <row r="374" customFormat="1" s="1916">
      <c r="A374" s="53" t="n"/>
      <c r="B374" s="53" t="n"/>
      <c r="C374" s="53" t="n"/>
      <c r="D374" s="53" t="n"/>
      <c r="E374" s="107" t="n"/>
      <c r="G374" s="53" t="n"/>
      <c r="H374" s="53" t="n"/>
      <c r="I374" s="53" t="n"/>
      <c r="J374" s="2145" t="n"/>
      <c r="K374" s="2145" t="n"/>
      <c r="L374" s="53" t="n"/>
    </row>
    <row r="375" customFormat="1" s="1916">
      <c r="A375" s="53" t="n"/>
      <c r="B375" s="53" t="n"/>
      <c r="C375" s="53" t="n"/>
      <c r="D375" s="106" t="n"/>
      <c r="E375" s="106" t="n"/>
      <c r="G375" s="53" t="n"/>
      <c r="H375" s="93" t="n"/>
      <c r="I375" s="2145" t="n"/>
      <c r="J375" s="2145" t="n"/>
      <c r="K375" s="2145" t="n"/>
      <c r="L375" s="106" t="n"/>
    </row>
    <row r="376" customFormat="1" s="1916">
      <c r="A376" s="53" t="n"/>
      <c r="B376" s="53" t="n"/>
      <c r="C376" s="53" t="n"/>
      <c r="D376" s="53" t="n"/>
      <c r="E376" s="53" t="n"/>
      <c r="G376" s="53" t="n"/>
      <c r="H376" s="93" t="n"/>
      <c r="I376" s="2145" t="n"/>
      <c r="J376" s="2145" t="n"/>
      <c r="K376" s="2145" t="n"/>
      <c r="L376" s="53" t="n"/>
    </row>
    <row r="377" customFormat="1" s="1916">
      <c r="A377" s="53" t="n"/>
      <c r="B377" s="53" t="n"/>
      <c r="C377" s="53" t="n"/>
      <c r="D377" s="106" t="n"/>
      <c r="E377" s="106" t="n"/>
      <c r="G377" s="53" t="n"/>
      <c r="H377" s="93" t="n"/>
      <c r="I377" s="2145" t="n"/>
      <c r="J377" s="2145" t="n"/>
      <c r="K377" s="2145" t="n"/>
      <c r="L377" s="106" t="n"/>
    </row>
    <row r="378" customFormat="1" s="1916">
      <c r="A378" s="53" t="n"/>
      <c r="B378" s="53" t="n"/>
      <c r="C378" s="53" t="n"/>
      <c r="D378" s="2157" t="n"/>
      <c r="E378" s="2157" t="n"/>
      <c r="F378" s="53" t="n"/>
      <c r="G378" s="103" t="n"/>
      <c r="H378" s="103" t="n"/>
      <c r="I378" s="2147" t="n"/>
      <c r="J378" s="2147" t="n"/>
      <c r="K378" s="2145" t="n"/>
      <c r="L378" s="106" t="n"/>
    </row>
    <row r="379" customFormat="1" s="1916">
      <c r="A379" s="53" t="n"/>
      <c r="B379" s="53" t="n"/>
      <c r="C379" s="2145" t="n"/>
      <c r="D379" s="2145" t="n"/>
      <c r="E379" s="2145" t="n"/>
      <c r="F379" s="53" t="n"/>
      <c r="G379" s="53" t="n"/>
      <c r="H379" s="53" t="n"/>
    </row>
    <row r="380" customFormat="1" s="1916">
      <c r="A380" s="53" t="n"/>
      <c r="B380" s="53" t="n"/>
      <c r="C380" s="53" t="n"/>
      <c r="D380" s="2145" t="n"/>
      <c r="E380" s="53" t="n"/>
      <c r="F380" s="53" t="n"/>
      <c r="G380" s="110" t="n"/>
      <c r="H380" s="53" t="n"/>
      <c r="I380" s="53" t="n"/>
      <c r="J380" s="2145" t="n"/>
      <c r="K380" s="2145" t="n"/>
    </row>
    <row r="381" customFormat="1" s="1916">
      <c r="A381" s="53" t="n"/>
      <c r="B381" s="93" t="n"/>
      <c r="C381" s="2145" t="n"/>
      <c r="D381" s="2145" t="n"/>
      <c r="E381" s="53" t="n"/>
      <c r="F381" s="53" t="n"/>
      <c r="G381" s="2156" t="n"/>
      <c r="H381" s="93" t="n"/>
      <c r="I381" s="2145" t="n"/>
      <c r="J381" s="2145" t="n"/>
      <c r="K381" s="2145" t="n"/>
    </row>
    <row r="382" customFormat="1" s="1916">
      <c r="A382" s="53" t="n"/>
      <c r="B382" s="93" t="n"/>
      <c r="C382" s="2145" t="n"/>
      <c r="D382" s="2145" t="n"/>
      <c r="E382" s="53" t="n"/>
      <c r="F382" s="53" t="n"/>
      <c r="G382" s="53" t="n"/>
      <c r="H382" s="93" t="n"/>
      <c r="I382" s="2145" t="n"/>
      <c r="J382" s="2145" t="n"/>
      <c r="K382" s="2145" t="n"/>
    </row>
    <row r="383" customFormat="1" s="1916">
      <c r="A383" s="53" t="n"/>
      <c r="B383" s="93" t="n"/>
      <c r="C383" s="2145" t="n"/>
      <c r="D383" s="2145" t="n"/>
      <c r="E383" s="53" t="n"/>
      <c r="F383" s="53" t="n"/>
      <c r="G383" s="53" t="n"/>
      <c r="H383" s="93" t="n"/>
      <c r="I383" s="2145" t="n"/>
      <c r="J383" s="2145" t="n"/>
      <c r="K383" s="2145" t="n"/>
    </row>
    <row r="384" customFormat="1" s="1916">
      <c r="A384" s="53" t="n"/>
      <c r="B384" s="93" t="n"/>
      <c r="C384" s="2145" t="n"/>
      <c r="D384" s="2145" t="n"/>
      <c r="E384" s="111" t="n"/>
      <c r="F384" s="53" t="n"/>
      <c r="G384" s="53" t="n"/>
      <c r="H384" s="93" t="n"/>
      <c r="I384" s="2145" t="n"/>
      <c r="J384" s="2145" t="n"/>
      <c r="K384" s="2145" t="n"/>
    </row>
    <row r="385" customFormat="1" s="1916">
      <c r="A385" s="53" t="n"/>
      <c r="B385" s="93" t="n"/>
      <c r="C385" s="2145" t="n"/>
      <c r="D385" s="2145" t="n"/>
      <c r="E385" s="53" t="n"/>
      <c r="F385" s="53" t="n"/>
      <c r="G385" s="53" t="n"/>
      <c r="H385" s="93" t="n"/>
      <c r="I385" s="2145" t="n"/>
      <c r="J385" s="2145" t="n"/>
      <c r="K385" s="2145" t="n"/>
    </row>
    <row r="386" customFormat="1" s="1916">
      <c r="A386" s="53" t="n"/>
      <c r="B386" s="93" t="n"/>
      <c r="C386" s="2145" t="n"/>
      <c r="D386" s="2145" t="n"/>
      <c r="E386" s="53" t="n"/>
      <c r="F386" s="53" t="n"/>
      <c r="G386" s="53" t="n"/>
      <c r="H386" s="93" t="n"/>
      <c r="I386" s="2145" t="n"/>
      <c r="J386" s="2145" t="n"/>
      <c r="K386" s="2145" t="n"/>
    </row>
    <row r="387" customFormat="1" s="1916">
      <c r="A387" s="53" t="n"/>
      <c r="B387" s="93" t="n"/>
      <c r="C387" s="2145" t="n"/>
      <c r="D387" s="2145" t="n"/>
      <c r="E387" s="53" t="n"/>
      <c r="F387" s="53" t="n"/>
      <c r="G387" s="53" t="n"/>
      <c r="H387" s="93" t="n"/>
      <c r="I387" s="2145" t="n"/>
      <c r="J387" s="2145" t="n"/>
      <c r="K387" s="2145" t="n"/>
    </row>
    <row r="388" customFormat="1" s="1916">
      <c r="A388" s="103" t="n"/>
      <c r="B388" s="103" t="n"/>
      <c r="C388" s="2147" t="n"/>
      <c r="D388" s="2147" t="n"/>
      <c r="E388" s="53" t="n"/>
      <c r="F388" s="53" t="n"/>
      <c r="G388" s="103" t="n"/>
      <c r="H388" s="103" t="n"/>
      <c r="I388" s="2147" t="n"/>
      <c r="J388" s="2147" t="n"/>
      <c r="K388" s="2147" t="n"/>
    </row>
    <row r="389" customFormat="1" s="1916">
      <c r="A389" s="53" t="n"/>
      <c r="B389" s="53" t="n"/>
      <c r="C389" s="2145" t="n"/>
      <c r="D389" s="2145" t="n"/>
      <c r="E389" s="53" t="n"/>
      <c r="F389" s="53" t="n"/>
    </row>
    <row r="390" customFormat="1" s="1916">
      <c r="A390" s="53" t="n"/>
      <c r="B390" s="53" t="n"/>
      <c r="C390" s="2145" t="n"/>
      <c r="D390" s="2147" t="n"/>
      <c r="E390" s="53" t="n"/>
      <c r="F390" s="53" t="n"/>
    </row>
    <row r="391" customFormat="1" s="1916">
      <c r="A391" s="53" t="n"/>
      <c r="B391" s="53" t="n"/>
      <c r="C391" s="2145" t="n"/>
      <c r="D391" s="2145" t="n"/>
      <c r="E391" s="53" t="n"/>
      <c r="F391" s="53" t="n"/>
    </row>
    <row r="392" customFormat="1" s="1916">
      <c r="A392" s="53" t="n"/>
      <c r="B392" s="53" t="n"/>
      <c r="C392" s="2145" t="n"/>
      <c r="D392" s="2145" t="n"/>
      <c r="E392" s="53" t="n"/>
      <c r="F392" s="53" t="n"/>
    </row>
    <row r="393" customFormat="1" s="1916">
      <c r="A393" s="53" t="n"/>
      <c r="B393" s="112" t="n"/>
      <c r="C393" s="2145" t="n"/>
      <c r="D393" s="2145" t="n"/>
      <c r="E393" s="53" t="n"/>
      <c r="F393" s="53" t="n"/>
    </row>
    <row r="394" customFormat="1" s="1916">
      <c r="A394" s="53" t="n"/>
      <c r="B394" s="112" t="n"/>
      <c r="C394" s="2145" t="n"/>
      <c r="D394" s="2145" t="n"/>
      <c r="E394" s="53" t="n"/>
      <c r="F394" s="53" t="n"/>
    </row>
    <row r="395" customFormat="1" s="1916">
      <c r="A395" s="53" t="n"/>
      <c r="B395" s="113" t="n"/>
      <c r="C395" s="2145" t="n"/>
      <c r="D395" s="2145" t="n"/>
      <c r="E395" s="53" t="n"/>
      <c r="F395" s="53" t="n"/>
    </row>
    <row r="396" customFormat="1" s="1916">
      <c r="A396" s="53" t="n"/>
      <c r="B396" s="113" t="n"/>
      <c r="C396" s="2145" t="n"/>
      <c r="D396" s="2145" t="n"/>
      <c r="E396" s="53" t="n"/>
      <c r="F396" s="53" t="n"/>
    </row>
    <row r="397" customFormat="1" s="1916">
      <c r="A397" s="53" t="n"/>
      <c r="B397" s="113" t="n"/>
      <c r="C397" s="2145" t="n"/>
      <c r="D397" s="2145" t="n"/>
      <c r="E397" s="53" t="n"/>
      <c r="F397" s="53" t="n"/>
    </row>
    <row r="398" customFormat="1" s="1916">
      <c r="A398" s="53" t="n"/>
      <c r="B398" s="113" t="n"/>
      <c r="C398" s="2145" t="n"/>
      <c r="D398" s="2145" t="n"/>
      <c r="E398" s="53" t="n"/>
      <c r="F398" s="53" t="n"/>
    </row>
    <row r="399" customFormat="1" s="1916">
      <c r="A399" s="53" t="n"/>
      <c r="B399" s="112" t="n"/>
      <c r="C399" s="2145" t="n"/>
      <c r="D399" s="2145" t="n"/>
      <c r="E399" s="53" t="n"/>
      <c r="F399" s="53" t="n"/>
    </row>
    <row r="400" customFormat="1" s="1916">
      <c r="A400" s="53" t="n"/>
      <c r="B400" s="112" t="n"/>
      <c r="C400" s="2145" t="n"/>
      <c r="D400" s="2145" t="n"/>
      <c r="E400" s="53" t="n"/>
      <c r="F400" s="53" t="n"/>
    </row>
    <row r="401" customFormat="1" s="1916">
      <c r="A401" s="53" t="n"/>
      <c r="B401" s="112" t="n"/>
      <c r="C401" s="2145" t="n"/>
      <c r="D401" s="2149" t="n"/>
      <c r="E401" s="53" t="n"/>
      <c r="F401" s="53" t="n"/>
      <c r="N401" s="53" t="n"/>
    </row>
    <row r="402" customFormat="1" s="1916">
      <c r="A402" s="53" t="n"/>
      <c r="B402" s="113" t="n"/>
      <c r="C402" s="2145" t="n"/>
      <c r="D402" s="2145" t="n"/>
      <c r="E402" s="53" t="n"/>
      <c r="F402" s="53" t="n"/>
      <c r="G402" s="53" t="n"/>
      <c r="I402" s="2154" t="n"/>
      <c r="N402" s="53" t="n"/>
    </row>
    <row r="403" customFormat="1" s="1916">
      <c r="A403" s="53" t="n"/>
      <c r="B403" s="53" t="n"/>
      <c r="C403" s="2145" t="n"/>
      <c r="D403" s="2145" t="n"/>
      <c r="E403" s="2145" t="n"/>
      <c r="F403" s="2145" t="n"/>
      <c r="N403" s="53" t="n"/>
    </row>
    <row r="404" customFormat="1" s="1916">
      <c r="A404" s="53" t="n"/>
      <c r="B404" s="53" t="n"/>
      <c r="C404" s="2145" t="n"/>
      <c r="D404" s="2145" t="n"/>
      <c r="F404" s="108" t="n"/>
      <c r="N404" s="53" t="n"/>
    </row>
    <row r="405" customFormat="1" s="1916">
      <c r="D405" s="2145" t="n"/>
    </row>
    <row r="406" customFormat="1" s="1916">
      <c r="A406" s="115" t="n"/>
    </row>
    <row r="407" customFormat="1" s="1916"/>
    <row r="408" customFormat="1" s="1916">
      <c r="A408" s="53" t="n"/>
      <c r="B408" s="53" t="n"/>
      <c r="C408" s="53" t="n"/>
      <c r="D408" s="53" t="n"/>
      <c r="L408" s="53" t="n"/>
      <c r="M408" s="53" t="n"/>
      <c r="N408" s="53" t="n"/>
      <c r="O408" s="53" t="n"/>
      <c r="P408" s="53" t="n"/>
    </row>
    <row r="409" customFormat="1" s="1916">
      <c r="A409" s="53" t="n"/>
      <c r="B409" s="53" t="n"/>
      <c r="C409" s="53" t="n"/>
      <c r="D409" s="53" t="n"/>
      <c r="E409" s="53" t="n"/>
      <c r="F409" s="53" t="n"/>
      <c r="L409" s="53" t="n"/>
      <c r="M409" s="53" t="n"/>
      <c r="N409" s="53" t="n"/>
      <c r="O409" s="53" t="n"/>
      <c r="P409" s="2145" t="n"/>
    </row>
    <row r="410" customFormat="1" s="1916">
      <c r="A410" s="53" t="n"/>
      <c r="B410" s="2155" t="n"/>
      <c r="C410" s="2145" t="n"/>
      <c r="D410" s="2145" t="n"/>
      <c r="E410" s="2156" t="n"/>
      <c r="F410" s="53" t="n"/>
      <c r="L410" s="53" t="n"/>
      <c r="M410" s="53" t="n"/>
      <c r="N410" s="2145" t="n"/>
      <c r="O410" s="2145" t="n"/>
      <c r="P410" s="2145" t="n"/>
    </row>
    <row r="411" customFormat="1" s="1916">
      <c r="A411" s="53" t="n"/>
      <c r="B411" s="53" t="n"/>
      <c r="C411" s="2145" t="n"/>
      <c r="D411" s="2145" t="n"/>
      <c r="E411" s="53" t="n"/>
      <c r="F411" s="53" t="n"/>
      <c r="L411" s="53" t="n"/>
      <c r="M411" s="53" t="n"/>
      <c r="N411" s="2145" t="n"/>
      <c r="O411" s="2156" t="n"/>
      <c r="P411" s="2145" t="n"/>
    </row>
    <row r="412" customFormat="1" s="1916">
      <c r="A412" s="53" t="n"/>
      <c r="B412" s="53" t="n"/>
      <c r="C412" s="2145" t="n"/>
      <c r="D412" s="2145" t="n"/>
      <c r="E412" s="53" t="n"/>
      <c r="F412" s="53" t="n"/>
      <c r="L412" s="53" t="n"/>
      <c r="M412" s="53" t="n"/>
      <c r="N412" s="2145" t="n"/>
      <c r="O412" s="2156" t="n"/>
      <c r="P412" s="2145" t="n"/>
    </row>
    <row r="413" customFormat="1" s="1916">
      <c r="A413" s="53" t="n"/>
      <c r="B413" s="53" t="n"/>
      <c r="C413" s="2145" t="n"/>
      <c r="D413" s="2145" t="n"/>
      <c r="E413" s="53" t="n"/>
      <c r="F413" s="53" t="n"/>
      <c r="L413" s="53" t="n"/>
      <c r="M413" s="2145" t="n"/>
      <c r="N413" s="2149" t="n"/>
      <c r="O413" s="53" t="n"/>
      <c r="P413" s="53" t="n"/>
      <c r="Q413" s="53" t="n"/>
      <c r="R413" s="53" t="n"/>
      <c r="S413" s="53" t="n"/>
    </row>
    <row r="414" customFormat="1" s="1916">
      <c r="A414" s="53" t="n"/>
      <c r="B414" s="53" t="n"/>
      <c r="C414" s="2145" t="n"/>
      <c r="D414" s="2145" t="n"/>
      <c r="E414" s="53" t="n"/>
      <c r="F414" s="53" t="n"/>
      <c r="L414" s="53" t="n"/>
      <c r="M414" s="53" t="n"/>
      <c r="N414" s="2149" t="n"/>
      <c r="O414" s="53" t="n"/>
      <c r="P414" s="53" t="n"/>
      <c r="Q414" s="2145" t="n"/>
      <c r="R414" s="2145" t="n"/>
      <c r="S414" s="53" t="n"/>
    </row>
    <row r="415" customFormat="1" s="1916">
      <c r="A415" s="53" t="n"/>
      <c r="B415" s="53" t="n"/>
      <c r="C415" s="2145" t="n"/>
      <c r="D415" s="2145" t="n"/>
      <c r="E415" s="53" t="n"/>
      <c r="F415" s="53" t="n"/>
      <c r="L415" s="53" t="n"/>
      <c r="M415" s="53" t="n"/>
      <c r="N415" s="2149" t="n"/>
      <c r="O415" s="53" t="n"/>
      <c r="P415" s="53" t="n"/>
      <c r="Q415" s="2145" t="n"/>
      <c r="R415" s="2145" t="n"/>
      <c r="S415" s="53" t="n"/>
    </row>
    <row r="416" customFormat="1" s="1916">
      <c r="A416" s="53" t="n"/>
      <c r="B416" s="53" t="n"/>
      <c r="C416" s="2145" t="n"/>
      <c r="D416" s="2145" t="n"/>
      <c r="E416" s="53" t="n"/>
      <c r="F416" s="53" t="n"/>
      <c r="L416" s="53" t="n"/>
      <c r="M416" s="53" t="n"/>
      <c r="N416" s="2149" t="n"/>
      <c r="O416" s="53" t="n"/>
      <c r="P416" s="53" t="n"/>
      <c r="Q416" s="2145" t="n"/>
      <c r="R416" s="2145" t="n"/>
      <c r="S416" s="53" t="n"/>
    </row>
    <row r="417" customFormat="1" s="1916">
      <c r="A417" s="53" t="n"/>
      <c r="B417" s="53" t="n"/>
      <c r="C417" s="2145" t="n"/>
      <c r="D417" s="2145" t="n"/>
      <c r="E417" s="53" t="n"/>
      <c r="F417" s="53" t="n"/>
      <c r="L417" s="53" t="n"/>
      <c r="M417" s="53" t="n"/>
      <c r="N417" s="2149" t="n"/>
      <c r="O417" s="53" t="n"/>
      <c r="P417" s="53" t="n"/>
      <c r="Q417" s="2145" t="n"/>
      <c r="R417" s="2145" t="n"/>
      <c r="S417" s="53" t="n"/>
    </row>
    <row r="418" customFormat="1" s="1916">
      <c r="A418" s="53" t="n"/>
      <c r="B418" s="53" t="n"/>
      <c r="C418" s="2145" t="n"/>
      <c r="D418" s="2145" t="n"/>
      <c r="E418" s="53" t="n"/>
      <c r="F418" s="53" t="n"/>
      <c r="L418" s="53" t="n"/>
      <c r="M418" s="53" t="n"/>
      <c r="N418" s="2149" t="n"/>
      <c r="O418" s="53" t="n"/>
      <c r="P418" s="53" t="n"/>
      <c r="Q418" s="53" t="n"/>
      <c r="R418" s="53" t="n"/>
      <c r="S418" s="53" t="n"/>
    </row>
    <row r="419" customFormat="1" s="1916">
      <c r="A419" s="53" t="n"/>
      <c r="B419" s="53" t="n"/>
      <c r="C419" s="2145" t="n"/>
      <c r="D419" s="2145" t="n"/>
      <c r="E419" s="53" t="n"/>
      <c r="F419" s="53" t="n"/>
      <c r="L419" s="53" t="n"/>
      <c r="M419" s="53" t="n"/>
      <c r="N419" s="2149" t="n"/>
      <c r="O419" s="53" t="n"/>
      <c r="P419" s="53" t="n"/>
      <c r="Q419" s="53" t="n"/>
      <c r="R419" s="53" t="n"/>
      <c r="S419" s="53" t="n"/>
    </row>
    <row r="420" customFormat="1" s="1916">
      <c r="A420" s="53" t="n"/>
      <c r="B420" s="53" t="n"/>
      <c r="C420" s="2145" t="n"/>
      <c r="D420" s="2145" t="n"/>
      <c r="E420" s="53" t="n"/>
      <c r="F420" s="53" t="n"/>
      <c r="Q420" s="53" t="n"/>
      <c r="R420" s="53" t="n"/>
      <c r="S420" s="53" t="n"/>
    </row>
    <row r="421" customFormat="1" s="1916">
      <c r="A421" s="53" t="n"/>
      <c r="B421" s="53" t="n"/>
      <c r="C421" s="2145" t="n"/>
      <c r="D421" s="2145" t="n"/>
      <c r="E421" s="53" t="n"/>
      <c r="F421" s="53" t="n"/>
      <c r="Q421" s="53" t="n"/>
      <c r="R421" s="53" t="n"/>
      <c r="S421" s="53" t="n"/>
    </row>
    <row r="422" customFormat="1" s="1916">
      <c r="A422" s="53" t="n"/>
      <c r="B422" s="53" t="n"/>
      <c r="C422" s="2145" t="n"/>
      <c r="D422" s="2145" t="n"/>
      <c r="E422" s="2156" t="n"/>
      <c r="F422" s="53" t="n"/>
      <c r="Q422" s="53" t="n"/>
      <c r="R422" s="53" t="n"/>
      <c r="S422" s="53" t="n"/>
    </row>
    <row r="423" customFormat="1" s="1916">
      <c r="A423" s="53" t="n"/>
      <c r="B423" s="53" t="n"/>
      <c r="C423" s="2145" t="n"/>
      <c r="D423" s="2145" t="n"/>
      <c r="E423" s="53" t="n"/>
      <c r="F423" s="53" t="n"/>
      <c r="Q423" s="53" t="n"/>
      <c r="R423" s="53" t="n"/>
      <c r="S423" s="53" t="n"/>
    </row>
    <row r="424" customFormat="1" s="1916">
      <c r="A424" s="53" t="n"/>
      <c r="B424" s="53" t="n"/>
      <c r="C424" s="2145" t="n"/>
      <c r="D424" s="2145" t="n"/>
      <c r="E424" s="53" t="n"/>
      <c r="F424" s="53" t="n"/>
      <c r="Q424" s="53" t="n"/>
      <c r="R424" s="53" t="n"/>
      <c r="S424" s="53" t="n"/>
    </row>
    <row r="425" customFormat="1" s="1916">
      <c r="A425" s="53" t="n"/>
      <c r="B425" s="53" t="n"/>
      <c r="C425" s="2145" t="n"/>
      <c r="D425" s="2145" t="n"/>
      <c r="E425" s="53" t="n"/>
      <c r="F425" s="53" t="n"/>
    </row>
    <row r="426" customFormat="1" s="1916">
      <c r="A426" s="53" t="n"/>
      <c r="B426" s="53" t="n"/>
      <c r="C426" s="2145" t="n"/>
      <c r="D426" s="2145" t="n"/>
      <c r="E426" s="53" t="n"/>
      <c r="F426" s="53" t="n"/>
    </row>
    <row r="427" customFormat="1" s="1916">
      <c r="A427" s="103" t="n"/>
      <c r="B427" s="103" t="n"/>
      <c r="C427" s="2147" t="n"/>
      <c r="D427" s="2147" t="n"/>
      <c r="E427" s="53" t="n"/>
      <c r="F427" s="53" t="n"/>
    </row>
    <row r="428" customFormat="1" s="1916">
      <c r="A428" s="103" t="n"/>
      <c r="B428" s="105" t="n"/>
      <c r="C428" s="2147" t="n"/>
      <c r="D428" s="2147" t="n"/>
      <c r="E428" s="53" t="n"/>
      <c r="F428" s="53" t="n"/>
    </row>
    <row r="429" customFormat="1" s="1916">
      <c r="A429" s="103" t="n"/>
      <c r="B429" s="103" t="n"/>
      <c r="C429" s="2147" t="n"/>
      <c r="D429" s="2147" t="n"/>
      <c r="E429" s="53" t="n"/>
      <c r="F429" s="53" t="n"/>
    </row>
    <row r="430" customFormat="1" s="1916">
      <c r="A430" s="103" t="n"/>
      <c r="B430" s="105" t="n"/>
      <c r="C430" s="2147" t="n"/>
      <c r="D430" s="2147" t="n"/>
      <c r="E430" s="53" t="n"/>
      <c r="G430" s="53" t="n"/>
      <c r="H430" s="53" t="n"/>
      <c r="I430" s="53" t="n"/>
      <c r="J430" s="53" t="n"/>
      <c r="K430" s="53" t="n"/>
      <c r="L430" s="53" t="n"/>
    </row>
    <row r="431" customFormat="1" s="1916">
      <c r="A431" s="53" t="n"/>
      <c r="B431" s="53" t="n"/>
      <c r="C431" s="2145" t="n"/>
      <c r="D431" s="2145" t="n"/>
      <c r="E431" s="53" t="n"/>
      <c r="G431" s="53" t="n"/>
      <c r="H431" s="53" t="n"/>
      <c r="I431" s="53" t="n"/>
      <c r="J431" s="106" t="n"/>
      <c r="K431" s="106" t="n"/>
      <c r="L431" s="106" t="n"/>
    </row>
    <row r="432" customFormat="1" s="1916">
      <c r="A432" s="3" t="n"/>
      <c r="B432" s="2156" t="n"/>
      <c r="C432" s="3" t="n"/>
      <c r="D432" s="2156" t="n"/>
      <c r="E432" s="107" t="n"/>
      <c r="G432" s="53" t="n"/>
      <c r="H432" s="108" t="n"/>
      <c r="I432" s="53" t="n"/>
      <c r="J432" s="106" t="n"/>
      <c r="K432" s="106" t="n"/>
      <c r="L432" s="106" t="n"/>
    </row>
    <row r="433" customFormat="1" s="1916">
      <c r="A433" s="53" t="n"/>
      <c r="B433" s="53" t="n"/>
      <c r="C433" s="53" t="n"/>
      <c r="D433" s="53" t="n"/>
      <c r="E433" s="107" t="n"/>
      <c r="G433" s="53" t="n"/>
      <c r="H433" s="53" t="n"/>
      <c r="I433" s="53" t="n"/>
      <c r="J433" s="2145" t="n"/>
      <c r="K433" s="2145" t="n"/>
      <c r="L433" s="53" t="n"/>
    </row>
    <row r="434" customFormat="1" s="1916">
      <c r="A434" s="53" t="n"/>
      <c r="B434" s="53" t="n"/>
      <c r="C434" s="53" t="n"/>
      <c r="D434" s="106" t="n"/>
      <c r="E434" s="106" t="n"/>
      <c r="G434" s="53" t="n"/>
      <c r="H434" s="93" t="n"/>
      <c r="I434" s="2145" t="n"/>
      <c r="J434" s="2145" t="n"/>
      <c r="K434" s="2145" t="n"/>
      <c r="L434" s="106" t="n"/>
    </row>
    <row r="435" customFormat="1" s="1916">
      <c r="A435" s="53" t="n"/>
      <c r="B435" s="53" t="n"/>
      <c r="C435" s="53" t="n"/>
      <c r="D435" s="53" t="n"/>
      <c r="E435" s="53" t="n"/>
      <c r="G435" s="53" t="n"/>
      <c r="H435" s="93" t="n"/>
      <c r="I435" s="2145" t="n"/>
      <c r="J435" s="2145" t="n"/>
      <c r="K435" s="2145" t="n"/>
      <c r="L435" s="53" t="n"/>
    </row>
    <row r="436" customFormat="1" s="1916">
      <c r="A436" s="53" t="n"/>
      <c r="B436" s="53" t="n"/>
      <c r="C436" s="53" t="n"/>
      <c r="D436" s="106" t="n"/>
      <c r="E436" s="106" t="n"/>
      <c r="G436" s="53" t="n"/>
      <c r="H436" s="93" t="n"/>
      <c r="I436" s="2145" t="n"/>
      <c r="J436" s="2145" t="n"/>
      <c r="K436" s="2145" t="n"/>
      <c r="L436" s="106" t="n"/>
    </row>
    <row r="437" customFormat="1" s="1916">
      <c r="A437" s="53" t="n"/>
      <c r="B437" s="53" t="n"/>
      <c r="C437" s="53" t="n"/>
      <c r="D437" s="2157" t="n"/>
      <c r="E437" s="2157" t="n"/>
      <c r="F437" s="53" t="n"/>
      <c r="G437" s="103" t="n"/>
      <c r="H437" s="103" t="n"/>
      <c r="I437" s="2147" t="n"/>
      <c r="J437" s="2147" t="n"/>
      <c r="K437" s="2145" t="n"/>
      <c r="L437" s="106" t="n"/>
    </row>
    <row r="438" customFormat="1" s="1916">
      <c r="A438" s="53" t="n"/>
      <c r="B438" s="53" t="n"/>
      <c r="C438" s="2145" t="n"/>
      <c r="D438" s="2145" t="n"/>
      <c r="E438" s="2145" t="n"/>
      <c r="F438" s="53" t="n"/>
      <c r="G438" s="53" t="n"/>
      <c r="H438" s="53" t="n"/>
    </row>
    <row r="439" customFormat="1" s="1916">
      <c r="A439" s="53" t="n"/>
      <c r="B439" s="53" t="n"/>
      <c r="C439" s="53" t="n"/>
      <c r="D439" s="2145" t="n"/>
      <c r="E439" s="53" t="n"/>
      <c r="F439" s="53" t="n"/>
      <c r="G439" s="110" t="n"/>
      <c r="H439" s="53" t="n"/>
      <c r="I439" s="53" t="n"/>
      <c r="J439" s="2145" t="n"/>
      <c r="K439" s="2145" t="n"/>
    </row>
    <row r="440" customFormat="1" s="1916">
      <c r="A440" s="53" t="n"/>
      <c r="B440" s="93" t="n"/>
      <c r="C440" s="2145" t="n"/>
      <c r="D440" s="2145" t="n"/>
      <c r="E440" s="53" t="n"/>
      <c r="F440" s="53" t="n"/>
      <c r="G440" s="2156" t="n"/>
      <c r="H440" s="93" t="n"/>
      <c r="I440" s="2145" t="n"/>
      <c r="J440" s="2145" t="n"/>
      <c r="K440" s="2145" t="n"/>
    </row>
    <row r="441" customFormat="1" s="1916">
      <c r="A441" s="53" t="n"/>
      <c r="B441" s="93" t="n"/>
      <c r="C441" s="2145" t="n"/>
      <c r="D441" s="2145" t="n"/>
      <c r="E441" s="53" t="n"/>
      <c r="F441" s="53" t="n"/>
      <c r="G441" s="53" t="n"/>
      <c r="H441" s="93" t="n"/>
      <c r="I441" s="2145" t="n"/>
      <c r="J441" s="2145" t="n"/>
      <c r="K441" s="2145" t="n"/>
    </row>
    <row r="442" customFormat="1" s="1916">
      <c r="A442" s="53" t="n"/>
      <c r="B442" s="93" t="n"/>
      <c r="C442" s="2145" t="n"/>
      <c r="D442" s="2145" t="n"/>
      <c r="E442" s="53" t="n"/>
      <c r="F442" s="53" t="n"/>
      <c r="G442" s="53" t="n"/>
      <c r="H442" s="93" t="n"/>
      <c r="I442" s="2145" t="n"/>
      <c r="J442" s="2145" t="n"/>
      <c r="K442" s="2145" t="n"/>
    </row>
    <row r="443" customFormat="1" s="1916">
      <c r="A443" s="53" t="n"/>
      <c r="B443" s="93" t="n"/>
      <c r="C443" s="2145" t="n"/>
      <c r="D443" s="2145" t="n"/>
      <c r="E443" s="111" t="n"/>
      <c r="F443" s="53" t="n"/>
      <c r="G443" s="53" t="n"/>
      <c r="H443" s="93" t="n"/>
      <c r="I443" s="2145" t="n"/>
      <c r="J443" s="2145" t="n"/>
      <c r="K443" s="2145" t="n"/>
    </row>
    <row r="444" customFormat="1" s="1916">
      <c r="A444" s="53" t="n"/>
      <c r="B444" s="93" t="n"/>
      <c r="C444" s="2145" t="n"/>
      <c r="D444" s="2145" t="n"/>
      <c r="E444" s="53" t="n"/>
      <c r="F444" s="53" t="n"/>
      <c r="G444" s="53" t="n"/>
      <c r="H444" s="93" t="n"/>
      <c r="I444" s="2145" t="n"/>
      <c r="J444" s="2145" t="n"/>
      <c r="K444" s="2145" t="n"/>
    </row>
    <row r="445" customFormat="1" s="1916">
      <c r="A445" s="53" t="n"/>
      <c r="B445" s="93" t="n"/>
      <c r="C445" s="2145" t="n"/>
      <c r="D445" s="2145" t="n"/>
      <c r="E445" s="53" t="n"/>
      <c r="F445" s="53" t="n"/>
      <c r="G445" s="53" t="n"/>
      <c r="H445" s="93" t="n"/>
      <c r="I445" s="2145" t="n"/>
      <c r="J445" s="2145" t="n"/>
      <c r="K445" s="2145" t="n"/>
    </row>
    <row r="446" customFormat="1" s="1916">
      <c r="A446" s="53" t="n"/>
      <c r="B446" s="93" t="n"/>
      <c r="C446" s="2145" t="n"/>
      <c r="D446" s="2145" t="n"/>
      <c r="E446" s="53" t="n"/>
      <c r="F446" s="53" t="n"/>
      <c r="G446" s="53" t="n"/>
      <c r="H446" s="93" t="n"/>
      <c r="I446" s="2145" t="n"/>
      <c r="J446" s="2145" t="n"/>
      <c r="K446" s="2145" t="n"/>
    </row>
    <row r="447" customFormat="1" s="1916">
      <c r="A447" s="103" t="n"/>
      <c r="B447" s="103" t="n"/>
      <c r="C447" s="2147" t="n"/>
      <c r="D447" s="2147" t="n"/>
      <c r="E447" s="53" t="n"/>
      <c r="F447" s="53" t="n"/>
      <c r="G447" s="103" t="n"/>
      <c r="H447" s="103" t="n"/>
      <c r="I447" s="2147" t="n"/>
      <c r="J447" s="2147" t="n"/>
      <c r="K447" s="2147" t="n"/>
    </row>
    <row r="448" customFormat="1" s="1916">
      <c r="A448" s="53" t="n"/>
      <c r="B448" s="53" t="n"/>
      <c r="C448" s="2145" t="n"/>
      <c r="D448" s="2145" t="n"/>
      <c r="E448" s="53" t="n"/>
      <c r="F448" s="53" t="n"/>
    </row>
    <row r="449" customFormat="1" s="1916">
      <c r="A449" s="53" t="n"/>
      <c r="B449" s="53" t="n"/>
      <c r="C449" s="2145" t="n"/>
      <c r="D449" s="2147" t="n"/>
      <c r="E449" s="53" t="n"/>
      <c r="F449" s="53" t="n"/>
    </row>
    <row r="450" customFormat="1" s="1916">
      <c r="A450" s="53" t="n"/>
      <c r="B450" s="53" t="n"/>
      <c r="C450" s="2145" t="n"/>
      <c r="D450" s="2145" t="n"/>
      <c r="E450" s="53" t="n"/>
      <c r="F450" s="53" t="n"/>
    </row>
    <row r="451" customFormat="1" s="1916">
      <c r="A451" s="53" t="n"/>
      <c r="B451" s="53" t="n"/>
      <c r="C451" s="2145" t="n"/>
      <c r="D451" s="2145" t="n"/>
      <c r="E451" s="53" t="n"/>
      <c r="F451" s="53" t="n"/>
    </row>
    <row r="452" customFormat="1" s="1916">
      <c r="A452" s="53" t="n"/>
      <c r="B452" s="112" t="n"/>
      <c r="C452" s="2145" t="n"/>
      <c r="D452" s="2145" t="n"/>
      <c r="E452" s="53" t="n"/>
      <c r="F452" s="53" t="n"/>
    </row>
    <row r="453" customFormat="1" s="1916">
      <c r="A453" s="53" t="n"/>
      <c r="B453" s="112" t="n"/>
      <c r="C453" s="2145" t="n"/>
      <c r="D453" s="2145" t="n"/>
      <c r="E453" s="53" t="n"/>
      <c r="F453" s="53" t="n"/>
    </row>
    <row r="454" customFormat="1" s="1916">
      <c r="A454" s="53" t="n"/>
      <c r="B454" s="113" t="n"/>
      <c r="C454" s="2145" t="n"/>
      <c r="D454" s="2145" t="n"/>
      <c r="E454" s="53" t="n"/>
      <c r="F454" s="53" t="n"/>
    </row>
    <row r="455" customFormat="1" s="1916">
      <c r="A455" s="53" t="n"/>
      <c r="B455" s="113" t="n"/>
      <c r="C455" s="2145" t="n"/>
      <c r="D455" s="2145" t="n"/>
      <c r="E455" s="53" t="n"/>
      <c r="F455" s="53" t="n"/>
    </row>
    <row r="456" customFormat="1" s="1916">
      <c r="A456" s="53" t="n"/>
      <c r="B456" s="113" t="n"/>
      <c r="C456" s="2145" t="n"/>
      <c r="D456" s="2145" t="n"/>
      <c r="E456" s="53" t="n"/>
      <c r="F456" s="53" t="n"/>
    </row>
    <row r="457" customFormat="1" s="1916">
      <c r="A457" s="53" t="n"/>
      <c r="B457" s="113" t="n"/>
      <c r="C457" s="2145" t="n"/>
      <c r="D457" s="2145" t="n"/>
      <c r="E457" s="53" t="n"/>
      <c r="F457" s="53" t="n"/>
    </row>
    <row r="458" customFormat="1" s="1916">
      <c r="A458" s="53" t="n"/>
      <c r="B458" s="112" t="n"/>
      <c r="C458" s="2145" t="n"/>
      <c r="D458" s="2145" t="n"/>
      <c r="E458" s="53" t="n"/>
      <c r="F458" s="53" t="n"/>
    </row>
    <row r="459" customFormat="1" s="1916">
      <c r="A459" s="53" t="n"/>
      <c r="B459" s="112" t="n"/>
      <c r="C459" s="2145" t="n"/>
      <c r="D459" s="2145" t="n"/>
      <c r="E459" s="53" t="n"/>
      <c r="F459" s="53" t="n"/>
    </row>
    <row r="460" customFormat="1" s="1916">
      <c r="A460" s="53" t="n"/>
      <c r="B460" s="112" t="n"/>
      <c r="C460" s="2145" t="n"/>
      <c r="D460" s="2149" t="n"/>
      <c r="E460" s="53" t="n"/>
      <c r="F460" s="53" t="n"/>
      <c r="N460" s="53" t="n"/>
    </row>
    <row r="461" customFormat="1" s="1916">
      <c r="A461" s="53" t="n"/>
      <c r="B461" s="113" t="n"/>
      <c r="C461" s="2145" t="n"/>
      <c r="D461" s="2145" t="n"/>
      <c r="E461" s="53" t="n"/>
      <c r="F461" s="53" t="n"/>
      <c r="G461" s="53" t="n"/>
      <c r="I461" s="2154" t="n"/>
      <c r="N461" s="53" t="n"/>
    </row>
    <row r="462" customFormat="1" s="1916">
      <c r="A462" s="53" t="n"/>
      <c r="B462" s="53" t="n"/>
      <c r="C462" s="2145" t="n"/>
      <c r="D462" s="2145" t="n"/>
      <c r="E462" s="2145" t="n"/>
      <c r="F462" s="2145" t="n"/>
      <c r="N462" s="53" t="n"/>
    </row>
    <row r="463" customFormat="1" s="1916">
      <c r="A463" s="53" t="n"/>
      <c r="B463" s="53" t="n"/>
      <c r="C463" s="2145" t="n"/>
      <c r="D463" s="2145" t="n"/>
      <c r="F463" s="108" t="n"/>
      <c r="N463" s="53" t="n"/>
    </row>
    <row r="464" customFormat="1" s="1916">
      <c r="D464" s="2145" t="n"/>
    </row>
    <row r="465" customFormat="1" s="1916"/>
    <row r="466" customFormat="1" s="1916"/>
    <row r="467" customFormat="1" s="1916">
      <c r="A467" s="53" t="n"/>
      <c r="B467" s="53" t="n"/>
      <c r="C467" s="53" t="n"/>
      <c r="D467" s="53" t="n"/>
      <c r="L467" s="53" t="n"/>
      <c r="M467" s="53" t="n"/>
      <c r="N467" s="53" t="n"/>
      <c r="O467" s="53" t="n"/>
      <c r="P467" s="53" t="n"/>
    </row>
    <row r="468" customFormat="1" s="1916">
      <c r="A468" s="53" t="n"/>
      <c r="B468" s="53" t="n"/>
      <c r="C468" s="53" t="n"/>
      <c r="D468" s="53" t="n"/>
      <c r="E468" s="53" t="n"/>
      <c r="F468" s="53" t="n"/>
      <c r="L468" s="53" t="n"/>
      <c r="M468" s="53" t="n"/>
      <c r="N468" s="53" t="n"/>
      <c r="O468" s="53" t="n"/>
      <c r="P468" s="2145" t="n"/>
    </row>
    <row r="469" customFormat="1" s="1916">
      <c r="A469" s="53" t="n"/>
      <c r="B469" s="2155" t="n"/>
      <c r="C469" s="2145" t="n"/>
      <c r="D469" s="2145" t="n"/>
      <c r="E469" s="2156" t="n"/>
      <c r="F469" s="53" t="n"/>
      <c r="L469" s="53" t="n"/>
      <c r="M469" s="53" t="n"/>
      <c r="N469" s="2145" t="n"/>
      <c r="O469" s="2145" t="n"/>
      <c r="P469" s="2145" t="n"/>
    </row>
    <row r="470" customFormat="1" s="1916">
      <c r="A470" s="53" t="n"/>
      <c r="B470" s="53" t="n"/>
      <c r="C470" s="2145" t="n"/>
      <c r="D470" s="2145" t="n"/>
      <c r="E470" s="53" t="n"/>
      <c r="F470" s="53" t="n"/>
      <c r="L470" s="53" t="n"/>
      <c r="M470" s="53" t="n"/>
      <c r="N470" s="2145" t="n"/>
      <c r="O470" s="2156" t="n"/>
      <c r="P470" s="2145" t="n"/>
    </row>
    <row r="471" customFormat="1" s="1916">
      <c r="A471" s="53" t="n"/>
      <c r="B471" s="53" t="n"/>
      <c r="C471" s="2145" t="n"/>
      <c r="D471" s="2145" t="n"/>
      <c r="E471" s="53" t="n"/>
      <c r="F471" s="53" t="n"/>
      <c r="L471" s="53" t="n"/>
      <c r="M471" s="53" t="n"/>
      <c r="N471" s="2145" t="n"/>
      <c r="O471" s="2156" t="n"/>
      <c r="P471" s="2145" t="n"/>
    </row>
    <row r="472" customFormat="1" s="1916">
      <c r="A472" s="53" t="n"/>
      <c r="B472" s="53" t="n"/>
      <c r="C472" s="2145" t="n"/>
      <c r="D472" s="2145" t="n"/>
      <c r="E472" s="53" t="n"/>
      <c r="F472" s="53" t="n"/>
      <c r="L472" s="53" t="n"/>
      <c r="M472" s="2145" t="n"/>
      <c r="N472" s="2149" t="n"/>
      <c r="O472" s="53" t="n"/>
      <c r="P472" s="53" t="n"/>
      <c r="Q472" s="53" t="n"/>
      <c r="R472" s="53" t="n"/>
      <c r="S472" s="53" t="n"/>
    </row>
    <row r="473" customFormat="1" s="1916">
      <c r="A473" s="53" t="n"/>
      <c r="B473" s="53" t="n"/>
      <c r="C473" s="2145" t="n"/>
      <c r="D473" s="2145" t="n"/>
      <c r="E473" s="53" t="n"/>
      <c r="F473" s="53" t="n"/>
      <c r="L473" s="53" t="n"/>
      <c r="M473" s="53" t="n"/>
      <c r="N473" s="2149" t="n"/>
      <c r="O473" s="53" t="n"/>
      <c r="P473" s="53" t="n"/>
      <c r="Q473" s="2145" t="n"/>
      <c r="R473" s="2145" t="n"/>
      <c r="S473" s="53" t="n"/>
    </row>
    <row r="474" customFormat="1" s="1916">
      <c r="A474" s="53" t="n"/>
      <c r="B474" s="53" t="n"/>
      <c r="C474" s="2145" t="n"/>
      <c r="D474" s="2145" t="n"/>
      <c r="E474" s="53" t="n"/>
      <c r="F474" s="53" t="n"/>
      <c r="L474" s="53" t="n"/>
      <c r="M474" s="53" t="n"/>
      <c r="N474" s="2149" t="n"/>
      <c r="O474" s="53" t="n"/>
      <c r="P474" s="53" t="n"/>
      <c r="Q474" s="2145" t="n"/>
      <c r="R474" s="2145" t="n"/>
      <c r="S474" s="53" t="n"/>
    </row>
    <row r="475" customFormat="1" s="1916">
      <c r="A475" s="53" t="n"/>
      <c r="B475" s="53" t="n"/>
      <c r="C475" s="2145" t="n"/>
      <c r="D475" s="2145" t="n"/>
      <c r="E475" s="53" t="n"/>
      <c r="F475" s="53" t="n"/>
      <c r="L475" s="53" t="n"/>
      <c r="M475" s="53" t="n"/>
      <c r="N475" s="2149" t="n"/>
      <c r="O475" s="53" t="n"/>
      <c r="P475" s="53" t="n"/>
      <c r="Q475" s="2145" t="n"/>
      <c r="R475" s="2145" t="n"/>
      <c r="S475" s="53" t="n"/>
    </row>
    <row r="476" customFormat="1" s="1916">
      <c r="A476" s="53" t="n"/>
      <c r="B476" s="53" t="n"/>
      <c r="C476" s="2145" t="n"/>
      <c r="D476" s="2145" t="n"/>
      <c r="E476" s="53" t="n"/>
      <c r="F476" s="53" t="n"/>
      <c r="L476" s="53" t="n"/>
      <c r="M476" s="53" t="n"/>
      <c r="N476" s="2149" t="n"/>
      <c r="O476" s="53" t="n"/>
      <c r="P476" s="53" t="n"/>
      <c r="Q476" s="2145" t="n"/>
      <c r="R476" s="2145" t="n"/>
      <c r="S476" s="53" t="n"/>
    </row>
    <row r="477" customFormat="1" s="1916">
      <c r="A477" s="53" t="n"/>
      <c r="B477" s="53" t="n"/>
      <c r="C477" s="2145" t="n"/>
      <c r="D477" s="2145" t="n"/>
      <c r="E477" s="53" t="n"/>
      <c r="F477" s="53" t="n"/>
      <c r="L477" s="53" t="n"/>
      <c r="M477" s="53" t="n"/>
      <c r="N477" s="2149" t="n"/>
      <c r="O477" s="53" t="n"/>
      <c r="P477" s="53" t="n"/>
      <c r="Q477" s="53" t="n"/>
      <c r="R477" s="53" t="n"/>
      <c r="S477" s="53" t="n"/>
    </row>
    <row r="478" customFormat="1" s="1916">
      <c r="A478" s="53" t="n"/>
      <c r="B478" s="53" t="n"/>
      <c r="C478" s="2145" t="n"/>
      <c r="D478" s="2145" t="n"/>
      <c r="E478" s="53" t="n"/>
      <c r="F478" s="53" t="n"/>
      <c r="L478" s="53" t="n"/>
      <c r="M478" s="53" t="n"/>
      <c r="N478" s="2149" t="n"/>
      <c r="O478" s="53" t="n"/>
      <c r="P478" s="53" t="n"/>
      <c r="Q478" s="53" t="n"/>
      <c r="R478" s="53" t="n"/>
      <c r="S478" s="53" t="n"/>
    </row>
    <row r="479" customFormat="1" s="1916">
      <c r="A479" s="53" t="n"/>
      <c r="B479" s="53" t="n"/>
      <c r="C479" s="2145" t="n"/>
      <c r="D479" s="2145" t="n"/>
      <c r="E479" s="53" t="n"/>
      <c r="F479" s="53" t="n"/>
      <c r="Q479" s="53" t="n"/>
      <c r="R479" s="53" t="n"/>
      <c r="S479" s="53" t="n"/>
    </row>
    <row r="480" customFormat="1" s="1916">
      <c r="A480" s="53" t="n"/>
      <c r="B480" s="53" t="n"/>
      <c r="C480" s="2145" t="n"/>
      <c r="D480" s="2145" t="n"/>
      <c r="E480" s="53" t="n"/>
      <c r="F480" s="53" t="n"/>
      <c r="Q480" s="53" t="n"/>
      <c r="R480" s="53" t="n"/>
      <c r="S480" s="53" t="n"/>
    </row>
    <row r="481" customFormat="1" s="1916">
      <c r="A481" s="53" t="n"/>
      <c r="B481" s="53" t="n"/>
      <c r="C481" s="2145" t="n"/>
      <c r="D481" s="2145" t="n"/>
      <c r="E481" s="2156" t="n"/>
      <c r="F481" s="53" t="n"/>
      <c r="Q481" s="53" t="n"/>
      <c r="R481" s="53" t="n"/>
      <c r="S481" s="53" t="n"/>
    </row>
    <row r="482" customFormat="1" s="1916">
      <c r="A482" s="53" t="n"/>
      <c r="B482" s="53" t="n"/>
      <c r="C482" s="2145" t="n"/>
      <c r="D482" s="2145" t="n"/>
      <c r="E482" s="53" t="n"/>
      <c r="F482" s="53" t="n"/>
      <c r="Q482" s="53" t="n"/>
      <c r="R482" s="53" t="n"/>
      <c r="S482" s="53" t="n"/>
    </row>
    <row r="483" customFormat="1" s="1916">
      <c r="A483" s="53" t="n"/>
      <c r="B483" s="53" t="n"/>
      <c r="C483" s="2145" t="n"/>
      <c r="D483" s="2145" t="n"/>
      <c r="E483" s="53" t="n"/>
      <c r="F483" s="53" t="n"/>
      <c r="Q483" s="53" t="n"/>
      <c r="R483" s="53" t="n"/>
      <c r="S483" s="53" t="n"/>
    </row>
    <row r="484" customFormat="1" s="1916">
      <c r="A484" s="53" t="n"/>
      <c r="B484" s="53" t="n"/>
      <c r="C484" s="2145" t="n"/>
      <c r="D484" s="2145" t="n"/>
      <c r="E484" s="53" t="n"/>
      <c r="F484" s="53" t="n"/>
    </row>
    <row r="485" customFormat="1" s="1916">
      <c r="A485" s="53" t="n"/>
      <c r="B485" s="53" t="n"/>
      <c r="C485" s="2145" t="n"/>
      <c r="D485" s="2145" t="n"/>
      <c r="E485" s="53" t="n"/>
      <c r="F485" s="53" t="n"/>
    </row>
    <row r="486" customFormat="1" s="1916">
      <c r="A486" s="103" t="n"/>
      <c r="B486" s="103" t="n"/>
      <c r="C486" s="2147" t="n"/>
      <c r="D486" s="2147" t="n"/>
      <c r="E486" s="53" t="n"/>
      <c r="F486" s="53" t="n"/>
    </row>
    <row r="487" customFormat="1" s="1916">
      <c r="A487" s="103" t="n"/>
      <c r="B487" s="105" t="n"/>
      <c r="C487" s="2147" t="n"/>
      <c r="D487" s="2147" t="n"/>
      <c r="E487" s="53" t="n"/>
      <c r="F487" s="53" t="n"/>
    </row>
    <row r="488" customFormat="1" s="1916">
      <c r="A488" s="103" t="n"/>
      <c r="B488" s="103" t="n"/>
      <c r="C488" s="2147" t="n"/>
      <c r="D488" s="2147" t="n"/>
      <c r="E488" s="53" t="n"/>
      <c r="F488" s="53" t="n"/>
    </row>
    <row r="489" customFormat="1" s="1916">
      <c r="A489" s="103" t="n"/>
      <c r="B489" s="105" t="n"/>
      <c r="C489" s="2147" t="n"/>
      <c r="D489" s="2147" t="n"/>
      <c r="E489" s="53" t="n"/>
      <c r="G489" s="53" t="n"/>
      <c r="H489" s="53" t="n"/>
      <c r="I489" s="53" t="n"/>
      <c r="J489" s="53" t="n"/>
      <c r="K489" s="53" t="n"/>
      <c r="L489" s="53" t="n"/>
    </row>
    <row r="490" customFormat="1" s="1916">
      <c r="A490" s="53" t="n"/>
      <c r="B490" s="53" t="n"/>
      <c r="C490" s="2145" t="n"/>
      <c r="D490" s="2145" t="n"/>
      <c r="E490" s="53" t="n"/>
      <c r="G490" s="53" t="n"/>
      <c r="H490" s="53" t="n"/>
      <c r="I490" s="53" t="n"/>
      <c r="J490" s="106" t="n"/>
      <c r="K490" s="106" t="n"/>
      <c r="L490" s="106" t="n"/>
    </row>
    <row r="491" customFormat="1" s="1916">
      <c r="A491" s="3" t="n"/>
      <c r="B491" s="2156" t="n"/>
      <c r="C491" s="3" t="n"/>
      <c r="D491" s="2156" t="n"/>
      <c r="E491" s="107" t="n"/>
      <c r="G491" s="53" t="n"/>
      <c r="H491" s="108" t="n"/>
      <c r="I491" s="53" t="n"/>
      <c r="J491" s="106" t="n"/>
      <c r="K491" s="106" t="n"/>
      <c r="L491" s="106" t="n"/>
    </row>
    <row r="492" customFormat="1" s="1916">
      <c r="A492" s="53" t="n"/>
      <c r="B492" s="53" t="n"/>
      <c r="C492" s="53" t="n"/>
      <c r="D492" s="53" t="n"/>
      <c r="E492" s="107" t="n"/>
      <c r="G492" s="53" t="n"/>
      <c r="H492" s="53" t="n"/>
      <c r="I492" s="53" t="n"/>
      <c r="J492" s="2145" t="n"/>
      <c r="K492" s="2145" t="n"/>
      <c r="L492" s="53" t="n"/>
    </row>
    <row r="493" customFormat="1" s="1916">
      <c r="A493" s="53" t="n"/>
      <c r="B493" s="53" t="n"/>
      <c r="C493" s="53" t="n"/>
      <c r="D493" s="106" t="n"/>
      <c r="E493" s="106" t="n"/>
      <c r="G493" s="53" t="n"/>
      <c r="H493" s="93" t="n"/>
      <c r="I493" s="2145" t="n"/>
      <c r="J493" s="2145" t="n"/>
      <c r="K493" s="2145" t="n"/>
      <c r="L493" s="106" t="n"/>
    </row>
    <row r="494" customFormat="1" s="1916">
      <c r="A494" s="53" t="n"/>
      <c r="B494" s="53" t="n"/>
      <c r="C494" s="53" t="n"/>
      <c r="D494" s="53" t="n"/>
      <c r="E494" s="53" t="n"/>
      <c r="G494" s="53" t="n"/>
      <c r="H494" s="93" t="n"/>
      <c r="I494" s="2145" t="n"/>
      <c r="J494" s="2145" t="n"/>
      <c r="K494" s="2145" t="n"/>
      <c r="L494" s="53" t="n"/>
    </row>
    <row r="495" customFormat="1" s="1916">
      <c r="A495" s="53" t="n"/>
      <c r="B495" s="53" t="n"/>
      <c r="C495" s="53" t="n"/>
      <c r="D495" s="106" t="n"/>
      <c r="E495" s="106" t="n"/>
      <c r="G495" s="53" t="n"/>
      <c r="H495" s="93" t="n"/>
      <c r="I495" s="2145" t="n"/>
      <c r="J495" s="2145" t="n"/>
      <c r="K495" s="2145" t="n"/>
      <c r="L495" s="106" t="n"/>
    </row>
    <row r="496" customFormat="1" s="1916">
      <c r="A496" s="53" t="n"/>
      <c r="B496" s="53" t="n"/>
      <c r="C496" s="53" t="n"/>
      <c r="D496" s="2157" t="n"/>
      <c r="E496" s="2157" t="n"/>
      <c r="F496" s="53" t="n"/>
      <c r="G496" s="103" t="n"/>
      <c r="H496" s="103" t="n"/>
      <c r="I496" s="2147" t="n"/>
      <c r="J496" s="2147" t="n"/>
      <c r="K496" s="2145" t="n"/>
      <c r="L496" s="106" t="n"/>
    </row>
    <row r="497" customFormat="1" s="1916">
      <c r="A497" s="53" t="n"/>
      <c r="B497" s="53" t="n"/>
      <c r="C497" s="2145" t="n"/>
      <c r="D497" s="2145" t="n"/>
      <c r="E497" s="2145" t="n"/>
      <c r="F497" s="53" t="n"/>
      <c r="G497" s="53" t="n"/>
      <c r="H497" s="53" t="n"/>
    </row>
    <row r="498" customFormat="1" s="1916">
      <c r="A498" s="53" t="n"/>
      <c r="B498" s="53" t="n"/>
      <c r="C498" s="53" t="n"/>
      <c r="D498" s="2145" t="n"/>
      <c r="E498" s="53" t="n"/>
      <c r="F498" s="53" t="n"/>
      <c r="G498" s="110" t="n"/>
      <c r="H498" s="53" t="n"/>
      <c r="I498" s="53" t="n"/>
      <c r="J498" s="2145" t="n"/>
      <c r="K498" s="2145" t="n"/>
    </row>
    <row r="499" customFormat="1" s="1916">
      <c r="A499" s="53" t="n"/>
      <c r="B499" s="93" t="n"/>
      <c r="C499" s="2145" t="n"/>
      <c r="D499" s="2145" t="n"/>
      <c r="E499" s="53" t="n"/>
      <c r="F499" s="53" t="n"/>
      <c r="G499" s="2156" t="n"/>
      <c r="H499" s="93" t="n"/>
      <c r="I499" s="2145" t="n"/>
      <c r="J499" s="2145" t="n"/>
      <c r="K499" s="2145" t="n"/>
    </row>
    <row r="500" customFormat="1" s="1916">
      <c r="A500" s="53" t="n"/>
      <c r="B500" s="93" t="n"/>
      <c r="C500" s="2145" t="n"/>
      <c r="D500" s="2145" t="n"/>
      <c r="E500" s="53" t="n"/>
      <c r="F500" s="53" t="n"/>
      <c r="G500" s="53" t="n"/>
      <c r="H500" s="93" t="n"/>
      <c r="I500" s="2145" t="n"/>
      <c r="J500" s="2145" t="n"/>
      <c r="K500" s="2145" t="n"/>
    </row>
    <row r="501" customFormat="1" s="1916">
      <c r="A501" s="53" t="n"/>
      <c r="B501" s="93" t="n"/>
      <c r="C501" s="2145" t="n"/>
      <c r="D501" s="2145" t="n"/>
      <c r="E501" s="53" t="n"/>
      <c r="F501" s="53" t="n"/>
      <c r="G501" s="53" t="n"/>
      <c r="H501" s="93" t="n"/>
      <c r="I501" s="2145" t="n"/>
      <c r="J501" s="2145" t="n"/>
      <c r="K501" s="2145" t="n"/>
    </row>
    <row r="502" customFormat="1" s="1916">
      <c r="A502" s="53" t="n"/>
      <c r="B502" s="93" t="n"/>
      <c r="C502" s="2145" t="n"/>
      <c r="D502" s="2145" t="n"/>
      <c r="E502" s="111" t="n"/>
      <c r="F502" s="53" t="n"/>
      <c r="G502" s="53" t="n"/>
      <c r="H502" s="93" t="n"/>
      <c r="I502" s="2145" t="n"/>
      <c r="J502" s="2145" t="n"/>
      <c r="K502" s="2145" t="n"/>
    </row>
    <row r="503" customFormat="1" s="1916">
      <c r="A503" s="53" t="n"/>
      <c r="B503" s="93" t="n"/>
      <c r="C503" s="2145" t="n"/>
      <c r="D503" s="2145" t="n"/>
      <c r="E503" s="111" t="n"/>
      <c r="F503" s="53" t="n"/>
      <c r="G503" s="53" t="n"/>
      <c r="H503" s="93" t="n"/>
      <c r="I503" s="2145" t="n"/>
      <c r="J503" s="2145" t="n"/>
      <c r="K503" s="2145" t="n"/>
    </row>
    <row r="504" customFormat="1" s="1916">
      <c r="A504" s="53" t="n"/>
      <c r="B504" s="93" t="n"/>
      <c r="C504" s="2145" t="n"/>
      <c r="D504" s="2145" t="n"/>
      <c r="E504" s="53" t="n"/>
      <c r="F504" s="53" t="n"/>
      <c r="G504" s="53" t="n"/>
      <c r="H504" s="93" t="n"/>
      <c r="I504" s="2145" t="n"/>
      <c r="J504" s="2145" t="n"/>
      <c r="K504" s="2145" t="n"/>
    </row>
    <row r="505" customFormat="1" s="1916">
      <c r="A505" s="53" t="n"/>
      <c r="B505" s="93" t="n"/>
      <c r="C505" s="2145" t="n"/>
      <c r="D505" s="2145" t="n"/>
      <c r="E505" s="53" t="n"/>
      <c r="F505" s="53" t="n"/>
      <c r="G505" s="53" t="n"/>
      <c r="H505" s="93" t="n"/>
      <c r="I505" s="2145" t="n"/>
      <c r="J505" s="2145" t="n"/>
      <c r="K505" s="2145" t="n"/>
    </row>
    <row r="506" customFormat="1" s="1916">
      <c r="A506" s="103" t="n"/>
      <c r="B506" s="103" t="n"/>
      <c r="C506" s="2147" t="n"/>
      <c r="D506" s="2147" t="n"/>
      <c r="E506" s="53" t="n"/>
      <c r="F506" s="53" t="n"/>
      <c r="G506" s="103" t="n"/>
      <c r="H506" s="103" t="n"/>
      <c r="I506" s="2147" t="n"/>
      <c r="J506" s="2147" t="n"/>
      <c r="K506" s="2147" t="n"/>
    </row>
    <row r="507" customFormat="1" s="1916">
      <c r="A507" s="53" t="n"/>
      <c r="B507" s="53" t="n"/>
      <c r="C507" s="2145" t="n"/>
      <c r="D507" s="2145" t="n"/>
      <c r="E507" s="53" t="n"/>
      <c r="F507" s="53" t="n"/>
    </row>
    <row r="508" customFormat="1" s="1916">
      <c r="A508" s="53" t="n"/>
      <c r="B508" s="53" t="n"/>
      <c r="C508" s="2145" t="n"/>
      <c r="D508" s="2147" t="n"/>
      <c r="E508" s="53" t="n"/>
      <c r="F508" s="53" t="n"/>
    </row>
    <row r="509" customFormat="1" s="1916">
      <c r="A509" s="53" t="n"/>
      <c r="B509" s="53" t="n"/>
      <c r="C509" s="2145" t="n"/>
      <c r="D509" s="2145" t="n"/>
      <c r="E509" s="53" t="n"/>
      <c r="F509" s="53" t="n"/>
    </row>
    <row r="510" customFormat="1" s="1916">
      <c r="A510" s="53" t="n"/>
      <c r="B510" s="53" t="n"/>
      <c r="C510" s="2145" t="n"/>
      <c r="D510" s="2145" t="n"/>
      <c r="E510" s="53" t="n"/>
      <c r="F510" s="53" t="n"/>
    </row>
    <row r="511" customFormat="1" s="1916">
      <c r="A511" s="53" t="n"/>
      <c r="B511" s="112" t="n"/>
      <c r="C511" s="2145" t="n"/>
      <c r="D511" s="2145" t="n"/>
      <c r="E511" s="53" t="n"/>
      <c r="F511" s="53" t="n"/>
    </row>
    <row r="512" customFormat="1" s="1916">
      <c r="A512" s="53" t="n"/>
      <c r="B512" s="112" t="n"/>
      <c r="C512" s="2145" t="n"/>
      <c r="D512" s="2145" t="n"/>
      <c r="E512" s="53" t="n"/>
      <c r="F512" s="53" t="n"/>
    </row>
    <row r="513" customFormat="1" s="1916">
      <c r="A513" s="53" t="n"/>
      <c r="B513" s="113" t="n"/>
      <c r="C513" s="2145" t="n"/>
      <c r="D513" s="2145" t="n"/>
      <c r="E513" s="53" t="n"/>
      <c r="F513" s="53" t="n"/>
    </row>
    <row r="514" customFormat="1" s="1916">
      <c r="A514" s="53" t="n"/>
      <c r="B514" s="113" t="n"/>
      <c r="C514" s="2145" t="n"/>
      <c r="D514" s="2145" t="n"/>
      <c r="E514" s="53" t="n"/>
      <c r="F514" s="53" t="n"/>
    </row>
    <row r="515" customFormat="1" s="1916">
      <c r="A515" s="53" t="n"/>
      <c r="B515" s="113" t="n"/>
      <c r="C515" s="2145" t="n"/>
      <c r="D515" s="2145" t="n"/>
      <c r="E515" s="53" t="n"/>
      <c r="F515" s="53" t="n"/>
    </row>
    <row r="516" customFormat="1" s="1916">
      <c r="A516" s="53" t="n"/>
      <c r="B516" s="113" t="n"/>
      <c r="C516" s="2145" t="n"/>
      <c r="D516" s="2145" t="n"/>
      <c r="E516" s="53" t="n"/>
      <c r="F516" s="53" t="n"/>
    </row>
    <row r="517" customFormat="1" s="1916">
      <c r="A517" s="53" t="n"/>
      <c r="B517" s="112" t="n"/>
      <c r="C517" s="2145" t="n"/>
      <c r="D517" s="2145" t="n"/>
      <c r="E517" s="53" t="n"/>
      <c r="F517" s="53" t="n"/>
    </row>
    <row r="518" customFormat="1" s="1916">
      <c r="A518" s="53" t="n"/>
      <c r="B518" s="112" t="n"/>
      <c r="C518" s="2145" t="n"/>
      <c r="D518" s="2145" t="n"/>
      <c r="E518" s="53" t="n"/>
      <c r="F518" s="53" t="n"/>
    </row>
    <row r="519" customFormat="1" s="1916">
      <c r="A519" s="53" t="n"/>
      <c r="B519" s="112" t="n"/>
      <c r="C519" s="2145" t="n"/>
      <c r="D519" s="2149" t="n"/>
      <c r="E519" s="53" t="n"/>
      <c r="F519" s="53" t="n"/>
      <c r="N519" s="53" t="n"/>
    </row>
    <row r="520" customFormat="1" s="1916">
      <c r="A520" s="53" t="n"/>
      <c r="B520" s="113" t="n"/>
      <c r="C520" s="2145" t="n"/>
      <c r="D520" s="2145" t="n"/>
      <c r="E520" s="53" t="n"/>
      <c r="F520" s="53" t="n"/>
      <c r="G520" s="53" t="n"/>
      <c r="I520" s="2154" t="n"/>
      <c r="N520" s="53" t="n"/>
    </row>
    <row r="521" customFormat="1" s="1916">
      <c r="A521" s="53" t="n"/>
      <c r="B521" s="53" t="n"/>
      <c r="C521" s="2145" t="n"/>
      <c r="D521" s="2145" t="n"/>
      <c r="E521" s="2145" t="n"/>
      <c r="F521" s="2145" t="n"/>
      <c r="N521" s="53" t="n"/>
    </row>
    <row r="522" customFormat="1" s="1916">
      <c r="A522" s="53" t="n"/>
      <c r="B522" s="53" t="n"/>
      <c r="C522" s="2145" t="n"/>
      <c r="D522" s="2145" t="n"/>
      <c r="F522" s="108" t="n"/>
      <c r="N522" s="53" t="n"/>
    </row>
    <row r="523" customFormat="1" s="1916">
      <c r="D523" s="2145" t="n"/>
    </row>
    <row r="524" customFormat="1" s="1916"/>
    <row r="525" customFormat="1" s="1916"/>
    <row r="526" customFormat="1" s="1916">
      <c r="A526" s="53" t="n"/>
      <c r="B526" s="53" t="n"/>
      <c r="C526" s="53" t="n"/>
      <c r="D526" s="53" t="n"/>
      <c r="L526" s="53" t="n"/>
      <c r="M526" s="53" t="n"/>
      <c r="N526" s="53" t="n"/>
      <c r="O526" s="53" t="n"/>
      <c r="P526" s="53" t="n"/>
    </row>
    <row r="527" customFormat="1" s="1916">
      <c r="A527" s="53" t="n"/>
      <c r="B527" s="53" t="n"/>
      <c r="C527" s="53" t="n"/>
      <c r="D527" s="53" t="n"/>
      <c r="E527" s="53" t="n"/>
      <c r="F527" s="53" t="n"/>
      <c r="L527" s="53" t="n"/>
      <c r="M527" s="53" t="n"/>
      <c r="N527" s="53" t="n"/>
      <c r="O527" s="53" t="n"/>
      <c r="P527" s="2145" t="n"/>
    </row>
    <row r="528" customFormat="1" s="1916">
      <c r="A528" s="53" t="n"/>
      <c r="B528" s="2155" t="n"/>
      <c r="C528" s="2145" t="n"/>
      <c r="D528" s="2145" t="n"/>
      <c r="E528" s="2156" t="n"/>
      <c r="F528" s="53" t="n"/>
      <c r="L528" s="53" t="n"/>
      <c r="M528" s="53" t="n"/>
      <c r="N528" s="2145" t="n"/>
      <c r="O528" s="2145" t="n"/>
      <c r="P528" s="2145" t="n"/>
    </row>
    <row r="529" customFormat="1" s="1916">
      <c r="A529" s="53" t="n"/>
      <c r="B529" s="53" t="n"/>
      <c r="C529" s="2145" t="n"/>
      <c r="D529" s="2145" t="n"/>
      <c r="E529" s="53" t="n"/>
      <c r="F529" s="53" t="n"/>
      <c r="L529" s="53" t="n"/>
      <c r="M529" s="53" t="n"/>
      <c r="N529" s="2145" t="n"/>
      <c r="O529" s="2156" t="n"/>
      <c r="P529" s="2145" t="n"/>
    </row>
    <row r="530" customFormat="1" s="1916">
      <c r="A530" s="53" t="n"/>
      <c r="B530" s="53" t="n"/>
      <c r="C530" s="2145" t="n"/>
      <c r="D530" s="2145" t="n"/>
      <c r="E530" s="53" t="n"/>
      <c r="F530" s="53" t="n"/>
      <c r="L530" s="53" t="n"/>
      <c r="M530" s="53" t="n"/>
      <c r="N530" s="2145" t="n"/>
      <c r="O530" s="2156" t="n"/>
      <c r="P530" s="2145" t="n"/>
    </row>
    <row r="531" customFormat="1" s="1916">
      <c r="A531" s="53" t="n"/>
      <c r="B531" s="53" t="n"/>
      <c r="C531" s="2145" t="n"/>
      <c r="D531" s="2145" t="n"/>
      <c r="E531" s="53" t="n"/>
      <c r="F531" s="53" t="n"/>
      <c r="L531" s="53" t="n"/>
      <c r="M531" s="2145" t="n"/>
      <c r="N531" s="2149" t="n"/>
      <c r="O531" s="53" t="n"/>
      <c r="P531" s="53" t="n"/>
      <c r="Q531" s="53" t="n"/>
      <c r="R531" s="53" t="n"/>
      <c r="S531" s="53" t="n"/>
    </row>
    <row r="532" customFormat="1" s="1916">
      <c r="A532" s="53" t="n"/>
      <c r="B532" s="53" t="n"/>
      <c r="C532" s="2145" t="n"/>
      <c r="D532" s="2145" t="n"/>
      <c r="E532" s="53" t="n"/>
      <c r="F532" s="53" t="n"/>
      <c r="L532" s="53" t="n"/>
      <c r="M532" s="53" t="n"/>
      <c r="N532" s="2149" t="n"/>
      <c r="O532" s="53" t="n"/>
      <c r="P532" s="53" t="n"/>
      <c r="Q532" s="2145" t="n"/>
      <c r="R532" s="2145" t="n"/>
      <c r="S532" s="53" t="n"/>
    </row>
    <row r="533" customFormat="1" s="1916">
      <c r="A533" s="53" t="n"/>
      <c r="B533" s="53" t="n"/>
      <c r="C533" s="2145" t="n"/>
      <c r="D533" s="2145" t="n"/>
      <c r="E533" s="53" t="n"/>
      <c r="F533" s="53" t="n"/>
      <c r="L533" s="53" t="n"/>
      <c r="M533" s="53" t="n"/>
      <c r="N533" s="2149" t="n"/>
      <c r="O533" s="53" t="n"/>
      <c r="P533" s="53" t="n"/>
      <c r="Q533" s="2145" t="n"/>
      <c r="R533" s="2145" t="n"/>
      <c r="S533" s="53" t="n"/>
    </row>
    <row r="534" customFormat="1" s="1916">
      <c r="A534" s="53" t="n"/>
      <c r="B534" s="53" t="n"/>
      <c r="C534" s="2145" t="n"/>
      <c r="D534" s="2145" t="n"/>
      <c r="E534" s="53" t="n"/>
      <c r="F534" s="53" t="n"/>
      <c r="L534" s="53" t="n"/>
      <c r="M534" s="53" t="n"/>
      <c r="N534" s="2149" t="n"/>
      <c r="O534" s="53" t="n"/>
      <c r="P534" s="53" t="n"/>
      <c r="Q534" s="2145" t="n"/>
      <c r="R534" s="2145" t="n"/>
      <c r="S534" s="53" t="n"/>
    </row>
    <row r="535" customFormat="1" s="1916">
      <c r="A535" s="53" t="n"/>
      <c r="B535" s="53" t="n"/>
      <c r="C535" s="2145" t="n"/>
      <c r="D535" s="2145" t="n"/>
      <c r="E535" s="53" t="n"/>
      <c r="F535" s="53" t="n"/>
      <c r="L535" s="53" t="n"/>
      <c r="M535" s="53" t="n"/>
      <c r="N535" s="2149" t="n"/>
      <c r="O535" s="53" t="n"/>
      <c r="P535" s="53" t="n"/>
      <c r="Q535" s="2145" t="n"/>
      <c r="R535" s="2145" t="n"/>
      <c r="S535" s="53" t="n"/>
    </row>
    <row r="536" customFormat="1" s="1916">
      <c r="A536" s="53" t="n"/>
      <c r="B536" s="53" t="n"/>
      <c r="C536" s="2145" t="n"/>
      <c r="D536" s="2145" t="n"/>
      <c r="E536" s="53" t="n"/>
      <c r="F536" s="53" t="n"/>
      <c r="L536" s="53" t="n"/>
      <c r="M536" s="53" t="n"/>
      <c r="N536" s="2149" t="n"/>
      <c r="O536" s="53" t="n"/>
      <c r="P536" s="53" t="n"/>
      <c r="Q536" s="53" t="n"/>
      <c r="R536" s="53" t="n"/>
      <c r="S536" s="53" t="n"/>
    </row>
    <row r="537" customFormat="1" s="1916">
      <c r="A537" s="53" t="n"/>
      <c r="B537" s="53" t="n"/>
      <c r="C537" s="2145" t="n"/>
      <c r="D537" s="2145" t="n"/>
      <c r="E537" s="53" t="n"/>
      <c r="F537" s="53" t="n"/>
      <c r="L537" s="53" t="n"/>
      <c r="M537" s="53" t="n"/>
      <c r="N537" s="2149" t="n"/>
      <c r="O537" s="53" t="n"/>
      <c r="P537" s="53" t="n"/>
      <c r="Q537" s="53" t="n"/>
      <c r="R537" s="53" t="n"/>
      <c r="S537" s="53" t="n"/>
    </row>
    <row r="538" customFormat="1" s="1916">
      <c r="A538" s="53" t="n"/>
      <c r="B538" s="53" t="n"/>
      <c r="C538" s="2145" t="n"/>
      <c r="D538" s="2145" t="n"/>
      <c r="E538" s="53" t="n"/>
      <c r="F538" s="53" t="n"/>
      <c r="Q538" s="53" t="n"/>
      <c r="R538" s="53" t="n"/>
      <c r="S538" s="53" t="n"/>
    </row>
    <row r="539" customFormat="1" s="1916">
      <c r="A539" s="53" t="n"/>
      <c r="B539" s="53" t="n"/>
      <c r="C539" s="2145" t="n"/>
      <c r="D539" s="2145" t="n"/>
      <c r="E539" s="53" t="n"/>
      <c r="F539" s="53" t="n"/>
      <c r="Q539" s="53" t="n"/>
      <c r="R539" s="53" t="n"/>
      <c r="S539" s="53" t="n"/>
    </row>
    <row r="540" customFormat="1" s="1916">
      <c r="A540" s="53" t="n"/>
      <c r="B540" s="53" t="n"/>
      <c r="C540" s="2145" t="n"/>
      <c r="D540" s="2145" t="n"/>
      <c r="E540" s="2156" t="n"/>
      <c r="F540" s="53" t="n"/>
      <c r="Q540" s="53" t="n"/>
      <c r="R540" s="53" t="n"/>
      <c r="S540" s="53" t="n"/>
    </row>
    <row r="541" customFormat="1" s="1916">
      <c r="A541" s="53" t="n"/>
      <c r="B541" s="53" t="n"/>
      <c r="C541" s="2145" t="n"/>
      <c r="D541" s="2145" t="n"/>
      <c r="E541" s="53" t="n"/>
      <c r="F541" s="53" t="n"/>
      <c r="Q541" s="53" t="n"/>
      <c r="R541" s="53" t="n"/>
      <c r="S541" s="53" t="n"/>
    </row>
    <row r="542" customFormat="1" s="1916">
      <c r="A542" s="53" t="n"/>
      <c r="B542" s="53" t="n"/>
      <c r="C542" s="2145" t="n"/>
      <c r="D542" s="2145" t="n"/>
      <c r="E542" s="53" t="n"/>
      <c r="F542" s="53" t="n"/>
      <c r="Q542" s="53" t="n"/>
      <c r="R542" s="53" t="n"/>
      <c r="S542" s="53" t="n"/>
    </row>
    <row r="543" customFormat="1" s="1916">
      <c r="A543" s="53" t="n"/>
      <c r="B543" s="53" t="n"/>
      <c r="C543" s="2145" t="n"/>
      <c r="D543" s="2145" t="n"/>
      <c r="E543" s="53" t="n"/>
      <c r="F543" s="53" t="n"/>
    </row>
    <row r="544" customFormat="1" s="1916">
      <c r="A544" s="53" t="n"/>
      <c r="B544" s="53" t="n"/>
      <c r="C544" s="2145" t="n"/>
      <c r="D544" s="2145" t="n"/>
      <c r="E544" s="53" t="n"/>
      <c r="F544" s="53" t="n"/>
    </row>
    <row r="545" customFormat="1" s="1916">
      <c r="A545" s="103" t="n"/>
      <c r="B545" s="103" t="n"/>
      <c r="C545" s="2147" t="n"/>
      <c r="D545" s="2147" t="n"/>
      <c r="E545" s="53" t="n"/>
      <c r="F545" s="53" t="n"/>
    </row>
    <row r="546" customFormat="1" s="1916">
      <c r="A546" s="103" t="n"/>
      <c r="B546" s="105" t="n"/>
      <c r="C546" s="2147" t="n"/>
      <c r="D546" s="2147" t="n"/>
      <c r="E546" s="53" t="n"/>
      <c r="F546" s="53" t="n"/>
    </row>
    <row r="547" customFormat="1" s="1916">
      <c r="A547" s="103" t="n"/>
      <c r="B547" s="103" t="n"/>
      <c r="C547" s="2147" t="n"/>
      <c r="D547" s="2147" t="n"/>
      <c r="E547" s="53" t="n"/>
      <c r="F547" s="53" t="n"/>
    </row>
    <row r="548" customFormat="1" s="1916">
      <c r="A548" s="103" t="n"/>
      <c r="B548" s="105" t="n"/>
      <c r="C548" s="2147" t="n"/>
      <c r="D548" s="2147" t="n"/>
      <c r="E548" s="53" t="n"/>
      <c r="G548" s="53" t="n"/>
      <c r="H548" s="53" t="n"/>
      <c r="I548" s="53" t="n"/>
      <c r="J548" s="53" t="n"/>
      <c r="K548" s="53" t="n"/>
      <c r="L548" s="53" t="n"/>
    </row>
    <row r="549" customFormat="1" s="1916">
      <c r="A549" s="53" t="n"/>
      <c r="B549" s="53" t="n"/>
      <c r="C549" s="2145" t="n"/>
      <c r="D549" s="2145" t="n"/>
      <c r="E549" s="53" t="n"/>
      <c r="G549" s="53" t="n"/>
      <c r="H549" s="53" t="n"/>
      <c r="I549" s="53" t="n"/>
      <c r="J549" s="106" t="n"/>
      <c r="K549" s="106" t="n"/>
      <c r="L549" s="106" t="n"/>
    </row>
    <row r="550" customFormat="1" s="1916">
      <c r="A550" s="3" t="n"/>
      <c r="B550" s="2156" t="n"/>
      <c r="C550" s="3" t="n"/>
      <c r="D550" s="2156" t="n"/>
      <c r="E550" s="107" t="n"/>
      <c r="G550" s="53" t="n"/>
      <c r="H550" s="108" t="n"/>
      <c r="I550" s="53" t="n"/>
      <c r="J550" s="106" t="n"/>
      <c r="K550" s="106" t="n"/>
      <c r="L550" s="106" t="n"/>
    </row>
    <row r="551" customFormat="1" s="1916">
      <c r="A551" s="53" t="n"/>
      <c r="B551" s="53" t="n"/>
      <c r="C551" s="53" t="n"/>
      <c r="D551" s="53" t="n"/>
      <c r="E551" s="107" t="n"/>
      <c r="G551" s="53" t="n"/>
      <c r="H551" s="53" t="n"/>
      <c r="I551" s="53" t="n"/>
      <c r="J551" s="2145" t="n"/>
      <c r="K551" s="2145" t="n"/>
      <c r="L551" s="53" t="n"/>
    </row>
    <row r="552" customFormat="1" s="1916">
      <c r="A552" s="53" t="n"/>
      <c r="B552" s="53" t="n"/>
      <c r="C552" s="53" t="n"/>
      <c r="D552" s="106" t="n"/>
      <c r="E552" s="106" t="n"/>
      <c r="G552" s="53" t="n"/>
      <c r="H552" s="93" t="n"/>
      <c r="I552" s="2145" t="n"/>
      <c r="J552" s="2145" t="n"/>
      <c r="K552" s="2145" t="n"/>
      <c r="L552" s="106" t="n"/>
    </row>
    <row r="553" customFormat="1" s="1916">
      <c r="A553" s="53" t="n"/>
      <c r="B553" s="53" t="n"/>
      <c r="C553" s="53" t="n"/>
      <c r="D553" s="53" t="n"/>
      <c r="E553" s="53" t="n"/>
      <c r="G553" s="53" t="n"/>
      <c r="H553" s="93" t="n"/>
      <c r="I553" s="2145" t="n"/>
      <c r="J553" s="2145" t="n"/>
      <c r="K553" s="2145" t="n"/>
      <c r="L553" s="53" t="n"/>
    </row>
    <row r="554" customFormat="1" s="1916">
      <c r="A554" s="53" t="n"/>
      <c r="B554" s="53" t="n"/>
      <c r="C554" s="53" t="n"/>
      <c r="D554" s="106" t="n"/>
      <c r="E554" s="106" t="n"/>
      <c r="G554" s="53" t="n"/>
      <c r="H554" s="93" t="n"/>
      <c r="I554" s="2145" t="n"/>
      <c r="J554" s="2145" t="n"/>
      <c r="K554" s="2145" t="n"/>
      <c r="L554" s="106" t="n"/>
    </row>
    <row r="555" customFormat="1" s="1916">
      <c r="A555" s="53" t="n"/>
      <c r="B555" s="53" t="n"/>
      <c r="C555" s="53" t="n"/>
      <c r="D555" s="2157" t="n"/>
      <c r="E555" s="2157" t="n"/>
      <c r="F555" s="53" t="n"/>
      <c r="G555" s="103" t="n"/>
      <c r="H555" s="103" t="n"/>
      <c r="I555" s="2147" t="n"/>
      <c r="J555" s="2147" t="n"/>
      <c r="K555" s="2145" t="n"/>
      <c r="L555" s="106" t="n"/>
    </row>
    <row r="556" customFormat="1" s="1916">
      <c r="A556" s="53" t="n"/>
      <c r="B556" s="53" t="n"/>
      <c r="C556" s="2145" t="n"/>
      <c r="D556" s="2145" t="n"/>
      <c r="E556" s="2145" t="n"/>
      <c r="F556" s="53" t="n"/>
      <c r="G556" s="53" t="n"/>
      <c r="H556" s="53" t="n"/>
    </row>
    <row r="557" customFormat="1" s="1916">
      <c r="A557" s="53" t="n"/>
      <c r="B557" s="53" t="n"/>
      <c r="C557" s="53" t="n"/>
      <c r="D557" s="2145" t="n"/>
      <c r="E557" s="53" t="n"/>
      <c r="F557" s="53" t="n"/>
      <c r="G557" s="110" t="n"/>
      <c r="H557" s="53" t="n"/>
      <c r="I557" s="53" t="n"/>
      <c r="J557" s="2145" t="n"/>
      <c r="K557" s="2145" t="n"/>
    </row>
    <row r="558" customFormat="1" s="1916">
      <c r="A558" s="53" t="n"/>
      <c r="B558" s="93" t="n"/>
      <c r="C558" s="2145" t="n"/>
      <c r="D558" s="2145" t="n"/>
      <c r="E558" s="53" t="n"/>
      <c r="F558" s="53" t="n"/>
      <c r="G558" s="2156" t="n"/>
      <c r="H558" s="93" t="n"/>
      <c r="I558" s="2145" t="n"/>
      <c r="J558" s="2145" t="n"/>
      <c r="K558" s="2145" t="n"/>
    </row>
    <row r="559" customFormat="1" s="1916">
      <c r="A559" s="53" t="n"/>
      <c r="B559" s="93" t="n"/>
      <c r="C559" s="2145" t="n"/>
      <c r="D559" s="2145" t="n"/>
      <c r="E559" s="53" t="n"/>
      <c r="F559" s="53" t="n"/>
      <c r="G559" s="53" t="n"/>
      <c r="H559" s="93" t="n"/>
      <c r="I559" s="2145" t="n"/>
      <c r="J559" s="2145" t="n"/>
      <c r="K559" s="2145" t="n"/>
    </row>
    <row r="560" customFormat="1" s="1916">
      <c r="A560" s="53" t="n"/>
      <c r="B560" s="93" t="n"/>
      <c r="C560" s="2145" t="n"/>
      <c r="D560" s="2145" t="n"/>
      <c r="E560" s="53" t="n"/>
      <c r="F560" s="53" t="n"/>
      <c r="G560" s="53" t="n"/>
      <c r="H560" s="93" t="n"/>
      <c r="I560" s="2145" t="n"/>
      <c r="J560" s="2145" t="n"/>
      <c r="K560" s="2145" t="n"/>
    </row>
    <row r="561" customFormat="1" s="1916">
      <c r="A561" s="53" t="n"/>
      <c r="B561" s="93" t="n"/>
      <c r="C561" s="2145" t="n"/>
      <c r="D561" s="2145" t="n"/>
      <c r="E561" s="111" t="n"/>
      <c r="F561" s="53" t="n"/>
      <c r="G561" s="53" t="n"/>
      <c r="H561" s="93" t="n"/>
      <c r="I561" s="2145" t="n"/>
      <c r="J561" s="2145" t="n"/>
      <c r="K561" s="2145" t="n"/>
    </row>
    <row r="562" customFormat="1" s="1916">
      <c r="A562" s="53" t="n"/>
      <c r="B562" s="93" t="n"/>
      <c r="C562" s="2145" t="n"/>
      <c r="D562" s="2145" t="n"/>
      <c r="E562" s="111" t="n"/>
      <c r="F562" s="53" t="n"/>
      <c r="G562" s="53" t="n"/>
      <c r="H562" s="93" t="n"/>
      <c r="I562" s="2145" t="n"/>
      <c r="J562" s="2145" t="n"/>
      <c r="K562" s="2145" t="n"/>
    </row>
    <row r="563" customFormat="1" s="1916">
      <c r="A563" s="53" t="n"/>
      <c r="B563" s="93" t="n"/>
      <c r="C563" s="2145" t="n"/>
      <c r="D563" s="2145" t="n"/>
      <c r="E563" s="53" t="n"/>
      <c r="F563" s="53" t="n"/>
      <c r="G563" s="53" t="n"/>
      <c r="H563" s="93" t="n"/>
      <c r="I563" s="2145" t="n"/>
      <c r="J563" s="2145" t="n"/>
      <c r="K563" s="2145" t="n"/>
    </row>
    <row r="564" customFormat="1" s="1916">
      <c r="A564" s="53" t="n"/>
      <c r="B564" s="93" t="n"/>
      <c r="C564" s="2145" t="n"/>
      <c r="D564" s="2145" t="n"/>
      <c r="E564" s="53" t="n"/>
      <c r="F564" s="53" t="n"/>
      <c r="G564" s="53" t="n"/>
      <c r="H564" s="93" t="n"/>
      <c r="I564" s="2145" t="n"/>
      <c r="J564" s="2145" t="n"/>
      <c r="K564" s="2145" t="n"/>
    </row>
    <row r="565" customFormat="1" s="1916">
      <c r="A565" s="103" t="n"/>
      <c r="B565" s="103" t="n"/>
      <c r="C565" s="2147" t="n"/>
      <c r="D565" s="2147" t="n"/>
      <c r="E565" s="53" t="n"/>
      <c r="F565" s="53" t="n"/>
      <c r="G565" s="103" t="n"/>
      <c r="H565" s="103" t="n"/>
      <c r="I565" s="2147" t="n"/>
      <c r="J565" s="2147" t="n"/>
      <c r="K565" s="2147" t="n"/>
    </row>
    <row r="566" customFormat="1" s="1916">
      <c r="A566" s="53" t="n"/>
      <c r="B566" s="53" t="n"/>
      <c r="C566" s="2145" t="n"/>
      <c r="D566" s="2145" t="n"/>
      <c r="E566" s="53" t="n"/>
      <c r="F566" s="53" t="n"/>
    </row>
    <row r="567" customFormat="1" s="1916">
      <c r="A567" s="53" t="n"/>
      <c r="B567" s="53" t="n"/>
      <c r="C567" s="2145" t="n"/>
      <c r="D567" s="2147" t="n"/>
      <c r="E567" s="53" t="n"/>
      <c r="F567" s="53" t="n"/>
    </row>
    <row r="568" customFormat="1" s="1916">
      <c r="A568" s="53" t="n"/>
      <c r="B568" s="53" t="n"/>
      <c r="C568" s="2145" t="n"/>
      <c r="D568" s="2145" t="n"/>
      <c r="E568" s="53" t="n"/>
      <c r="F568" s="53" t="n"/>
    </row>
    <row r="569" customFormat="1" s="1916">
      <c r="A569" s="53" t="n"/>
      <c r="B569" s="53" t="n"/>
      <c r="C569" s="2145" t="n"/>
      <c r="D569" s="2145" t="n"/>
      <c r="E569" s="53" t="n"/>
      <c r="F569" s="53" t="n"/>
    </row>
    <row r="570" customFormat="1" s="1916">
      <c r="A570" s="53" t="n"/>
      <c r="B570" s="112" t="n"/>
      <c r="C570" s="2145" t="n"/>
      <c r="D570" s="2145" t="n"/>
      <c r="E570" s="53" t="n"/>
      <c r="F570" s="53" t="n"/>
    </row>
    <row r="571" customFormat="1" s="1916">
      <c r="A571" s="53" t="n"/>
      <c r="B571" s="112" t="n"/>
      <c r="C571" s="2145" t="n"/>
      <c r="D571" s="2145" t="n"/>
      <c r="E571" s="53" t="n"/>
      <c r="F571" s="53" t="n"/>
    </row>
    <row r="572" customFormat="1" s="1916">
      <c r="A572" s="53" t="n"/>
      <c r="B572" s="113" t="n"/>
      <c r="C572" s="2145" t="n"/>
      <c r="D572" s="2145" t="n"/>
      <c r="E572" s="53" t="n"/>
      <c r="F572" s="53" t="n"/>
    </row>
    <row r="573" customFormat="1" s="1916">
      <c r="A573" s="53" t="n"/>
      <c r="B573" s="113" t="n"/>
      <c r="C573" s="2145" t="n"/>
      <c r="D573" s="2145" t="n"/>
      <c r="E573" s="53" t="n"/>
      <c r="F573" s="53" t="n"/>
    </row>
    <row r="574" customFormat="1" s="1916">
      <c r="A574" s="53" t="n"/>
      <c r="B574" s="113" t="n"/>
      <c r="C574" s="2145" t="n"/>
      <c r="D574" s="2145" t="n"/>
      <c r="E574" s="53" t="n"/>
      <c r="F574" s="53" t="n"/>
    </row>
    <row r="575" customFormat="1" s="1916">
      <c r="A575" s="53" t="n"/>
      <c r="B575" s="113" t="n"/>
      <c r="C575" s="2145" t="n"/>
      <c r="D575" s="2145" t="n"/>
      <c r="E575" s="53" t="n"/>
      <c r="F575" s="53" t="n"/>
    </row>
    <row r="576" customFormat="1" s="1916">
      <c r="A576" s="53" t="n"/>
      <c r="B576" s="112" t="n"/>
      <c r="C576" s="2145" t="n"/>
      <c r="D576" s="2145" t="n"/>
      <c r="E576" s="53" t="n"/>
      <c r="F576" s="53" t="n"/>
    </row>
    <row r="577" customFormat="1" s="1916">
      <c r="A577" s="53" t="n"/>
      <c r="B577" s="112" t="n"/>
      <c r="C577" s="2145" t="n"/>
      <c r="D577" s="2145" t="n"/>
      <c r="E577" s="53" t="n"/>
      <c r="F577" s="53" t="n"/>
    </row>
    <row r="578" customFormat="1" s="1916">
      <c r="A578" s="53" t="n"/>
      <c r="B578" s="112" t="n"/>
      <c r="C578" s="2145" t="n"/>
      <c r="D578" s="2149" t="n"/>
      <c r="E578" s="53" t="n"/>
      <c r="F578" s="53" t="n"/>
      <c r="N578" s="53" t="n"/>
    </row>
    <row r="579" customFormat="1" s="1916">
      <c r="A579" s="53" t="n"/>
      <c r="B579" s="113" t="n"/>
      <c r="C579" s="2145" t="n"/>
      <c r="D579" s="2145" t="n"/>
      <c r="E579" s="53" t="n"/>
      <c r="F579" s="53" t="n"/>
      <c r="G579" s="53" t="n"/>
      <c r="I579" s="2154" t="n"/>
      <c r="N579" s="53" t="n"/>
    </row>
    <row r="580" customFormat="1" s="1916">
      <c r="A580" s="53" t="n"/>
      <c r="B580" s="53" t="n"/>
      <c r="C580" s="2145" t="n"/>
      <c r="D580" s="2145" t="n"/>
      <c r="E580" s="2145" t="n"/>
      <c r="F580" s="2145" t="n"/>
      <c r="N580" s="53" t="n"/>
    </row>
    <row r="581" customFormat="1" s="1916">
      <c r="A581" s="53" t="n"/>
      <c r="B581" s="53" t="n"/>
      <c r="C581" s="2145" t="n"/>
      <c r="D581" s="2145" t="n"/>
      <c r="F581" s="108" t="n"/>
      <c r="N581" s="53" t="n"/>
    </row>
    <row r="582" customFormat="1" s="1916">
      <c r="D582" s="2145" t="n"/>
    </row>
    <row r="583" customFormat="1" s="1916"/>
    <row r="584" customFormat="1" s="1916"/>
    <row r="585" customFormat="1" s="1916"/>
    <row r="586" customFormat="1" s="1916"/>
    <row r="587" customFormat="1" s="1916"/>
    <row r="588" customFormat="1" s="1916"/>
    <row r="589" customFormat="1" s="1916"/>
    <row r="590">
      <c r="Q590" s="1916" t="n"/>
      <c r="R590" s="1916" t="n"/>
      <c r="S590" s="1916" t="n"/>
      <c r="T590" s="191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2">
    <mergeCell ref="A92:N92"/>
    <mergeCell ref="Q36:R36"/>
  </mergeCells>
  <conditionalFormatting sqref="A78:B78 D78">
    <cfRule type="expression" priority="2" dxfId="4">
      <formula>$D$6="yes"</formula>
    </cfRule>
  </conditionalFormatting>
  <conditionalFormatting sqref="D5">
    <cfRule type="cellIs" priority="4" operator="equal" dxfId="2">
      <formula>"Yes"</formula>
    </cfRule>
  </conditionalFormatting>
  <conditionalFormatting sqref="D6">
    <cfRule type="containsText" priority="77" operator="containsText" dxfId="10" text="Yes">
      <formula>NOT(ISERROR(SEARCH("Yes",D6)))</formula>
    </cfRule>
  </conditionalFormatting>
  <conditionalFormatting sqref="E42">
    <cfRule type="containsText" priority="5" operator="containsText" dxfId="2" text="10 hour days">
      <formula>NOT(ISERROR(SEARCH("10 hour days",E42)))</formula>
    </cfRule>
    <cfRule type="containsText" priority="6" operator="containsText" dxfId="4" text="8 hour days">
      <formula>NOT(ISERROR(SEARCH("8 hour days",E42)))</formula>
    </cfRule>
  </conditionalFormatting>
  <conditionalFormatting sqref="E43">
    <cfRule type="cellIs" priority="3" operator="equal" dxfId="9" stopIfTrue="1">
      <formula>"PW"</formula>
    </cfRule>
  </conditionalFormatting>
  <conditionalFormatting sqref="F42">
    <cfRule type="cellIs" priority="113" operator="greaterThan" dxfId="2">
      <formula>0.25</formula>
    </cfRule>
    <cfRule type="cellIs" priority="114" operator="lessThan" dxfId="1">
      <formula>0.15</formula>
    </cfRule>
  </conditionalFormatting>
  <conditionalFormatting sqref="F86">
    <cfRule type="containsText" priority="1" operator="containsText" dxfId="2" text="owner">
      <formula>NOT(ISERROR(SEARCH("owner",F86)))</formula>
    </cfRule>
  </conditionalFormatting>
  <conditionalFormatting sqref="G38:H38">
    <cfRule type="cellIs" priority="14" operator="notEqual" dxfId="0">
      <formula>FALSE</formula>
    </cfRule>
  </conditionalFormatting>
  <hyperlinks>
    <hyperlink xmlns:r="http://schemas.openxmlformats.org/officeDocument/2006/relationships" ref="A78" display="Kansas Remodel Tax" r:id="rId1"/>
  </hyperlinks>
  <pageMargins left="0.75" right="0.75" top="0.5" bottom="0.25" header="0.5" footer="0.5"/>
  <pageSetup orientation="portrait" scale="61" horizontalDpi="4294967292" verticalDpi="4294967292"/>
  <colBreaks count="1" manualBreakCount="1">
    <brk id="6" min="0" max="1048575" man="1"/>
  </colBreaks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928"/>
  <sheetViews>
    <sheetView topLeftCell="A112" zoomScaleNormal="100" workbookViewId="0">
      <selection activeCell="A147" sqref="A147"/>
    </sheetView>
  </sheetViews>
  <sheetFormatPr baseColWidth="8" defaultColWidth="11.19921875" defaultRowHeight="15.6"/>
  <cols>
    <col width="2.69921875" customWidth="1" min="1" max="1"/>
    <col width="19.796875" customWidth="1" min="2" max="2"/>
    <col width="10.796875" customWidth="1" min="3" max="3"/>
    <col width="11.796875" customWidth="1" min="4" max="5"/>
    <col width="19.296875" customWidth="1" min="7" max="7"/>
    <col width="10" customWidth="1" min="8" max="8"/>
    <col width="19.796875" customWidth="1" min="9" max="9"/>
    <col width="10.796875" customWidth="1" min="10" max="10"/>
    <col width="11.796875" customWidth="1" min="11" max="12"/>
    <col width="11.5" customWidth="1" min="13" max="13"/>
    <col width="19.296875" customWidth="1" min="14" max="14"/>
    <col width="19.796875" customWidth="1" min="16" max="16"/>
    <col width="10.796875" customWidth="1" min="17" max="17"/>
    <col width="11.796875" customWidth="1" min="18" max="19"/>
    <col width="11.296875" customWidth="1" min="20" max="20"/>
    <col width="19.69921875" customWidth="1" min="21" max="21"/>
    <col width="19.796875" customWidth="1" min="23" max="23"/>
    <col width="11.796875" customWidth="1" min="25" max="26"/>
    <col width="11.296875" customWidth="1" min="27" max="27"/>
    <col width="19.296875" customWidth="1" min="28" max="28"/>
    <col width="20.5" bestFit="1" customWidth="1" min="30" max="30"/>
    <col width="11.5" customWidth="1" min="33" max="33"/>
    <col width="11.19921875" customWidth="1" min="34" max="34"/>
    <col width="17.19921875" bestFit="1" customWidth="1" min="35" max="35"/>
    <col width="20.5" bestFit="1" customWidth="1" min="37" max="37"/>
    <col width="17.19921875" bestFit="1" customWidth="1" min="42" max="42"/>
  </cols>
  <sheetData>
    <row r="1">
      <c r="A1" s="543" t="n"/>
    </row>
    <row r="2">
      <c r="B2" s="2374" t="inlineStr">
        <is>
          <t>Altenate  - Ram Board 5,000 sf</t>
        </is>
      </c>
      <c r="C2" s="2350" t="n"/>
      <c r="D2" s="2350" t="n"/>
      <c r="E2" s="237" t="n"/>
      <c r="F2" s="2375">
        <f>D47</f>
        <v/>
      </c>
      <c r="G2" s="263" t="inlineStr">
        <is>
          <t>$/sf</t>
        </is>
      </c>
      <c r="I2" s="2374" t="inlineStr">
        <is>
          <t>Altenate  - Ram Board 1,000 sf</t>
        </is>
      </c>
      <c r="J2" s="2350" t="n"/>
      <c r="K2" s="2350" t="n"/>
      <c r="L2" s="237" t="n"/>
      <c r="M2" s="2375">
        <f>K47</f>
        <v/>
      </c>
      <c r="N2" s="263" t="inlineStr">
        <is>
          <t>$/sf</t>
        </is>
      </c>
      <c r="P2" s="23" t="n">
        <v>1000</v>
      </c>
      <c r="Q2" s="2376">
        <f>M13</f>
        <v/>
      </c>
      <c r="R2" s="1511" t="inlineStr">
        <is>
          <t>Material Sliding Scale</t>
        </is>
      </c>
      <c r="S2" s="1512" t="n"/>
    </row>
    <row r="3">
      <c r="B3" s="25" t="inlineStr">
        <is>
          <t>MATERIAL - Patch</t>
        </is>
      </c>
      <c r="C3" s="90" t="inlineStr">
        <is>
          <t>Quantity</t>
        </is>
      </c>
      <c r="D3" s="90" t="inlineStr">
        <is>
          <t>Cost</t>
        </is>
      </c>
      <c r="E3" s="91" t="inlineStr">
        <is>
          <t>Total</t>
        </is>
      </c>
      <c r="F3" s="23" t="n"/>
      <c r="G3" s="89" t="n"/>
      <c r="H3" s="264" t="n"/>
      <c r="I3" s="25" t="inlineStr">
        <is>
          <t>MATERIAL - Patch</t>
        </is>
      </c>
      <c r="J3" s="90" t="inlineStr">
        <is>
          <t>Quantity</t>
        </is>
      </c>
      <c r="K3" s="90" t="inlineStr">
        <is>
          <t>Cost</t>
        </is>
      </c>
      <c r="L3" s="91" t="inlineStr">
        <is>
          <t>Total</t>
        </is>
      </c>
      <c r="M3" s="23" t="n"/>
      <c r="N3" s="89" t="n"/>
      <c r="P3" t="n">
        <v>1250</v>
      </c>
      <c r="Q3" s="2293">
        <f>((Q2-Q4)/2)+Q4</f>
        <v/>
      </c>
    </row>
    <row r="4">
      <c r="B4" s="44" t="n"/>
      <c r="C4" s="2377" t="n"/>
      <c r="D4" s="2312" t="n"/>
      <c r="E4" s="2308">
        <f>C4*D4</f>
        <v/>
      </c>
      <c r="F4" s="1" t="n"/>
      <c r="G4" s="1" t="n"/>
      <c r="H4" s="1" t="n"/>
      <c r="I4" s="44" t="n"/>
      <c r="J4" s="2377" t="n"/>
      <c r="K4" s="2312" t="n"/>
      <c r="L4" s="2308">
        <f>J4*K4</f>
        <v/>
      </c>
      <c r="M4" s="1" t="n"/>
      <c r="N4" s="1" t="n"/>
      <c r="P4" t="n">
        <v>1500</v>
      </c>
      <c r="Q4" s="2378">
        <f>((Q2-Q6)/2)+Q6</f>
        <v/>
      </c>
    </row>
    <row r="5">
      <c r="B5" s="44" t="n"/>
      <c r="C5" s="2377" t="n"/>
      <c r="D5" s="2312" t="n"/>
      <c r="E5" s="2308">
        <f>C5*D5</f>
        <v/>
      </c>
      <c r="F5" s="1" t="n"/>
      <c r="G5" s="1" t="n"/>
      <c r="H5" s="1" t="n"/>
      <c r="I5" s="44" t="n"/>
      <c r="J5" s="2377" t="n"/>
      <c r="K5" s="2312" t="n"/>
      <c r="L5" s="2308">
        <f>J5*K5</f>
        <v/>
      </c>
      <c r="M5" s="1" t="n"/>
      <c r="N5" s="1" t="n"/>
      <c r="P5" t="n">
        <v>1750</v>
      </c>
      <c r="Q5" s="2293">
        <f>((Q4-Q6)/2)+Q6</f>
        <v/>
      </c>
    </row>
    <row r="6">
      <c r="B6" s="25" t="inlineStr">
        <is>
          <t>MATERIAL - Floor</t>
        </is>
      </c>
      <c r="C6" s="2379" t="n"/>
      <c r="D6" s="23" t="n"/>
      <c r="E6" s="29" t="n"/>
      <c r="F6" s="2380" t="n">
        <v>5000</v>
      </c>
      <c r="G6" s="82" t="inlineStr">
        <is>
          <t>SF</t>
        </is>
      </c>
      <c r="H6" s="1" t="n"/>
      <c r="I6" s="25" t="inlineStr">
        <is>
          <t>MATERIAL - Floor</t>
        </is>
      </c>
      <c r="J6" s="2379" t="n"/>
      <c r="K6" s="23" t="n"/>
      <c r="L6" s="29" t="n"/>
      <c r="M6" s="2380" t="n">
        <v>1000</v>
      </c>
      <c r="N6" s="82" t="inlineStr">
        <is>
          <t>SF</t>
        </is>
      </c>
      <c r="P6" s="24" t="n">
        <v>2000</v>
      </c>
      <c r="Q6" s="2378">
        <f>((Q2-Q10)/2)+Q10</f>
        <v/>
      </c>
      <c r="R6" s="51">
        <f>MEDIAN(P2:P10)</f>
        <v/>
      </c>
    </row>
    <row r="7">
      <c r="B7" s="47" t="inlineStr">
        <is>
          <t>Ram Board</t>
        </is>
      </c>
      <c r="C7" s="2377">
        <f>F6</f>
        <v/>
      </c>
      <c r="D7" s="2282" t="n">
        <v>0.18</v>
      </c>
      <c r="E7" s="2038">
        <f>C7*D7</f>
        <v/>
      </c>
      <c r="F7" s="1" t="n"/>
      <c r="G7" s="1" t="n"/>
      <c r="H7" s="1" t="n"/>
      <c r="I7" s="47" t="inlineStr">
        <is>
          <t>Ram Board</t>
        </is>
      </c>
      <c r="J7" s="2377">
        <f>M6</f>
        <v/>
      </c>
      <c r="K7" s="2282" t="n">
        <v>0.25</v>
      </c>
      <c r="L7" s="2038">
        <f>J7*K7</f>
        <v/>
      </c>
      <c r="M7" s="1" t="n"/>
      <c r="N7" s="1" t="n"/>
      <c r="P7" s="1" t="n">
        <v>2250</v>
      </c>
      <c r="Q7" s="2293">
        <f>((Q6-Q8)/2)+Q8</f>
        <v/>
      </c>
    </row>
    <row r="8">
      <c r="B8" s="47" t="n"/>
      <c r="C8" s="2377" t="n"/>
      <c r="D8" s="2282" t="n"/>
      <c r="E8" s="2038">
        <f>C8*D8</f>
        <v/>
      </c>
      <c r="F8" s="1" t="n"/>
      <c r="G8" s="1" t="n"/>
      <c r="H8" s="1" t="n"/>
      <c r="I8" s="47" t="n"/>
      <c r="J8" s="2377" t="n"/>
      <c r="K8" s="2282" t="n"/>
      <c r="L8" s="2038">
        <f>J8*K8</f>
        <v/>
      </c>
      <c r="M8" s="1" t="n"/>
      <c r="N8" s="1" t="n"/>
      <c r="P8" t="n">
        <v>2500</v>
      </c>
      <c r="Q8" s="2378">
        <f>((Q6-Q10)/2)+Q10</f>
        <v/>
      </c>
    </row>
    <row r="9">
      <c r="B9" s="48" t="n"/>
      <c r="C9" s="2381" t="n"/>
      <c r="D9" s="2332" t="n"/>
      <c r="E9" s="2333">
        <f>C9*D9</f>
        <v/>
      </c>
      <c r="F9" s="1" t="n"/>
      <c r="G9" s="1" t="n"/>
      <c r="H9" s="1" t="n"/>
      <c r="I9" s="48" t="n"/>
      <c r="J9" s="2381" t="n"/>
      <c r="K9" s="2332" t="n"/>
      <c r="L9" s="2333">
        <f>J9*K9</f>
        <v/>
      </c>
      <c r="M9" s="1" t="n"/>
      <c r="N9" s="1" t="n"/>
      <c r="P9" t="n">
        <v>2750</v>
      </c>
      <c r="Q9" s="2293">
        <f>((Q8-Q10)/2)+Q10</f>
        <v/>
      </c>
    </row>
    <row r="10">
      <c r="B10" s="17" t="inlineStr">
        <is>
          <t>Material Sub Total</t>
        </is>
      </c>
      <c r="C10" s="35" t="n"/>
      <c r="D10" s="2382" t="n"/>
      <c r="E10" s="2335">
        <f>ROUNDUP(SUM(E4:E9),0)</f>
        <v/>
      </c>
      <c r="F10" s="1" t="n"/>
      <c r="G10" s="1" t="n"/>
      <c r="H10" s="1" t="n"/>
      <c r="I10" s="17" t="inlineStr">
        <is>
          <t>Material Sub Total</t>
        </is>
      </c>
      <c r="J10" s="35" t="n"/>
      <c r="K10" s="2382" t="n"/>
      <c r="L10" s="2335">
        <f>ROUNDUP(SUM(L4:L9),0)</f>
        <v/>
      </c>
      <c r="M10" s="1" t="n"/>
      <c r="N10" s="1" t="n"/>
      <c r="P10" s="24" t="n">
        <v>3000</v>
      </c>
      <c r="Q10" s="2378">
        <f>((Q2-Q18)/2)+Q18</f>
        <v/>
      </c>
      <c r="R10" s="51">
        <f>MEDIAN(P2:P18)</f>
        <v/>
      </c>
    </row>
    <row r="11">
      <c r="B11" s="20" t="inlineStr">
        <is>
          <t>Discount</t>
        </is>
      </c>
      <c r="C11" s="270" t="n">
        <v>0</v>
      </c>
      <c r="D11" s="2283" t="n"/>
      <c r="E11" s="2383">
        <f>ROUNDUP(SUM(E7)*C11,0)</f>
        <v/>
      </c>
      <c r="F11" s="1" t="n"/>
      <c r="G11" s="1773" t="inlineStr">
        <is>
          <t>SW 2026 = + 7%</t>
        </is>
      </c>
      <c r="H11" s="1" t="n"/>
      <c r="I11" s="20" t="inlineStr">
        <is>
          <t>Discount</t>
        </is>
      </c>
      <c r="J11" s="270" t="n">
        <v>0</v>
      </c>
      <c r="K11" s="2283" t="n"/>
      <c r="L11" s="2383">
        <f>ROUNDUP(SUM(L7)*J11,0)</f>
        <v/>
      </c>
      <c r="M11" s="1" t="n"/>
      <c r="N11" s="1" t="n"/>
      <c r="P11" t="n">
        <v>3250</v>
      </c>
      <c r="Q11" s="2293">
        <f>((Q10-Q12)/2)+Q12</f>
        <v/>
      </c>
    </row>
    <row r="12">
      <c r="B12" s="457" t="inlineStr">
        <is>
          <t>Shipping + Mat. Esc.</t>
        </is>
      </c>
      <c r="C12" s="455">
        <f>3%+7%</f>
        <v/>
      </c>
      <c r="D12" s="2384" t="n"/>
      <c r="E12" s="2338">
        <f>ROUNDUP(E10*C12,0)</f>
        <v/>
      </c>
      <c r="F12" s="456" t="inlineStr">
        <is>
          <t>+3% + 7% material esc.</t>
        </is>
      </c>
      <c r="G12" s="389" t="n"/>
      <c r="I12" s="446" t="inlineStr">
        <is>
          <t>Shipping + Mat. Esc.</t>
        </is>
      </c>
      <c r="J12" s="40">
        <f>$C$12</f>
        <v/>
      </c>
      <c r="K12" s="2384" t="n"/>
      <c r="L12" s="2338">
        <f>ROUNDUP(L10*J12,0)</f>
        <v/>
      </c>
      <c r="M12" s="454">
        <f>$F$12</f>
        <v/>
      </c>
      <c r="P12" s="1" t="n">
        <v>3500</v>
      </c>
      <c r="Q12" s="2378">
        <f>((Q10-Q14)/2)+Q14</f>
        <v/>
      </c>
    </row>
    <row r="13">
      <c r="B13" s="10" t="inlineStr">
        <is>
          <t>Material Total</t>
        </is>
      </c>
      <c r="C13" s="36" t="n"/>
      <c r="D13" s="2339" t="n"/>
      <c r="E13" s="2339">
        <f>SUM(E10:E12)</f>
        <v/>
      </c>
      <c r="F13" s="123">
        <f>E13/F6</f>
        <v/>
      </c>
      <c r="G13" s="124" t="inlineStr">
        <is>
          <t>Material $/SF</t>
        </is>
      </c>
      <c r="H13" s="1" t="n"/>
      <c r="I13" s="10" t="inlineStr">
        <is>
          <t>Material Total</t>
        </is>
      </c>
      <c r="J13" s="36" t="n"/>
      <c r="K13" s="2339" t="n"/>
      <c r="L13" s="2339">
        <f>SUM(L10:L12)</f>
        <v/>
      </c>
      <c r="M13" s="123">
        <f>L13/M6</f>
        <v/>
      </c>
      <c r="N13" s="124" t="inlineStr">
        <is>
          <t>Material $/SF</t>
        </is>
      </c>
      <c r="P13" t="n">
        <v>3750</v>
      </c>
      <c r="Q13" s="2293">
        <f>((Q12-Q14)/2)+Q14</f>
        <v/>
      </c>
    </row>
    <row r="14">
      <c r="B14" s="1" t="n"/>
      <c r="C14" s="1892" t="n"/>
      <c r="D14" s="2282" t="n"/>
      <c r="E14" s="2282" t="n"/>
      <c r="F14" s="1" t="n"/>
      <c r="I14" s="1" t="n"/>
      <c r="J14" s="1892" t="n"/>
      <c r="K14" s="2282" t="n"/>
      <c r="L14" s="2282" t="n"/>
      <c r="M14" s="1" t="n"/>
      <c r="P14" s="24" t="n">
        <v>4000</v>
      </c>
      <c r="Q14" s="2378">
        <f>((Q10-Q18)/2)+Q18</f>
        <v/>
      </c>
      <c r="R14" s="51">
        <f>MEDIAN(P10:P18)</f>
        <v/>
      </c>
    </row>
    <row r="15">
      <c r="B15" s="75" t="inlineStr">
        <is>
          <t>Square Footage:</t>
        </is>
      </c>
      <c r="C15" s="2385">
        <f>F6</f>
        <v/>
      </c>
      <c r="D15" s="75" t="inlineStr">
        <is>
          <t>Linear Footage:</t>
        </is>
      </c>
      <c r="E15" s="2386" t="n">
        <v>0</v>
      </c>
      <c r="F15" s="1" t="n"/>
      <c r="G15" s="273">
        <f>E15/C15</f>
        <v/>
      </c>
      <c r="I15" s="75" t="inlineStr">
        <is>
          <t>Square Footage:</t>
        </is>
      </c>
      <c r="J15" s="2385">
        <f>M6</f>
        <v/>
      </c>
      <c r="K15" s="75" t="inlineStr">
        <is>
          <t>Linear Footage:</t>
        </is>
      </c>
      <c r="L15" s="2386" t="n">
        <v>0</v>
      </c>
      <c r="M15" s="1" t="n"/>
      <c r="N15" s="273">
        <f>L15/J15</f>
        <v/>
      </c>
      <c r="P15" t="n">
        <v>4250</v>
      </c>
      <c r="Q15" s="2293">
        <f>((Q14-Q16)/2)+Q16</f>
        <v/>
      </c>
    </row>
    <row r="16">
      <c r="B16" s="85" t="inlineStr">
        <is>
          <t>Labor:              Guys</t>
        </is>
      </c>
      <c r="C16" s="68" t="inlineStr">
        <is>
          <t>Days</t>
        </is>
      </c>
      <c r="D16" s="68" t="inlineStr">
        <is>
          <t>Rate (PW?)</t>
        </is>
      </c>
      <c r="E16" s="87" t="inlineStr">
        <is>
          <t>Totals</t>
        </is>
      </c>
      <c r="F16" s="76" t="inlineStr">
        <is>
          <t>8hour days</t>
        </is>
      </c>
      <c r="G16" s="156" t="inlineStr">
        <is>
          <t>Estimated SF/MH</t>
        </is>
      </c>
      <c r="H16" s="274" t="n"/>
      <c r="I16" s="85" t="inlineStr">
        <is>
          <t>Labor:              Guys</t>
        </is>
      </c>
      <c r="J16" s="68" t="inlineStr">
        <is>
          <t>Days</t>
        </is>
      </c>
      <c r="K16" s="68" t="inlineStr">
        <is>
          <t>Rate (PW?)</t>
        </is>
      </c>
      <c r="L16" s="87" t="inlineStr">
        <is>
          <t>Totals</t>
        </is>
      </c>
      <c r="M16" s="76" t="inlineStr">
        <is>
          <t>8hour days</t>
        </is>
      </c>
      <c r="N16" s="156" t="inlineStr">
        <is>
          <t>Estimated SF/MH</t>
        </is>
      </c>
      <c r="P16" t="n">
        <v>4500</v>
      </c>
      <c r="Q16" s="2378">
        <f>((Q14-Q18)/2)+Q18</f>
        <v/>
      </c>
    </row>
    <row r="17">
      <c r="B17" s="69" t="n">
        <v>4</v>
      </c>
      <c r="C17" s="1" t="n">
        <v>1</v>
      </c>
      <c r="D17" s="2387" t="n">
        <v>33.5</v>
      </c>
      <c r="E17" s="70">
        <f>B17*C17*D17*8</f>
        <v/>
      </c>
      <c r="F17" s="396" t="inlineStr">
        <is>
          <t>Wage Rate?</t>
        </is>
      </c>
      <c r="G17" s="157">
        <f>F6/(E17/D17)</f>
        <v/>
      </c>
      <c r="H17" s="154" t="n"/>
      <c r="I17" s="69" t="n">
        <v>2</v>
      </c>
      <c r="J17" s="1" t="n">
        <v>1</v>
      </c>
      <c r="K17" s="2388">
        <f>$D$17</f>
        <v/>
      </c>
      <c r="L17" s="70">
        <f>I17*J17*K17*8</f>
        <v/>
      </c>
      <c r="M17" s="76" t="n"/>
      <c r="N17" s="157">
        <f>M6/(L17/K17)</f>
        <v/>
      </c>
      <c r="P17" s="1" t="n">
        <v>4750</v>
      </c>
      <c r="Q17" s="2293">
        <f>((Q16-Q18)/2)+Q18</f>
        <v/>
      </c>
    </row>
    <row r="18">
      <c r="B18" s="69" t="n"/>
      <c r="C18" s="1" t="n"/>
      <c r="D18" s="2388">
        <f>D17</f>
        <v/>
      </c>
      <c r="E18" s="70">
        <f>B18*C18*D18*8</f>
        <v/>
      </c>
      <c r="F18" s="76" t="n"/>
      <c r="G18" s="275">
        <f>F8/(E18/D18)</f>
        <v/>
      </c>
      <c r="H18" s="154" t="n"/>
      <c r="I18" s="69" t="n"/>
      <c r="J18" s="1" t="n"/>
      <c r="K18" s="2388">
        <f>$D$17</f>
        <v/>
      </c>
      <c r="L18" s="70">
        <f>I18*J18*K18*8</f>
        <v/>
      </c>
      <c r="M18" s="76" t="n"/>
      <c r="N18" s="275">
        <f>M8/(L18/K18)</f>
        <v/>
      </c>
      <c r="P18" s="24" t="n">
        <v>5000</v>
      </c>
      <c r="Q18" s="2376">
        <f>F13</f>
        <v/>
      </c>
    </row>
    <row r="19">
      <c r="B19" s="86" t="inlineStr">
        <is>
          <t>Travel:             Guys</t>
        </is>
      </c>
      <c r="C19" s="67" t="inlineStr">
        <is>
          <t>Hours</t>
        </is>
      </c>
      <c r="D19" s="276" t="inlineStr">
        <is>
          <t>Rate</t>
        </is>
      </c>
      <c r="E19" s="71" t="n"/>
      <c r="F19" s="1" t="n"/>
      <c r="I19" s="86" t="inlineStr">
        <is>
          <t>Travel:             Guys</t>
        </is>
      </c>
      <c r="J19" s="67" t="inlineStr">
        <is>
          <t>Hours</t>
        </is>
      </c>
      <c r="K19" s="276" t="inlineStr">
        <is>
          <t>Rate</t>
        </is>
      </c>
      <c r="L19" s="71" t="n"/>
      <c r="M19" s="1" t="n"/>
      <c r="P19" s="1513" t="inlineStr">
        <is>
          <t>&lt;--- FOR ---&gt;</t>
        </is>
      </c>
    </row>
    <row r="20">
      <c r="B20" s="69" t="n">
        <v>0</v>
      </c>
      <c r="C20" s="1" t="n">
        <v>0</v>
      </c>
      <c r="D20" s="2389" t="n">
        <v>33.5</v>
      </c>
      <c r="E20" s="70">
        <f>B20*C20*D20</f>
        <v/>
      </c>
      <c r="F20" s="394" t="inlineStr">
        <is>
          <t>Travel Wage Rate?</t>
        </is>
      </c>
      <c r="G20" s="395" t="n"/>
      <c r="I20" s="69" t="n">
        <v>0</v>
      </c>
      <c r="J20" s="1" t="n">
        <v>0</v>
      </c>
      <c r="K20" s="2388">
        <f>$D$20</f>
        <v/>
      </c>
      <c r="L20" s="70">
        <f>I20*J20*K20</f>
        <v/>
      </c>
      <c r="M20" s="76" t="n"/>
      <c r="P20" s="1513" t="inlineStr">
        <is>
          <t>Ram Board</t>
        </is>
      </c>
    </row>
    <row r="21">
      <c r="B21" s="277" t="inlineStr">
        <is>
          <t>Labor Total</t>
        </is>
      </c>
      <c r="C21" s="278" t="n"/>
      <c r="D21" s="278" t="n"/>
      <c r="E21" s="2390">
        <f>ROUNDUP(SUM(E17:E20),0)</f>
        <v/>
      </c>
      <c r="F21" s="123">
        <f>E21/C15</f>
        <v/>
      </c>
      <c r="G21" s="124" t="inlineStr">
        <is>
          <t>Labor $/SF</t>
        </is>
      </c>
      <c r="H21" s="1" t="n"/>
      <c r="I21" s="277" t="inlineStr">
        <is>
          <t>Labor Total</t>
        </is>
      </c>
      <c r="J21" s="278" t="n"/>
      <c r="K21" s="278" t="n"/>
      <c r="L21" s="2390">
        <f>ROUNDUP(SUM(L17:L20),0)</f>
        <v/>
      </c>
      <c r="M21" s="123">
        <f>L21/J15</f>
        <v/>
      </c>
      <c r="N21" s="124" t="inlineStr">
        <is>
          <t>Labor $/SF</t>
        </is>
      </c>
      <c r="P21" s="23" t="n">
        <v>1000</v>
      </c>
      <c r="Q21" s="2376">
        <f>M21</f>
        <v/>
      </c>
      <c r="R21" s="1511" t="inlineStr">
        <is>
          <t>Labor Sliding Scale</t>
        </is>
      </c>
      <c r="S21" s="1512" t="n"/>
    </row>
    <row r="22">
      <c r="B22" s="1" t="n"/>
      <c r="C22" s="1892" t="n"/>
      <c r="D22" s="2282" t="n"/>
      <c r="E22" s="2282" t="n"/>
      <c r="F22" s="2282" t="n"/>
      <c r="G22" s="1" t="n"/>
      <c r="H22" s="1" t="n"/>
      <c r="I22" s="1" t="n"/>
      <c r="J22" s="1892" t="n"/>
      <c r="K22" s="2282" t="n"/>
      <c r="L22" s="2282" t="n"/>
      <c r="M22" s="2282" t="n"/>
      <c r="N22" s="1" t="n"/>
      <c r="P22" t="n">
        <v>1250</v>
      </c>
      <c r="Q22" s="2293">
        <f>((Q21-Q23)/2)+Q23</f>
        <v/>
      </c>
    </row>
    <row r="23">
      <c r="B23" s="5" t="inlineStr">
        <is>
          <t>OTHER COSTS</t>
        </is>
      </c>
      <c r="C23" s="30" t="inlineStr">
        <is>
          <t>Quantity</t>
        </is>
      </c>
      <c r="D23" s="11" t="inlineStr">
        <is>
          <t>Cost</t>
        </is>
      </c>
      <c r="E23" s="2019" t="inlineStr">
        <is>
          <t>Total</t>
        </is>
      </c>
      <c r="F23" s="1" t="n"/>
      <c r="G23" s="1" t="n"/>
      <c r="H23" s="1" t="n"/>
      <c r="I23" s="5" t="inlineStr">
        <is>
          <t>OTHER COSTS</t>
        </is>
      </c>
      <c r="J23" s="30" t="inlineStr">
        <is>
          <t>Quantity</t>
        </is>
      </c>
      <c r="K23" s="11" t="inlineStr">
        <is>
          <t>Cost</t>
        </is>
      </c>
      <c r="L23" s="2019" t="inlineStr">
        <is>
          <t>Total</t>
        </is>
      </c>
      <c r="M23" s="1" t="n"/>
      <c r="N23" s="1" t="n"/>
      <c r="P23" t="n">
        <v>1500</v>
      </c>
      <c r="Q23" s="2378">
        <f>((Q21-Q25)/2)+Q25</f>
        <v/>
      </c>
    </row>
    <row r="24">
      <c r="B24" s="6" t="inlineStr">
        <is>
          <t>Moisture Test</t>
        </is>
      </c>
      <c r="C24" s="37" t="n"/>
      <c r="D24" s="2282" t="n">
        <v>35</v>
      </c>
      <c r="E24" s="2038">
        <f>ROUNDUP(C24*D24,0)</f>
        <v/>
      </c>
      <c r="F24" s="1" t="n"/>
      <c r="G24" s="1" t="n"/>
      <c r="H24" s="1" t="n"/>
      <c r="I24" s="6" t="inlineStr">
        <is>
          <t>Moisture Test</t>
        </is>
      </c>
      <c r="J24" s="37" t="n"/>
      <c r="K24" s="2282" t="n">
        <v>35</v>
      </c>
      <c r="L24" s="2038">
        <f>ROUNDUP(J24*K24,0)</f>
        <v/>
      </c>
      <c r="M24" s="1" t="n"/>
      <c r="N24" s="1" t="n"/>
      <c r="P24" t="n">
        <v>1750</v>
      </c>
      <c r="Q24" s="2293">
        <f>((Q23-Q25)/2)+Q25</f>
        <v/>
      </c>
    </row>
    <row r="25">
      <c r="B25" s="6" t="inlineStr">
        <is>
          <t>Tooling &amp; Consumables</t>
        </is>
      </c>
      <c r="C25" s="37" t="n"/>
      <c r="D25" s="2282" t="n">
        <v>0.33</v>
      </c>
      <c r="E25" s="2038">
        <f>ROUNDUP(C25*D25,0)</f>
        <v/>
      </c>
      <c r="F25" s="1" t="n"/>
      <c r="G25" s="1" t="n"/>
      <c r="H25" s="1" t="n"/>
      <c r="I25" s="6" t="inlineStr">
        <is>
          <t>Tooling &amp; Consumables</t>
        </is>
      </c>
      <c r="J25" s="37" t="n"/>
      <c r="K25" s="2282" t="n">
        <v>0.33</v>
      </c>
      <c r="L25" s="2038">
        <f>ROUNDUP(J25*K25,0)</f>
        <v/>
      </c>
      <c r="M25" s="1" t="n"/>
      <c r="N25" s="1" t="n"/>
      <c r="P25" s="24" t="n">
        <v>2000</v>
      </c>
      <c r="Q25" s="2378">
        <f>((Q21-Q29)/2)+Q29</f>
        <v/>
      </c>
      <c r="R25" s="51">
        <f>MEDIAN(P21:P29)</f>
        <v/>
      </c>
    </row>
    <row r="26">
      <c r="B26" s="452" t="inlineStr">
        <is>
          <t>Travel - Lodging</t>
        </is>
      </c>
      <c r="C26" s="37" t="n">
        <v>0</v>
      </c>
      <c r="D26" s="2391" t="n">
        <v>70</v>
      </c>
      <c r="E26" s="2038">
        <f>ROUNDUP(C26*D26,0)</f>
        <v/>
      </c>
      <c r="F26" s="450" t="inlineStr">
        <is>
          <t>Lodging Rate?</t>
        </is>
      </c>
      <c r="G26" s="1" t="n"/>
      <c r="H26" s="1" t="n"/>
      <c r="I26" s="6" t="inlineStr">
        <is>
          <t>Travel - Lodging</t>
        </is>
      </c>
      <c r="J26" s="37" t="n">
        <v>0</v>
      </c>
      <c r="K26" s="2282">
        <f>$D$26</f>
        <v/>
      </c>
      <c r="L26" s="2038">
        <f>ROUNDUP(J26*K26,0)</f>
        <v/>
      </c>
      <c r="M26" s="1" t="n"/>
      <c r="N26" s="1" t="n"/>
      <c r="P26" s="1" t="n">
        <v>2250</v>
      </c>
      <c r="Q26" s="2293">
        <f>((Q25-Q27)/2)+Q27</f>
        <v/>
      </c>
    </row>
    <row r="27">
      <c r="B27" s="413" t="inlineStr">
        <is>
          <t>Travel - Food</t>
        </is>
      </c>
      <c r="C27" s="37">
        <f>C26</f>
        <v/>
      </c>
      <c r="D27" s="2392" t="n">
        <v>45</v>
      </c>
      <c r="E27" s="2038">
        <f>ROUNDUP(C27*D27,0)</f>
        <v/>
      </c>
      <c r="F27" s="414" t="inlineStr">
        <is>
          <t>Food Rate?</t>
        </is>
      </c>
      <c r="G27" s="1" t="n"/>
      <c r="H27" s="1" t="n"/>
      <c r="I27" s="6" t="inlineStr">
        <is>
          <t>Travel - Food</t>
        </is>
      </c>
      <c r="J27" s="37">
        <f>J26</f>
        <v/>
      </c>
      <c r="K27" s="2282">
        <f>$D$27</f>
        <v/>
      </c>
      <c r="L27" s="2038">
        <f>ROUNDUP(J27*K27,0)</f>
        <v/>
      </c>
      <c r="M27" s="43" t="n"/>
      <c r="N27" s="1" t="n"/>
      <c r="P27" t="n">
        <v>2500</v>
      </c>
      <c r="Q27" s="2378">
        <f>((Q25-Q29)/2)+Q29</f>
        <v/>
      </c>
    </row>
    <row r="28">
      <c r="B28" s="376" t="inlineStr">
        <is>
          <t>Foreman - Fuel</t>
        </is>
      </c>
      <c r="C28" s="37" t="n">
        <v>0</v>
      </c>
      <c r="D28" s="2353" t="n">
        <v>14</v>
      </c>
      <c r="E28" s="2038">
        <f>ROUNDUP(C28*D28,0)</f>
        <v/>
      </c>
      <c r="F28" s="299" t="inlineStr">
        <is>
          <t>Fuel cost ?</t>
        </is>
      </c>
      <c r="G28" s="1" t="n"/>
      <c r="H28" s="1" t="n"/>
      <c r="I28" s="6" t="inlineStr">
        <is>
          <t>Foreman - Fuel</t>
        </is>
      </c>
      <c r="J28" s="37" t="n">
        <v>0</v>
      </c>
      <c r="K28" s="2282">
        <f>$D$28</f>
        <v/>
      </c>
      <c r="L28" s="2038">
        <f>ROUNDUP(J28*K28,0)</f>
        <v/>
      </c>
      <c r="M28" s="43" t="n"/>
      <c r="N28" s="1" t="n"/>
      <c r="P28" t="n">
        <v>2750</v>
      </c>
      <c r="Q28" s="2293">
        <f>((Q27-Q29)/2)+Q29</f>
        <v/>
      </c>
    </row>
    <row r="29">
      <c r="B29" s="6" t="inlineStr">
        <is>
          <t>Generator Fuel</t>
        </is>
      </c>
      <c r="C29" s="37" t="n"/>
      <c r="D29" s="2282" t="n">
        <v>0.04</v>
      </c>
      <c r="E29" s="2038">
        <f>ROUNDUP(C29*D29,0)</f>
        <v/>
      </c>
      <c r="F29" s="1" t="n"/>
      <c r="G29" s="1" t="n"/>
      <c r="H29" s="1" t="n"/>
      <c r="I29" s="6" t="inlineStr">
        <is>
          <t>Generator Fuel</t>
        </is>
      </c>
      <c r="J29" s="37" t="n"/>
      <c r="K29" s="2282" t="n">
        <v>0.04</v>
      </c>
      <c r="L29" s="2038">
        <f>ROUNDUP(J29*K29,0)</f>
        <v/>
      </c>
      <c r="M29" s="1" t="n"/>
      <c r="N29" s="1" t="n"/>
      <c r="P29" s="24" t="n">
        <v>3000</v>
      </c>
      <c r="Q29" s="2378">
        <f>((Q21-Q37)/2)+Q37</f>
        <v/>
      </c>
      <c r="R29" s="51">
        <f>MEDIAN(P21:P37)</f>
        <v/>
      </c>
    </row>
    <row r="30">
      <c r="B30" s="6" t="inlineStr">
        <is>
          <t>Plastic</t>
        </is>
      </c>
      <c r="C30" s="37" t="n"/>
      <c r="D30" s="2282" t="n"/>
      <c r="E30" s="2038">
        <f>ROUNDUP(C30*D30,0)</f>
        <v/>
      </c>
      <c r="F30" s="1" t="n"/>
      <c r="G30" s="1" t="n"/>
      <c r="H30" s="1" t="n"/>
      <c r="I30" s="6" t="inlineStr">
        <is>
          <t>Plastic</t>
        </is>
      </c>
      <c r="J30" s="37" t="n"/>
      <c r="K30" s="2282" t="n"/>
      <c r="L30" s="2038">
        <f>ROUNDUP(J30*K30,0)</f>
        <v/>
      </c>
      <c r="M30" s="1" t="n"/>
      <c r="N30" s="1" t="n"/>
      <c r="P30" t="n">
        <v>3250</v>
      </c>
      <c r="Q30" s="2293">
        <f>((Q29-Q31)/2)+Q31</f>
        <v/>
      </c>
    </row>
    <row r="31">
      <c r="B31" s="10" t="inlineStr">
        <is>
          <t>Other Costs Total</t>
        </is>
      </c>
      <c r="C31" s="36" t="n"/>
      <c r="D31" s="2339" t="n"/>
      <c r="E31" s="2340">
        <f>SUM(E24:E30)</f>
        <v/>
      </c>
      <c r="F31" s="1" t="n"/>
      <c r="G31" s="1" t="n"/>
      <c r="H31" s="1" t="n"/>
      <c r="I31" s="10" t="inlineStr">
        <is>
          <t>Other Costs Total</t>
        </is>
      </c>
      <c r="J31" s="36" t="n"/>
      <c r="K31" s="2339" t="n"/>
      <c r="L31" s="2340">
        <f>SUM(L24:L30)</f>
        <v/>
      </c>
      <c r="M31" s="1" t="n"/>
      <c r="N31" s="1" t="n"/>
      <c r="P31" s="1" t="n">
        <v>3500</v>
      </c>
      <c r="Q31" s="2378">
        <f>((Q29-Q33)/2)+Q33</f>
        <v/>
      </c>
    </row>
    <row r="32">
      <c r="B32" s="1" t="n"/>
      <c r="C32" s="1892" t="n"/>
      <c r="D32" s="2282" t="n"/>
      <c r="E32" s="2282" t="n"/>
      <c r="F32" s="1" t="n"/>
      <c r="G32" s="1" t="n"/>
      <c r="H32" s="1" t="n"/>
      <c r="I32" s="1" t="n"/>
      <c r="J32" s="1892" t="n"/>
      <c r="K32" s="2282" t="n"/>
      <c r="L32" s="2282" t="n"/>
      <c r="M32" s="1" t="n"/>
      <c r="N32" s="1" t="n"/>
      <c r="P32" t="n">
        <v>3750</v>
      </c>
      <c r="Q32" s="2293">
        <f>((Q31-Q33)/2)+Q33</f>
        <v/>
      </c>
    </row>
    <row r="33">
      <c r="B33" s="1" t="n"/>
      <c r="C33" s="1892" t="n"/>
      <c r="D33" s="2282" t="n"/>
      <c r="E33" s="2282" t="n"/>
      <c r="F33" s="1" t="n"/>
      <c r="G33" s="1" t="n"/>
      <c r="H33" s="1" t="n"/>
      <c r="I33" s="1" t="n"/>
      <c r="J33" s="1892" t="n"/>
      <c r="K33" s="2282" t="n"/>
      <c r="L33" s="2282" t="n"/>
      <c r="M33" s="1" t="n"/>
      <c r="N33" s="1" t="n"/>
      <c r="P33" s="24" t="n">
        <v>4000</v>
      </c>
      <c r="Q33" s="2378">
        <f>((Q29-Q37)/2)+Q37</f>
        <v/>
      </c>
      <c r="R33" s="51">
        <f>MEDIAN(P29:P37)</f>
        <v/>
      </c>
    </row>
    <row r="34">
      <c r="B34" s="280" t="inlineStr">
        <is>
          <t>SUB-TOTAL COSTS</t>
        </is>
      </c>
      <c r="C34" s="281" t="n"/>
      <c r="D34" s="2393" t="n"/>
      <c r="E34" s="2394">
        <f>SUM(E13,E21,E31)</f>
        <v/>
      </c>
      <c r="F34" s="1" t="n"/>
      <c r="G34" s="1" t="n"/>
      <c r="H34" s="1" t="n"/>
      <c r="I34" s="280" t="inlineStr">
        <is>
          <t>SUB-TOTAL COSTS</t>
        </is>
      </c>
      <c r="J34" s="281" t="n"/>
      <c r="K34" s="2393" t="n"/>
      <c r="L34" s="2394">
        <f>SUM(L13,L21,L31)</f>
        <v/>
      </c>
      <c r="M34" s="1" t="n"/>
      <c r="N34" s="1" t="n"/>
      <c r="P34" t="n">
        <v>4250</v>
      </c>
      <c r="Q34" s="2293">
        <f>((Q33-Q35)/2)+Q35</f>
        <v/>
      </c>
    </row>
    <row r="35">
      <c r="B35" s="1" t="n"/>
      <c r="C35" s="1892" t="n"/>
      <c r="D35" s="2282" t="n"/>
      <c r="E35" s="2282" t="n"/>
      <c r="F35" s="1" t="n"/>
      <c r="G35" s="1" t="n"/>
      <c r="H35" s="1" t="n"/>
      <c r="I35" s="1" t="n"/>
      <c r="J35" s="1892" t="n"/>
      <c r="K35" s="2282" t="n"/>
      <c r="L35" s="2282" t="n"/>
      <c r="M35" s="1" t="n"/>
      <c r="N35" s="1" t="n"/>
      <c r="P35" t="n">
        <v>4500</v>
      </c>
      <c r="Q35" s="2378">
        <f>((Q33-Q37)/2)+Q37</f>
        <v/>
      </c>
    </row>
    <row r="36">
      <c r="B36" s="5" t="inlineStr">
        <is>
          <t>MARKUP</t>
        </is>
      </c>
      <c r="C36" s="30" t="inlineStr">
        <is>
          <t>%</t>
        </is>
      </c>
      <c r="D36" s="2395" t="n"/>
      <c r="E36" s="2019" t="n"/>
      <c r="F36" s="1" t="n"/>
      <c r="G36" s="1" t="n"/>
      <c r="H36" s="1" t="n"/>
      <c r="I36" s="5" t="inlineStr">
        <is>
          <t>MARKUP</t>
        </is>
      </c>
      <c r="J36" s="30" t="inlineStr">
        <is>
          <t>%</t>
        </is>
      </c>
      <c r="K36" s="2395" t="n"/>
      <c r="L36" s="2019" t="n"/>
      <c r="M36" s="1" t="n"/>
      <c r="N36" s="1" t="n"/>
      <c r="P36" s="1" t="n">
        <v>4750</v>
      </c>
      <c r="Q36" s="2293">
        <f>((Q35-Q37)/2)+Q37</f>
        <v/>
      </c>
    </row>
    <row r="37">
      <c r="B37" s="6" t="inlineStr">
        <is>
          <t>Sales Tax</t>
        </is>
      </c>
      <c r="C37" s="2396">
        <f>Epoxy!B80</f>
        <v/>
      </c>
      <c r="D37" s="2397" t="n"/>
      <c r="E37" s="2038">
        <f>ROUNDUP(SUM(E13:E13)*C37,0)</f>
        <v/>
      </c>
      <c r="F37" s="1" t="n"/>
      <c r="G37" s="1" t="n"/>
      <c r="H37" s="1" t="n"/>
      <c r="I37" s="6" t="inlineStr">
        <is>
          <t>Sales Tax</t>
        </is>
      </c>
      <c r="J37" s="2396">
        <f>$C$37</f>
        <v/>
      </c>
      <c r="K37" s="2397" t="n"/>
      <c r="L37" s="2038">
        <f>ROUNDUP(SUM(L13:L13)*J37,0)</f>
        <v/>
      </c>
      <c r="M37" s="1" t="n"/>
      <c r="N37" s="1" t="n"/>
      <c r="P37" s="24" t="n">
        <v>5000</v>
      </c>
      <c r="Q37" s="2378">
        <f>F21</f>
        <v/>
      </c>
    </row>
    <row r="38">
      <c r="B38" s="6" t="inlineStr">
        <is>
          <t>Insurance</t>
        </is>
      </c>
      <c r="C38" s="241" t="n">
        <v>0.08</v>
      </c>
      <c r="D38" s="2397" t="n"/>
      <c r="E38" s="2038">
        <f>ROUNDUP(SUM(E21)*C38,0)</f>
        <v/>
      </c>
      <c r="F38" s="1387" t="n"/>
      <c r="G38" s="1384" t="inlineStr">
        <is>
          <t>(epoxy remodel tax cell)</t>
        </is>
      </c>
      <c r="H38" s="1" t="n"/>
      <c r="I38" s="6" t="inlineStr">
        <is>
          <t>Insurance</t>
        </is>
      </c>
      <c r="J38" s="241" t="n">
        <v>0.08</v>
      </c>
      <c r="K38" s="2397" t="n"/>
      <c r="L38" s="2038">
        <f>ROUNDUP(SUM(L21)*J38,0)</f>
        <v/>
      </c>
      <c r="M38" s="1" t="n"/>
      <c r="N38" s="1" t="n"/>
    </row>
    <row r="39">
      <c r="B39" s="6" t="inlineStr">
        <is>
          <t>Material Contingency</t>
        </is>
      </c>
      <c r="C39" s="122">
        <f>IF(E13&lt;=5000,0.1,0.05)</f>
        <v/>
      </c>
      <c r="D39" s="2282" t="n"/>
      <c r="E39" s="2038">
        <f>ROUNDUP(E13*C39,0)</f>
        <v/>
      </c>
      <c r="F39" s="1" t="n"/>
      <c r="G39" s="2398">
        <f>Epoxy!B81</f>
        <v/>
      </c>
      <c r="H39" s="1" t="n"/>
      <c r="I39" s="6" t="inlineStr">
        <is>
          <t>Material Contingency</t>
        </is>
      </c>
      <c r="J39" s="122" t="n">
        <v>0.15</v>
      </c>
      <c r="K39" s="2282" t="n"/>
      <c r="L39" s="2038">
        <f>ROUNDUP(L13*J39,0)</f>
        <v/>
      </c>
      <c r="M39" s="1" t="n"/>
      <c r="N39" s="1" t="n"/>
    </row>
    <row r="40">
      <c r="B40" s="6" t="inlineStr">
        <is>
          <t>Labor Contingency</t>
        </is>
      </c>
      <c r="C40" s="122" t="n">
        <v>0.2</v>
      </c>
      <c r="D40" s="2282" t="n"/>
      <c r="E40" s="2038">
        <f>ROUNDUP(E21*C40,0)</f>
        <v/>
      </c>
      <c r="F40" s="1" t="n"/>
      <c r="G40" s="1386" t="inlineStr">
        <is>
          <t>=Epoxy!B81</t>
        </is>
      </c>
      <c r="H40" s="1" t="n"/>
      <c r="I40" s="6" t="inlineStr">
        <is>
          <t>Labor Contingency</t>
        </is>
      </c>
      <c r="J40" s="122" t="n">
        <v>0.2</v>
      </c>
      <c r="K40" s="2282" t="n"/>
      <c r="L40" s="2038">
        <f>ROUNDUP(L21*J40,0)</f>
        <v/>
      </c>
      <c r="M40" s="1" t="n"/>
      <c r="N40" s="1" t="n"/>
    </row>
    <row r="41">
      <c r="B41" s="6" t="inlineStr">
        <is>
          <t>Mark Up</t>
        </is>
      </c>
      <c r="C41" s="122" t="n">
        <v>0.4</v>
      </c>
      <c r="D41" s="2282" t="n"/>
      <c r="E41" s="2038">
        <f>ROUNDUP(SUM(E34:E40)*C41,0)</f>
        <v/>
      </c>
      <c r="F41" s="1" t="n"/>
      <c r="G41" s="495" t="inlineStr">
        <is>
          <t>(polish remodel tax cell)</t>
        </is>
      </c>
      <c r="H41" s="1" t="n"/>
      <c r="I41" s="6" t="inlineStr">
        <is>
          <t>Mark Up</t>
        </is>
      </c>
      <c r="J41" s="122" t="n">
        <v>0.4</v>
      </c>
      <c r="K41" s="2282" t="n"/>
      <c r="L41" s="2038">
        <f>ROUNDUP(SUM(L34:L40)*J41,0)</f>
        <v/>
      </c>
      <c r="M41" s="1" t="n"/>
      <c r="N41" s="1" t="n"/>
    </row>
    <row r="42">
      <c r="B42" s="497">
        <f>Epoxy!A81</f>
        <v/>
      </c>
      <c r="C42" s="498">
        <f>Epoxy!B81</f>
        <v/>
      </c>
      <c r="D42" s="2282" t="n"/>
      <c r="E42" s="2038">
        <f>ROUNDUP(SUM(E21,E38:E41)*C42,0)</f>
        <v/>
      </c>
      <c r="F42" s="285" t="inlineStr">
        <is>
          <t>or:</t>
        </is>
      </c>
      <c r="G42" s="2399">
        <f>Polish!B75</f>
        <v/>
      </c>
      <c r="H42" s="1" t="n"/>
      <c r="I42" s="284">
        <f>$B$42</f>
        <v/>
      </c>
      <c r="J42" s="241">
        <f>$C$42</f>
        <v/>
      </c>
      <c r="K42" s="2282" t="n"/>
      <c r="L42" s="2038">
        <f>ROUNDUP(SUM(L21,L38:L41)*J42,0)</f>
        <v/>
      </c>
      <c r="M42" s="1" t="n"/>
      <c r="N42" s="1" t="n"/>
    </row>
    <row r="43">
      <c r="B43" s="427" t="inlineStr">
        <is>
          <t>Warranty &amp; Extra Soft Cost</t>
        </is>
      </c>
      <c r="C43" s="428">
        <f>1%+2%+2%</f>
        <v/>
      </c>
      <c r="D43" s="2282" t="n"/>
      <c r="E43" s="2038">
        <f>ROUNDUP(C43*SUM(E34:E42),0)</f>
        <v/>
      </c>
      <c r="F43" s="1" t="n"/>
      <c r="G43" s="494" t="inlineStr">
        <is>
          <t>=Polish!$B$75</t>
        </is>
      </c>
      <c r="H43" s="1" t="n"/>
      <c r="I43" s="403" t="inlineStr">
        <is>
          <t>Warranty &amp; Extra Soft Cost</t>
        </is>
      </c>
      <c r="J43" s="241">
        <f>$C$43</f>
        <v/>
      </c>
      <c r="K43" s="2282" t="n"/>
      <c r="L43" s="2038">
        <f>ROUNDUP(J43*SUM(L34:L42),0)</f>
        <v/>
      </c>
      <c r="M43" s="1" t="n"/>
      <c r="N43" s="1" t="n"/>
    </row>
    <row r="44">
      <c r="B44" s="430" t="inlineStr">
        <is>
          <t>Bond</t>
        </is>
      </c>
      <c r="C44" s="429">
        <f>Epoxy!B84</f>
        <v/>
      </c>
      <c r="D44" s="2314" t="n"/>
      <c r="E44" s="2400">
        <f>ROUNDUP(SUM(E34:E43)*C44,0)</f>
        <v/>
      </c>
      <c r="F44" s="431" t="inlineStr">
        <is>
          <t>Bond ?</t>
        </is>
      </c>
      <c r="G44" s="432">
        <f>Polish!B78</f>
        <v/>
      </c>
      <c r="H44" s="1" t="n"/>
      <c r="I44" s="45" t="inlineStr">
        <is>
          <t>Bond</t>
        </is>
      </c>
      <c r="J44" s="46">
        <f>$C$44</f>
        <v/>
      </c>
      <c r="K44" s="2314" t="n"/>
      <c r="L44" s="2400">
        <f>ROUNDUP(SUM(L34:L43)*J44,0)</f>
        <v/>
      </c>
      <c r="M44" s="1" t="n"/>
      <c r="N44" s="1" t="n"/>
    </row>
    <row r="45">
      <c r="B45" s="1" t="n"/>
      <c r="C45" s="8" t="n"/>
      <c r="D45" s="2282" t="n"/>
      <c r="E45" s="2282" t="n"/>
      <c r="F45" s="1" t="n"/>
      <c r="G45" s="493" t="inlineStr">
        <is>
          <t>=Polish!$B$78</t>
        </is>
      </c>
      <c r="H45" s="1892" t="n"/>
      <c r="I45" s="1" t="n"/>
      <c r="J45" s="8" t="n"/>
      <c r="K45" s="2282" t="n"/>
      <c r="L45" s="2282" t="n"/>
      <c r="M45" s="1" t="n"/>
      <c r="N45" s="286" t="inlineStr">
        <is>
          <t>Mark Up + Conting.</t>
        </is>
      </c>
    </row>
    <row r="46" ht="16.2" customHeight="1" thickBot="1">
      <c r="B46" s="1" t="n"/>
      <c r="C46" s="1079" t="inlineStr">
        <is>
          <t>SF:</t>
        </is>
      </c>
      <c r="D46" s="2401">
        <f>C15</f>
        <v/>
      </c>
      <c r="E46" s="1077" t="inlineStr">
        <is>
          <t>Ram Board</t>
        </is>
      </c>
      <c r="F46" s="38" t="inlineStr">
        <is>
          <t>Less Sales Tax</t>
        </is>
      </c>
      <c r="G46" s="2402">
        <f>SUM(E39:E41)</f>
        <v/>
      </c>
      <c r="H46" s="2282" t="n"/>
      <c r="I46" s="1" t="n"/>
      <c r="J46" s="1079" t="inlineStr">
        <is>
          <t>SF:</t>
        </is>
      </c>
      <c r="K46" s="2401">
        <f>J15</f>
        <v/>
      </c>
      <c r="L46" s="1077" t="inlineStr">
        <is>
          <t>Ram Board</t>
        </is>
      </c>
      <c r="M46" s="38" t="inlineStr">
        <is>
          <t>Less Sales Tax</t>
        </is>
      </c>
      <c r="N46" s="2402">
        <f>SUM(L39:L41)</f>
        <v/>
      </c>
    </row>
    <row r="47" ht="16.2" customHeight="1" thickBot="1">
      <c r="B47" s="289" t="inlineStr">
        <is>
          <t>TOTAL</t>
        </is>
      </c>
      <c r="C47" s="290" t="n"/>
      <c r="D47" s="2403">
        <f>E47/C15</f>
        <v/>
      </c>
      <c r="E47" s="2404">
        <f>SUM(E34:E44)</f>
        <v/>
      </c>
      <c r="F47" s="2282">
        <f>E47-E37-E42</f>
        <v/>
      </c>
      <c r="G47" s="293">
        <f>G46/E47</f>
        <v/>
      </c>
      <c r="H47" s="294" t="n"/>
      <c r="I47" s="289" t="inlineStr">
        <is>
          <t>TOTAL</t>
        </is>
      </c>
      <c r="J47" s="290" t="n"/>
      <c r="K47" s="2403">
        <f>L47/J15</f>
        <v/>
      </c>
      <c r="L47" s="2404">
        <f>SUM(L34:L44)</f>
        <v/>
      </c>
      <c r="M47" s="2282">
        <f>L47-L37-L42</f>
        <v/>
      </c>
      <c r="N47" s="293">
        <f>N46/L47</f>
        <v/>
      </c>
    </row>
    <row r="48">
      <c r="B48" s="1" t="n"/>
      <c r="C48" s="1" t="inlineStr">
        <is>
          <t xml:space="preserve"> </t>
        </is>
      </c>
      <c r="D48" s="2282">
        <f>E48/C15</f>
        <v/>
      </c>
      <c r="E48" s="2282">
        <f>E47-E42</f>
        <v/>
      </c>
      <c r="F48" t="inlineStr">
        <is>
          <t xml:space="preserve">less ks remodel, if applicable </t>
        </is>
      </c>
      <c r="G48" s="295">
        <f>IF(G47&lt;=0.25,"OWNER APPROVAL REQUIRED","GP % Okay")</f>
        <v/>
      </c>
      <c r="H48" s="1891" t="n"/>
      <c r="I48" s="1" t="n"/>
      <c r="J48" s="1" t="inlineStr">
        <is>
          <t xml:space="preserve"> </t>
        </is>
      </c>
      <c r="K48" s="2282">
        <f>L48/J15</f>
        <v/>
      </c>
      <c r="L48" s="2282">
        <f>L47-L42</f>
        <v/>
      </c>
      <c r="M48" t="inlineStr">
        <is>
          <t xml:space="preserve">less ks remodel, if applicable </t>
        </is>
      </c>
      <c r="N48" s="295">
        <f>IF(N47&lt;=0.25,"OWNER APPROVAL REQUIRED","GP % Okay")</f>
        <v/>
      </c>
    </row>
    <row r="51">
      <c r="B51" s="2374" t="inlineStr">
        <is>
          <t>Altenate  - Joint Filler 5,000 sf</t>
        </is>
      </c>
      <c r="C51" s="2350" t="n"/>
      <c r="D51" s="2350" t="n"/>
      <c r="E51" s="237" t="n"/>
      <c r="F51" s="2375">
        <f>D96</f>
        <v/>
      </c>
      <c r="G51" s="263" t="inlineStr">
        <is>
          <t>$/sf</t>
        </is>
      </c>
      <c r="I51" s="2374" t="inlineStr">
        <is>
          <t>Altenate  - Joint Filler 1,000 sf</t>
        </is>
      </c>
      <c r="J51" s="2350" t="n"/>
      <c r="K51" s="2350" t="n"/>
      <c r="L51" s="237" t="n"/>
      <c r="M51" s="2375">
        <f>K96</f>
        <v/>
      </c>
      <c r="N51" s="263" t="inlineStr">
        <is>
          <t>$/sf</t>
        </is>
      </c>
    </row>
    <row r="52">
      <c r="B52" s="25" t="inlineStr">
        <is>
          <t>MATERIAL - Patch</t>
        </is>
      </c>
      <c r="C52" s="90" t="inlineStr">
        <is>
          <t>Quantity</t>
        </is>
      </c>
      <c r="D52" s="90" t="inlineStr">
        <is>
          <t>Cost</t>
        </is>
      </c>
      <c r="E52" s="91" t="inlineStr">
        <is>
          <t>Total</t>
        </is>
      </c>
      <c r="F52" s="2375">
        <f>C97</f>
        <v/>
      </c>
      <c r="G52" s="263" t="inlineStr">
        <is>
          <t>$/LF</t>
        </is>
      </c>
      <c r="H52" s="264" t="n"/>
      <c r="I52" s="25" t="inlineStr">
        <is>
          <t>MATERIAL - Patch</t>
        </is>
      </c>
      <c r="J52" s="90" t="inlineStr">
        <is>
          <t>Quantity</t>
        </is>
      </c>
      <c r="K52" s="90" t="inlineStr">
        <is>
          <t>Cost</t>
        </is>
      </c>
      <c r="L52" s="91" t="inlineStr">
        <is>
          <t>Total</t>
        </is>
      </c>
      <c r="M52" s="2375">
        <f>J97</f>
        <v/>
      </c>
      <c r="N52" s="263" t="inlineStr">
        <is>
          <t>$/LF</t>
        </is>
      </c>
    </row>
    <row r="53">
      <c r="B53" s="44" t="n"/>
      <c r="C53" s="2377" t="n"/>
      <c r="D53" s="2312" t="n"/>
      <c r="E53" s="2308">
        <f>C53*D53</f>
        <v/>
      </c>
      <c r="F53" s="1" t="n"/>
      <c r="G53" s="1" t="n"/>
      <c r="H53" s="1" t="n"/>
      <c r="I53" s="44" t="n"/>
      <c r="J53" s="2377" t="n"/>
      <c r="K53" s="2312" t="n"/>
      <c r="L53" s="2308">
        <f>J53*K53</f>
        <v/>
      </c>
      <c r="M53" s="1" t="n"/>
      <c r="N53" s="1" t="n"/>
    </row>
    <row r="54">
      <c r="B54" s="44" t="n"/>
      <c r="C54" s="2377" t="n"/>
      <c r="D54" s="2312" t="n"/>
      <c r="E54" s="2308">
        <f>C54*D54</f>
        <v/>
      </c>
      <c r="F54" s="1" t="n"/>
      <c r="G54" s="1" t="n"/>
      <c r="H54" s="1" t="n"/>
      <c r="I54" s="44" t="n"/>
      <c r="J54" s="2377" t="n"/>
      <c r="K54" s="2312" t="n"/>
      <c r="L54" s="2308">
        <f>J54*K54</f>
        <v/>
      </c>
      <c r="M54" s="1" t="n"/>
      <c r="N54" s="1" t="n"/>
    </row>
    <row r="55">
      <c r="B55" s="25" t="inlineStr">
        <is>
          <t>MATERIAL - Floor</t>
        </is>
      </c>
      <c r="C55" s="2379" t="n"/>
      <c r="D55" s="23" t="n"/>
      <c r="E55" s="29" t="n"/>
      <c r="F55" s="2380" t="n">
        <v>5000</v>
      </c>
      <c r="G55" s="82" t="inlineStr">
        <is>
          <t>SF</t>
        </is>
      </c>
      <c r="H55" s="1" t="n"/>
      <c r="I55" s="25" t="inlineStr">
        <is>
          <t>MATERIAL - Floor</t>
        </is>
      </c>
      <c r="J55" s="2379" t="n"/>
      <c r="K55" s="23" t="n"/>
      <c r="L55" s="29" t="n"/>
      <c r="M55" s="2380" t="n">
        <v>1000</v>
      </c>
      <c r="N55" s="82" t="inlineStr">
        <is>
          <t>SF</t>
        </is>
      </c>
    </row>
    <row r="56">
      <c r="B56" s="47" t="inlineStr">
        <is>
          <t>Joint Filler</t>
        </is>
      </c>
      <c r="C56" s="2377" t="n">
        <v>0</v>
      </c>
      <c r="D56" s="2282" t="n">
        <v>1.29</v>
      </c>
      <c r="E56" s="2038">
        <f>C56*D56</f>
        <v/>
      </c>
      <c r="F56" s="1127">
        <f>F55*0.145</f>
        <v/>
      </c>
      <c r="G56" s="1128" t="inlineStr">
        <is>
          <t>*14.5% of SF</t>
        </is>
      </c>
      <c r="H56" s="1" t="n"/>
      <c r="I56" s="47" t="inlineStr">
        <is>
          <t>Joint Filler</t>
        </is>
      </c>
      <c r="J56" s="2377" t="n">
        <v>0</v>
      </c>
      <c r="K56" s="2282" t="n">
        <v>1.29</v>
      </c>
      <c r="L56" s="2038">
        <f>J56*K56</f>
        <v/>
      </c>
      <c r="M56" s="1127">
        <f>M55*0.2</f>
        <v/>
      </c>
      <c r="N56" s="1128" t="inlineStr">
        <is>
          <t>*20% of SF</t>
        </is>
      </c>
    </row>
    <row r="57">
      <c r="B57" s="647" t="inlineStr">
        <is>
          <t>Joint Filler   (10 gal kit)</t>
        </is>
      </c>
      <c r="C57" s="1941">
        <f>ROUNDUP(IF(F57="yes",(F55/3500),0),0)</f>
        <v/>
      </c>
      <c r="D57" s="1944" t="n">
        <v>500</v>
      </c>
      <c r="E57" s="2038">
        <f>C57*D57</f>
        <v/>
      </c>
      <c r="F57" s="1" t="inlineStr">
        <is>
          <t>yes</t>
        </is>
      </c>
      <c r="G57" s="1" t="n"/>
      <c r="H57" s="1" t="n"/>
      <c r="I57" s="647" t="inlineStr">
        <is>
          <t>Joint Filler   (10 gal kit)</t>
        </is>
      </c>
      <c r="J57" s="1941">
        <f>ROUNDUP(IF(M57="yes",(M55/3500),0),0)</f>
        <v/>
      </c>
      <c r="K57" s="1944" t="n">
        <v>500</v>
      </c>
      <c r="L57" s="2038">
        <f>J57*K57</f>
        <v/>
      </c>
      <c r="M57" s="1" t="inlineStr">
        <is>
          <t>yes</t>
        </is>
      </c>
      <c r="N57" s="1" t="n"/>
    </row>
    <row r="58">
      <c r="B58" s="48" t="n"/>
      <c r="C58" s="2381" t="n"/>
      <c r="D58" s="2332" t="n"/>
      <c r="E58" s="2333">
        <f>C58*D58</f>
        <v/>
      </c>
      <c r="F58" s="1" t="n"/>
      <c r="G58" s="1" t="n"/>
      <c r="H58" s="1" t="n"/>
      <c r="I58" s="48" t="n"/>
      <c r="J58" s="2381" t="n"/>
      <c r="K58" s="2332" t="n"/>
      <c r="L58" s="2333">
        <f>J58*K58</f>
        <v/>
      </c>
      <c r="M58" s="1" t="n"/>
      <c r="N58" s="1" t="n"/>
    </row>
    <row r="59">
      <c r="B59" s="17" t="inlineStr">
        <is>
          <t>Material Sub Total</t>
        </is>
      </c>
      <c r="C59" s="35" t="n"/>
      <c r="D59" s="2382" t="n"/>
      <c r="E59" s="2335">
        <f>ROUNDUP(SUM(E53:E58),0)</f>
        <v/>
      </c>
      <c r="F59" s="1" t="n"/>
      <c r="G59" s="1" t="n"/>
      <c r="H59" s="1" t="n"/>
      <c r="I59" s="17" t="inlineStr">
        <is>
          <t>Material Sub Total</t>
        </is>
      </c>
      <c r="J59" s="35" t="n"/>
      <c r="K59" s="2382" t="n"/>
      <c r="L59" s="2335">
        <f>ROUNDUP(SUM(L53:L58),0)</f>
        <v/>
      </c>
      <c r="M59" s="1" t="n"/>
      <c r="N59" s="1" t="n"/>
    </row>
    <row r="60">
      <c r="B60" s="20" t="inlineStr">
        <is>
          <t>Discount</t>
        </is>
      </c>
      <c r="C60" s="270" t="n">
        <v>0</v>
      </c>
      <c r="D60" s="2283" t="n"/>
      <c r="E60" s="2383">
        <f>ROUNDUP(SUM(E56)*C60,0)</f>
        <v/>
      </c>
      <c r="F60" s="1" t="n"/>
      <c r="G60" s="1" t="n"/>
      <c r="H60" s="1" t="n"/>
      <c r="I60" s="20" t="inlineStr">
        <is>
          <t>Discount</t>
        </is>
      </c>
      <c r="J60" s="270" t="n">
        <v>0</v>
      </c>
      <c r="K60" s="2283" t="n"/>
      <c r="L60" s="2383">
        <f>ROUNDUP(SUM(L56)*J60,0)</f>
        <v/>
      </c>
      <c r="M60" s="1" t="n"/>
      <c r="N60" s="1" t="n"/>
    </row>
    <row r="61">
      <c r="B61" s="446" t="inlineStr">
        <is>
          <t>Shipping + Mat. Esc.</t>
        </is>
      </c>
      <c r="C61" s="40">
        <f>$C$12</f>
        <v/>
      </c>
      <c r="D61" s="2384" t="n"/>
      <c r="E61" s="2338">
        <f>ROUNDUP(E59*C61,0)</f>
        <v/>
      </c>
      <c r="F61" s="454">
        <f>$F$12</f>
        <v/>
      </c>
      <c r="I61" s="446" t="inlineStr">
        <is>
          <t>Shipping + Mat. Esc.</t>
        </is>
      </c>
      <c r="J61" s="40">
        <f>$C$12</f>
        <v/>
      </c>
      <c r="K61" s="2384" t="n"/>
      <c r="L61" s="2338">
        <f>ROUNDUP(L59*J61,0)</f>
        <v/>
      </c>
      <c r="M61" s="454">
        <f>$F$12</f>
        <v/>
      </c>
    </row>
    <row r="62">
      <c r="B62" s="10" t="inlineStr">
        <is>
          <t>Material Total</t>
        </is>
      </c>
      <c r="C62" s="36" t="n"/>
      <c r="D62" s="2339" t="n"/>
      <c r="E62" s="2339">
        <f>SUM(E59:E61)</f>
        <v/>
      </c>
      <c r="F62" s="123">
        <f>E62/F55</f>
        <v/>
      </c>
      <c r="G62" s="124" t="inlineStr">
        <is>
          <t>Material $/SF</t>
        </is>
      </c>
      <c r="H62" s="1" t="n"/>
      <c r="I62" s="10" t="inlineStr">
        <is>
          <t>Material Total</t>
        </is>
      </c>
      <c r="J62" s="36" t="n"/>
      <c r="K62" s="2339" t="n"/>
      <c r="L62" s="2339">
        <f>SUM(L59:L61)</f>
        <v/>
      </c>
      <c r="M62" s="123">
        <f>L62/M55</f>
        <v/>
      </c>
      <c r="N62" s="124" t="inlineStr">
        <is>
          <t>Material $/SF</t>
        </is>
      </c>
    </row>
    <row r="63">
      <c r="B63" s="1" t="n"/>
      <c r="C63" s="1892" t="n"/>
      <c r="D63" s="2282" t="n"/>
      <c r="E63" s="2282" t="n"/>
      <c r="F63" s="1" t="n"/>
      <c r="I63" s="1" t="n"/>
      <c r="J63" s="1892" t="n"/>
      <c r="K63" s="2282" t="n"/>
      <c r="L63" s="2282" t="n"/>
      <c r="M63" s="1" t="n"/>
    </row>
    <row r="64">
      <c r="B64" s="75" t="inlineStr">
        <is>
          <t>Square Footage:</t>
        </is>
      </c>
      <c r="C64" s="2385">
        <f>F55</f>
        <v/>
      </c>
      <c r="D64" s="75" t="inlineStr">
        <is>
          <t>Linear Footage:</t>
        </is>
      </c>
      <c r="E64" s="2386" t="n">
        <v>0</v>
      </c>
      <c r="F64" s="1" t="n"/>
      <c r="G64" s="273">
        <f>E64/C64</f>
        <v/>
      </c>
      <c r="I64" s="75" t="inlineStr">
        <is>
          <t>Square Footage:</t>
        </is>
      </c>
      <c r="J64" s="2385">
        <f>M55</f>
        <v/>
      </c>
      <c r="K64" s="75" t="inlineStr">
        <is>
          <t>Linear Footage:</t>
        </is>
      </c>
      <c r="L64" s="2386" t="n">
        <v>0</v>
      </c>
      <c r="M64" s="1" t="n"/>
      <c r="N64" s="273">
        <f>L64/J64</f>
        <v/>
      </c>
    </row>
    <row r="65">
      <c r="B65" s="85" t="inlineStr">
        <is>
          <t>Labor:              Guys</t>
        </is>
      </c>
      <c r="C65" s="68" t="inlineStr">
        <is>
          <t>Days</t>
        </is>
      </c>
      <c r="D65" s="68" t="inlineStr">
        <is>
          <t>Rate (PW?)</t>
        </is>
      </c>
      <c r="E65" s="87" t="inlineStr">
        <is>
          <t>Totals</t>
        </is>
      </c>
      <c r="F65" s="76" t="inlineStr">
        <is>
          <t>8hour days</t>
        </is>
      </c>
      <c r="G65" s="156" t="inlineStr">
        <is>
          <t>Estimated SF/MH</t>
        </is>
      </c>
      <c r="H65" s="274" t="n"/>
      <c r="I65" s="85" t="inlineStr">
        <is>
          <t>Labor:              Guys</t>
        </is>
      </c>
      <c r="J65" s="68" t="inlineStr">
        <is>
          <t>Days</t>
        </is>
      </c>
      <c r="K65" s="68" t="inlineStr">
        <is>
          <t>Rate (PW?)</t>
        </is>
      </c>
      <c r="L65" s="87" t="inlineStr">
        <is>
          <t>Totals</t>
        </is>
      </c>
      <c r="M65" s="76" t="inlineStr">
        <is>
          <t>8hour days</t>
        </is>
      </c>
      <c r="N65" s="156" t="inlineStr">
        <is>
          <t>Estimated SF/MH</t>
        </is>
      </c>
    </row>
    <row r="66">
      <c r="B66" s="69" t="n">
        <v>3</v>
      </c>
      <c r="C66" s="1" t="n">
        <v>1.5</v>
      </c>
      <c r="D66" s="2388">
        <f>$D$17</f>
        <v/>
      </c>
      <c r="E66" s="70">
        <f>B66*C66*D66*8</f>
        <v/>
      </c>
      <c r="F66" s="76" t="n"/>
      <c r="G66" s="157">
        <f>F55/(E66/D66)</f>
        <v/>
      </c>
      <c r="H66" s="154" t="n"/>
      <c r="I66" s="69" t="n">
        <v>3</v>
      </c>
      <c r="J66" s="1" t="n">
        <v>0.5</v>
      </c>
      <c r="K66" s="2388">
        <f>$D$17</f>
        <v/>
      </c>
      <c r="L66" s="70">
        <f>I66*J66*K66*8</f>
        <v/>
      </c>
      <c r="M66" s="76" t="n"/>
      <c r="N66" s="157">
        <f>M55/(L66/K66)</f>
        <v/>
      </c>
    </row>
    <row r="67">
      <c r="B67" s="69" t="n"/>
      <c r="C67" s="1" t="n"/>
      <c r="D67" s="2388">
        <f>$D$17</f>
        <v/>
      </c>
      <c r="E67" s="70">
        <f>B67*C67*D67*8</f>
        <v/>
      </c>
      <c r="F67" s="76" t="n"/>
      <c r="G67" s="275">
        <f>F57/(E67/D67)</f>
        <v/>
      </c>
      <c r="H67" s="154" t="n"/>
      <c r="I67" s="69" t="n"/>
      <c r="J67" s="1" t="n"/>
      <c r="K67" s="2388">
        <f>$D$17</f>
        <v/>
      </c>
      <c r="L67" s="70">
        <f>I67*J67*K67*8</f>
        <v/>
      </c>
      <c r="M67" s="76" t="n"/>
      <c r="N67" s="275">
        <f>M57/(L67/K67)</f>
        <v/>
      </c>
    </row>
    <row r="68">
      <c r="B68" s="86" t="inlineStr">
        <is>
          <t>Travel:             Guys</t>
        </is>
      </c>
      <c r="C68" s="67" t="inlineStr">
        <is>
          <t>Hours</t>
        </is>
      </c>
      <c r="D68" s="276" t="inlineStr">
        <is>
          <t>Rate</t>
        </is>
      </c>
      <c r="E68" s="71" t="n"/>
      <c r="F68" s="1" t="n"/>
      <c r="I68" s="86" t="inlineStr">
        <is>
          <t>Travel:             Guys</t>
        </is>
      </c>
      <c r="J68" s="67" t="inlineStr">
        <is>
          <t>Hours</t>
        </is>
      </c>
      <c r="K68" s="276" t="inlineStr">
        <is>
          <t>Rate</t>
        </is>
      </c>
      <c r="L68" s="71" t="n"/>
      <c r="M68" s="1" t="n"/>
    </row>
    <row r="69">
      <c r="B69" s="69" t="n">
        <v>0</v>
      </c>
      <c r="C69" s="1" t="n">
        <v>0</v>
      </c>
      <c r="D69" s="2388">
        <f>$D$20</f>
        <v/>
      </c>
      <c r="E69" s="70">
        <f>B69*C69*D69</f>
        <v/>
      </c>
      <c r="F69" s="76" t="n"/>
      <c r="I69" s="69" t="n">
        <v>0</v>
      </c>
      <c r="J69" s="1" t="n">
        <v>0</v>
      </c>
      <c r="K69" s="2388">
        <f>$D$20</f>
        <v/>
      </c>
      <c r="L69" s="70">
        <f>I69*J69*K69</f>
        <v/>
      </c>
      <c r="M69" s="76" t="n"/>
    </row>
    <row r="70">
      <c r="B70" s="277" t="inlineStr">
        <is>
          <t>Labor Total</t>
        </is>
      </c>
      <c r="C70" s="278" t="n"/>
      <c r="D70" s="278" t="n"/>
      <c r="E70" s="2390">
        <f>ROUNDUP(SUM(E66:E69),0)</f>
        <v/>
      </c>
      <c r="F70" s="123">
        <f>E70/C64</f>
        <v/>
      </c>
      <c r="G70" s="124" t="inlineStr">
        <is>
          <t>Labor $/SF</t>
        </is>
      </c>
      <c r="H70" s="1" t="n"/>
      <c r="I70" s="277" t="inlineStr">
        <is>
          <t>Labor Total</t>
        </is>
      </c>
      <c r="J70" s="278" t="n"/>
      <c r="K70" s="278" t="n"/>
      <c r="L70" s="2390">
        <f>ROUNDUP(SUM(L66:L69),0)</f>
        <v/>
      </c>
      <c r="M70" s="123">
        <f>L70/J64</f>
        <v/>
      </c>
      <c r="N70" s="124" t="inlineStr">
        <is>
          <t>Labor $/SF</t>
        </is>
      </c>
    </row>
    <row r="71">
      <c r="B71" s="1" t="n"/>
      <c r="C71" s="1892" t="n"/>
      <c r="D71" s="2282" t="n"/>
      <c r="E71" s="2282" t="n"/>
      <c r="F71" s="2282" t="n"/>
      <c r="G71" s="1" t="n"/>
      <c r="H71" s="1" t="n"/>
      <c r="I71" s="1" t="n"/>
      <c r="J71" s="1892" t="n"/>
      <c r="K71" s="2282" t="n"/>
      <c r="L71" s="2282" t="n"/>
      <c r="M71" s="2282" t="n"/>
      <c r="N71" s="1" t="n"/>
    </row>
    <row r="72">
      <c r="B72" s="5" t="inlineStr">
        <is>
          <t>OTHER COSTS</t>
        </is>
      </c>
      <c r="C72" s="30" t="inlineStr">
        <is>
          <t>Quantity</t>
        </is>
      </c>
      <c r="D72" s="11" t="inlineStr">
        <is>
          <t>Cost</t>
        </is>
      </c>
      <c r="E72" s="2019" t="inlineStr">
        <is>
          <t>Total</t>
        </is>
      </c>
      <c r="F72" s="1" t="n"/>
      <c r="G72" s="1" t="n"/>
      <c r="H72" s="1" t="n"/>
      <c r="I72" s="5" t="inlineStr">
        <is>
          <t>OTHER COSTS</t>
        </is>
      </c>
      <c r="J72" s="30" t="inlineStr">
        <is>
          <t>Quantity</t>
        </is>
      </c>
      <c r="K72" s="11" t="inlineStr">
        <is>
          <t>Cost</t>
        </is>
      </c>
      <c r="L72" s="2019" t="inlineStr">
        <is>
          <t>Total</t>
        </is>
      </c>
      <c r="M72" s="1" t="n"/>
      <c r="N72" s="1" t="n"/>
    </row>
    <row r="73">
      <c r="B73" s="6" t="inlineStr">
        <is>
          <t>Moisture Test</t>
        </is>
      </c>
      <c r="C73" s="37" t="n"/>
      <c r="D73" s="2282" t="n">
        <v>35</v>
      </c>
      <c r="E73" s="2038">
        <f>ROUNDUP(C73*D73,0)</f>
        <v/>
      </c>
      <c r="F73" s="1" t="n"/>
      <c r="G73" s="1" t="n"/>
      <c r="H73" s="1" t="n"/>
      <c r="I73" s="6" t="inlineStr">
        <is>
          <t>Moisture Test</t>
        </is>
      </c>
      <c r="J73" s="37" t="n"/>
      <c r="K73" s="2282" t="n">
        <v>35</v>
      </c>
      <c r="L73" s="2038">
        <f>ROUNDUP(J73*K73,0)</f>
        <v/>
      </c>
      <c r="M73" s="1" t="n"/>
      <c r="N73" s="1" t="n"/>
    </row>
    <row r="74">
      <c r="B74" s="6" t="inlineStr">
        <is>
          <t>Tooling &amp; Consumables</t>
        </is>
      </c>
      <c r="C74" s="37" t="n"/>
      <c r="D74" s="2282" t="n">
        <v>0.33</v>
      </c>
      <c r="E74" s="2038">
        <f>ROUNDUP(C74*D74,0)</f>
        <v/>
      </c>
      <c r="F74" s="1" t="n"/>
      <c r="G74" s="1" t="n"/>
      <c r="H74" s="1" t="n"/>
      <c r="I74" s="6" t="inlineStr">
        <is>
          <t>Tooling &amp; Consumables</t>
        </is>
      </c>
      <c r="J74" s="37" t="n"/>
      <c r="K74" s="2282" t="n">
        <v>0.33</v>
      </c>
      <c r="L74" s="2038">
        <f>ROUNDUP(J74*K74,0)</f>
        <v/>
      </c>
      <c r="M74" s="1" t="n"/>
      <c r="N74" s="1" t="n"/>
    </row>
    <row r="75">
      <c r="B75" s="6" t="inlineStr">
        <is>
          <t>Travel - Lodging</t>
        </is>
      </c>
      <c r="C75" s="37" t="n">
        <v>0</v>
      </c>
      <c r="D75" s="2282">
        <f>$D$26</f>
        <v/>
      </c>
      <c r="E75" s="2038">
        <f>ROUNDUP(C75*D75,0)</f>
        <v/>
      </c>
      <c r="F75" s="1" t="n"/>
      <c r="G75" s="1" t="n"/>
      <c r="H75" s="1" t="n"/>
      <c r="I75" s="6" t="inlineStr">
        <is>
          <t>Travel - Lodging</t>
        </is>
      </c>
      <c r="J75" s="37" t="n">
        <v>0</v>
      </c>
      <c r="K75" s="2282">
        <f>$D$26</f>
        <v/>
      </c>
      <c r="L75" s="2038">
        <f>ROUNDUP(J75*K75,0)</f>
        <v/>
      </c>
      <c r="M75" s="1" t="n"/>
      <c r="N75" s="1" t="n"/>
    </row>
    <row r="76">
      <c r="B76" s="6" t="inlineStr">
        <is>
          <t>Travel - Food</t>
        </is>
      </c>
      <c r="C76" s="37">
        <f>C75</f>
        <v/>
      </c>
      <c r="D76" s="2282">
        <f>$D$27</f>
        <v/>
      </c>
      <c r="E76" s="2038">
        <f>ROUNDUP(C76*D76,0)</f>
        <v/>
      </c>
      <c r="F76" s="43" t="n"/>
      <c r="G76" s="1" t="n"/>
      <c r="H76" s="1" t="n"/>
      <c r="I76" s="6" t="inlineStr">
        <is>
          <t>Travel - Food</t>
        </is>
      </c>
      <c r="J76" s="37">
        <f>J75</f>
        <v/>
      </c>
      <c r="K76" s="2282">
        <f>$D$27</f>
        <v/>
      </c>
      <c r="L76" s="2038">
        <f>ROUNDUP(J76*K76,0)</f>
        <v/>
      </c>
      <c r="M76" s="43" t="n"/>
      <c r="N76" s="1" t="n"/>
    </row>
    <row r="77">
      <c r="B77" s="6" t="inlineStr">
        <is>
          <t>Foreman - Fuel</t>
        </is>
      </c>
      <c r="C77" s="37" t="n">
        <v>0</v>
      </c>
      <c r="D77" s="2282">
        <f>$D$28</f>
        <v/>
      </c>
      <c r="E77" s="2038">
        <f>ROUNDUP(C77*D77,0)</f>
        <v/>
      </c>
      <c r="F77" s="43" t="n"/>
      <c r="G77" s="1" t="n"/>
      <c r="H77" s="1" t="n"/>
      <c r="I77" s="6" t="inlineStr">
        <is>
          <t>Foreman - Fuel</t>
        </is>
      </c>
      <c r="J77" s="37" t="n">
        <v>0</v>
      </c>
      <c r="K77" s="2282">
        <f>$D$28</f>
        <v/>
      </c>
      <c r="L77" s="2038">
        <f>ROUNDUP(J77*K77,0)</f>
        <v/>
      </c>
      <c r="M77" s="43" t="n"/>
      <c r="N77" s="1" t="n"/>
    </row>
    <row r="78">
      <c r="B78" s="6" t="inlineStr">
        <is>
          <t>Generator Fuel</t>
        </is>
      </c>
      <c r="C78" s="37" t="n"/>
      <c r="D78" s="2282" t="n">
        <v>0.04</v>
      </c>
      <c r="E78" s="2038">
        <f>ROUNDUP(C78*D78,0)</f>
        <v/>
      </c>
      <c r="F78" s="1" t="n"/>
      <c r="G78" s="1" t="n"/>
      <c r="H78" s="1" t="n"/>
      <c r="I78" s="6" t="inlineStr">
        <is>
          <t>Generator Fuel</t>
        </is>
      </c>
      <c r="J78" s="37" t="n"/>
      <c r="K78" s="2282" t="n">
        <v>0.04</v>
      </c>
      <c r="L78" s="2038">
        <f>ROUNDUP(J78*K78,0)</f>
        <v/>
      </c>
      <c r="M78" s="1" t="n"/>
      <c r="N78" s="1" t="n"/>
    </row>
    <row r="79">
      <c r="B79" s="6" t="inlineStr">
        <is>
          <t>Plastic</t>
        </is>
      </c>
      <c r="C79" s="37" t="n"/>
      <c r="D79" s="2282" t="n"/>
      <c r="E79" s="2038">
        <f>ROUNDUP(C79*D79,0)</f>
        <v/>
      </c>
      <c r="F79" s="1" t="n"/>
      <c r="G79" s="1" t="n"/>
      <c r="H79" s="1" t="n"/>
      <c r="I79" s="6" t="inlineStr">
        <is>
          <t>Plastic</t>
        </is>
      </c>
      <c r="J79" s="37" t="n"/>
      <c r="K79" s="2282" t="n"/>
      <c r="L79" s="2038">
        <f>ROUNDUP(J79*K79,0)</f>
        <v/>
      </c>
      <c r="M79" s="1" t="n"/>
      <c r="N79" s="1" t="n"/>
    </row>
    <row r="80">
      <c r="B80" s="10" t="inlineStr">
        <is>
          <t>Other Costs Total</t>
        </is>
      </c>
      <c r="C80" s="36" t="n"/>
      <c r="D80" s="2339" t="n"/>
      <c r="E80" s="2340">
        <f>SUM(E73:E79)</f>
        <v/>
      </c>
      <c r="F80" s="1" t="n"/>
      <c r="G80" s="1" t="n"/>
      <c r="H80" s="1" t="n"/>
      <c r="I80" s="10" t="inlineStr">
        <is>
          <t>Other Costs Total</t>
        </is>
      </c>
      <c r="J80" s="36" t="n"/>
      <c r="K80" s="2339" t="n"/>
      <c r="L80" s="2340">
        <f>SUM(L73:L79)</f>
        <v/>
      </c>
      <c r="M80" s="1" t="n"/>
      <c r="N80" s="1" t="n"/>
    </row>
    <row r="81">
      <c r="B81" s="1" t="n"/>
      <c r="C81" s="1892" t="n"/>
      <c r="D81" s="2282" t="n"/>
      <c r="E81" s="2282" t="n"/>
      <c r="F81" s="1" t="n"/>
      <c r="G81" s="1" t="n"/>
      <c r="H81" s="1" t="n"/>
      <c r="I81" s="1" t="n"/>
      <c r="J81" s="1892" t="n"/>
      <c r="K81" s="2282" t="n"/>
      <c r="L81" s="2282" t="n"/>
      <c r="M81" s="1" t="n"/>
      <c r="N81" s="1" t="n"/>
    </row>
    <row r="82">
      <c r="B82" s="1" t="n"/>
      <c r="C82" s="1892" t="n"/>
      <c r="D82" s="2282" t="n"/>
      <c r="E82" s="2282" t="n"/>
      <c r="F82" s="1" t="n"/>
      <c r="G82" s="1" t="n"/>
      <c r="H82" s="1" t="n"/>
      <c r="I82" s="1" t="n"/>
      <c r="J82" s="1892" t="n"/>
      <c r="K82" s="2282" t="n"/>
      <c r="L82" s="2282" t="n"/>
      <c r="M82" s="1" t="n"/>
      <c r="N82" s="1" t="n"/>
    </row>
    <row r="83">
      <c r="B83" s="280" t="inlineStr">
        <is>
          <t>SUB-TOTAL COSTS</t>
        </is>
      </c>
      <c r="C83" s="281" t="n"/>
      <c r="D83" s="2393" t="n"/>
      <c r="E83" s="2394">
        <f>SUM(E62,E70,E80)</f>
        <v/>
      </c>
      <c r="F83" s="1" t="n"/>
      <c r="G83" s="1" t="n"/>
      <c r="H83" s="1" t="n"/>
      <c r="I83" s="280" t="inlineStr">
        <is>
          <t>SUB-TOTAL COSTS</t>
        </is>
      </c>
      <c r="J83" s="281" t="n"/>
      <c r="K83" s="2393" t="n"/>
      <c r="L83" s="2394">
        <f>SUM(L62,L70,L80)</f>
        <v/>
      </c>
      <c r="M83" s="1" t="n"/>
      <c r="N83" s="1" t="n"/>
    </row>
    <row r="84">
      <c r="B84" s="1" t="n"/>
      <c r="C84" s="1892" t="n"/>
      <c r="D84" s="2282" t="n"/>
      <c r="E84" s="2282" t="n"/>
      <c r="F84" s="1" t="n"/>
      <c r="G84" s="1" t="n"/>
      <c r="H84" s="1" t="n"/>
      <c r="I84" s="1" t="n"/>
      <c r="J84" s="1892" t="n"/>
      <c r="K84" s="2282" t="n"/>
      <c r="L84" s="2282" t="n"/>
      <c r="M84" s="1" t="n"/>
      <c r="N84" s="1" t="n"/>
    </row>
    <row r="85">
      <c r="B85" s="5" t="inlineStr">
        <is>
          <t>MARKUP</t>
        </is>
      </c>
      <c r="C85" s="30" t="inlineStr">
        <is>
          <t>%</t>
        </is>
      </c>
      <c r="D85" s="2395" t="n"/>
      <c r="E85" s="2019" t="n"/>
      <c r="F85" s="1" t="n"/>
      <c r="G85" s="1" t="n"/>
      <c r="H85" s="1" t="n"/>
      <c r="I85" s="5" t="inlineStr">
        <is>
          <t>MARKUP</t>
        </is>
      </c>
      <c r="J85" s="30" t="inlineStr">
        <is>
          <t>%</t>
        </is>
      </c>
      <c r="K85" s="2395" t="n"/>
      <c r="L85" s="2019" t="n"/>
      <c r="M85" s="1" t="n"/>
      <c r="N85" s="1" t="n"/>
    </row>
    <row r="86">
      <c r="B86" s="6" t="inlineStr">
        <is>
          <t>Sales Tax</t>
        </is>
      </c>
      <c r="C86" s="2396">
        <f>$C$37</f>
        <v/>
      </c>
      <c r="D86" s="2397" t="n"/>
      <c r="E86" s="2038">
        <f>ROUNDUP(SUM(E62:E62)*C86,0)</f>
        <v/>
      </c>
      <c r="F86" s="1" t="n"/>
      <c r="G86" s="1" t="n"/>
      <c r="H86" s="1" t="n"/>
      <c r="I86" s="6" t="inlineStr">
        <is>
          <t>Sales Tax</t>
        </is>
      </c>
      <c r="J86" s="2396">
        <f>$C$37</f>
        <v/>
      </c>
      <c r="K86" s="2397" t="n"/>
      <c r="L86" s="2038">
        <f>ROUNDUP(SUM(L62:L62)*J86,0)</f>
        <v/>
      </c>
      <c r="M86" s="1" t="n"/>
      <c r="N86" s="1" t="n"/>
      <c r="AM86" s="387" t="n"/>
    </row>
    <row r="87">
      <c r="B87" s="6" t="inlineStr">
        <is>
          <t>Insurance</t>
        </is>
      </c>
      <c r="C87" s="241" t="n">
        <v>0.08</v>
      </c>
      <c r="D87" s="2397" t="n"/>
      <c r="E87" s="2038">
        <f>ROUNDUP(SUM(E70)*C87,0)</f>
        <v/>
      </c>
      <c r="F87" s="1" t="n"/>
      <c r="G87" s="1" t="n"/>
      <c r="H87" s="1" t="n"/>
      <c r="I87" s="6" t="inlineStr">
        <is>
          <t>Insurance</t>
        </is>
      </c>
      <c r="J87" s="241" t="n">
        <v>0.08</v>
      </c>
      <c r="K87" s="2397" t="n"/>
      <c r="L87" s="2038">
        <f>ROUNDUP(SUM(L70)*J87,0)</f>
        <v/>
      </c>
      <c r="M87" s="1" t="n"/>
      <c r="N87" s="1" t="n"/>
      <c r="AM87" s="388" t="n"/>
    </row>
    <row r="88">
      <c r="B88" s="6" t="inlineStr">
        <is>
          <t>Material Contingency</t>
        </is>
      </c>
      <c r="C88" s="122" t="n">
        <v>0</v>
      </c>
      <c r="D88" s="2282" t="n"/>
      <c r="E88" s="2038">
        <f>ROUNDUP(E62*C88,0)</f>
        <v/>
      </c>
      <c r="F88" s="1" t="n"/>
      <c r="G88" s="1" t="n"/>
      <c r="H88" s="1" t="n"/>
      <c r="I88" s="6" t="inlineStr">
        <is>
          <t>Material Contingency</t>
        </is>
      </c>
      <c r="J88" s="122" t="n">
        <v>0</v>
      </c>
      <c r="K88" s="2282" t="n"/>
      <c r="L88" s="2038">
        <f>ROUNDUP(L62*J88,0)</f>
        <v/>
      </c>
      <c r="M88" s="1" t="n"/>
      <c r="N88" s="1" t="n"/>
      <c r="AM88" s="389" t="n"/>
    </row>
    <row r="89">
      <c r="B89" s="6" t="inlineStr">
        <is>
          <t>Labor Contingency</t>
        </is>
      </c>
      <c r="C89" s="122" t="n">
        <v>0.15</v>
      </c>
      <c r="D89" s="2282" t="n"/>
      <c r="E89" s="2038">
        <f>ROUNDUP(E70*C89,0)</f>
        <v/>
      </c>
      <c r="F89" s="1" t="n"/>
      <c r="G89" s="1" t="n"/>
      <c r="H89" s="1" t="n"/>
      <c r="I89" s="6" t="inlineStr">
        <is>
          <t>Labor Contingency</t>
        </is>
      </c>
      <c r="J89" s="122" t="n">
        <v>0.15</v>
      </c>
      <c r="K89" s="2282" t="n"/>
      <c r="L89" s="2038">
        <f>ROUNDUP(L70*J89,0)</f>
        <v/>
      </c>
      <c r="M89" s="1" t="n"/>
      <c r="N89" s="1" t="n"/>
      <c r="AM89" s="390" t="n"/>
    </row>
    <row r="90">
      <c r="B90" s="6" t="inlineStr">
        <is>
          <t>Mark Up</t>
        </is>
      </c>
      <c r="C90" s="122" t="n">
        <v>0.4</v>
      </c>
      <c r="D90" s="2282" t="n"/>
      <c r="E90" s="2038">
        <f>ROUNDUP(SUM(E83:E89)*C90,0)</f>
        <v/>
      </c>
      <c r="F90" s="1" t="n"/>
      <c r="G90" s="1" t="n"/>
      <c r="H90" s="1" t="n"/>
      <c r="I90" s="6" t="inlineStr">
        <is>
          <t>Mark Up</t>
        </is>
      </c>
      <c r="J90" s="122" t="n">
        <v>0.4</v>
      </c>
      <c r="K90" s="2282" t="n"/>
      <c r="L90" s="2038">
        <f>ROUNDUP(SUM(L83:L89)*J90,0)</f>
        <v/>
      </c>
      <c r="M90" s="1" t="n"/>
      <c r="N90" s="1" t="n"/>
      <c r="AM90" s="391" t="n"/>
    </row>
    <row r="91">
      <c r="B91" s="284">
        <f>$B$42</f>
        <v/>
      </c>
      <c r="C91" s="241">
        <f>$C$42</f>
        <v/>
      </c>
      <c r="D91" s="2282" t="n"/>
      <c r="E91" s="2038">
        <f>ROUNDUP(SUM(E70,E87:E90)*C91,0)</f>
        <v/>
      </c>
      <c r="F91" s="1" t="n"/>
      <c r="G91" s="1" t="n"/>
      <c r="H91" s="1" t="n"/>
      <c r="I91" s="284">
        <f>$B$42</f>
        <v/>
      </c>
      <c r="J91" s="241">
        <f>$C$42</f>
        <v/>
      </c>
      <c r="K91" s="2282" t="n"/>
      <c r="L91" s="2038">
        <f>ROUNDUP(SUM(L70,L87:L90)*J91,0)</f>
        <v/>
      </c>
      <c r="M91" s="1" t="n"/>
      <c r="N91" s="1" t="n"/>
      <c r="AM91" s="392" t="n"/>
    </row>
    <row r="92">
      <c r="B92" s="403" t="inlineStr">
        <is>
          <t>Warranty &amp; Extra Soft Cost</t>
        </is>
      </c>
      <c r="C92" s="241">
        <f>$C$43</f>
        <v/>
      </c>
      <c r="D92" s="2282" t="n"/>
      <c r="E92" s="2038">
        <f>ROUNDUP(C92*SUM(E83:E91),0)</f>
        <v/>
      </c>
      <c r="F92" s="1" t="n"/>
      <c r="G92" s="1" t="n"/>
      <c r="H92" s="1" t="n"/>
      <c r="I92" s="403" t="inlineStr">
        <is>
          <t>Warranty &amp; Extra Soft Cost</t>
        </is>
      </c>
      <c r="J92" s="241">
        <f>$C$43</f>
        <v/>
      </c>
      <c r="K92" s="2282" t="n"/>
      <c r="L92" s="2038">
        <f>ROUNDUP(J92*SUM(L83:L91),0)</f>
        <v/>
      </c>
      <c r="M92" s="1" t="n"/>
      <c r="N92" s="1" t="n"/>
    </row>
    <row r="93">
      <c r="B93" s="45" t="inlineStr">
        <is>
          <t>Bond</t>
        </is>
      </c>
      <c r="C93" s="46">
        <f>$C$44</f>
        <v/>
      </c>
      <c r="D93" s="2314" t="n"/>
      <c r="E93" s="2400">
        <f>ROUNDUP(SUM(E83:E92)*C93,0)</f>
        <v/>
      </c>
      <c r="F93" s="1" t="n"/>
      <c r="G93" s="1" t="n"/>
      <c r="H93" s="1" t="n"/>
      <c r="I93" s="45" t="inlineStr">
        <is>
          <t>Bond</t>
        </is>
      </c>
      <c r="J93" s="46">
        <f>$C$44</f>
        <v/>
      </c>
      <c r="K93" s="2314" t="n"/>
      <c r="L93" s="2400">
        <f>ROUNDUP(SUM(L83:L92)*J93,0)</f>
        <v/>
      </c>
      <c r="M93" s="1" t="n"/>
      <c r="N93" s="1" t="n"/>
    </row>
    <row r="94">
      <c r="B94" s="1" t="n"/>
      <c r="C94" s="287" t="inlineStr">
        <is>
          <t>LF:</t>
        </is>
      </c>
      <c r="D94" s="2405">
        <f>C56</f>
        <v/>
      </c>
      <c r="E94" s="2282" t="n"/>
      <c r="F94" s="1" t="n"/>
      <c r="G94" s="286" t="inlineStr">
        <is>
          <t>Mark Up + Conting.</t>
        </is>
      </c>
      <c r="H94" s="1892" t="n"/>
      <c r="I94" s="1" t="n"/>
      <c r="J94" s="287" t="inlineStr">
        <is>
          <t>LF:</t>
        </is>
      </c>
      <c r="K94" s="2405">
        <f>J56</f>
        <v/>
      </c>
      <c r="L94" s="2282" t="n"/>
      <c r="M94" s="1" t="n"/>
      <c r="N94" s="286" t="inlineStr">
        <is>
          <t>Mark Up + Conting.</t>
        </is>
      </c>
    </row>
    <row r="95" ht="16.2" customHeight="1" thickBot="1">
      <c r="B95" s="1" t="n"/>
      <c r="C95" s="1079" t="inlineStr">
        <is>
          <t>SF:</t>
        </is>
      </c>
      <c r="D95" s="2401">
        <f>C64</f>
        <v/>
      </c>
      <c r="E95" s="1077" t="inlineStr">
        <is>
          <t>Joint Filler</t>
        </is>
      </c>
      <c r="F95" s="38" t="inlineStr">
        <is>
          <t>Less Sales Tax</t>
        </is>
      </c>
      <c r="G95" s="2402">
        <f>SUM(E88:E90)</f>
        <v/>
      </c>
      <c r="H95" s="2282" t="n"/>
      <c r="I95" s="1" t="n"/>
      <c r="J95" s="1079" t="inlineStr">
        <is>
          <t>SF:</t>
        </is>
      </c>
      <c r="K95" s="2401">
        <f>J64</f>
        <v/>
      </c>
      <c r="L95" s="1077" t="inlineStr">
        <is>
          <t>Joint Filler</t>
        </is>
      </c>
      <c r="M95" s="38" t="inlineStr">
        <is>
          <t>Less Sales Tax</t>
        </is>
      </c>
      <c r="N95" s="2402">
        <f>SUM(L88:L90)</f>
        <v/>
      </c>
    </row>
    <row r="96" ht="16.2" customHeight="1" thickBot="1">
      <c r="B96" s="289" t="inlineStr">
        <is>
          <t>TOTAL</t>
        </is>
      </c>
      <c r="C96" s="290" t="n"/>
      <c r="D96" s="2403">
        <f>E96/C64</f>
        <v/>
      </c>
      <c r="E96" s="2404">
        <f>SUM(E83:E93)</f>
        <v/>
      </c>
      <c r="F96" s="2282">
        <f>E96-E86-E91</f>
        <v/>
      </c>
      <c r="G96" s="293">
        <f>G95/E96</f>
        <v/>
      </c>
      <c r="H96" s="294" t="n"/>
      <c r="I96" s="289" t="inlineStr">
        <is>
          <t>TOTAL</t>
        </is>
      </c>
      <c r="J96" s="290" t="n"/>
      <c r="K96" s="2403">
        <f>L96/J64</f>
        <v/>
      </c>
      <c r="L96" s="2404">
        <f>SUM(L83:L93)</f>
        <v/>
      </c>
      <c r="M96" s="2282">
        <f>L96-L86-L91</f>
        <v/>
      </c>
      <c r="N96" s="293">
        <f>N95/L96</f>
        <v/>
      </c>
    </row>
    <row r="97" ht="16.2" customHeight="1" thickBot="1">
      <c r="B97" s="1081" t="inlineStr">
        <is>
          <t>Per LF:</t>
        </is>
      </c>
      <c r="C97" s="2406">
        <f>E96/D94</f>
        <v/>
      </c>
      <c r="D97" s="2282">
        <f>E97/C64</f>
        <v/>
      </c>
      <c r="E97" s="2282">
        <f>E96-E91</f>
        <v/>
      </c>
      <c r="F97" t="inlineStr">
        <is>
          <t xml:space="preserve">less ks remodel, if applicable </t>
        </is>
      </c>
      <c r="G97" s="295">
        <f>IF(G96&lt;=0.25,"OWNER APPROVAL REQUIRED","GP % Okay")</f>
        <v/>
      </c>
      <c r="H97" s="1891" t="n"/>
      <c r="I97" s="1081" t="inlineStr">
        <is>
          <t>Per LF:</t>
        </is>
      </c>
      <c r="J97" s="2406">
        <f>L96/K94</f>
        <v/>
      </c>
      <c r="K97" s="2282">
        <f>L97/J64</f>
        <v/>
      </c>
      <c r="L97" s="2282">
        <f>L96-L91</f>
        <v/>
      </c>
      <c r="M97" t="inlineStr">
        <is>
          <t xml:space="preserve">less ks remodel, if applicable </t>
        </is>
      </c>
      <c r="N97" s="295">
        <f>IF(N96&lt;=0.25,"OWNER APPROVAL REQUIRED","GP % Okay")</f>
        <v/>
      </c>
    </row>
    <row r="100">
      <c r="B100" s="2407" t="inlineStr">
        <is>
          <t>Resinous  - MOB (In Town)</t>
        </is>
      </c>
      <c r="C100" s="2350" t="n"/>
      <c r="D100" s="2350" t="n"/>
      <c r="E100" s="237" t="n"/>
      <c r="F100" s="2375">
        <f>E145</f>
        <v/>
      </c>
      <c r="G100" s="263" t="inlineStr">
        <is>
          <t>Total</t>
        </is>
      </c>
      <c r="I100" s="2407" t="inlineStr">
        <is>
          <t>Resinous  - MOB (2:00 Hours One Way)</t>
        </is>
      </c>
      <c r="J100" s="2350" t="n"/>
      <c r="K100" s="2350" t="n"/>
      <c r="L100" s="237" t="n"/>
      <c r="M100" s="2375">
        <f>L145</f>
        <v/>
      </c>
      <c r="N100" s="263" t="inlineStr">
        <is>
          <t>Total</t>
        </is>
      </c>
      <c r="P100" s="2407" t="inlineStr">
        <is>
          <t>Resinous  - MOB (3:00 Hours One Way)</t>
        </is>
      </c>
      <c r="Q100" s="2350" t="n"/>
      <c r="R100" s="2350" t="n"/>
      <c r="S100" s="237" t="n"/>
      <c r="T100" s="2375">
        <f>S145</f>
        <v/>
      </c>
      <c r="U100" s="263" t="inlineStr">
        <is>
          <t>Total</t>
        </is>
      </c>
    </row>
    <row r="101">
      <c r="B101" s="25" t="inlineStr">
        <is>
          <t>MATERIAL - Patch</t>
        </is>
      </c>
      <c r="C101" s="90" t="inlineStr">
        <is>
          <t>Quantity</t>
        </is>
      </c>
      <c r="D101" s="90" t="inlineStr">
        <is>
          <t>Cost</t>
        </is>
      </c>
      <c r="E101" s="91" t="inlineStr">
        <is>
          <t>Total</t>
        </is>
      </c>
      <c r="F101" s="23" t="n"/>
      <c r="G101" s="89" t="n"/>
      <c r="H101" s="264" t="n"/>
      <c r="I101" s="25" t="inlineStr">
        <is>
          <t>MATERIAL - Patch</t>
        </is>
      </c>
      <c r="J101" s="90" t="inlineStr">
        <is>
          <t>Quantity</t>
        </is>
      </c>
      <c r="K101" s="90" t="inlineStr">
        <is>
          <t>Cost</t>
        </is>
      </c>
      <c r="L101" s="91" t="inlineStr">
        <is>
          <t>Total</t>
        </is>
      </c>
      <c r="M101" s="23" t="n"/>
      <c r="N101" s="89" t="n"/>
      <c r="P101" s="25" t="inlineStr">
        <is>
          <t>MATERIAL - Patch</t>
        </is>
      </c>
      <c r="Q101" s="90" t="inlineStr">
        <is>
          <t>Quantity</t>
        </is>
      </c>
      <c r="R101" s="90" t="inlineStr">
        <is>
          <t>Cost</t>
        </is>
      </c>
      <c r="S101" s="91" t="inlineStr">
        <is>
          <t>Total</t>
        </is>
      </c>
      <c r="T101" s="23" t="n"/>
      <c r="U101" s="89" t="n"/>
    </row>
    <row r="102">
      <c r="B102" s="44" t="n"/>
      <c r="C102" s="2377" t="n"/>
      <c r="D102" s="2312" t="n"/>
      <c r="E102" s="2308">
        <f>C102*D102</f>
        <v/>
      </c>
      <c r="F102" s="1" t="n"/>
      <c r="G102" s="1" t="n"/>
      <c r="H102" s="1" t="n"/>
      <c r="I102" s="44" t="n"/>
      <c r="J102" s="2377" t="n"/>
      <c r="K102" s="2312" t="n"/>
      <c r="L102" s="2308">
        <f>J102*K102</f>
        <v/>
      </c>
      <c r="M102" s="1" t="n"/>
      <c r="N102" s="1" t="n"/>
      <c r="P102" s="44" t="n"/>
      <c r="Q102" s="2377" t="n"/>
      <c r="R102" s="2312" t="n"/>
      <c r="S102" s="2308">
        <f>Q102*R102</f>
        <v/>
      </c>
      <c r="T102" s="1" t="n"/>
      <c r="U102" s="1" t="n"/>
    </row>
    <row r="103">
      <c r="B103" s="44" t="n"/>
      <c r="C103" s="2377" t="n"/>
      <c r="D103" s="2312" t="n"/>
      <c r="E103" s="2308">
        <f>C103*D103</f>
        <v/>
      </c>
      <c r="F103" s="1" t="n"/>
      <c r="G103" s="1548">
        <f>Epoxy!U140</f>
        <v/>
      </c>
      <c r="H103" s="1" t="n"/>
      <c r="I103" s="44" t="n"/>
      <c r="J103" s="2377" t="n"/>
      <c r="K103" s="2312" t="n"/>
      <c r="L103" s="2308">
        <f>J103*K103</f>
        <v/>
      </c>
      <c r="M103" s="1" t="n"/>
      <c r="N103" s="1" t="n"/>
      <c r="P103" s="44" t="n"/>
      <c r="Q103" s="2377" t="n"/>
      <c r="R103" s="2312" t="n"/>
      <c r="S103" s="2308">
        <f>Q103*R103</f>
        <v/>
      </c>
      <c r="T103" s="1" t="n"/>
      <c r="U103" s="1" t="n"/>
    </row>
    <row r="104">
      <c r="B104" s="25" t="inlineStr">
        <is>
          <t>MATERIAL - Floor</t>
        </is>
      </c>
      <c r="C104" s="2379" t="n"/>
      <c r="D104" s="23" t="n"/>
      <c r="E104" s="29" t="n"/>
      <c r="F104" s="2380" t="n">
        <v>0</v>
      </c>
      <c r="G104" s="82" t="inlineStr">
        <is>
          <t>SF</t>
        </is>
      </c>
      <c r="H104" s="1" t="n"/>
      <c r="I104" s="25" t="inlineStr">
        <is>
          <t>MATERIAL - Floor</t>
        </is>
      </c>
      <c r="J104" s="2379" t="n"/>
      <c r="K104" s="23" t="n"/>
      <c r="L104" s="29" t="n"/>
      <c r="M104" s="2380" t="n">
        <v>0</v>
      </c>
      <c r="N104" s="82" t="inlineStr">
        <is>
          <t>SF</t>
        </is>
      </c>
      <c r="P104" s="25" t="inlineStr">
        <is>
          <t>MATERIAL - Floor</t>
        </is>
      </c>
      <c r="Q104" s="2379" t="n"/>
      <c r="R104" s="23" t="n"/>
      <c r="S104" s="29" t="n"/>
      <c r="T104" s="2380" t="n">
        <v>0</v>
      </c>
      <c r="U104" s="82" t="inlineStr">
        <is>
          <t>SF</t>
        </is>
      </c>
    </row>
    <row r="105">
      <c r="B105" s="47" t="inlineStr">
        <is>
          <t>SL (?)</t>
        </is>
      </c>
      <c r="C105" s="2408" t="n"/>
      <c r="D105" s="2409">
        <f>SL+G105</f>
        <v/>
      </c>
      <c r="E105" s="2038">
        <f>C105*D105</f>
        <v/>
      </c>
      <c r="F105" s="74" t="inlineStr">
        <is>
          <t>(@ 55 sf / kit)</t>
        </is>
      </c>
      <c r="G105" s="2410" t="n"/>
      <c r="H105" s="1" t="n"/>
      <c r="I105" s="47" t="inlineStr">
        <is>
          <t>SL (?)</t>
        </is>
      </c>
      <c r="J105" s="2408" t="n"/>
      <c r="K105" s="2282">
        <f>D105</f>
        <v/>
      </c>
      <c r="L105" s="2038">
        <f>J105*K105</f>
        <v/>
      </c>
      <c r="M105" s="74" t="inlineStr">
        <is>
          <t>(@ 55 sf / kit)</t>
        </is>
      </c>
      <c r="N105" s="1" t="n"/>
      <c r="P105" s="47" t="inlineStr">
        <is>
          <t>SL (?)</t>
        </is>
      </c>
      <c r="Q105" s="2408" t="n"/>
      <c r="R105" s="2282">
        <f>D105</f>
        <v/>
      </c>
      <c r="S105" s="2038">
        <f>Q105*R105</f>
        <v/>
      </c>
      <c r="T105" s="74" t="inlineStr">
        <is>
          <t>(@ 55 sf / kit)</t>
        </is>
      </c>
      <c r="U105" s="1" t="n"/>
    </row>
    <row r="106">
      <c r="B106" s="47" t="inlineStr">
        <is>
          <t>AT (?)</t>
        </is>
      </c>
      <c r="C106" s="2408" t="n"/>
      <c r="D106" s="2409">
        <f>AT_Clear_Satin_w_Grit+G106</f>
        <v/>
      </c>
      <c r="E106" s="2038">
        <f>C106*D106</f>
        <v/>
      </c>
      <c r="F106" s="74" t="inlineStr">
        <is>
          <t>(@ 775 sf / kit)</t>
        </is>
      </c>
      <c r="G106" s="2410" t="n"/>
      <c r="H106" s="1" t="n"/>
      <c r="I106" s="47" t="inlineStr">
        <is>
          <t>AT (?)</t>
        </is>
      </c>
      <c r="J106" s="2408" t="n"/>
      <c r="K106" s="2282">
        <f>D106</f>
        <v/>
      </c>
      <c r="L106" s="2038">
        <f>J106*K106</f>
        <v/>
      </c>
      <c r="M106" s="74" t="inlineStr">
        <is>
          <t>(@ 775 sf / kit)</t>
        </is>
      </c>
      <c r="N106" s="1" t="n"/>
      <c r="P106" s="47" t="inlineStr">
        <is>
          <t>AT (?)</t>
        </is>
      </c>
      <c r="Q106" s="2408" t="n"/>
      <c r="R106" s="2282">
        <f>D106</f>
        <v/>
      </c>
      <c r="S106" s="2038">
        <f>Q106*R106</f>
        <v/>
      </c>
      <c r="T106" s="74" t="inlineStr">
        <is>
          <t>(@ 775 sf / kit)</t>
        </is>
      </c>
      <c r="U106" s="1" t="n"/>
    </row>
    <row r="107">
      <c r="B107" s="47" t="inlineStr">
        <is>
          <t>ColorFast (?)</t>
        </is>
      </c>
      <c r="C107" s="2408" t="n"/>
      <c r="D107" s="2409">
        <f>ColorFast+G107</f>
        <v/>
      </c>
      <c r="E107" s="2333">
        <f>C107*D107</f>
        <v/>
      </c>
      <c r="F107" s="74" t="inlineStr">
        <is>
          <t>(@ 200 sf / kit @ 16 mils)</t>
        </is>
      </c>
      <c r="G107" s="1544" t="n"/>
      <c r="H107" s="1" t="n"/>
      <c r="I107" s="47" t="inlineStr">
        <is>
          <t>ColorFast (?)</t>
        </is>
      </c>
      <c r="J107" s="2408" t="n"/>
      <c r="K107" s="2409">
        <f>D107</f>
        <v/>
      </c>
      <c r="L107" s="2333">
        <f>J107*K107</f>
        <v/>
      </c>
      <c r="M107" s="74" t="inlineStr">
        <is>
          <t>(@ 200 sf / kit @ 16 mils)</t>
        </is>
      </c>
      <c r="N107" s="1" t="n"/>
      <c r="P107" s="47" t="inlineStr">
        <is>
          <t>ColorFast (?)</t>
        </is>
      </c>
      <c r="Q107" s="2408" t="n"/>
      <c r="R107" s="2409">
        <f>D107</f>
        <v/>
      </c>
      <c r="S107" s="2333">
        <f>Q107*R107</f>
        <v/>
      </c>
      <c r="T107" s="74" t="inlineStr">
        <is>
          <t>(@ 200 sf / kit @ 16 mils)</t>
        </is>
      </c>
      <c r="U107" s="1" t="n"/>
    </row>
    <row r="108">
      <c r="B108" s="17" t="inlineStr">
        <is>
          <t>Material Sub Total</t>
        </is>
      </c>
      <c r="C108" s="35" t="n"/>
      <c r="D108" s="2382" t="n"/>
      <c r="E108" s="2335">
        <f>ROUNDUP(SUM(E102:E107),0)</f>
        <v/>
      </c>
      <c r="F108" s="1" t="n"/>
      <c r="G108" s="1" t="n"/>
      <c r="H108" s="1" t="n"/>
      <c r="I108" s="17" t="inlineStr">
        <is>
          <t>Material Sub Total</t>
        </is>
      </c>
      <c r="J108" s="35" t="n"/>
      <c r="K108" s="2382" t="n"/>
      <c r="L108" s="2335">
        <f>ROUNDUP(SUM(L102:L107),0)</f>
        <v/>
      </c>
      <c r="M108" s="1" t="n"/>
      <c r="N108" s="1" t="n"/>
      <c r="P108" s="17" t="inlineStr">
        <is>
          <t>Material Sub Total</t>
        </is>
      </c>
      <c r="Q108" s="35" t="n"/>
      <c r="R108" s="2382" t="n"/>
      <c r="S108" s="2335">
        <f>ROUNDUP(SUM(S102:S107),0)</f>
        <v/>
      </c>
      <c r="T108" s="1" t="n"/>
      <c r="U108" s="1" t="n"/>
    </row>
    <row r="109">
      <c r="B109" s="20" t="inlineStr">
        <is>
          <t>Discount</t>
        </is>
      </c>
      <c r="C109" s="270" t="n">
        <v>0</v>
      </c>
      <c r="D109" s="2283" t="n"/>
      <c r="E109" s="2383">
        <f>ROUNDUP(SUM(E105)*C109,0)</f>
        <v/>
      </c>
      <c r="F109" s="1" t="n"/>
      <c r="G109" s="1" t="n"/>
      <c r="H109" s="1" t="n"/>
      <c r="I109" s="20" t="inlineStr">
        <is>
          <t>Discount</t>
        </is>
      </c>
      <c r="J109" s="270" t="n">
        <v>0</v>
      </c>
      <c r="K109" s="2283" t="n"/>
      <c r="L109" s="2383">
        <f>ROUNDUP(SUM(L105)*J109,0)</f>
        <v/>
      </c>
      <c r="M109" s="1" t="n"/>
      <c r="N109" s="1" t="n"/>
      <c r="P109" s="20" t="inlineStr">
        <is>
          <t>Discount</t>
        </is>
      </c>
      <c r="Q109" s="270" t="n">
        <v>0</v>
      </c>
      <c r="R109" s="2283" t="n"/>
      <c r="S109" s="2383">
        <f>ROUNDUP(SUM(S105)*Q109,0)</f>
        <v/>
      </c>
      <c r="T109" s="1" t="n"/>
      <c r="U109" s="1" t="n"/>
    </row>
    <row r="110">
      <c r="B110" s="446" t="inlineStr">
        <is>
          <t>Shipping + Mat. Esc.</t>
        </is>
      </c>
      <c r="C110" s="40">
        <f>IF(E108&lt;=5000,0.1,IF(E108&lt;=10000,0.06,0.04))+$C$12</f>
        <v/>
      </c>
      <c r="D110" s="2384" t="n"/>
      <c r="E110" s="2338">
        <f>ROUNDUP(E108*C110,0)</f>
        <v/>
      </c>
      <c r="F110" s="454">
        <f>$F$12</f>
        <v/>
      </c>
      <c r="I110" s="446" t="inlineStr">
        <is>
          <t>Shipping + Mat. Esc.</t>
        </is>
      </c>
      <c r="J110" s="40">
        <f>IF(L108&lt;=5000,0.1,IF(L108&lt;=10000,0.06,0.04))+$C$12</f>
        <v/>
      </c>
      <c r="K110" s="2384" t="n"/>
      <c r="L110" s="2338">
        <f>ROUNDUP(L108*J110,0)</f>
        <v/>
      </c>
      <c r="M110" s="454">
        <f>$F$12</f>
        <v/>
      </c>
      <c r="P110" s="446" t="inlineStr">
        <is>
          <t>Shipping + Mat. Esc.</t>
        </is>
      </c>
      <c r="Q110" s="40">
        <f>IF(S108&lt;=5000,0.1,IF(S108&lt;=10000,0.06,0.04))+$C$12</f>
        <v/>
      </c>
      <c r="R110" s="2384" t="n"/>
      <c r="S110" s="2338">
        <f>ROUNDUP(S108*Q110,0)</f>
        <v/>
      </c>
      <c r="T110" s="454">
        <f>$F$12</f>
        <v/>
      </c>
    </row>
    <row r="111">
      <c r="B111" s="10" t="inlineStr">
        <is>
          <t>Material Total</t>
        </is>
      </c>
      <c r="C111" s="36" t="n"/>
      <c r="D111" s="2339" t="n"/>
      <c r="E111" s="2339">
        <f>SUM(E108:E110)</f>
        <v/>
      </c>
      <c r="F111" s="123">
        <f>E111/F104</f>
        <v/>
      </c>
      <c r="G111" s="124" t="inlineStr">
        <is>
          <t>Material $/SF</t>
        </is>
      </c>
      <c r="H111" s="1" t="n"/>
      <c r="I111" s="10" t="inlineStr">
        <is>
          <t>Material Total</t>
        </is>
      </c>
      <c r="J111" s="36" t="n"/>
      <c r="K111" s="2339" t="n"/>
      <c r="L111" s="2339">
        <f>SUM(L108:L110)</f>
        <v/>
      </c>
      <c r="M111" s="123">
        <f>L111/M104</f>
        <v/>
      </c>
      <c r="N111" s="124" t="inlineStr">
        <is>
          <t>Material $/SF</t>
        </is>
      </c>
      <c r="P111" s="10" t="inlineStr">
        <is>
          <t>Material Total</t>
        </is>
      </c>
      <c r="Q111" s="36" t="n"/>
      <c r="R111" s="2339" t="n"/>
      <c r="S111" s="2339">
        <f>SUM(S108:S110)</f>
        <v/>
      </c>
      <c r="T111" s="123">
        <f>S111/T104</f>
        <v/>
      </c>
      <c r="U111" s="124" t="inlineStr">
        <is>
          <t>Material $/SF</t>
        </is>
      </c>
    </row>
    <row r="112">
      <c r="B112" s="1" t="n"/>
      <c r="C112" s="1892" t="n"/>
      <c r="D112" s="2282" t="n"/>
      <c r="E112" s="2282" t="n"/>
      <c r="F112" s="1" t="n"/>
      <c r="I112" s="1" t="n"/>
      <c r="J112" s="1892" t="n"/>
      <c r="K112" s="2282" t="n"/>
      <c r="L112" s="2282" t="n"/>
      <c r="M112" s="1" t="n"/>
      <c r="P112" s="1" t="n"/>
      <c r="Q112" s="1892" t="n"/>
      <c r="R112" s="2282" t="n"/>
      <c r="S112" s="2282" t="n"/>
      <c r="T112" s="1" t="n"/>
    </row>
    <row r="113">
      <c r="B113" s="75" t="inlineStr">
        <is>
          <t>Square Footage:</t>
        </is>
      </c>
      <c r="C113" s="2385">
        <f>F104</f>
        <v/>
      </c>
      <c r="D113" s="75" t="inlineStr">
        <is>
          <t>Linear Footage:</t>
        </is>
      </c>
      <c r="E113" s="2386" t="n">
        <v>0</v>
      </c>
      <c r="F113" s="1" t="n"/>
      <c r="G113" s="273">
        <f>E113/C113</f>
        <v/>
      </c>
      <c r="I113" s="75" t="inlineStr">
        <is>
          <t>Square Footage:</t>
        </is>
      </c>
      <c r="J113" s="2385">
        <f>M104</f>
        <v/>
      </c>
      <c r="K113" s="75" t="inlineStr">
        <is>
          <t>Linear Footage:</t>
        </is>
      </c>
      <c r="L113" s="2386" t="n">
        <v>0</v>
      </c>
      <c r="M113" s="1" t="n"/>
      <c r="N113" s="273">
        <f>L113/J113</f>
        <v/>
      </c>
      <c r="P113" s="75" t="inlineStr">
        <is>
          <t>Square Footage:</t>
        </is>
      </c>
      <c r="Q113" s="2385">
        <f>T104</f>
        <v/>
      </c>
      <c r="R113" s="75" t="inlineStr">
        <is>
          <t>Linear Footage:</t>
        </is>
      </c>
      <c r="S113" s="2386" t="n">
        <v>0</v>
      </c>
      <c r="T113" s="1" t="n"/>
      <c r="U113" s="273">
        <f>S113/Q113</f>
        <v/>
      </c>
    </row>
    <row r="114">
      <c r="B114" s="85" t="inlineStr">
        <is>
          <t>Labor:              Guys</t>
        </is>
      </c>
      <c r="C114" s="68" t="inlineStr">
        <is>
          <t>Days</t>
        </is>
      </c>
      <c r="D114" s="68" t="inlineStr">
        <is>
          <t>Rate (PW?)</t>
        </is>
      </c>
      <c r="E114" s="87" t="inlineStr">
        <is>
          <t>Totals</t>
        </is>
      </c>
      <c r="F114" s="76" t="inlineStr">
        <is>
          <t>8hour days</t>
        </is>
      </c>
      <c r="G114" s="156" t="inlineStr">
        <is>
          <t>Estimated SF/MH</t>
        </is>
      </c>
      <c r="H114" s="274" t="n"/>
      <c r="I114" s="85" t="inlineStr">
        <is>
          <t>Labor:              Guys</t>
        </is>
      </c>
      <c r="J114" s="68" t="inlineStr">
        <is>
          <t>Days</t>
        </is>
      </c>
      <c r="K114" s="68" t="inlineStr">
        <is>
          <t>Rate (PW?)</t>
        </is>
      </c>
      <c r="L114" s="87" t="inlineStr">
        <is>
          <t>Totals</t>
        </is>
      </c>
      <c r="M114" s="76" t="inlineStr">
        <is>
          <t>8hour days</t>
        </is>
      </c>
      <c r="N114" s="156" t="inlineStr">
        <is>
          <t>Estimated SF/MH</t>
        </is>
      </c>
      <c r="P114" s="85" t="inlineStr">
        <is>
          <t>Labor:              Guys</t>
        </is>
      </c>
      <c r="Q114" s="68" t="inlineStr">
        <is>
          <t>Days</t>
        </is>
      </c>
      <c r="R114" s="68" t="inlineStr">
        <is>
          <t>Rate (PW?)</t>
        </is>
      </c>
      <c r="S114" s="87" t="inlineStr">
        <is>
          <t>Totals</t>
        </is>
      </c>
      <c r="T114" s="76" t="inlineStr">
        <is>
          <t>8hour days</t>
        </is>
      </c>
      <c r="U114" s="156" t="inlineStr">
        <is>
          <t>Estimated SF/MH</t>
        </is>
      </c>
    </row>
    <row r="115">
      <c r="B115" s="69" t="n">
        <v>3</v>
      </c>
      <c r="C115" s="1" t="n">
        <v>3</v>
      </c>
      <c r="D115" s="2388">
        <f>$D$17</f>
        <v/>
      </c>
      <c r="E115" s="70">
        <f>B115*C115*D115*8</f>
        <v/>
      </c>
      <c r="F115" s="76" t="n"/>
      <c r="G115" s="157">
        <f>F104/(E115/D115)</f>
        <v/>
      </c>
      <c r="H115" s="154" t="n"/>
      <c r="I115" s="298" t="n">
        <v>3</v>
      </c>
      <c r="J115" s="1" t="n">
        <v>3</v>
      </c>
      <c r="K115" s="2388">
        <f>$D$17</f>
        <v/>
      </c>
      <c r="L115" s="70">
        <f>I115*J115*K115*8</f>
        <v/>
      </c>
      <c r="M115" s="76" t="n"/>
      <c r="N115" s="157">
        <f>M104/(L115/K115)</f>
        <v/>
      </c>
      <c r="P115" s="298" t="n">
        <v>3</v>
      </c>
      <c r="Q115" s="1" t="n">
        <v>3</v>
      </c>
      <c r="R115" s="2388">
        <f>$D$17</f>
        <v/>
      </c>
      <c r="S115" s="70">
        <f>P115*Q115*R115*8</f>
        <v/>
      </c>
      <c r="T115" s="76" t="n"/>
      <c r="U115" s="157">
        <f>T104/(S115/R115)</f>
        <v/>
      </c>
    </row>
    <row r="116">
      <c r="B116" s="69" t="n"/>
      <c r="C116" s="1" t="n"/>
      <c r="D116" s="2388">
        <f>$D$17</f>
        <v/>
      </c>
      <c r="E116" s="70">
        <f>B116*C116*D116*8</f>
        <v/>
      </c>
      <c r="F116" s="76" t="n"/>
      <c r="G116" s="275">
        <f>F106/(E116/D116)</f>
        <v/>
      </c>
      <c r="H116" s="154" t="n"/>
      <c r="I116" s="69" t="n"/>
      <c r="J116" s="1" t="n"/>
      <c r="K116" s="2388">
        <f>$D$17</f>
        <v/>
      </c>
      <c r="L116" s="70">
        <f>I116*J116*K116*8</f>
        <v/>
      </c>
      <c r="M116" s="76" t="n"/>
      <c r="N116" s="275">
        <f>M106/(L116/K116)</f>
        <v/>
      </c>
      <c r="P116" s="69" t="n"/>
      <c r="Q116" s="1" t="n"/>
      <c r="R116" s="2388">
        <f>$D$17</f>
        <v/>
      </c>
      <c r="S116" s="70">
        <f>P116*Q116*R116*8</f>
        <v/>
      </c>
      <c r="T116" s="76" t="n"/>
      <c r="U116" s="275">
        <f>T106/(S116/R116)</f>
        <v/>
      </c>
    </row>
    <row r="117">
      <c r="B117" s="86" t="inlineStr">
        <is>
          <t>Travel:             Guys</t>
        </is>
      </c>
      <c r="C117" s="67" t="inlineStr">
        <is>
          <t>Hours</t>
        </is>
      </c>
      <c r="D117" s="67" t="inlineStr">
        <is>
          <t>Rate</t>
        </is>
      </c>
      <c r="E117" s="71" t="n"/>
      <c r="F117" s="1356">
        <f>Epoxy!B52</f>
        <v/>
      </c>
      <c r="G117" s="420" t="inlineStr">
        <is>
          <t>Add for Topeka, St. Joe (~2 hrs)</t>
        </is>
      </c>
      <c r="H117" s="388" t="n"/>
      <c r="I117" s="86" t="inlineStr">
        <is>
          <t>Travel:             Guys</t>
        </is>
      </c>
      <c r="J117" s="67" t="inlineStr">
        <is>
          <t>Hours</t>
        </is>
      </c>
      <c r="K117" s="67" t="inlineStr">
        <is>
          <t>Rate</t>
        </is>
      </c>
      <c r="L117" s="71" t="n"/>
      <c r="M117" s="1" t="n"/>
      <c r="P117" s="86" t="inlineStr">
        <is>
          <t>Travel:             Guys</t>
        </is>
      </c>
      <c r="Q117" s="67" t="inlineStr">
        <is>
          <t>Hours</t>
        </is>
      </c>
      <c r="R117" s="67" t="inlineStr">
        <is>
          <t>Rate</t>
        </is>
      </c>
      <c r="S117" s="71" t="n"/>
      <c r="T117" s="1" t="n"/>
    </row>
    <row r="118">
      <c r="B118" s="69">
        <f>B115</f>
        <v/>
      </c>
      <c r="C118" s="1">
        <f>8+F117</f>
        <v/>
      </c>
      <c r="D118" s="2388">
        <f>$D$20</f>
        <v/>
      </c>
      <c r="E118" s="70">
        <f>B118*C118*D118</f>
        <v/>
      </c>
      <c r="F118" s="76" t="inlineStr">
        <is>
          <t>Drive &amp; Setup Time</t>
        </is>
      </c>
      <c r="I118" s="69">
        <f>I115</f>
        <v/>
      </c>
      <c r="J118" s="1">
        <f>16</f>
        <v/>
      </c>
      <c r="K118" s="2388">
        <f>$D$20</f>
        <v/>
      </c>
      <c r="L118" s="70">
        <f>I118*J118*K118</f>
        <v/>
      </c>
      <c r="M118" s="76" t="inlineStr">
        <is>
          <t>Drive &amp; Setup Time</t>
        </is>
      </c>
      <c r="P118" s="69">
        <f>P115</f>
        <v/>
      </c>
      <c r="Q118" s="1">
        <f>14+6</f>
        <v/>
      </c>
      <c r="R118" s="2388">
        <f>$D$20</f>
        <v/>
      </c>
      <c r="S118" s="70">
        <f>P118*Q118*R118</f>
        <v/>
      </c>
      <c r="T118" s="76" t="inlineStr">
        <is>
          <t>Drive &amp; Setup Time</t>
        </is>
      </c>
    </row>
    <row r="119">
      <c r="B119" s="277" t="inlineStr">
        <is>
          <t>Labor Total</t>
        </is>
      </c>
      <c r="C119" s="278" t="n"/>
      <c r="D119" s="278" t="n"/>
      <c r="E119" s="2390">
        <f>ROUNDUP(SUM(E115:E118),0)</f>
        <v/>
      </c>
      <c r="F119" s="123">
        <f>E119/C113</f>
        <v/>
      </c>
      <c r="G119" s="124" t="inlineStr">
        <is>
          <t>Labor $/SF</t>
        </is>
      </c>
      <c r="H119" s="1" t="n"/>
      <c r="I119" s="277" t="inlineStr">
        <is>
          <t>Labor Total</t>
        </is>
      </c>
      <c r="J119" s="278" t="n"/>
      <c r="K119" s="278" t="n"/>
      <c r="L119" s="2390">
        <f>ROUNDUP(SUM(L115:L118),0)</f>
        <v/>
      </c>
      <c r="M119" s="123">
        <f>L119/J113</f>
        <v/>
      </c>
      <c r="N119" s="124" t="inlineStr">
        <is>
          <t>Labor $/SF</t>
        </is>
      </c>
      <c r="P119" s="277" t="inlineStr">
        <is>
          <t>Labor Total</t>
        </is>
      </c>
      <c r="Q119" s="278" t="n"/>
      <c r="R119" s="278" t="n"/>
      <c r="S119" s="2390">
        <f>ROUNDUP(SUM(S115:S118),0)</f>
        <v/>
      </c>
      <c r="T119" s="123">
        <f>S119/Q113</f>
        <v/>
      </c>
      <c r="U119" s="124" t="inlineStr">
        <is>
          <t>Labor $/SF</t>
        </is>
      </c>
    </row>
    <row r="120">
      <c r="B120" s="1" t="n"/>
      <c r="C120" s="1892" t="n"/>
      <c r="D120" s="2282" t="n"/>
      <c r="E120" s="2282" t="n"/>
      <c r="F120" s="2282" t="n"/>
      <c r="G120" s="1" t="n"/>
      <c r="H120" s="1" t="n"/>
      <c r="I120" s="1" t="n"/>
      <c r="J120" s="1892" t="n"/>
      <c r="K120" s="2282" t="n"/>
      <c r="L120" s="2282" t="n"/>
      <c r="M120" s="2282" t="n"/>
      <c r="N120" s="1" t="n"/>
      <c r="P120" s="1" t="n"/>
      <c r="Q120" s="1892" t="n"/>
      <c r="R120" s="2282" t="n"/>
      <c r="S120" s="2282" t="n"/>
      <c r="T120" s="2282" t="n"/>
      <c r="U120" s="1" t="n"/>
    </row>
    <row r="121">
      <c r="B121" s="5" t="inlineStr">
        <is>
          <t>OTHER COSTS</t>
        </is>
      </c>
      <c r="C121" s="30" t="inlineStr">
        <is>
          <t>Quantity</t>
        </is>
      </c>
      <c r="D121" s="11" t="inlineStr">
        <is>
          <t>Cost</t>
        </is>
      </c>
      <c r="E121" s="2019" t="inlineStr">
        <is>
          <t>Total</t>
        </is>
      </c>
      <c r="F121" s="1" t="n"/>
      <c r="G121" s="23" t="inlineStr">
        <is>
          <t>Epoxy:</t>
        </is>
      </c>
      <c r="H121" s="1" t="n"/>
      <c r="I121" s="5" t="inlineStr">
        <is>
          <t>OTHER COSTS</t>
        </is>
      </c>
      <c r="J121" s="30" t="inlineStr">
        <is>
          <t>Quantity</t>
        </is>
      </c>
      <c r="K121" s="11" t="inlineStr">
        <is>
          <t>Cost</t>
        </is>
      </c>
      <c r="L121" s="2019" t="inlineStr">
        <is>
          <t>Total</t>
        </is>
      </c>
      <c r="M121" s="1" t="n"/>
      <c r="N121" s="23" t="inlineStr">
        <is>
          <t>Epoxy:</t>
        </is>
      </c>
      <c r="P121" s="5" t="inlineStr">
        <is>
          <t>OTHER COSTS</t>
        </is>
      </c>
      <c r="Q121" s="30" t="inlineStr">
        <is>
          <t>Quantity</t>
        </is>
      </c>
      <c r="R121" s="11" t="inlineStr">
        <is>
          <t>Cost</t>
        </is>
      </c>
      <c r="S121" s="2019" t="inlineStr">
        <is>
          <t>Total</t>
        </is>
      </c>
      <c r="T121" s="1" t="n"/>
      <c r="U121" s="23" t="inlineStr">
        <is>
          <t>Epoxy:</t>
        </is>
      </c>
    </row>
    <row r="122">
      <c r="B122" s="6" t="inlineStr">
        <is>
          <t>Moisture Test</t>
        </is>
      </c>
      <c r="C122" s="37" t="n"/>
      <c r="D122" s="2282" t="n">
        <v>35</v>
      </c>
      <c r="E122" s="2038">
        <f>ROUNDUP(C122*D122,0)</f>
        <v/>
      </c>
      <c r="F122" s="1" t="n"/>
      <c r="G122" s="299" t="inlineStr">
        <is>
          <t>orig labor</t>
        </is>
      </c>
      <c r="H122" s="1" t="n"/>
      <c r="I122" s="6" t="inlineStr">
        <is>
          <t>Moisture Test</t>
        </is>
      </c>
      <c r="J122" s="37" t="n"/>
      <c r="K122" s="2282" t="n">
        <v>35</v>
      </c>
      <c r="L122" s="2038">
        <f>ROUNDUP(J122*K122,0)</f>
        <v/>
      </c>
      <c r="M122" s="1" t="n"/>
      <c r="N122" s="299" t="inlineStr">
        <is>
          <t>orig labor</t>
        </is>
      </c>
      <c r="P122" s="6" t="inlineStr">
        <is>
          <t>Moisture Test</t>
        </is>
      </c>
      <c r="Q122" s="37" t="n"/>
      <c r="R122" s="2282" t="n">
        <v>35</v>
      </c>
      <c r="S122" s="2038">
        <f>ROUNDUP(Q122*R122,0)</f>
        <v/>
      </c>
      <c r="T122" s="1" t="n"/>
      <c r="U122" s="299" t="inlineStr">
        <is>
          <t>orig labor</t>
        </is>
      </c>
    </row>
    <row r="123">
      <c r="B123" s="6" t="inlineStr">
        <is>
          <t>Tooling &amp; Consumables</t>
        </is>
      </c>
      <c r="C123" s="37" t="n"/>
      <c r="D123" s="2282" t="n">
        <v>0.33</v>
      </c>
      <c r="E123" s="2038">
        <f>ROUNDUP(C123*D123,0)</f>
        <v/>
      </c>
      <c r="F123" s="1" t="n"/>
      <c r="G123" s="299" t="inlineStr">
        <is>
          <t>divided by # of weeks</t>
        </is>
      </c>
      <c r="H123" s="1" t="n"/>
      <c r="I123" s="6" t="inlineStr">
        <is>
          <t>Tooling &amp; Consumables</t>
        </is>
      </c>
      <c r="J123" s="37" t="n"/>
      <c r="K123" s="2282" t="n">
        <v>0.33</v>
      </c>
      <c r="L123" s="2038">
        <f>ROUNDUP(J123*K123,0)</f>
        <v/>
      </c>
      <c r="M123" s="1" t="n"/>
      <c r="N123" s="299" t="inlineStr">
        <is>
          <t>divided by # of weeks</t>
        </is>
      </c>
      <c r="P123" s="6" t="inlineStr">
        <is>
          <t>Tooling &amp; Consumables</t>
        </is>
      </c>
      <c r="Q123" s="37" t="n"/>
      <c r="R123" s="2282" t="n">
        <v>0.33</v>
      </c>
      <c r="S123" s="2038">
        <f>ROUNDUP(Q123*R123,0)</f>
        <v/>
      </c>
      <c r="T123" s="1" t="n"/>
      <c r="U123" s="299" t="inlineStr">
        <is>
          <t>divided by # of weeks</t>
        </is>
      </c>
    </row>
    <row r="124">
      <c r="B124" s="6" t="inlineStr">
        <is>
          <t>Travel - Lodging</t>
        </is>
      </c>
      <c r="C124" s="37" t="n">
        <v>0</v>
      </c>
      <c r="D124" s="2282">
        <f>$D$26</f>
        <v/>
      </c>
      <c r="E124" s="2038">
        <f>ROUNDUP(C124*D124,0)</f>
        <v/>
      </c>
      <c r="F124" s="1" t="n"/>
      <c r="G124" s="299" t="inlineStr">
        <is>
          <t>divided by 2</t>
        </is>
      </c>
      <c r="H124" s="1" t="n"/>
      <c r="I124" s="6" t="inlineStr">
        <is>
          <t>Travel - Lodging</t>
        </is>
      </c>
      <c r="J124" s="37">
        <f>(L119/8)/K115</f>
        <v/>
      </c>
      <c r="K124" s="2282">
        <f>$D$26</f>
        <v/>
      </c>
      <c r="L124" s="2038">
        <f>ROUNDUP(J124*K124,0)</f>
        <v/>
      </c>
      <c r="M124" s="1" t="n"/>
      <c r="N124" s="299" t="inlineStr">
        <is>
          <t>divided by 2</t>
        </is>
      </c>
      <c r="P124" s="6" t="inlineStr">
        <is>
          <t>Travel - Lodging</t>
        </is>
      </c>
      <c r="Q124" s="37">
        <f>(S119/8)/R115</f>
        <v/>
      </c>
      <c r="R124" s="2282">
        <f>$D$26</f>
        <v/>
      </c>
      <c r="S124" s="2038">
        <f>ROUNDUP(Q124*R124,0)</f>
        <v/>
      </c>
      <c r="T124" s="1" t="n"/>
      <c r="U124" s="299" t="inlineStr">
        <is>
          <t>divided by 2</t>
        </is>
      </c>
    </row>
    <row r="125">
      <c r="B125" s="6" t="inlineStr">
        <is>
          <t>Travel - Food</t>
        </is>
      </c>
      <c r="C125" s="37">
        <f>C124</f>
        <v/>
      </c>
      <c r="D125" s="2282">
        <f>$D$27</f>
        <v/>
      </c>
      <c r="E125" s="2038">
        <f>ROUNDUP(C125*D125,0)</f>
        <v/>
      </c>
      <c r="F125" s="43" t="n"/>
      <c r="G125" s="1" t="n"/>
      <c r="H125" s="1" t="n"/>
      <c r="I125" s="6" t="inlineStr">
        <is>
          <t>Travel - Food</t>
        </is>
      </c>
      <c r="J125" s="37">
        <f>J124</f>
        <v/>
      </c>
      <c r="K125" s="2282">
        <f>$D$27</f>
        <v/>
      </c>
      <c r="L125" s="2038">
        <f>ROUNDUP(J125*K125,0)</f>
        <v/>
      </c>
      <c r="M125" s="43" t="n"/>
      <c r="N125" s="1" t="n"/>
      <c r="P125" s="6" t="inlineStr">
        <is>
          <t>Travel - Food</t>
        </is>
      </c>
      <c r="Q125" s="37">
        <f>Q124</f>
        <v/>
      </c>
      <c r="R125" s="2282">
        <f>$D$27</f>
        <v/>
      </c>
      <c r="S125" s="2038">
        <f>ROUNDUP(Q125*R125,0)</f>
        <v/>
      </c>
      <c r="T125" s="43" t="n"/>
      <c r="U125" s="1" t="n"/>
    </row>
    <row r="126">
      <c r="B126" s="6" t="inlineStr">
        <is>
          <t>Foreman - Fuel</t>
        </is>
      </c>
      <c r="C126" s="37">
        <f>(E119/8)/D115</f>
        <v/>
      </c>
      <c r="D126" s="2282">
        <f>$D$28</f>
        <v/>
      </c>
      <c r="E126" s="2038">
        <f>ROUNDUP(C126*D126,0)</f>
        <v/>
      </c>
      <c r="F126" s="43" t="n"/>
      <c r="G126" s="23" t="n"/>
      <c r="H126" s="1" t="n"/>
      <c r="I126" s="6" t="inlineStr">
        <is>
          <t>Foreman - Fuel</t>
        </is>
      </c>
      <c r="J126" s="37">
        <f>(L119/8)/K115</f>
        <v/>
      </c>
      <c r="K126" s="2282">
        <f>$D$28</f>
        <v/>
      </c>
      <c r="L126" s="2038">
        <f>ROUNDUP(J126*K126,0)</f>
        <v/>
      </c>
      <c r="M126" s="43" t="n"/>
      <c r="N126" s="1" t="n"/>
      <c r="P126" s="6" t="inlineStr">
        <is>
          <t>Foreman - Fuel</t>
        </is>
      </c>
      <c r="Q126" s="37">
        <f>(S119/8)/R115</f>
        <v/>
      </c>
      <c r="R126" s="2282">
        <f>$D$28</f>
        <v/>
      </c>
      <c r="S126" s="2038">
        <f>ROUNDUP(Q126*R126,0)</f>
        <v/>
      </c>
      <c r="T126" s="43" t="n"/>
      <c r="U126" s="1" t="n"/>
    </row>
    <row r="127">
      <c r="B127" s="6" t="inlineStr">
        <is>
          <t>Generator Fuel</t>
        </is>
      </c>
      <c r="C127" s="37" t="n"/>
      <c r="D127" s="2282" t="n">
        <v>0.04</v>
      </c>
      <c r="E127" s="2038">
        <f>ROUNDUP(C127*D127,0)</f>
        <v/>
      </c>
      <c r="F127" s="1" t="n"/>
      <c r="G127" s="43" t="n"/>
      <c r="H127" s="1" t="n"/>
      <c r="I127" s="6" t="inlineStr">
        <is>
          <t>Mileage</t>
        </is>
      </c>
      <c r="J127" s="37" t="n">
        <v>240</v>
      </c>
      <c r="K127" s="2282" t="n">
        <v>0.6</v>
      </c>
      <c r="L127" s="2038">
        <f>ROUNDUP(J127*K127,0)</f>
        <v/>
      </c>
      <c r="M127" s="1" t="n"/>
      <c r="N127" s="1" t="n"/>
      <c r="P127" s="6" t="inlineStr">
        <is>
          <t>Mileage</t>
        </is>
      </c>
      <c r="Q127" s="37" t="n">
        <v>400</v>
      </c>
      <c r="R127" s="2282" t="n">
        <v>0.6</v>
      </c>
      <c r="S127" s="2038">
        <f>ROUNDUP(Q127*R127,0)</f>
        <v/>
      </c>
      <c r="T127" s="1" t="n"/>
      <c r="U127" s="1" t="n"/>
    </row>
    <row r="128">
      <c r="B128" s="6" t="inlineStr">
        <is>
          <t>Plastic</t>
        </is>
      </c>
      <c r="C128" s="37" t="n"/>
      <c r="D128" s="2282" t="n"/>
      <c r="E128" s="2038">
        <f>ROUNDUP(C128*D128,0)</f>
        <v/>
      </c>
      <c r="F128" s="1" t="n"/>
      <c r="G128" s="43" t="n"/>
      <c r="H128" s="1" t="n"/>
      <c r="I128" s="6" t="inlineStr">
        <is>
          <t>Plastic</t>
        </is>
      </c>
      <c r="J128" s="37" t="n"/>
      <c r="K128" s="2282" t="n"/>
      <c r="L128" s="2038">
        <f>ROUNDUP(J128*K128,0)</f>
        <v/>
      </c>
      <c r="M128" s="1" t="n"/>
      <c r="N128" s="1" t="n"/>
      <c r="P128" s="6" t="inlineStr">
        <is>
          <t>Plastic</t>
        </is>
      </c>
      <c r="Q128" s="37" t="n"/>
      <c r="R128" s="2282" t="n"/>
      <c r="S128" s="2038">
        <f>ROUNDUP(Q128*R128,0)</f>
        <v/>
      </c>
      <c r="T128" s="1" t="n"/>
      <c r="U128" s="1" t="n"/>
    </row>
    <row r="129">
      <c r="B129" s="10" t="inlineStr">
        <is>
          <t>Other Costs Total</t>
        </is>
      </c>
      <c r="C129" s="36" t="n"/>
      <c r="D129" s="2339" t="n"/>
      <c r="E129" s="2340">
        <f>SUM(E122:E128)</f>
        <v/>
      </c>
      <c r="F129" s="1" t="n"/>
      <c r="G129" s="43" t="n"/>
      <c r="H129" s="1" t="n"/>
      <c r="I129" s="10" t="inlineStr">
        <is>
          <t>Other Costs Total</t>
        </is>
      </c>
      <c r="J129" s="36" t="n"/>
      <c r="K129" s="2339" t="n"/>
      <c r="L129" s="2340">
        <f>SUM(L122:L128)</f>
        <v/>
      </c>
      <c r="M129" s="1" t="n"/>
      <c r="N129" s="1" t="n"/>
      <c r="P129" s="10" t="inlineStr">
        <is>
          <t>Other Costs Total</t>
        </is>
      </c>
      <c r="Q129" s="36" t="n"/>
      <c r="R129" s="2339" t="n"/>
      <c r="S129" s="2340">
        <f>SUM(S122:S128)</f>
        <v/>
      </c>
      <c r="T129" s="1" t="n"/>
      <c r="U129" s="1" t="n"/>
    </row>
    <row r="130">
      <c r="B130" s="1" t="n"/>
      <c r="C130" s="1892" t="n"/>
      <c r="D130" s="2282" t="n"/>
      <c r="E130" s="2282" t="n"/>
      <c r="F130" s="1" t="n"/>
      <c r="G130" s="1" t="n"/>
      <c r="H130" s="1" t="n"/>
      <c r="I130" s="1" t="n"/>
      <c r="J130" s="1892" t="n"/>
      <c r="K130" s="2282" t="n"/>
      <c r="L130" s="2282" t="n"/>
      <c r="M130" s="1" t="n"/>
      <c r="N130" s="1" t="n"/>
      <c r="P130" s="1" t="n"/>
      <c r="Q130" s="1892" t="n"/>
      <c r="R130" s="2282" t="n"/>
      <c r="S130" s="2282" t="n"/>
      <c r="T130" s="1" t="n"/>
      <c r="U130" s="1" t="n"/>
    </row>
    <row r="131">
      <c r="B131" s="1" t="n"/>
      <c r="C131" s="1892" t="n"/>
      <c r="D131" s="2282" t="n"/>
      <c r="E131" s="2282" t="n"/>
      <c r="F131" s="1" t="n"/>
      <c r="G131" s="1" t="n"/>
      <c r="H131" s="1" t="n"/>
      <c r="I131" s="1" t="n"/>
      <c r="J131" s="1892" t="n"/>
      <c r="K131" s="2282" t="n"/>
      <c r="L131" s="2282" t="n"/>
      <c r="M131" s="1" t="n"/>
      <c r="N131" s="1" t="n"/>
      <c r="P131" s="1" t="n"/>
      <c r="Q131" s="1892" t="n"/>
      <c r="R131" s="2282" t="n"/>
      <c r="S131" s="2282" t="n"/>
      <c r="T131" s="1" t="n"/>
      <c r="U131" s="1" t="n"/>
    </row>
    <row r="132">
      <c r="B132" s="280" t="inlineStr">
        <is>
          <t>SUB-TOTAL COSTS</t>
        </is>
      </c>
      <c r="C132" s="281" t="n"/>
      <c r="D132" s="2393" t="n"/>
      <c r="E132" s="2394">
        <f>SUM(E111,E119,E129)</f>
        <v/>
      </c>
      <c r="F132" s="1" t="n"/>
      <c r="G132" s="1" t="n"/>
      <c r="H132" s="1" t="n"/>
      <c r="I132" s="280" t="inlineStr">
        <is>
          <t>SUB-TOTAL COSTS</t>
        </is>
      </c>
      <c r="J132" s="281" t="n"/>
      <c r="K132" s="2393" t="n"/>
      <c r="L132" s="2394">
        <f>SUM(L111,L119,L129)</f>
        <v/>
      </c>
      <c r="M132" s="1" t="n"/>
      <c r="N132" s="1" t="n"/>
      <c r="P132" s="280" t="inlineStr">
        <is>
          <t>SUB-TOTAL COSTS</t>
        </is>
      </c>
      <c r="Q132" s="281" t="n"/>
      <c r="R132" s="2393" t="n"/>
      <c r="S132" s="2394">
        <f>SUM(S111,S119,S129)</f>
        <v/>
      </c>
      <c r="T132" s="1" t="n"/>
      <c r="U132" s="1" t="n"/>
    </row>
    <row r="133">
      <c r="B133" s="1" t="n"/>
      <c r="C133" s="1892" t="n"/>
      <c r="D133" s="2282" t="n"/>
      <c r="E133" s="2282" t="n"/>
      <c r="F133" s="1" t="n"/>
      <c r="G133" s="1" t="n"/>
      <c r="H133" s="1" t="n"/>
      <c r="I133" s="1" t="n"/>
      <c r="J133" s="1892" t="n"/>
      <c r="K133" s="2282" t="n"/>
      <c r="L133" s="2282" t="n"/>
      <c r="M133" s="1" t="n"/>
      <c r="N133" s="1" t="n"/>
      <c r="P133" s="1" t="n"/>
      <c r="Q133" s="1892" t="n"/>
      <c r="R133" s="2282" t="n"/>
      <c r="S133" s="2282" t="n"/>
      <c r="T133" s="1" t="n"/>
      <c r="U133" s="1" t="n"/>
    </row>
    <row r="134">
      <c r="B134" s="5" t="inlineStr">
        <is>
          <t>MARKUP</t>
        </is>
      </c>
      <c r="C134" s="30" t="inlineStr">
        <is>
          <t>%</t>
        </is>
      </c>
      <c r="D134" s="2395" t="n"/>
      <c r="E134" s="2019" t="n"/>
      <c r="F134" s="1" t="n"/>
      <c r="G134" s="1" t="n"/>
      <c r="H134" s="1" t="n"/>
      <c r="I134" s="5" t="inlineStr">
        <is>
          <t>MARKUP</t>
        </is>
      </c>
      <c r="J134" s="30" t="inlineStr">
        <is>
          <t>%</t>
        </is>
      </c>
      <c r="K134" s="2395" t="n"/>
      <c r="L134" s="2019" t="n"/>
      <c r="M134" s="1" t="n"/>
      <c r="N134" s="1" t="n"/>
      <c r="P134" s="5" t="inlineStr">
        <is>
          <t>MARKUP</t>
        </is>
      </c>
      <c r="Q134" s="30" t="inlineStr">
        <is>
          <t>%</t>
        </is>
      </c>
      <c r="R134" s="2395" t="n"/>
      <c r="S134" s="2019" t="n"/>
      <c r="T134" s="1" t="n"/>
      <c r="U134" s="1" t="n"/>
    </row>
    <row r="135">
      <c r="B135" s="6" t="inlineStr">
        <is>
          <t>Sales Tax</t>
        </is>
      </c>
      <c r="C135" s="2396">
        <f>$C$37</f>
        <v/>
      </c>
      <c r="D135" s="2397" t="n"/>
      <c r="E135" s="2038">
        <f>ROUNDUP(SUM(E111:E111)*C135,0)</f>
        <v/>
      </c>
      <c r="F135" s="1" t="n"/>
      <c r="G135" s="1" t="n"/>
      <c r="H135" s="1" t="n"/>
      <c r="I135" s="6" t="inlineStr">
        <is>
          <t>Sales Tax</t>
        </is>
      </c>
      <c r="J135" s="2396">
        <f>$C$37</f>
        <v/>
      </c>
      <c r="K135" s="2397" t="n"/>
      <c r="L135" s="2038">
        <f>ROUNDUP(SUM(L111:L111)*J135,0)</f>
        <v/>
      </c>
      <c r="M135" s="1" t="n"/>
      <c r="N135" s="1" t="n"/>
      <c r="P135" s="6" t="inlineStr">
        <is>
          <t>Sales Tax</t>
        </is>
      </c>
      <c r="Q135" s="2396">
        <f>$C$37</f>
        <v/>
      </c>
      <c r="R135" s="2397" t="n"/>
      <c r="S135" s="2038">
        <f>ROUNDUP(SUM(S111:S111)*Q135,0)</f>
        <v/>
      </c>
      <c r="T135" s="1" t="n"/>
      <c r="U135" s="1" t="n"/>
    </row>
    <row r="136">
      <c r="B136" s="6" t="inlineStr">
        <is>
          <t>Insurance</t>
        </is>
      </c>
      <c r="C136" s="241" t="n">
        <v>0.08</v>
      </c>
      <c r="D136" s="2397" t="n"/>
      <c r="E136" s="2038">
        <f>ROUNDUP(SUM(E119)*C136,0)</f>
        <v/>
      </c>
      <c r="F136" s="1" t="n"/>
      <c r="G136" s="1" t="n"/>
      <c r="H136" s="1" t="n"/>
      <c r="I136" s="6" t="inlineStr">
        <is>
          <t>Insurance</t>
        </is>
      </c>
      <c r="J136" s="241" t="n">
        <v>0.08</v>
      </c>
      <c r="K136" s="2397" t="n"/>
      <c r="L136" s="2038">
        <f>ROUNDUP(SUM(L119)*J136,0)</f>
        <v/>
      </c>
      <c r="M136" s="1" t="n"/>
      <c r="N136" s="1" t="n"/>
      <c r="P136" s="6" t="inlineStr">
        <is>
          <t>Insurance</t>
        </is>
      </c>
      <c r="Q136" s="241" t="n">
        <v>0.08</v>
      </c>
      <c r="R136" s="2397" t="n"/>
      <c r="S136" s="2038">
        <f>ROUNDUP(SUM(S119)*Q136,0)</f>
        <v/>
      </c>
      <c r="T136" s="1" t="n"/>
      <c r="U136" s="1" t="n"/>
    </row>
    <row r="137">
      <c r="B137" s="6" t="inlineStr">
        <is>
          <t>Material Contingency</t>
        </is>
      </c>
      <c r="C137" s="122">
        <f>IF(E111&lt;=5000,0.1,0.05)</f>
        <v/>
      </c>
      <c r="D137" s="2282" t="n"/>
      <c r="E137" s="2038">
        <f>ROUNDUP(E111*C137,0)</f>
        <v/>
      </c>
      <c r="F137" s="1" t="n"/>
      <c r="G137" s="1" t="n"/>
      <c r="H137" s="1" t="n"/>
      <c r="I137" s="6" t="inlineStr">
        <is>
          <t>Material Contingency</t>
        </is>
      </c>
      <c r="J137" s="122">
        <f>IF(L111&lt;=5000,0.1,0.05)</f>
        <v/>
      </c>
      <c r="K137" s="2282" t="n"/>
      <c r="L137" s="2038">
        <f>ROUNDUP(L111*J137,0)</f>
        <v/>
      </c>
      <c r="M137" s="1" t="n"/>
      <c r="N137" s="1" t="n"/>
      <c r="P137" s="6" t="inlineStr">
        <is>
          <t>Material Contingency</t>
        </is>
      </c>
      <c r="Q137" s="122">
        <f>IF(S111&lt;=5000,0.1,0.05)</f>
        <v/>
      </c>
      <c r="R137" s="2282" t="n"/>
      <c r="S137" s="2038">
        <f>ROUNDUP(S111*Q137,0)</f>
        <v/>
      </c>
      <c r="T137" s="1" t="n"/>
      <c r="U137" s="1" t="n"/>
    </row>
    <row r="138">
      <c r="B138" s="6" t="inlineStr">
        <is>
          <t>Labor Contingency</t>
        </is>
      </c>
      <c r="C138" s="122" t="n">
        <v>0</v>
      </c>
      <c r="D138" s="2282" t="n"/>
      <c r="E138" s="2038">
        <f>ROUNDUP(E119*C138,0)</f>
        <v/>
      </c>
      <c r="F138" s="1" t="n"/>
      <c r="G138" s="1" t="n"/>
      <c r="H138" s="1" t="n"/>
      <c r="I138" s="6" t="inlineStr">
        <is>
          <t>Labor Contingency</t>
        </is>
      </c>
      <c r="J138" s="122" t="n">
        <v>0</v>
      </c>
      <c r="K138" s="2282" t="n"/>
      <c r="L138" s="2038">
        <f>ROUNDUP(L119*J138,0)</f>
        <v/>
      </c>
      <c r="M138" s="1" t="n"/>
      <c r="N138" s="1" t="n"/>
      <c r="P138" s="6" t="inlineStr">
        <is>
          <t>Labor Contingency</t>
        </is>
      </c>
      <c r="Q138" s="122" t="n">
        <v>0</v>
      </c>
      <c r="R138" s="2282" t="n"/>
      <c r="S138" s="2038">
        <f>ROUNDUP(S119*Q138,0)</f>
        <v/>
      </c>
      <c r="T138" s="1" t="n"/>
      <c r="U138" s="1" t="n"/>
    </row>
    <row r="139">
      <c r="B139" s="6" t="inlineStr">
        <is>
          <t>Mark Up</t>
        </is>
      </c>
      <c r="C139" s="122" t="n">
        <v>0.32</v>
      </c>
      <c r="D139" s="2282" t="n"/>
      <c r="E139" s="2038">
        <f>ROUNDUP(SUM(E132:E138)*C139,0)</f>
        <v/>
      </c>
      <c r="F139" s="1" t="n"/>
      <c r="G139" s="1" t="n"/>
      <c r="H139" s="1" t="n"/>
      <c r="I139" s="6" t="inlineStr">
        <is>
          <t>Mark Up</t>
        </is>
      </c>
      <c r="J139" s="122" t="n">
        <v>0.32</v>
      </c>
      <c r="K139" s="2282" t="n"/>
      <c r="L139" s="2038">
        <f>ROUNDUP(SUM(L132:L138)*J139,0)</f>
        <v/>
      </c>
      <c r="M139" s="1" t="n"/>
      <c r="N139" s="1" t="n"/>
      <c r="P139" s="6" t="inlineStr">
        <is>
          <t>Mark Up</t>
        </is>
      </c>
      <c r="Q139" s="122" t="n">
        <v>0.32</v>
      </c>
      <c r="R139" s="2282" t="n"/>
      <c r="S139" s="2038">
        <f>ROUNDUP(SUM(S132:S138)*Q139,0)</f>
        <v/>
      </c>
      <c r="T139" s="1" t="n"/>
      <c r="U139" s="1" t="n"/>
    </row>
    <row r="140">
      <c r="B140" s="284">
        <f>$B$42</f>
        <v/>
      </c>
      <c r="C140" s="241">
        <f>$C$42</f>
        <v/>
      </c>
      <c r="D140" s="2282" t="n"/>
      <c r="E140" s="2038">
        <f>ROUNDUP(SUM(E119,E136:E139)*C140,0)</f>
        <v/>
      </c>
      <c r="F140" s="1" t="n"/>
      <c r="G140" s="1" t="n"/>
      <c r="H140" s="1" t="n"/>
      <c r="I140" s="284">
        <f>$B$42</f>
        <v/>
      </c>
      <c r="J140" s="241">
        <f>$C$42</f>
        <v/>
      </c>
      <c r="K140" s="2282" t="n"/>
      <c r="L140" s="2038">
        <f>ROUNDUP(SUM(L119,L136:L139)*J140,0)</f>
        <v/>
      </c>
      <c r="M140" s="1" t="n"/>
      <c r="N140" s="1" t="n"/>
      <c r="P140" s="284">
        <f>$B$42</f>
        <v/>
      </c>
      <c r="Q140" s="241">
        <f>$C$42</f>
        <v/>
      </c>
      <c r="R140" s="2282" t="n"/>
      <c r="S140" s="2038">
        <f>ROUNDUP(SUM(S119,S136:S139)*Q140,0)</f>
        <v/>
      </c>
      <c r="T140" s="1" t="n"/>
      <c r="U140" s="1" t="n"/>
    </row>
    <row r="141">
      <c r="B141" s="403" t="inlineStr">
        <is>
          <t>Warranty &amp; Extra Soft Cost</t>
        </is>
      </c>
      <c r="C141" s="241">
        <f>$C$43</f>
        <v/>
      </c>
      <c r="D141" s="2282" t="n"/>
      <c r="E141" s="2038">
        <f>ROUNDUP(C141*SUM(E132:E140),0)</f>
        <v/>
      </c>
      <c r="F141" s="1" t="n"/>
      <c r="G141" s="1" t="n"/>
      <c r="H141" s="1" t="n"/>
      <c r="I141" s="403" t="inlineStr">
        <is>
          <t>Warranty &amp; Extra Soft Cost</t>
        </is>
      </c>
      <c r="J141" s="241">
        <f>$C$43</f>
        <v/>
      </c>
      <c r="K141" s="2282" t="n"/>
      <c r="L141" s="2038">
        <f>ROUNDUP(J141*SUM(L132:L140),0)</f>
        <v/>
      </c>
      <c r="M141" s="1" t="n"/>
      <c r="N141" s="1" t="n"/>
      <c r="P141" s="403" t="inlineStr">
        <is>
          <t>Warranty &amp; Extra Soft Cost</t>
        </is>
      </c>
      <c r="Q141" s="241">
        <f>$C$43</f>
        <v/>
      </c>
      <c r="R141" s="2282" t="n"/>
      <c r="S141" s="2038">
        <f>ROUNDUP(Q141*SUM(S132:S140),0)</f>
        <v/>
      </c>
      <c r="T141" s="1" t="n"/>
      <c r="U141" s="1" t="n"/>
    </row>
    <row r="142">
      <c r="B142" s="45" t="inlineStr">
        <is>
          <t>Bond</t>
        </is>
      </c>
      <c r="C142" s="46">
        <f>$C$44</f>
        <v/>
      </c>
      <c r="D142" s="2314" t="n"/>
      <c r="E142" s="2400" t="n">
        <v>-14</v>
      </c>
      <c r="F142" s="1" t="n"/>
      <c r="G142" s="1" t="n"/>
      <c r="H142" s="1" t="n"/>
      <c r="I142" s="45" t="inlineStr">
        <is>
          <t>Bond</t>
        </is>
      </c>
      <c r="J142" s="46">
        <f>$C$44</f>
        <v/>
      </c>
      <c r="K142" s="2314" t="n"/>
      <c r="L142" s="2400">
        <f>ROUNDUP(SUM(L132:L141)*J142,0)</f>
        <v/>
      </c>
      <c r="M142" s="1" t="n"/>
      <c r="N142" s="1" t="n"/>
      <c r="P142" s="45" t="inlineStr">
        <is>
          <t>Bond</t>
        </is>
      </c>
      <c r="Q142" s="46">
        <f>$C$44</f>
        <v/>
      </c>
      <c r="R142" s="2314" t="n"/>
      <c r="S142" s="2400">
        <f>ROUNDUP(SUM(S132:S141)*Q142,0)</f>
        <v/>
      </c>
      <c r="T142" s="1" t="n"/>
      <c r="U142" s="1" t="n"/>
    </row>
    <row r="143">
      <c r="B143" s="1" t="n"/>
      <c r="C143" s="8" t="n"/>
      <c r="D143" s="2282" t="n"/>
      <c r="E143" s="2411" t="inlineStr">
        <is>
          <t>Epoxy</t>
        </is>
      </c>
      <c r="F143" s="1" t="n"/>
      <c r="G143" s="286" t="inlineStr">
        <is>
          <t>Mark Up + Conting.</t>
        </is>
      </c>
      <c r="H143" s="1892" t="n"/>
      <c r="I143" s="1" t="n"/>
      <c r="J143" s="8" t="n"/>
      <c r="K143" s="2282" t="n"/>
      <c r="L143" s="2411" t="inlineStr">
        <is>
          <t>Epoxy</t>
        </is>
      </c>
      <c r="M143" s="1" t="n"/>
      <c r="N143" s="286" t="inlineStr">
        <is>
          <t>Mark Up + Conting.</t>
        </is>
      </c>
      <c r="P143" s="1" t="n"/>
      <c r="Q143" s="8" t="n"/>
      <c r="R143" s="2282" t="n"/>
      <c r="S143" s="2411" t="inlineStr">
        <is>
          <t>Epoxy</t>
        </is>
      </c>
      <c r="T143" s="1" t="n"/>
      <c r="U143" s="286" t="inlineStr">
        <is>
          <t>Mark Up + Conting.</t>
        </is>
      </c>
    </row>
    <row r="144" ht="16.2" customHeight="1" thickBot="1">
      <c r="B144" s="1" t="n"/>
      <c r="C144" s="287" t="inlineStr">
        <is>
          <t>SF:</t>
        </is>
      </c>
      <c r="D144" s="2405">
        <f>C113</f>
        <v/>
      </c>
      <c r="E144" s="1073" t="inlineStr">
        <is>
          <t>MOB (In Town)</t>
        </is>
      </c>
      <c r="F144" s="38" t="inlineStr">
        <is>
          <t>Less Sales Tax</t>
        </is>
      </c>
      <c r="G144" s="2402">
        <f>SUM(E137:E139)</f>
        <v/>
      </c>
      <c r="H144" s="2282" t="n"/>
      <c r="I144" s="1" t="n"/>
      <c r="J144" s="287" t="inlineStr">
        <is>
          <t>SF:</t>
        </is>
      </c>
      <c r="K144" s="2405">
        <f>J113</f>
        <v/>
      </c>
      <c r="L144" s="1073" t="inlineStr">
        <is>
          <t>MOB (2 hours)</t>
        </is>
      </c>
      <c r="M144" s="38" t="inlineStr">
        <is>
          <t>Less Sales Tax</t>
        </is>
      </c>
      <c r="N144" s="2402">
        <f>SUM(L137:L139)</f>
        <v/>
      </c>
      <c r="P144" s="1" t="n"/>
      <c r="Q144" s="287" t="inlineStr">
        <is>
          <t>SF:</t>
        </is>
      </c>
      <c r="R144" s="2405">
        <f>Q113</f>
        <v/>
      </c>
      <c r="S144" s="1073" t="inlineStr">
        <is>
          <t>MOB (3 hours)</t>
        </is>
      </c>
      <c r="T144" s="38" t="inlineStr">
        <is>
          <t>Less Sales Tax</t>
        </is>
      </c>
      <c r="U144" s="2402">
        <f>SUM(S137:S139)</f>
        <v/>
      </c>
    </row>
    <row r="145" ht="16.2" customHeight="1" thickBot="1">
      <c r="B145" s="289" t="inlineStr">
        <is>
          <t>TOTAL</t>
        </is>
      </c>
      <c r="C145" s="290" t="n"/>
      <c r="D145" s="2412">
        <f>E145/C113</f>
        <v/>
      </c>
      <c r="E145" s="2404">
        <f>SUM(E132:E142)</f>
        <v/>
      </c>
      <c r="F145" s="2282">
        <f>E145-E135-E140</f>
        <v/>
      </c>
      <c r="G145" s="293">
        <f>G144/E145</f>
        <v/>
      </c>
      <c r="H145" s="294" t="n"/>
      <c r="I145" s="289" t="inlineStr">
        <is>
          <t>TOTAL</t>
        </is>
      </c>
      <c r="J145" s="290" t="n"/>
      <c r="K145" s="2412">
        <f>L145/J113</f>
        <v/>
      </c>
      <c r="L145" s="2404">
        <f>SUM(L132:L142)</f>
        <v/>
      </c>
      <c r="M145" s="2282">
        <f>L145-L135-L140</f>
        <v/>
      </c>
      <c r="N145" s="293">
        <f>N144/L145</f>
        <v/>
      </c>
      <c r="P145" s="289" t="inlineStr">
        <is>
          <t>TOTAL</t>
        </is>
      </c>
      <c r="Q145" s="290" t="n"/>
      <c r="R145" s="2412">
        <f>S145/Q113</f>
        <v/>
      </c>
      <c r="S145" s="2404">
        <f>SUM(S132:S142)</f>
        <v/>
      </c>
      <c r="T145" s="2282">
        <f>S145-S135-S140</f>
        <v/>
      </c>
      <c r="U145" s="293">
        <f>U144/S145</f>
        <v/>
      </c>
    </row>
    <row r="146">
      <c r="B146" s="1" t="n"/>
      <c r="C146" s="1" t="inlineStr">
        <is>
          <t xml:space="preserve"> </t>
        </is>
      </c>
      <c r="D146" s="2282">
        <f>E146/C113</f>
        <v/>
      </c>
      <c r="E146" s="2282">
        <f>E145-E140</f>
        <v/>
      </c>
      <c r="F146" t="inlineStr">
        <is>
          <t xml:space="preserve">less ks remodel, if applicable </t>
        </is>
      </c>
      <c r="G146" s="295">
        <f>IF(G145&lt;=0.23,"OWNER APPROVAL REQUIRED","GP % Okay")</f>
        <v/>
      </c>
      <c r="H146" s="1891" t="n"/>
      <c r="I146" s="1" t="n"/>
      <c r="J146" s="1" t="inlineStr">
        <is>
          <t xml:space="preserve"> </t>
        </is>
      </c>
      <c r="K146" s="2282">
        <f>L146/J113</f>
        <v/>
      </c>
      <c r="L146" s="2282">
        <f>L145-L140</f>
        <v/>
      </c>
      <c r="M146" t="inlineStr">
        <is>
          <t xml:space="preserve">less ks remodel, if applicable </t>
        </is>
      </c>
      <c r="N146" s="295">
        <f>IF(N145&lt;=0.23,"OWNER APPROVAL REQUIRED","GP % Okay")</f>
        <v/>
      </c>
      <c r="P146" s="1" t="n"/>
      <c r="Q146" s="1" t="inlineStr">
        <is>
          <t xml:space="preserve"> </t>
        </is>
      </c>
      <c r="R146" s="2282">
        <f>S146/Q113</f>
        <v/>
      </c>
      <c r="S146" s="2282">
        <f>S145-S140</f>
        <v/>
      </c>
      <c r="T146" t="inlineStr">
        <is>
          <t xml:space="preserve">less ks remodel, if applicable </t>
        </is>
      </c>
      <c r="U146" s="295">
        <f>IF(U145&lt;=0.23,"OWNER APPROVAL REQUIRED","GP % Okay")</f>
        <v/>
      </c>
    </row>
    <row r="147">
      <c r="A147" s="458" t="n"/>
    </row>
    <row r="149">
      <c r="B149" s="2413" t="inlineStr">
        <is>
          <t>Polish  - MOB (In Town)</t>
        </is>
      </c>
      <c r="C149" s="2350" t="n"/>
      <c r="D149" s="2350" t="n"/>
      <c r="E149" s="237" t="n"/>
      <c r="F149" s="2375">
        <f>E194</f>
        <v/>
      </c>
      <c r="G149" s="263" t="inlineStr">
        <is>
          <t>Total</t>
        </is>
      </c>
      <c r="I149" s="2413" t="inlineStr">
        <is>
          <t>Polish  - MOB (2:00 Hours One Way)</t>
        </is>
      </c>
      <c r="J149" s="2350" t="n"/>
      <c r="K149" s="2350" t="n"/>
      <c r="L149" s="237" t="n"/>
      <c r="M149" s="2375">
        <f>L194</f>
        <v/>
      </c>
      <c r="N149" s="263" t="inlineStr">
        <is>
          <t>Total</t>
        </is>
      </c>
      <c r="P149" s="2413" t="inlineStr">
        <is>
          <t>Polish  - MOB (3:00 Hours One Way)</t>
        </is>
      </c>
      <c r="Q149" s="2350" t="n"/>
      <c r="R149" s="2350" t="n"/>
      <c r="S149" s="237" t="n"/>
      <c r="T149" s="2375">
        <f>S194</f>
        <v/>
      </c>
      <c r="U149" s="263" t="inlineStr">
        <is>
          <t>Total</t>
        </is>
      </c>
    </row>
    <row r="150">
      <c r="B150" s="25" t="inlineStr">
        <is>
          <t>MATERIAL - Patch</t>
        </is>
      </c>
      <c r="C150" s="90" t="inlineStr">
        <is>
          <t>Quantity</t>
        </is>
      </c>
      <c r="D150" s="90" t="inlineStr">
        <is>
          <t>Cost</t>
        </is>
      </c>
      <c r="E150" s="91" t="inlineStr">
        <is>
          <t>Total</t>
        </is>
      </c>
      <c r="F150" s="23" t="n"/>
      <c r="G150" s="89" t="n"/>
      <c r="H150" s="264" t="n"/>
      <c r="I150" s="25" t="inlineStr">
        <is>
          <t>MATERIAL - Patch</t>
        </is>
      </c>
      <c r="J150" s="90" t="inlineStr">
        <is>
          <t>Quantity</t>
        </is>
      </c>
      <c r="K150" s="90" t="inlineStr">
        <is>
          <t>Cost</t>
        </is>
      </c>
      <c r="L150" s="91" t="inlineStr">
        <is>
          <t>Total</t>
        </is>
      </c>
      <c r="M150" s="23" t="n"/>
      <c r="N150" s="89" t="n"/>
      <c r="P150" s="25" t="inlineStr">
        <is>
          <t>MATERIAL - Patch</t>
        </is>
      </c>
      <c r="Q150" s="90" t="inlineStr">
        <is>
          <t>Quantity</t>
        </is>
      </c>
      <c r="R150" s="90" t="inlineStr">
        <is>
          <t>Cost</t>
        </is>
      </c>
      <c r="S150" s="91" t="inlineStr">
        <is>
          <t>Total</t>
        </is>
      </c>
      <c r="T150" s="23" t="n"/>
      <c r="U150" s="89" t="n"/>
    </row>
    <row r="151">
      <c r="B151" s="44" t="n"/>
      <c r="C151" s="2377" t="n"/>
      <c r="D151" s="2312" t="n"/>
      <c r="E151" s="2308">
        <f>C151*D151</f>
        <v/>
      </c>
      <c r="F151" s="1" t="n"/>
      <c r="G151" s="1" t="n"/>
      <c r="H151" s="1" t="n"/>
      <c r="I151" s="44" t="n"/>
      <c r="J151" s="2377" t="n"/>
      <c r="K151" s="2312" t="n"/>
      <c r="L151" s="2308">
        <f>J151*K151</f>
        <v/>
      </c>
      <c r="M151" s="1" t="n"/>
      <c r="N151" s="1" t="n"/>
      <c r="P151" s="44" t="n"/>
      <c r="Q151" s="2377" t="n"/>
      <c r="R151" s="2312" t="n"/>
      <c r="S151" s="2308">
        <f>Q151*R151</f>
        <v/>
      </c>
      <c r="T151" s="1" t="n"/>
      <c r="U151" s="1" t="n"/>
    </row>
    <row r="152">
      <c r="B152" s="44" t="n"/>
      <c r="C152" s="2377" t="n"/>
      <c r="D152" s="2312" t="n"/>
      <c r="E152" s="2308">
        <f>C152*D152</f>
        <v/>
      </c>
      <c r="F152" s="1" t="n"/>
      <c r="G152" s="1" t="n"/>
      <c r="H152" s="1" t="n"/>
      <c r="I152" s="44" t="n"/>
      <c r="J152" s="2377" t="n"/>
      <c r="K152" s="2312" t="n"/>
      <c r="L152" s="2308">
        <f>J152*K152</f>
        <v/>
      </c>
      <c r="M152" s="1" t="n"/>
      <c r="N152" s="1" t="n"/>
      <c r="P152" s="44" t="n"/>
      <c r="Q152" s="2377" t="n"/>
      <c r="R152" s="2312" t="n"/>
      <c r="S152" s="2308">
        <f>Q152*R152</f>
        <v/>
      </c>
      <c r="T152" s="1" t="n"/>
      <c r="U152" s="1" t="n"/>
    </row>
    <row r="153">
      <c r="B153" s="25" t="inlineStr">
        <is>
          <t>MATERIAL - Floor</t>
        </is>
      </c>
      <c r="C153" s="2379" t="n"/>
      <c r="D153" s="23" t="n"/>
      <c r="E153" s="29" t="n"/>
      <c r="F153" s="2380" t="n">
        <v>0</v>
      </c>
      <c r="G153" s="82" t="inlineStr">
        <is>
          <t>SF</t>
        </is>
      </c>
      <c r="H153" s="1" t="n"/>
      <c r="I153" s="25" t="inlineStr">
        <is>
          <t>MATERIAL - Floor</t>
        </is>
      </c>
      <c r="J153" s="2379" t="n"/>
      <c r="K153" s="23" t="n"/>
      <c r="L153" s="29" t="n"/>
      <c r="M153" s="2380" t="n">
        <v>0</v>
      </c>
      <c r="N153" s="82" t="inlineStr">
        <is>
          <t>SF</t>
        </is>
      </c>
      <c r="P153" s="25" t="inlineStr">
        <is>
          <t>MATERIAL - Floor</t>
        </is>
      </c>
      <c r="Q153" s="2379" t="n"/>
      <c r="R153" s="23" t="n"/>
      <c r="S153" s="29" t="n"/>
      <c r="T153" s="2380" t="n">
        <v>0</v>
      </c>
      <c r="U153" s="82" t="inlineStr">
        <is>
          <t>SF</t>
        </is>
      </c>
    </row>
    <row r="154">
      <c r="B154" s="47" t="n"/>
      <c r="C154" s="2377" t="n"/>
      <c r="D154" s="2282" t="n"/>
      <c r="E154" s="2038">
        <f>C154*D154</f>
        <v/>
      </c>
      <c r="F154" s="1" t="n"/>
      <c r="G154" s="1" t="n"/>
      <c r="H154" s="1" t="n"/>
      <c r="I154" s="47" t="n"/>
      <c r="J154" s="2377" t="n"/>
      <c r="K154" s="2282" t="n"/>
      <c r="L154" s="2038">
        <f>J154*K154</f>
        <v/>
      </c>
      <c r="M154" s="1" t="n"/>
      <c r="N154" s="1" t="n"/>
      <c r="P154" s="47" t="n"/>
      <c r="Q154" s="2377" t="n"/>
      <c r="R154" s="2282" t="n"/>
      <c r="S154" s="2038">
        <f>Q154*R154</f>
        <v/>
      </c>
      <c r="T154" s="1" t="n"/>
      <c r="U154" s="1" t="n"/>
    </row>
    <row r="155">
      <c r="B155" s="47" t="n"/>
      <c r="C155" s="2377" t="n"/>
      <c r="D155" s="2282" t="n"/>
      <c r="E155" s="2038">
        <f>C155*D155</f>
        <v/>
      </c>
      <c r="F155" s="1" t="n"/>
      <c r="G155" s="1" t="n"/>
      <c r="H155" s="1" t="n"/>
      <c r="I155" s="47" t="n"/>
      <c r="J155" s="2377" t="n"/>
      <c r="K155" s="2282" t="n"/>
      <c r="L155" s="2038">
        <f>J155*K155</f>
        <v/>
      </c>
      <c r="M155" s="1" t="n"/>
      <c r="N155" s="1" t="n"/>
      <c r="P155" s="47" t="n"/>
      <c r="Q155" s="2377" t="n"/>
      <c r="R155" s="2282" t="n"/>
      <c r="S155" s="2038">
        <f>Q155*R155</f>
        <v/>
      </c>
      <c r="T155" s="1" t="n"/>
      <c r="U155" s="1" t="n"/>
    </row>
    <row r="156">
      <c r="B156" s="48" t="n"/>
      <c r="C156" s="2381" t="n"/>
      <c r="D156" s="2332" t="n"/>
      <c r="E156" s="2333">
        <f>C156*D156</f>
        <v/>
      </c>
      <c r="F156" s="1" t="n"/>
      <c r="G156" s="1" t="n"/>
      <c r="H156" s="1" t="n"/>
      <c r="I156" s="48" t="n"/>
      <c r="J156" s="2381" t="n"/>
      <c r="K156" s="2332" t="n"/>
      <c r="L156" s="2333">
        <f>J156*K156</f>
        <v/>
      </c>
      <c r="M156" s="1" t="n"/>
      <c r="N156" s="1" t="n"/>
      <c r="P156" s="48" t="n"/>
      <c r="Q156" s="2381" t="n"/>
      <c r="R156" s="2332" t="n"/>
      <c r="S156" s="2333">
        <f>Q156*R156</f>
        <v/>
      </c>
      <c r="T156" s="1" t="n"/>
      <c r="U156" s="1" t="n"/>
    </row>
    <row r="157">
      <c r="B157" s="17" t="inlineStr">
        <is>
          <t>Material Sub Total</t>
        </is>
      </c>
      <c r="C157" s="35" t="n"/>
      <c r="D157" s="2382" t="n"/>
      <c r="E157" s="2335">
        <f>ROUNDUP(SUM(E151:E156),0)</f>
        <v/>
      </c>
      <c r="F157" s="1" t="n"/>
      <c r="G157" s="1" t="n"/>
      <c r="H157" s="1" t="n"/>
      <c r="I157" s="17" t="inlineStr">
        <is>
          <t>Material Sub Total</t>
        </is>
      </c>
      <c r="J157" s="35" t="n"/>
      <c r="K157" s="2382" t="n"/>
      <c r="L157" s="2335">
        <f>ROUNDUP(SUM(L151:L156),0)</f>
        <v/>
      </c>
      <c r="M157" s="1" t="n"/>
      <c r="N157" s="1" t="n"/>
      <c r="P157" s="17" t="inlineStr">
        <is>
          <t>Material Sub Total</t>
        </is>
      </c>
      <c r="Q157" s="35" t="n"/>
      <c r="R157" s="2382" t="n"/>
      <c r="S157" s="2335">
        <f>ROUNDUP(SUM(S151:S156),0)</f>
        <v/>
      </c>
      <c r="T157" s="1" t="n"/>
      <c r="U157" s="1" t="n"/>
    </row>
    <row r="158">
      <c r="B158" s="20" t="inlineStr">
        <is>
          <t>Discount</t>
        </is>
      </c>
      <c r="C158" s="270" t="n">
        <v>0</v>
      </c>
      <c r="D158" s="2283" t="n"/>
      <c r="E158" s="2383">
        <f>ROUNDUP(SUM(E154)*C158,0)</f>
        <v/>
      </c>
      <c r="F158" s="1" t="n"/>
      <c r="G158" s="1" t="n"/>
      <c r="H158" s="1" t="n"/>
      <c r="I158" s="20" t="inlineStr">
        <is>
          <t>Discount</t>
        </is>
      </c>
      <c r="J158" s="270" t="n">
        <v>0</v>
      </c>
      <c r="K158" s="2283" t="n"/>
      <c r="L158" s="2383">
        <f>ROUNDUP(SUM(L154)*J158,0)</f>
        <v/>
      </c>
      <c r="M158" s="1" t="n"/>
      <c r="N158" s="1" t="n"/>
      <c r="P158" s="20" t="inlineStr">
        <is>
          <t>Discount</t>
        </is>
      </c>
      <c r="Q158" s="270" t="n">
        <v>0</v>
      </c>
      <c r="R158" s="2283" t="n"/>
      <c r="S158" s="2383">
        <f>ROUNDUP(SUM(S154)*Q158,0)</f>
        <v/>
      </c>
      <c r="T158" s="1" t="n"/>
      <c r="U158" s="1" t="n"/>
    </row>
    <row r="159">
      <c r="B159" s="39" t="inlineStr">
        <is>
          <t>Shipping</t>
        </is>
      </c>
      <c r="C159" s="40">
        <f>IF(E157&lt;=5000,0.1,IF(E157&lt;=10000,0.06,0.04))</f>
        <v/>
      </c>
      <c r="D159" s="2384" t="n"/>
      <c r="E159" s="2338">
        <f>ROUNDUP(E157*C159,0)</f>
        <v/>
      </c>
      <c r="F159" s="1" t="n"/>
      <c r="I159" s="39" t="inlineStr">
        <is>
          <t>Shipping</t>
        </is>
      </c>
      <c r="J159" s="40">
        <f>IF(L157&lt;=5000,0.1,IF(L157&lt;=10000,0.06,0.04))</f>
        <v/>
      </c>
      <c r="K159" s="2384" t="n"/>
      <c r="L159" s="2338">
        <f>ROUNDUP(L157*J159,0)</f>
        <v/>
      </c>
      <c r="M159" s="1" t="n"/>
      <c r="P159" s="39" t="inlineStr">
        <is>
          <t>Shipping</t>
        </is>
      </c>
      <c r="Q159" s="40">
        <f>IF(S157&lt;=5000,0.1,IF(S157&lt;=10000,0.06,0.04))</f>
        <v/>
      </c>
      <c r="R159" s="2384" t="n"/>
      <c r="S159" s="2338">
        <f>ROUNDUP(S157*Q159,0)</f>
        <v/>
      </c>
      <c r="T159" s="1" t="n"/>
    </row>
    <row r="160">
      <c r="B160" s="10" t="inlineStr">
        <is>
          <t>Material Total</t>
        </is>
      </c>
      <c r="C160" s="36" t="n"/>
      <c r="D160" s="2339" t="n"/>
      <c r="E160" s="2339">
        <f>SUM(E157:E159)</f>
        <v/>
      </c>
      <c r="F160" s="123">
        <f>E160/F153</f>
        <v/>
      </c>
      <c r="G160" s="124" t="inlineStr">
        <is>
          <t>Material $/SF</t>
        </is>
      </c>
      <c r="H160" s="1" t="n"/>
      <c r="I160" s="10" t="inlineStr">
        <is>
          <t>Material Total</t>
        </is>
      </c>
      <c r="J160" s="36" t="n"/>
      <c r="K160" s="2339" t="n"/>
      <c r="L160" s="2339">
        <f>SUM(L157:L159)</f>
        <v/>
      </c>
      <c r="M160" s="123">
        <f>L160/M153</f>
        <v/>
      </c>
      <c r="N160" s="124" t="inlineStr">
        <is>
          <t>Material $/SF</t>
        </is>
      </c>
      <c r="P160" s="10" t="inlineStr">
        <is>
          <t>Material Total</t>
        </is>
      </c>
      <c r="Q160" s="36" t="n"/>
      <c r="R160" s="2339" t="n"/>
      <c r="S160" s="2339">
        <f>SUM(S157:S159)</f>
        <v/>
      </c>
      <c r="T160" s="123">
        <f>S160/T153</f>
        <v/>
      </c>
      <c r="U160" s="124" t="inlineStr">
        <is>
          <t>Material $/SF</t>
        </is>
      </c>
    </row>
    <row r="161">
      <c r="B161" s="1" t="n"/>
      <c r="C161" s="1892" t="n"/>
      <c r="D161" s="2282" t="n"/>
      <c r="E161" s="2282" t="n"/>
      <c r="F161" s="1" t="n"/>
      <c r="I161" s="1" t="n"/>
      <c r="J161" s="1892" t="n"/>
      <c r="K161" s="2282" t="n"/>
      <c r="L161" s="2282" t="n"/>
      <c r="M161" s="1" t="n"/>
      <c r="P161" s="1" t="n"/>
      <c r="Q161" s="1892" t="n"/>
      <c r="R161" s="2282" t="n"/>
      <c r="S161" s="2282" t="n"/>
      <c r="T161" s="1" t="n"/>
    </row>
    <row r="162">
      <c r="B162" s="75" t="inlineStr">
        <is>
          <t>Square Footage:</t>
        </is>
      </c>
      <c r="C162" s="2385">
        <f>F153</f>
        <v/>
      </c>
      <c r="D162" s="75" t="inlineStr">
        <is>
          <t>Linear Footage:</t>
        </is>
      </c>
      <c r="E162" s="2386" t="n">
        <v>0</v>
      </c>
      <c r="F162" s="1" t="n"/>
      <c r="G162" s="273">
        <f>E162/C162</f>
        <v/>
      </c>
      <c r="I162" s="75" t="inlineStr">
        <is>
          <t>Square Footage:</t>
        </is>
      </c>
      <c r="J162" s="2385">
        <f>M153</f>
        <v/>
      </c>
      <c r="K162" s="75" t="inlineStr">
        <is>
          <t>Linear Footage:</t>
        </is>
      </c>
      <c r="L162" s="2386" t="n">
        <v>0</v>
      </c>
      <c r="M162" s="1" t="n"/>
      <c r="N162" s="273">
        <f>L162/J162</f>
        <v/>
      </c>
      <c r="P162" s="75" t="inlineStr">
        <is>
          <t>Square Footage:</t>
        </is>
      </c>
      <c r="Q162" s="2385">
        <f>T153</f>
        <v/>
      </c>
      <c r="R162" s="75" t="inlineStr">
        <is>
          <t>Linear Footage:</t>
        </is>
      </c>
      <c r="S162" s="2386" t="n">
        <v>0</v>
      </c>
      <c r="T162" s="1" t="n"/>
      <c r="U162" s="273">
        <f>S162/Q162</f>
        <v/>
      </c>
    </row>
    <row r="163">
      <c r="B163" s="85" t="inlineStr">
        <is>
          <t>Labor:              Guys</t>
        </is>
      </c>
      <c r="C163" s="68" t="inlineStr">
        <is>
          <t>Days</t>
        </is>
      </c>
      <c r="D163" s="68" t="inlineStr">
        <is>
          <t>Rate (PW?)</t>
        </is>
      </c>
      <c r="E163" s="87" t="inlineStr">
        <is>
          <t>Totals</t>
        </is>
      </c>
      <c r="F163" s="76" t="inlineStr">
        <is>
          <t>8hour days</t>
        </is>
      </c>
      <c r="G163" s="156" t="inlineStr">
        <is>
          <t>Estimated SF/MH</t>
        </is>
      </c>
      <c r="H163" s="274" t="n"/>
      <c r="I163" s="85" t="inlineStr">
        <is>
          <t>Labor:              Guys</t>
        </is>
      </c>
      <c r="J163" s="68" t="inlineStr">
        <is>
          <t>Days</t>
        </is>
      </c>
      <c r="K163" s="68" t="inlineStr">
        <is>
          <t>Rate (PW?)</t>
        </is>
      </c>
      <c r="L163" s="87" t="inlineStr">
        <is>
          <t>Totals</t>
        </is>
      </c>
      <c r="M163" s="76" t="inlineStr">
        <is>
          <t>8hour days</t>
        </is>
      </c>
      <c r="N163" s="156" t="inlineStr">
        <is>
          <t>Estimated SF/MH</t>
        </is>
      </c>
      <c r="P163" s="85" t="inlineStr">
        <is>
          <t>Labor:              Guys</t>
        </is>
      </c>
      <c r="Q163" s="68" t="inlineStr">
        <is>
          <t>Days</t>
        </is>
      </c>
      <c r="R163" s="68" t="inlineStr">
        <is>
          <t>Rate (PW?)</t>
        </is>
      </c>
      <c r="S163" s="87" t="inlineStr">
        <is>
          <t>Totals</t>
        </is>
      </c>
      <c r="T163" s="76" t="inlineStr">
        <is>
          <t>8hour days</t>
        </is>
      </c>
      <c r="U163" s="156" t="inlineStr">
        <is>
          <t>Estimated SF/MH</t>
        </is>
      </c>
    </row>
    <row r="164">
      <c r="B164" s="69" t="n">
        <v>3</v>
      </c>
      <c r="C164" s="1" t="n"/>
      <c r="D164" s="2388">
        <f>$D$17</f>
        <v/>
      </c>
      <c r="E164" s="70">
        <f>B164*C164*D164*8</f>
        <v/>
      </c>
      <c r="F164" s="76" t="n"/>
      <c r="G164" s="157">
        <f>F153/(E164/D164)</f>
        <v/>
      </c>
      <c r="H164" s="154" t="n"/>
      <c r="I164" s="298" t="n">
        <v>3</v>
      </c>
      <c r="J164" s="1" t="n">
        <v>1</v>
      </c>
      <c r="K164" s="2388">
        <f>$D$17</f>
        <v/>
      </c>
      <c r="L164" s="70">
        <f>I164*J164*K164*8</f>
        <v/>
      </c>
      <c r="M164" s="76" t="n"/>
      <c r="N164" s="157">
        <f>M153/(L164/K164)</f>
        <v/>
      </c>
      <c r="P164" s="298" t="n">
        <v>3</v>
      </c>
      <c r="Q164" s="1" t="n">
        <v>1.5</v>
      </c>
      <c r="R164" s="2388">
        <f>$D$17</f>
        <v/>
      </c>
      <c r="S164" s="70">
        <f>P164*Q164*R164*8</f>
        <v/>
      </c>
      <c r="T164" s="76" t="n"/>
      <c r="U164" s="157">
        <f>T153/(S164/R164)</f>
        <v/>
      </c>
    </row>
    <row r="165">
      <c r="B165" s="69" t="n"/>
      <c r="C165" s="1" t="n"/>
      <c r="D165" s="2388">
        <f>$D$17</f>
        <v/>
      </c>
      <c r="E165" s="70">
        <f>B165*C165*D165*8</f>
        <v/>
      </c>
      <c r="F165" s="76" t="n"/>
      <c r="G165" s="275">
        <f>F155/(E165/D165)</f>
        <v/>
      </c>
      <c r="H165" s="154" t="n"/>
      <c r="I165" s="69" t="n"/>
      <c r="J165" s="1" t="n"/>
      <c r="K165" s="2388">
        <f>$D$17</f>
        <v/>
      </c>
      <c r="L165" s="70">
        <f>I165*J165*K165*8</f>
        <v/>
      </c>
      <c r="M165" s="76" t="n"/>
      <c r="N165" s="275">
        <f>M155/(L165/K165)</f>
        <v/>
      </c>
      <c r="P165" s="69" t="n"/>
      <c r="Q165" s="1" t="n"/>
      <c r="R165" s="2388">
        <f>$D$17</f>
        <v/>
      </c>
      <c r="S165" s="70">
        <f>P165*Q165*R165*8</f>
        <v/>
      </c>
      <c r="T165" s="76" t="n"/>
      <c r="U165" s="275">
        <f>T155/(S165/R165)</f>
        <v/>
      </c>
    </row>
    <row r="166">
      <c r="B166" s="86" t="inlineStr">
        <is>
          <t>Travel:             Guys</t>
        </is>
      </c>
      <c r="C166" s="67" t="inlineStr">
        <is>
          <t>Hours</t>
        </is>
      </c>
      <c r="D166" s="67" t="inlineStr">
        <is>
          <t>Rate</t>
        </is>
      </c>
      <c r="E166" s="71" t="n"/>
      <c r="F166" s="420">
        <f>Polish!B44</f>
        <v/>
      </c>
      <c r="G166" s="420" t="inlineStr">
        <is>
          <t>Add for Topeka, St. Joe (~2 hrs)</t>
        </is>
      </c>
      <c r="H166" s="388" t="n"/>
      <c r="I166" s="86" t="inlineStr">
        <is>
          <t>Travel:             Guys</t>
        </is>
      </c>
      <c r="J166" s="67" t="inlineStr">
        <is>
          <t>Hours</t>
        </is>
      </c>
      <c r="K166" s="67" t="inlineStr">
        <is>
          <t>Rate</t>
        </is>
      </c>
      <c r="L166" s="71" t="n"/>
      <c r="M166" s="1" t="n"/>
      <c r="P166" s="86" t="inlineStr">
        <is>
          <t>Travel:             Guys</t>
        </is>
      </c>
      <c r="Q166" s="67" t="inlineStr">
        <is>
          <t>Hours</t>
        </is>
      </c>
      <c r="R166" s="67" t="inlineStr">
        <is>
          <t>Rate</t>
        </is>
      </c>
      <c r="S166" s="71" t="n"/>
      <c r="T166" s="1" t="n"/>
    </row>
    <row r="167">
      <c r="B167" s="69">
        <f>B164</f>
        <v/>
      </c>
      <c r="C167" s="1">
        <f>12+F166</f>
        <v/>
      </c>
      <c r="D167" s="2388">
        <f>$D$20</f>
        <v/>
      </c>
      <c r="E167" s="70">
        <f>B167*C167*D167</f>
        <v/>
      </c>
      <c r="F167" s="76" t="inlineStr">
        <is>
          <t>Drive &amp; Setup Time</t>
        </is>
      </c>
      <c r="I167" s="69">
        <f>I164</f>
        <v/>
      </c>
      <c r="J167" s="1">
        <f>16</f>
        <v/>
      </c>
      <c r="K167" s="2388">
        <f>$D$20</f>
        <v/>
      </c>
      <c r="L167" s="70">
        <f>I167*J167*K167</f>
        <v/>
      </c>
      <c r="M167" s="76" t="inlineStr">
        <is>
          <t>Drive &amp; Setup Time</t>
        </is>
      </c>
      <c r="P167" s="69">
        <f>P164</f>
        <v/>
      </c>
      <c r="Q167" s="1">
        <f>14+6</f>
        <v/>
      </c>
      <c r="R167" s="2388">
        <f>$D$20</f>
        <v/>
      </c>
      <c r="S167" s="70">
        <f>P167*Q167*R167</f>
        <v/>
      </c>
      <c r="T167" s="76" t="inlineStr">
        <is>
          <t>Drive &amp; Setup Time</t>
        </is>
      </c>
    </row>
    <row r="168">
      <c r="B168" s="277" t="inlineStr">
        <is>
          <t>Labor Total</t>
        </is>
      </c>
      <c r="C168" s="278" t="n"/>
      <c r="D168" s="278" t="n"/>
      <c r="E168" s="2390">
        <f>ROUNDUP(SUM(E164:E167),0)</f>
        <v/>
      </c>
      <c r="F168" s="123">
        <f>E168/C162</f>
        <v/>
      </c>
      <c r="G168" s="124" t="inlineStr">
        <is>
          <t>Labor $/SF</t>
        </is>
      </c>
      <c r="H168" s="1" t="n"/>
      <c r="I168" s="277" t="inlineStr">
        <is>
          <t>Labor Total</t>
        </is>
      </c>
      <c r="J168" s="278" t="n"/>
      <c r="K168" s="278" t="n"/>
      <c r="L168" s="2390">
        <f>ROUNDUP(SUM(L164:L167),0)</f>
        <v/>
      </c>
      <c r="M168" s="123">
        <f>L168/J162</f>
        <v/>
      </c>
      <c r="N168" s="124" t="inlineStr">
        <is>
          <t>Labor $/SF</t>
        </is>
      </c>
      <c r="P168" s="277" t="inlineStr">
        <is>
          <t>Labor Total</t>
        </is>
      </c>
      <c r="Q168" s="278" t="n"/>
      <c r="R168" s="278" t="n"/>
      <c r="S168" s="2390">
        <f>ROUNDUP(SUM(S164:S167),0)</f>
        <v/>
      </c>
      <c r="T168" s="123">
        <f>S168/Q162</f>
        <v/>
      </c>
      <c r="U168" s="124" t="inlineStr">
        <is>
          <t>Labor $/SF</t>
        </is>
      </c>
    </row>
    <row r="169">
      <c r="B169" s="1" t="n"/>
      <c r="C169" s="1892" t="n"/>
      <c r="D169" s="2282" t="n"/>
      <c r="E169" s="2282" t="n"/>
      <c r="F169" s="2282" t="n"/>
      <c r="G169" s="1" t="n"/>
      <c r="H169" s="1" t="n"/>
      <c r="I169" s="1" t="n"/>
      <c r="J169" s="1892" t="n"/>
      <c r="K169" s="2282" t="n"/>
      <c r="L169" s="2282" t="n"/>
      <c r="M169" s="2282" t="n"/>
      <c r="N169" s="1" t="n"/>
      <c r="P169" s="1" t="n"/>
      <c r="Q169" s="1892" t="n"/>
      <c r="R169" s="2282" t="n"/>
      <c r="S169" s="2282" t="n"/>
      <c r="T169" s="2282" t="n"/>
      <c r="U169" s="1" t="n"/>
    </row>
    <row r="170">
      <c r="B170" s="5" t="inlineStr">
        <is>
          <t>OTHER COSTS</t>
        </is>
      </c>
      <c r="C170" s="30" t="inlineStr">
        <is>
          <t>Quantity</t>
        </is>
      </c>
      <c r="D170" s="11" t="inlineStr">
        <is>
          <t>Cost</t>
        </is>
      </c>
      <c r="E170" s="2019" t="inlineStr">
        <is>
          <t>Total</t>
        </is>
      </c>
      <c r="F170" s="1" t="n"/>
      <c r="G170" s="1" t="n"/>
      <c r="H170" s="1" t="n"/>
      <c r="I170" s="5" t="inlineStr">
        <is>
          <t>OTHER COSTS</t>
        </is>
      </c>
      <c r="J170" s="30" t="inlineStr">
        <is>
          <t>Quantity</t>
        </is>
      </c>
      <c r="K170" s="11" t="inlineStr">
        <is>
          <t>Cost</t>
        </is>
      </c>
      <c r="L170" s="2019" t="inlineStr">
        <is>
          <t>Total</t>
        </is>
      </c>
      <c r="M170" s="1" t="n"/>
      <c r="N170" s="23" t="inlineStr">
        <is>
          <t>Polish:</t>
        </is>
      </c>
      <c r="P170" s="5" t="inlineStr">
        <is>
          <t>OTHER COSTS</t>
        </is>
      </c>
      <c r="Q170" s="30" t="inlineStr">
        <is>
          <t>Quantity</t>
        </is>
      </c>
      <c r="R170" s="11" t="inlineStr">
        <is>
          <t>Cost</t>
        </is>
      </c>
      <c r="S170" s="2019" t="inlineStr">
        <is>
          <t>Total</t>
        </is>
      </c>
      <c r="T170" s="1" t="n"/>
      <c r="U170" s="23" t="inlineStr">
        <is>
          <t>Polish:</t>
        </is>
      </c>
    </row>
    <row r="171">
      <c r="B171" s="6" t="inlineStr">
        <is>
          <t>Moisture Test</t>
        </is>
      </c>
      <c r="C171" s="37" t="n"/>
      <c r="D171" s="2282" t="n">
        <v>35</v>
      </c>
      <c r="E171" s="2038">
        <f>ROUNDUP(C171*D171,0)</f>
        <v/>
      </c>
      <c r="F171" s="1" t="n"/>
      <c r="G171" s="43" t="n"/>
      <c r="H171" s="1" t="n"/>
      <c r="I171" s="6" t="inlineStr">
        <is>
          <t>Moisture Test</t>
        </is>
      </c>
      <c r="J171" s="37" t="n"/>
      <c r="K171" s="2282" t="n">
        <v>35</v>
      </c>
      <c r="L171" s="2038">
        <f>ROUNDUP(J171*K171,0)</f>
        <v/>
      </c>
      <c r="M171" s="1" t="n"/>
      <c r="N171" s="299" t="inlineStr">
        <is>
          <t>orig labor</t>
        </is>
      </c>
      <c r="P171" s="6" t="inlineStr">
        <is>
          <t>Moisture Test</t>
        </is>
      </c>
      <c r="Q171" s="37" t="n"/>
      <c r="R171" s="2282" t="n">
        <v>35</v>
      </c>
      <c r="S171" s="2038">
        <f>ROUNDUP(Q171*R171,0)</f>
        <v/>
      </c>
      <c r="T171" s="1" t="n"/>
      <c r="U171" s="299" t="inlineStr">
        <is>
          <t>orig labor</t>
        </is>
      </c>
    </row>
    <row r="172">
      <c r="B172" s="6" t="inlineStr">
        <is>
          <t>Tooling &amp; Consumables</t>
        </is>
      </c>
      <c r="C172" s="37" t="n"/>
      <c r="D172" s="2282" t="n">
        <v>0.33</v>
      </c>
      <c r="E172" s="2038">
        <f>ROUNDUP(C172*D172,0)</f>
        <v/>
      </c>
      <c r="F172" s="1" t="n"/>
      <c r="G172" s="43" t="n"/>
      <c r="H172" s="1" t="n"/>
      <c r="I172" s="6" t="inlineStr">
        <is>
          <t>Tooling &amp; Consumables</t>
        </is>
      </c>
      <c r="J172" s="37" t="n"/>
      <c r="K172" s="2282" t="n">
        <v>0.33</v>
      </c>
      <c r="L172" s="2038">
        <f>ROUNDUP(J172*K172,0)</f>
        <v/>
      </c>
      <c r="M172" s="1" t="n"/>
      <c r="N172" s="299" t="inlineStr">
        <is>
          <t>divided by # of weeks</t>
        </is>
      </c>
      <c r="P172" s="6" t="inlineStr">
        <is>
          <t>Tooling &amp; Consumables</t>
        </is>
      </c>
      <c r="Q172" s="37" t="n"/>
      <c r="R172" s="2282" t="n">
        <v>0.33</v>
      </c>
      <c r="S172" s="2038">
        <f>ROUNDUP(Q172*R172,0)</f>
        <v/>
      </c>
      <c r="T172" s="1" t="n"/>
      <c r="U172" s="299" t="inlineStr">
        <is>
          <t>divided by # of weeks</t>
        </is>
      </c>
    </row>
    <row r="173">
      <c r="B173" s="6" t="inlineStr">
        <is>
          <t>Travel - Lodging</t>
        </is>
      </c>
      <c r="C173" s="37" t="n">
        <v>0</v>
      </c>
      <c r="D173" s="2282">
        <f>$D$26</f>
        <v/>
      </c>
      <c r="E173" s="2038">
        <f>ROUNDUP(C173*D173,0)</f>
        <v/>
      </c>
      <c r="F173" s="1" t="n"/>
      <c r="G173" s="43" t="n"/>
      <c r="H173" s="1" t="n"/>
      <c r="I173" s="6" t="inlineStr">
        <is>
          <t>Travel - Lodging</t>
        </is>
      </c>
      <c r="J173" s="37">
        <f>(L168/8)/K164</f>
        <v/>
      </c>
      <c r="K173" s="2282">
        <f>$D$26</f>
        <v/>
      </c>
      <c r="L173" s="2038">
        <f>ROUNDUP(J173*K173,0)</f>
        <v/>
      </c>
      <c r="M173" s="1" t="n"/>
      <c r="N173" s="299" t="inlineStr">
        <is>
          <t>divided by 4</t>
        </is>
      </c>
      <c r="P173" s="6" t="inlineStr">
        <is>
          <t>Travel - Lodging</t>
        </is>
      </c>
      <c r="Q173" s="37">
        <f>(S168/8)/R164</f>
        <v/>
      </c>
      <c r="R173" s="2282">
        <f>$D$26</f>
        <v/>
      </c>
      <c r="S173" s="2038">
        <f>ROUNDUP(Q173*R173,0)</f>
        <v/>
      </c>
      <c r="T173" s="1" t="n"/>
      <c r="U173" s="299" t="inlineStr">
        <is>
          <t>divided by 4</t>
        </is>
      </c>
    </row>
    <row r="174">
      <c r="B174" s="6" t="inlineStr">
        <is>
          <t>Travel - Food</t>
        </is>
      </c>
      <c r="C174" s="37">
        <f>C173</f>
        <v/>
      </c>
      <c r="D174" s="2282">
        <f>$D$27</f>
        <v/>
      </c>
      <c r="E174" s="2038">
        <f>ROUNDUP(C174*D174,0)</f>
        <v/>
      </c>
      <c r="F174" s="43" t="n"/>
      <c r="G174" s="1" t="n"/>
      <c r="H174" s="1" t="n"/>
      <c r="I174" s="6" t="inlineStr">
        <is>
          <t>Travel - Food</t>
        </is>
      </c>
      <c r="J174" s="37">
        <f>J173</f>
        <v/>
      </c>
      <c r="K174" s="2282">
        <f>$D$27</f>
        <v/>
      </c>
      <c r="L174" s="2038">
        <f>ROUNDUP(J174*K174,0)</f>
        <v/>
      </c>
      <c r="M174" s="43" t="n"/>
      <c r="N174" s="1" t="n"/>
      <c r="P174" s="6" t="inlineStr">
        <is>
          <t>Travel - Food</t>
        </is>
      </c>
      <c r="Q174" s="37">
        <f>Q173</f>
        <v/>
      </c>
      <c r="R174" s="2282">
        <f>$D$27</f>
        <v/>
      </c>
      <c r="S174" s="2038">
        <f>ROUNDUP(Q174*R174,0)</f>
        <v/>
      </c>
      <c r="T174" s="43" t="n"/>
      <c r="U174" s="1" t="n"/>
    </row>
    <row r="175">
      <c r="B175" s="6" t="inlineStr">
        <is>
          <t>Foreman - Fuel</t>
        </is>
      </c>
      <c r="C175" s="37">
        <f>(E168/8)/D164</f>
        <v/>
      </c>
      <c r="D175" s="2282">
        <f>$D$28</f>
        <v/>
      </c>
      <c r="E175" s="2038">
        <f>ROUNDUP(C175*D175,0)</f>
        <v/>
      </c>
      <c r="F175" s="43" t="n"/>
      <c r="G175" s="1" t="n"/>
      <c r="H175" s="1" t="n"/>
      <c r="I175" s="6" t="inlineStr">
        <is>
          <t>Foreman - Fuel</t>
        </is>
      </c>
      <c r="J175" s="37">
        <f>(L168/8)/K164</f>
        <v/>
      </c>
      <c r="K175" s="2282">
        <f>$D$28</f>
        <v/>
      </c>
      <c r="L175" s="2038">
        <f>ROUNDUP(J175*K175,0)</f>
        <v/>
      </c>
      <c r="M175" s="43" t="n"/>
      <c r="N175" s="1" t="n"/>
      <c r="P175" s="6" t="inlineStr">
        <is>
          <t>Foreman - Fuel</t>
        </is>
      </c>
      <c r="Q175" s="37">
        <f>(S168/8)/R164</f>
        <v/>
      </c>
      <c r="R175" s="2282">
        <f>$D$28</f>
        <v/>
      </c>
      <c r="S175" s="2038">
        <f>ROUNDUP(Q175*R175,0)</f>
        <v/>
      </c>
      <c r="T175" s="43" t="n"/>
      <c r="U175" s="1" t="n"/>
    </row>
    <row r="176">
      <c r="B176" s="6" t="inlineStr">
        <is>
          <t>Generator Fuel</t>
        </is>
      </c>
      <c r="C176" s="37" t="n"/>
      <c r="D176" s="2282" t="n">
        <v>0.04</v>
      </c>
      <c r="E176" s="2038">
        <f>ROUNDUP(C176*D176,0)</f>
        <v/>
      </c>
      <c r="F176" s="1" t="n"/>
      <c r="G176" s="43" t="n"/>
      <c r="H176" s="1" t="n"/>
      <c r="I176" s="6" t="inlineStr">
        <is>
          <t>Mileage</t>
        </is>
      </c>
      <c r="J176" s="37" t="n">
        <v>240</v>
      </c>
      <c r="K176" s="2282" t="n">
        <v>0.6</v>
      </c>
      <c r="L176" s="2038">
        <f>ROUNDUP(J176*K176,0)</f>
        <v/>
      </c>
      <c r="M176" s="1" t="n"/>
      <c r="N176" s="1" t="n"/>
      <c r="P176" s="6" t="inlineStr">
        <is>
          <t>Mileage</t>
        </is>
      </c>
      <c r="Q176" s="37" t="n">
        <v>400</v>
      </c>
      <c r="R176" s="2282" t="n">
        <v>0.6</v>
      </c>
      <c r="S176" s="2038">
        <f>ROUNDUP(Q176*R176,0)</f>
        <v/>
      </c>
      <c r="T176" s="1" t="n"/>
      <c r="U176" s="1" t="n"/>
    </row>
    <row r="177">
      <c r="B177" s="6" t="inlineStr">
        <is>
          <t>Plastic</t>
        </is>
      </c>
      <c r="C177" s="37" t="n"/>
      <c r="D177" s="2282" t="n"/>
      <c r="E177" s="2038">
        <f>ROUNDUP(C177*D177,0)</f>
        <v/>
      </c>
      <c r="F177" s="1" t="n"/>
      <c r="G177" s="43" t="n"/>
      <c r="H177" s="1" t="n"/>
      <c r="I177" s="6" t="inlineStr">
        <is>
          <t>Plastic</t>
        </is>
      </c>
      <c r="J177" s="37" t="n"/>
      <c r="K177" s="2282" t="n"/>
      <c r="L177" s="2038">
        <f>ROUNDUP(J177*K177,0)</f>
        <v/>
      </c>
      <c r="M177" s="1" t="n"/>
      <c r="N177" s="1" t="n"/>
      <c r="P177" s="6" t="inlineStr">
        <is>
          <t>Plastic</t>
        </is>
      </c>
      <c r="Q177" s="37" t="n"/>
      <c r="R177" s="2282" t="n"/>
      <c r="S177" s="2038">
        <f>ROUNDUP(Q177*R177,0)</f>
        <v/>
      </c>
      <c r="T177" s="1" t="n"/>
      <c r="U177" s="1" t="n"/>
    </row>
    <row r="178">
      <c r="B178" s="10" t="inlineStr">
        <is>
          <t>Other Costs Total</t>
        </is>
      </c>
      <c r="C178" s="36" t="n"/>
      <c r="D178" s="2339" t="n"/>
      <c r="E178" s="2340">
        <f>SUM(E171:E177)</f>
        <v/>
      </c>
      <c r="F178" s="1" t="n"/>
      <c r="G178" s="43" t="n"/>
      <c r="H178" s="1" t="n"/>
      <c r="I178" s="10" t="inlineStr">
        <is>
          <t>Other Costs Total</t>
        </is>
      </c>
      <c r="J178" s="36" t="n"/>
      <c r="K178" s="2339" t="n"/>
      <c r="L178" s="2340">
        <f>SUM(L171:L177)</f>
        <v/>
      </c>
      <c r="M178" s="1" t="n"/>
      <c r="N178" s="1" t="n"/>
      <c r="P178" s="10" t="inlineStr">
        <is>
          <t>Other Costs Total</t>
        </is>
      </c>
      <c r="Q178" s="36" t="n"/>
      <c r="R178" s="2339" t="n"/>
      <c r="S178" s="2340">
        <f>SUM(S171:S177)</f>
        <v/>
      </c>
      <c r="T178" s="1" t="n"/>
      <c r="U178" s="1" t="n"/>
    </row>
    <row r="179">
      <c r="B179" s="1" t="n"/>
      <c r="C179" s="1892" t="n"/>
      <c r="D179" s="2282" t="n"/>
      <c r="E179" s="2282" t="n"/>
      <c r="F179" s="1" t="n"/>
      <c r="G179" s="1" t="n"/>
      <c r="H179" s="1" t="n"/>
      <c r="I179" s="1" t="n"/>
      <c r="J179" s="1892" t="n"/>
      <c r="K179" s="2282" t="n"/>
      <c r="L179" s="2282" t="n"/>
      <c r="M179" s="1" t="n"/>
      <c r="N179" s="1" t="n"/>
      <c r="P179" s="1" t="n"/>
      <c r="Q179" s="1892" t="n"/>
      <c r="R179" s="2282" t="n"/>
      <c r="S179" s="2282" t="n"/>
      <c r="T179" s="1" t="n"/>
      <c r="U179" s="1" t="n"/>
    </row>
    <row r="180">
      <c r="B180" s="1" t="n"/>
      <c r="C180" s="1892" t="n"/>
      <c r="D180" s="2282" t="n"/>
      <c r="E180" s="2282" t="n"/>
      <c r="F180" s="1" t="n"/>
      <c r="G180" s="1" t="n"/>
      <c r="H180" s="1" t="n"/>
      <c r="I180" s="1" t="n"/>
      <c r="J180" s="1892" t="n"/>
      <c r="K180" s="2282" t="n"/>
      <c r="L180" s="2282" t="n"/>
      <c r="M180" s="1" t="n"/>
      <c r="N180" s="1" t="n"/>
      <c r="P180" s="1" t="n"/>
      <c r="Q180" s="1892" t="n"/>
      <c r="R180" s="2282" t="n"/>
      <c r="S180" s="2282" t="n"/>
      <c r="T180" s="1" t="n"/>
      <c r="U180" s="1" t="n"/>
    </row>
    <row r="181">
      <c r="B181" s="280" t="inlineStr">
        <is>
          <t>SUB-TOTAL COSTS</t>
        </is>
      </c>
      <c r="C181" s="281" t="n"/>
      <c r="D181" s="2393" t="n"/>
      <c r="E181" s="2394">
        <f>SUM(E160,E168,E178)</f>
        <v/>
      </c>
      <c r="F181" s="1" t="n"/>
      <c r="G181" s="1" t="n"/>
      <c r="H181" s="1" t="n"/>
      <c r="I181" s="280" t="inlineStr">
        <is>
          <t>SUB-TOTAL COSTS</t>
        </is>
      </c>
      <c r="J181" s="281" t="n"/>
      <c r="K181" s="2393" t="n"/>
      <c r="L181" s="2394">
        <f>SUM(L160,L168,L178)</f>
        <v/>
      </c>
      <c r="M181" s="1" t="n"/>
      <c r="N181" s="1" t="n"/>
      <c r="P181" s="280" t="inlineStr">
        <is>
          <t>SUB-TOTAL COSTS</t>
        </is>
      </c>
      <c r="Q181" s="281" t="n"/>
      <c r="R181" s="2393" t="n"/>
      <c r="S181" s="2394">
        <f>SUM(S160,S168,S178)</f>
        <v/>
      </c>
      <c r="T181" s="1" t="n"/>
      <c r="U181" s="1" t="n"/>
    </row>
    <row r="182">
      <c r="B182" s="1" t="n"/>
      <c r="C182" s="1892" t="n"/>
      <c r="D182" s="2282" t="n"/>
      <c r="E182" s="2282" t="n"/>
      <c r="F182" s="1" t="n"/>
      <c r="G182" s="1" t="n"/>
      <c r="H182" s="1" t="n"/>
      <c r="I182" s="1" t="n"/>
      <c r="J182" s="1892" t="n"/>
      <c r="K182" s="2282" t="n"/>
      <c r="L182" s="2282" t="n"/>
      <c r="M182" s="1" t="n"/>
      <c r="N182" s="1" t="n"/>
      <c r="P182" s="1" t="n"/>
      <c r="Q182" s="1892" t="n"/>
      <c r="R182" s="2282" t="n"/>
      <c r="S182" s="2282" t="n"/>
      <c r="T182" s="1" t="n"/>
      <c r="U182" s="1" t="n"/>
    </row>
    <row r="183">
      <c r="B183" s="5" t="inlineStr">
        <is>
          <t>MARKUP</t>
        </is>
      </c>
      <c r="C183" s="30" t="inlineStr">
        <is>
          <t>%</t>
        </is>
      </c>
      <c r="D183" s="2395" t="n"/>
      <c r="E183" s="2019" t="n"/>
      <c r="F183" s="1" t="n"/>
      <c r="G183" s="1" t="n"/>
      <c r="H183" s="1" t="n"/>
      <c r="I183" s="5" t="inlineStr">
        <is>
          <t>MARKUP</t>
        </is>
      </c>
      <c r="J183" s="30" t="inlineStr">
        <is>
          <t>%</t>
        </is>
      </c>
      <c r="K183" s="2395" t="n"/>
      <c r="L183" s="2019" t="n"/>
      <c r="M183" s="1" t="n"/>
      <c r="N183" s="1" t="n"/>
      <c r="P183" s="5" t="inlineStr">
        <is>
          <t>MARKUP</t>
        </is>
      </c>
      <c r="Q183" s="30" t="inlineStr">
        <is>
          <t>%</t>
        </is>
      </c>
      <c r="R183" s="2395" t="n"/>
      <c r="S183" s="2019" t="n"/>
      <c r="T183" s="1" t="n"/>
      <c r="U183" s="1" t="n"/>
    </row>
    <row r="184">
      <c r="B184" s="6" t="inlineStr">
        <is>
          <t>Sales Tax</t>
        </is>
      </c>
      <c r="C184" s="2396">
        <f>$C$37</f>
        <v/>
      </c>
      <c r="D184" s="2397" t="n"/>
      <c r="E184" s="2038">
        <f>ROUNDUP(SUM(E160:E160)*C184,0)</f>
        <v/>
      </c>
      <c r="F184" s="1" t="n"/>
      <c r="G184" s="1" t="n"/>
      <c r="H184" s="1" t="n"/>
      <c r="I184" s="6" t="inlineStr">
        <is>
          <t>Sales Tax</t>
        </is>
      </c>
      <c r="J184" s="2396">
        <f>$C$37</f>
        <v/>
      </c>
      <c r="K184" s="2397" t="n"/>
      <c r="L184" s="2038">
        <f>ROUNDUP(SUM(L160:L160)*J184,0)</f>
        <v/>
      </c>
      <c r="M184" s="1" t="n"/>
      <c r="N184" s="1" t="n"/>
      <c r="P184" s="6" t="inlineStr">
        <is>
          <t>Sales Tax</t>
        </is>
      </c>
      <c r="Q184" s="2396">
        <f>$C$37</f>
        <v/>
      </c>
      <c r="R184" s="2397" t="n"/>
      <c r="S184" s="2038">
        <f>ROUNDUP(SUM(S160:S160)*Q184,0)</f>
        <v/>
      </c>
      <c r="T184" s="1" t="n"/>
      <c r="U184" s="1" t="n"/>
    </row>
    <row r="185">
      <c r="B185" s="6" t="inlineStr">
        <is>
          <t>Insurance</t>
        </is>
      </c>
      <c r="C185" s="241" t="n">
        <v>0.08</v>
      </c>
      <c r="D185" s="2397" t="n"/>
      <c r="E185" s="2038">
        <f>ROUNDUP(SUM(E168)*C185,0)</f>
        <v/>
      </c>
      <c r="F185" s="1" t="n"/>
      <c r="G185" s="1" t="n"/>
      <c r="H185" s="1" t="n"/>
      <c r="I185" s="6" t="inlineStr">
        <is>
          <t>Insurance</t>
        </is>
      </c>
      <c r="J185" s="241" t="n">
        <v>0.08</v>
      </c>
      <c r="K185" s="2397" t="n"/>
      <c r="L185" s="2038">
        <f>ROUNDUP(SUM(L168)*J185,0)</f>
        <v/>
      </c>
      <c r="M185" s="1" t="n"/>
      <c r="N185" s="1" t="n"/>
      <c r="P185" s="6" t="inlineStr">
        <is>
          <t>Insurance</t>
        </is>
      </c>
      <c r="Q185" s="241" t="n">
        <v>0.08</v>
      </c>
      <c r="R185" s="2397" t="n"/>
      <c r="S185" s="2038">
        <f>ROUNDUP(SUM(S168)*Q185,0)</f>
        <v/>
      </c>
      <c r="T185" s="1" t="n"/>
      <c r="U185" s="1" t="n"/>
    </row>
    <row r="186">
      <c r="B186" s="6" t="inlineStr">
        <is>
          <t>Material Contingency</t>
        </is>
      </c>
      <c r="C186" s="122">
        <f>IF(E160&lt;=5000,0.1,0.05)</f>
        <v/>
      </c>
      <c r="D186" s="2282" t="n"/>
      <c r="E186" s="2038">
        <f>ROUNDUP(E160*C186,0)</f>
        <v/>
      </c>
      <c r="F186" s="1" t="n"/>
      <c r="G186" s="1" t="n"/>
      <c r="H186" s="1" t="n"/>
      <c r="I186" s="6" t="inlineStr">
        <is>
          <t>Material Contingency</t>
        </is>
      </c>
      <c r="J186" s="122">
        <f>IF(L160&lt;=5000,0.1,0.05)</f>
        <v/>
      </c>
      <c r="K186" s="2282" t="n"/>
      <c r="L186" s="2038">
        <f>ROUNDUP(L160*J186,0)</f>
        <v/>
      </c>
      <c r="M186" s="1" t="n"/>
      <c r="N186" s="1" t="n"/>
      <c r="P186" s="6" t="inlineStr">
        <is>
          <t>Material Contingency</t>
        </is>
      </c>
      <c r="Q186" s="122">
        <f>IF(S160&lt;=5000,0.1,0.05)</f>
        <v/>
      </c>
      <c r="R186" s="2282" t="n"/>
      <c r="S186" s="2038">
        <f>ROUNDUP(S160*Q186,0)</f>
        <v/>
      </c>
      <c r="T186" s="1" t="n"/>
      <c r="U186" s="1" t="n"/>
    </row>
    <row r="187">
      <c r="B187" s="6" t="inlineStr">
        <is>
          <t>Labor Contingency</t>
        </is>
      </c>
      <c r="C187" s="122" t="n">
        <v>0</v>
      </c>
      <c r="D187" s="2282" t="n"/>
      <c r="E187" s="2038">
        <f>ROUNDUP(E168*C187,0)</f>
        <v/>
      </c>
      <c r="F187" s="1" t="n"/>
      <c r="G187" s="1" t="n"/>
      <c r="H187" s="1" t="n"/>
      <c r="I187" s="6" t="inlineStr">
        <is>
          <t>Labor Contingency</t>
        </is>
      </c>
      <c r="J187" s="122" t="n">
        <v>0</v>
      </c>
      <c r="K187" s="2282" t="n"/>
      <c r="L187" s="2038">
        <f>ROUNDUP(L168*J187,0)</f>
        <v/>
      </c>
      <c r="M187" s="1" t="n"/>
      <c r="N187" s="1" t="n"/>
      <c r="P187" s="6" t="inlineStr">
        <is>
          <t>Labor Contingency</t>
        </is>
      </c>
      <c r="Q187" s="122" t="n">
        <v>0</v>
      </c>
      <c r="R187" s="2282" t="n"/>
      <c r="S187" s="2038">
        <f>ROUNDUP(S168*Q187,0)</f>
        <v/>
      </c>
      <c r="T187" s="1" t="n"/>
      <c r="U187" s="1" t="n"/>
    </row>
    <row r="188">
      <c r="B188" s="6" t="inlineStr">
        <is>
          <t>Mark Up</t>
        </is>
      </c>
      <c r="C188" s="122" t="n">
        <v>0.61</v>
      </c>
      <c r="D188" s="2282" t="n"/>
      <c r="E188" s="2038">
        <f>ROUNDUP(SUM(E181:E187)*C188,0)</f>
        <v/>
      </c>
      <c r="F188" s="1" t="n"/>
      <c r="G188" s="1" t="n"/>
      <c r="H188" s="1" t="n"/>
      <c r="I188" s="6" t="inlineStr">
        <is>
          <t>Mark Up</t>
        </is>
      </c>
      <c r="J188" s="122" t="n">
        <v>0.4</v>
      </c>
      <c r="K188" s="2282" t="n"/>
      <c r="L188" s="2038">
        <f>ROUNDUP(SUM(L181:L187)*J188,0)</f>
        <v/>
      </c>
      <c r="M188" s="1" t="n"/>
      <c r="N188" s="1" t="n"/>
      <c r="P188" s="6" t="inlineStr">
        <is>
          <t>Mark Up</t>
        </is>
      </c>
      <c r="Q188" s="122" t="n">
        <v>0.4</v>
      </c>
      <c r="R188" s="2282" t="n"/>
      <c r="S188" s="2038">
        <f>ROUNDUP(SUM(S181:S187)*Q188,0)</f>
        <v/>
      </c>
      <c r="T188" s="1" t="n"/>
      <c r="U188" s="1" t="n"/>
    </row>
    <row r="189">
      <c r="B189" s="284">
        <f>$B$42</f>
        <v/>
      </c>
      <c r="C189" s="241">
        <f>$C$42</f>
        <v/>
      </c>
      <c r="D189" s="2282" t="n"/>
      <c r="E189" s="2038">
        <f>ROUNDUP(SUM(E168,E185:E188)*C189,0)</f>
        <v/>
      </c>
      <c r="F189" s="1" t="n"/>
      <c r="G189" s="1" t="n"/>
      <c r="H189" s="1" t="n"/>
      <c r="I189" s="284">
        <f>$B$42</f>
        <v/>
      </c>
      <c r="J189" s="241">
        <f>$C$42</f>
        <v/>
      </c>
      <c r="K189" s="2282" t="n"/>
      <c r="L189" s="2038">
        <f>ROUNDUP(SUM(L168,L185:L188)*J189,0)</f>
        <v/>
      </c>
      <c r="M189" s="1" t="n"/>
      <c r="N189" s="1" t="n"/>
      <c r="P189" s="284">
        <f>$B$42</f>
        <v/>
      </c>
      <c r="Q189" s="241">
        <f>$C$42</f>
        <v/>
      </c>
      <c r="R189" s="2282" t="n"/>
      <c r="S189" s="2038">
        <f>ROUNDUP(SUM(S168,S185:S188)*Q189,0)</f>
        <v/>
      </c>
      <c r="T189" s="1" t="n"/>
      <c r="U189" s="1" t="n"/>
    </row>
    <row r="190">
      <c r="B190" s="403" t="inlineStr">
        <is>
          <t>Warranty &amp; Extra Soft Cost</t>
        </is>
      </c>
      <c r="C190" s="241">
        <f>$C$43</f>
        <v/>
      </c>
      <c r="D190" s="2282" t="n"/>
      <c r="E190" s="2038">
        <f>ROUNDUP(C190*SUM(E181:E189),0)</f>
        <v/>
      </c>
      <c r="F190" s="1" t="n"/>
      <c r="G190" s="1" t="n"/>
      <c r="H190" s="1" t="n"/>
      <c r="I190" s="403" t="inlineStr">
        <is>
          <t>Warranty &amp; Extra Soft Cost</t>
        </is>
      </c>
      <c r="J190" s="241">
        <f>$C$43</f>
        <v/>
      </c>
      <c r="K190" s="2282" t="n"/>
      <c r="L190" s="2038">
        <f>ROUNDUP(J190*SUM(L181:L189),0)</f>
        <v/>
      </c>
      <c r="M190" s="1" t="n"/>
      <c r="N190" s="1" t="n"/>
      <c r="P190" s="403" t="inlineStr">
        <is>
          <t>Warranty &amp; Extra Soft Cost</t>
        </is>
      </c>
      <c r="Q190" s="241">
        <f>$C$43</f>
        <v/>
      </c>
      <c r="R190" s="2282" t="n"/>
      <c r="S190" s="2038">
        <f>ROUNDUP(Q190*SUM(S181:S189),0)</f>
        <v/>
      </c>
      <c r="T190" s="1" t="n"/>
      <c r="U190" s="1" t="n"/>
    </row>
    <row r="191">
      <c r="B191" s="45" t="inlineStr">
        <is>
          <t>Bond</t>
        </is>
      </c>
      <c r="C191" s="46">
        <f>$C$44</f>
        <v/>
      </c>
      <c r="D191" s="2314" t="n"/>
      <c r="E191" s="2400" t="n">
        <v>-8</v>
      </c>
      <c r="F191" s="1" t="n"/>
      <c r="G191" s="1" t="n"/>
      <c r="H191" s="1" t="n"/>
      <c r="I191" s="45" t="inlineStr">
        <is>
          <t>Bond</t>
        </is>
      </c>
      <c r="J191" s="46">
        <f>$C$44</f>
        <v/>
      </c>
      <c r="K191" s="2314" t="n"/>
      <c r="L191" s="2400">
        <f>ROUNDUP(SUM(L181:L190)*J191,0)</f>
        <v/>
      </c>
      <c r="M191" s="1" t="n"/>
      <c r="N191" s="1" t="n"/>
      <c r="P191" s="45" t="inlineStr">
        <is>
          <t>Bond</t>
        </is>
      </c>
      <c r="Q191" s="46">
        <f>$C$44</f>
        <v/>
      </c>
      <c r="R191" s="2314" t="n"/>
      <c r="S191" s="2400">
        <f>ROUNDUP(SUM(S181:S190)*Q191,0)</f>
        <v/>
      </c>
      <c r="T191" s="1" t="n"/>
      <c r="U191" s="1" t="n"/>
    </row>
    <row r="192">
      <c r="B192" s="1" t="n"/>
      <c r="C192" s="8" t="n"/>
      <c r="D192" s="2282" t="n"/>
      <c r="E192" s="2414" t="inlineStr">
        <is>
          <t>Polish</t>
        </is>
      </c>
      <c r="F192" s="1" t="n"/>
      <c r="G192" s="286" t="inlineStr">
        <is>
          <t>Mark Up + Conting.</t>
        </is>
      </c>
      <c r="H192" s="1892" t="n"/>
      <c r="I192" s="1" t="n"/>
      <c r="J192" s="8" t="n"/>
      <c r="K192" s="2282" t="n"/>
      <c r="L192" s="2414" t="inlineStr">
        <is>
          <t>Polish</t>
        </is>
      </c>
      <c r="M192" s="1" t="n"/>
      <c r="N192" s="286" t="inlineStr">
        <is>
          <t>Mark Up + Conting.</t>
        </is>
      </c>
      <c r="P192" s="1" t="n"/>
      <c r="Q192" s="8" t="n"/>
      <c r="R192" s="2282" t="n"/>
      <c r="S192" s="2414" t="inlineStr">
        <is>
          <t>Polish</t>
        </is>
      </c>
      <c r="T192" s="1" t="n"/>
      <c r="U192" s="286" t="inlineStr">
        <is>
          <t>Mark Up + Conting.</t>
        </is>
      </c>
    </row>
    <row r="193" ht="16.2" customHeight="1" thickBot="1">
      <c r="B193" s="1" t="n"/>
      <c r="C193" s="287" t="inlineStr">
        <is>
          <t>SF:</t>
        </is>
      </c>
      <c r="D193" s="2405">
        <f>C162</f>
        <v/>
      </c>
      <c r="E193" s="1074" t="inlineStr">
        <is>
          <t>MOB (In Town)</t>
        </is>
      </c>
      <c r="F193" s="38" t="inlineStr">
        <is>
          <t>Less Sales Tax</t>
        </is>
      </c>
      <c r="G193" s="2402">
        <f>SUM(E186:E188)</f>
        <v/>
      </c>
      <c r="H193" s="2282" t="n"/>
      <c r="I193" s="1" t="n"/>
      <c r="J193" s="287" t="inlineStr">
        <is>
          <t>SF:</t>
        </is>
      </c>
      <c r="K193" s="2405">
        <f>J162</f>
        <v/>
      </c>
      <c r="L193" s="1074" t="inlineStr">
        <is>
          <t>MOB (2 hours)</t>
        </is>
      </c>
      <c r="M193" s="38" t="inlineStr">
        <is>
          <t>Less Sales Tax</t>
        </is>
      </c>
      <c r="N193" s="2402">
        <f>SUM(L186:L188)</f>
        <v/>
      </c>
      <c r="P193" s="1" t="n"/>
      <c r="Q193" s="287" t="inlineStr">
        <is>
          <t>SF:</t>
        </is>
      </c>
      <c r="R193" s="2405">
        <f>Q162</f>
        <v/>
      </c>
      <c r="S193" s="1074" t="inlineStr">
        <is>
          <t>MOB (3 hours)</t>
        </is>
      </c>
      <c r="T193" s="38" t="inlineStr">
        <is>
          <t>Less Sales Tax</t>
        </is>
      </c>
      <c r="U193" s="2402">
        <f>SUM(S186:S188)</f>
        <v/>
      </c>
    </row>
    <row r="194" ht="16.2" customHeight="1" thickBot="1">
      <c r="B194" s="289" t="inlineStr">
        <is>
          <t>TOTAL</t>
        </is>
      </c>
      <c r="C194" s="290" t="n"/>
      <c r="D194" s="2412">
        <f>E194/C162</f>
        <v/>
      </c>
      <c r="E194" s="2404">
        <f>SUM(E181:E191)</f>
        <v/>
      </c>
      <c r="F194" s="2282">
        <f>E194-E184-E189</f>
        <v/>
      </c>
      <c r="G194" s="293">
        <f>G193/E194</f>
        <v/>
      </c>
      <c r="H194" s="294" t="n"/>
      <c r="I194" s="289" t="inlineStr">
        <is>
          <t>TOTAL</t>
        </is>
      </c>
      <c r="J194" s="290" t="n"/>
      <c r="K194" s="2412">
        <f>L194/J162</f>
        <v/>
      </c>
      <c r="L194" s="2404">
        <f>SUM(L181:L191)</f>
        <v/>
      </c>
      <c r="M194" s="2282">
        <f>L194-L184-L189</f>
        <v/>
      </c>
      <c r="N194" s="293">
        <f>N193/L194</f>
        <v/>
      </c>
      <c r="P194" s="289" t="inlineStr">
        <is>
          <t>TOTAL</t>
        </is>
      </c>
      <c r="Q194" s="290" t="n"/>
      <c r="R194" s="2412">
        <f>S194/Q162</f>
        <v/>
      </c>
      <c r="S194" s="2404">
        <f>SUM(S181:S191)</f>
        <v/>
      </c>
      <c r="T194" s="2282">
        <f>S194-S184-S189</f>
        <v/>
      </c>
      <c r="U194" s="293">
        <f>U193/S194</f>
        <v/>
      </c>
    </row>
    <row r="195">
      <c r="B195" s="1" t="n"/>
      <c r="C195" s="1" t="inlineStr">
        <is>
          <t xml:space="preserve"> </t>
        </is>
      </c>
      <c r="D195" s="2282">
        <f>E195/C162</f>
        <v/>
      </c>
      <c r="E195" s="2282">
        <f>E194-E189</f>
        <v/>
      </c>
      <c r="F195" t="inlineStr">
        <is>
          <t xml:space="preserve">less ks remodel, if applicable </t>
        </is>
      </c>
      <c r="G195" s="295">
        <f>IF(G194&lt;=0.25,"OWNER APPROVAL REQUIRED","GP % Okay")</f>
        <v/>
      </c>
      <c r="H195" s="1891" t="n"/>
      <c r="I195" s="1" t="n"/>
      <c r="J195" s="1" t="inlineStr">
        <is>
          <t xml:space="preserve"> </t>
        </is>
      </c>
      <c r="K195" s="2282">
        <f>L195/J162</f>
        <v/>
      </c>
      <c r="L195" s="2282">
        <f>L194-L189</f>
        <v/>
      </c>
      <c r="M195" t="inlineStr">
        <is>
          <t xml:space="preserve">less ks remodel, if applicable </t>
        </is>
      </c>
      <c r="N195" s="295">
        <f>IF(N194&lt;=0.25,"OWNER APPROVAL REQUIRED","GP % Okay")</f>
        <v/>
      </c>
      <c r="P195" s="1" t="n"/>
      <c r="Q195" s="1" t="inlineStr">
        <is>
          <t xml:space="preserve"> </t>
        </is>
      </c>
      <c r="R195" s="2282">
        <f>S195/Q162</f>
        <v/>
      </c>
      <c r="S195" s="2282">
        <f>S194-S189</f>
        <v/>
      </c>
      <c r="T195" t="inlineStr">
        <is>
          <t xml:space="preserve">less ks remodel, if applicable </t>
        </is>
      </c>
      <c r="U195" s="295">
        <f>IF(U194&lt;=0.25,"OWNER APPROVAL REQUIRED","GP % Okay")</f>
        <v/>
      </c>
    </row>
    <row r="198">
      <c r="B198" s="2407" t="inlineStr">
        <is>
          <t>EPOXY - Mock-Up (In Town)</t>
        </is>
      </c>
      <c r="C198" s="2350" t="n"/>
      <c r="D198" s="2350" t="n"/>
      <c r="E198" s="237" t="n"/>
      <c r="F198" s="2375">
        <f>E243</f>
        <v/>
      </c>
      <c r="G198" s="263" t="inlineStr">
        <is>
          <t>Total</t>
        </is>
      </c>
      <c r="I198" s="2407" t="inlineStr">
        <is>
          <t>EPOXY - Mock-Up (2:00 Hours One Way)</t>
        </is>
      </c>
      <c r="J198" s="2350" t="n"/>
      <c r="K198" s="2350" t="n"/>
      <c r="L198" s="237" t="n"/>
      <c r="M198" s="2375">
        <f>L243</f>
        <v/>
      </c>
      <c r="N198" s="263" t="inlineStr">
        <is>
          <t>Total</t>
        </is>
      </c>
      <c r="P198" s="2407" t="inlineStr">
        <is>
          <t>EPOXY - Mock-Up (3:00 Hours One Way)</t>
        </is>
      </c>
      <c r="Q198" s="2350" t="n"/>
      <c r="R198" s="2350" t="n"/>
      <c r="S198" s="237" t="n"/>
      <c r="T198" s="2375">
        <f>S243</f>
        <v/>
      </c>
      <c r="U198" s="263" t="inlineStr">
        <is>
          <t>Total</t>
        </is>
      </c>
      <c r="W198" s="2407" t="inlineStr">
        <is>
          <t>Material - Flake (double BC micro) - 100 sf</t>
        </is>
      </c>
      <c r="X198" s="2350" t="n"/>
      <c r="Y198" s="2350" t="n"/>
      <c r="Z198" s="237" t="n"/>
      <c r="AB198" s="43" t="n"/>
      <c r="AD198" s="1549" t="n">
        <v>0.06</v>
      </c>
    </row>
    <row r="199">
      <c r="B199" s="25" t="inlineStr">
        <is>
          <t>MATERIAL - Patch</t>
        </is>
      </c>
      <c r="C199" s="90" t="inlineStr">
        <is>
          <t>Quantity</t>
        </is>
      </c>
      <c r="D199" s="90" t="inlineStr">
        <is>
          <t>Cost</t>
        </is>
      </c>
      <c r="E199" s="91" t="inlineStr">
        <is>
          <t>Total</t>
        </is>
      </c>
      <c r="F199" s="2415">
        <f>F198/F202</f>
        <v/>
      </c>
      <c r="G199" s="512" t="inlineStr">
        <is>
          <t>$/sf</t>
        </is>
      </c>
      <c r="H199" s="264" t="n"/>
      <c r="I199" s="25" t="inlineStr">
        <is>
          <t>MATERIAL - Patch</t>
        </is>
      </c>
      <c r="J199" s="90" t="inlineStr">
        <is>
          <t>Quantity</t>
        </is>
      </c>
      <c r="K199" s="90" t="inlineStr">
        <is>
          <t>Cost</t>
        </is>
      </c>
      <c r="L199" s="91" t="inlineStr">
        <is>
          <t>Total</t>
        </is>
      </c>
      <c r="M199" s="2415">
        <f>M198/M202</f>
        <v/>
      </c>
      <c r="N199" s="512" t="inlineStr">
        <is>
          <t>$/sf</t>
        </is>
      </c>
      <c r="P199" s="25" t="inlineStr">
        <is>
          <t>MATERIAL - Patch</t>
        </is>
      </c>
      <c r="Q199" s="90" t="inlineStr">
        <is>
          <t>Quantity</t>
        </is>
      </c>
      <c r="R199" s="90" t="inlineStr">
        <is>
          <t>Cost</t>
        </is>
      </c>
      <c r="S199" s="91" t="inlineStr">
        <is>
          <t>Total</t>
        </is>
      </c>
      <c r="T199" s="2415">
        <f>T198/T202</f>
        <v/>
      </c>
      <c r="U199" s="512" t="inlineStr">
        <is>
          <t>$/sf</t>
        </is>
      </c>
      <c r="W199" s="25" t="inlineStr">
        <is>
          <t>MATERIAL - Patch</t>
        </is>
      </c>
      <c r="X199" s="90" t="inlineStr">
        <is>
          <t>Quantity</t>
        </is>
      </c>
      <c r="Y199" s="90" t="inlineStr">
        <is>
          <t>Cost</t>
        </is>
      </c>
      <c r="Z199" s="91" t="inlineStr">
        <is>
          <t>Total</t>
        </is>
      </c>
      <c r="AA199" s="2380" t="n">
        <v>100</v>
      </c>
      <c r="AB199" s="82" t="inlineStr">
        <is>
          <t>SF</t>
        </is>
      </c>
      <c r="AC199" s="1547" t="inlineStr">
        <is>
          <t>DAF 2025 6% increase</t>
        </is>
      </c>
    </row>
    <row r="200">
      <c r="B200" s="44" t="n"/>
      <c r="C200" s="2377" t="n"/>
      <c r="D200" s="2312" t="n"/>
      <c r="E200" s="2308">
        <f>C200*D200</f>
        <v/>
      </c>
      <c r="F200" s="1" t="n"/>
      <c r="G200" s="1" t="n"/>
      <c r="H200" s="1" t="n"/>
      <c r="I200" s="44" t="n"/>
      <c r="J200" s="2377" t="n"/>
      <c r="K200" s="2312" t="n"/>
      <c r="L200" s="2308">
        <f>J200*K200</f>
        <v/>
      </c>
      <c r="M200" s="1" t="n"/>
      <c r="N200" s="1" t="n"/>
      <c r="P200" s="44" t="n"/>
      <c r="Q200" s="2377" t="n"/>
      <c r="R200" s="2312" t="n"/>
      <c r="S200" s="2308">
        <f>Q200*R200</f>
        <v/>
      </c>
      <c r="T200" s="1" t="n"/>
      <c r="U200" s="1" t="n"/>
      <c r="W200" s="47" t="inlineStr">
        <is>
          <t>WB</t>
        </is>
      </c>
      <c r="X200" s="2377" t="n">
        <v>1</v>
      </c>
      <c r="Y200" s="2416">
        <f>51.36+AC200</f>
        <v/>
      </c>
      <c r="Z200" s="2308">
        <f>X200*Y200</f>
        <v/>
      </c>
      <c r="AA200" s="301">
        <f>(8/1600)*AA199</f>
        <v/>
      </c>
      <c r="AC200" s="2410">
        <f>51.36*AD198</f>
        <v/>
      </c>
    </row>
    <row r="201">
      <c r="B201" s="44" t="n"/>
      <c r="C201" s="2377" t="n"/>
      <c r="D201" s="2312" t="n"/>
      <c r="E201" s="2308">
        <f>C201*D201</f>
        <v/>
      </c>
      <c r="F201" s="1" t="n"/>
      <c r="G201" s="1" t="n"/>
      <c r="H201" s="1" t="n"/>
      <c r="I201" s="44" t="n"/>
      <c r="J201" s="2377" t="n"/>
      <c r="K201" s="2312" t="n"/>
      <c r="L201" s="2308">
        <f>J201*K201</f>
        <v/>
      </c>
      <c r="M201" s="1" t="n"/>
      <c r="N201" s="1" t="n"/>
      <c r="P201" s="44" t="n"/>
      <c r="Q201" s="2377" t="n"/>
      <c r="R201" s="2312" t="n"/>
      <c r="S201" s="2308">
        <f>Q201*R201</f>
        <v/>
      </c>
      <c r="T201" s="1" t="n"/>
      <c r="U201" s="1" t="n"/>
      <c r="W201" s="47" t="inlineStr">
        <is>
          <t>OPF</t>
        </is>
      </c>
      <c r="X201" s="2306" t="n">
        <v>1</v>
      </c>
      <c r="Y201" s="2416">
        <f>58.8+AC201</f>
        <v/>
      </c>
      <c r="Z201" s="2308">
        <f>X201*Y201</f>
        <v/>
      </c>
      <c r="AA201" s="301">
        <f>(5.5/1600)*AA199</f>
        <v/>
      </c>
      <c r="AC201" s="2410">
        <f>58.8*AD198</f>
        <v/>
      </c>
    </row>
    <row r="202">
      <c r="B202" s="25" t="inlineStr">
        <is>
          <t>Mock-Up MATERIAL - Floor</t>
        </is>
      </c>
      <c r="C202" s="2379" t="n"/>
      <c r="D202" s="23" t="n"/>
      <c r="E202" s="29" t="n"/>
      <c r="F202" s="2380" t="n">
        <v>100</v>
      </c>
      <c r="G202" s="82" t="inlineStr">
        <is>
          <t>SF</t>
        </is>
      </c>
      <c r="H202" s="1" t="n"/>
      <c r="I202" s="25" t="inlineStr">
        <is>
          <t>Mock-Up MATERIAL - Floor</t>
        </is>
      </c>
      <c r="J202" s="2379" t="n"/>
      <c r="K202" s="23" t="n"/>
      <c r="L202" s="29" t="n"/>
      <c r="M202" s="2380" t="n">
        <v>100</v>
      </c>
      <c r="N202" s="82" t="inlineStr">
        <is>
          <t>SF</t>
        </is>
      </c>
      <c r="P202" s="25" t="inlineStr">
        <is>
          <t>Mock-Up MATERIAL - Floor</t>
        </is>
      </c>
      <c r="Q202" s="2379" t="n"/>
      <c r="R202" s="23" t="n"/>
      <c r="S202" s="29" t="n"/>
      <c r="T202" s="2380" t="n">
        <v>100</v>
      </c>
      <c r="U202" s="82" t="inlineStr">
        <is>
          <t>SF</t>
        </is>
      </c>
      <c r="W202" s="47" t="inlineStr">
        <is>
          <t>Glaze 4 (double BC)</t>
        </is>
      </c>
      <c r="X202" s="2306" t="n">
        <v>2</v>
      </c>
      <c r="Y202" s="2416">
        <f>66.76+AC202</f>
        <v/>
      </c>
      <c r="Z202" s="2308">
        <f>X202*Y202</f>
        <v/>
      </c>
      <c r="AA202" s="220" t="inlineStr">
        <is>
          <t>double BC</t>
        </is>
      </c>
      <c r="AC202" s="2410">
        <f>66.76*AD198</f>
        <v/>
      </c>
    </row>
    <row r="203">
      <c r="B203" s="47" t="inlineStr">
        <is>
          <t>Mock-Up Material</t>
        </is>
      </c>
      <c r="C203" s="2377" t="n">
        <v>1</v>
      </c>
      <c r="D203" s="2417">
        <f>Z238</f>
        <v/>
      </c>
      <c r="E203" s="2038">
        <f>C203*D203</f>
        <v/>
      </c>
      <c r="F203" s="1" t="n"/>
      <c r="G203" s="1" t="n"/>
      <c r="H203" s="1" t="n"/>
      <c r="I203" s="47" t="inlineStr">
        <is>
          <t>Mock-Up Material</t>
        </is>
      </c>
      <c r="J203" s="2377" t="n">
        <v>1</v>
      </c>
      <c r="K203" s="2418">
        <f>$D$203</f>
        <v/>
      </c>
      <c r="L203" s="2038">
        <f>J203*K203</f>
        <v/>
      </c>
      <c r="M203" s="1" t="n"/>
      <c r="N203" s="1" t="n"/>
      <c r="P203" s="47" t="inlineStr">
        <is>
          <t>Mock-Up Material</t>
        </is>
      </c>
      <c r="Q203" s="2377" t="n">
        <v>1</v>
      </c>
      <c r="R203" s="2418">
        <f>$D$203</f>
        <v/>
      </c>
      <c r="S203" s="2038">
        <f>Q203*R203</f>
        <v/>
      </c>
      <c r="T203" s="1" t="n"/>
      <c r="U203" s="1" t="n"/>
      <c r="W203" s="47" t="inlineStr">
        <is>
          <t>AT Satin Clr + Grit</t>
        </is>
      </c>
      <c r="X203" s="2306" t="n">
        <v>1</v>
      </c>
      <c r="Y203" s="2416">
        <f>364+AC203</f>
        <v/>
      </c>
      <c r="Z203" s="2308">
        <f>X203*Y203</f>
        <v/>
      </c>
      <c r="AA203" s="301">
        <f>AA199/750</f>
        <v/>
      </c>
      <c r="AC203" s="2410">
        <f>364*AD198</f>
        <v/>
      </c>
    </row>
    <row r="204">
      <c r="B204" s="47" t="n"/>
      <c r="C204" s="2377" t="n"/>
      <c r="D204" s="2282" t="n"/>
      <c r="E204" s="2038">
        <f>C204*D204</f>
        <v/>
      </c>
      <c r="F204" s="490" t="n"/>
      <c r="G204" s="491" t="inlineStr">
        <is>
          <t>** See Material Calculations ------&gt;</t>
        </is>
      </c>
      <c r="H204" s="1" t="n"/>
      <c r="I204" s="47" t="n"/>
      <c r="J204" s="2377" t="n"/>
      <c r="K204" s="2282" t="n"/>
      <c r="L204" s="2038">
        <f>J204*K204</f>
        <v/>
      </c>
      <c r="M204" s="490" t="n"/>
      <c r="N204" s="491" t="inlineStr">
        <is>
          <t>** See Material Calculations ------&gt;</t>
        </is>
      </c>
      <c r="P204" s="47" t="n"/>
      <c r="Q204" s="2377" t="n"/>
      <c r="R204" s="2282" t="n"/>
      <c r="S204" s="2038">
        <f>Q204*R204</f>
        <v/>
      </c>
      <c r="T204" s="490" t="n"/>
      <c r="U204" s="491" t="inlineStr">
        <is>
          <t>** See Material Calculations ------&gt;</t>
        </is>
      </c>
      <c r="V204" s="502" t="inlineStr">
        <is>
          <t>SEE Below</t>
        </is>
      </c>
      <c r="W204" s="47" t="inlineStr">
        <is>
          <t>micro (double BC)</t>
        </is>
      </c>
      <c r="X204" s="2419" t="n">
        <v>40</v>
      </c>
      <c r="Y204" s="2420" t="n">
        <v>2.21</v>
      </c>
      <c r="Z204" s="2038">
        <f>ROUNDUP(X204*Y204,0)</f>
        <v/>
      </c>
      <c r="AA204" s="301">
        <f>(AA199*0.15)*2</f>
        <v/>
      </c>
    </row>
    <row r="205">
      <c r="B205" s="48" t="n"/>
      <c r="C205" s="2381" t="n"/>
      <c r="D205" s="2332" t="n"/>
      <c r="E205" s="2333">
        <f>C205*D205</f>
        <v/>
      </c>
      <c r="F205" s="1" t="n"/>
      <c r="G205" s="1" t="n"/>
      <c r="H205" s="1" t="n"/>
      <c r="I205" s="48" t="n"/>
      <c r="J205" s="2381" t="n"/>
      <c r="K205" s="2332" t="n"/>
      <c r="L205" s="2333">
        <f>J205*K205</f>
        <v/>
      </c>
      <c r="M205" s="1" t="n"/>
      <c r="N205" s="1" t="n"/>
      <c r="P205" s="48" t="n"/>
      <c r="Q205" s="2381" t="n"/>
      <c r="R205" s="2332" t="n"/>
      <c r="S205" s="2333">
        <f>Q205*R205</f>
        <v/>
      </c>
      <c r="T205" s="1" t="n"/>
      <c r="U205" s="1" t="n"/>
      <c r="W205" s="499" t="inlineStr">
        <is>
          <t>Material Total</t>
        </is>
      </c>
      <c r="X205" s="500" t="n"/>
      <c r="Y205" s="2421" t="n"/>
      <c r="Z205" s="2394">
        <f>SUM(Z200:Z204)</f>
        <v/>
      </c>
      <c r="AA205" s="2289">
        <f>Z205/AA199</f>
        <v/>
      </c>
      <c r="AB205" s="220" t="inlineStr">
        <is>
          <t>$/sf</t>
        </is>
      </c>
    </row>
    <row r="206">
      <c r="B206" s="17" t="inlineStr">
        <is>
          <t>Material Sub Total</t>
        </is>
      </c>
      <c r="C206" s="35" t="n"/>
      <c r="D206" s="2382" t="n"/>
      <c r="E206" s="2335">
        <f>ROUNDUP(SUM(E200:E205),0)</f>
        <v/>
      </c>
      <c r="F206" s="1" t="n"/>
      <c r="G206" s="1" t="n"/>
      <c r="H206" s="1" t="n"/>
      <c r="I206" s="17" t="inlineStr">
        <is>
          <t>Material Sub Total</t>
        </is>
      </c>
      <c r="J206" s="35" t="n"/>
      <c r="K206" s="2382" t="n"/>
      <c r="L206" s="2335">
        <f>ROUNDUP(SUM(L200:L205),0)</f>
        <v/>
      </c>
      <c r="M206" s="1" t="n"/>
      <c r="N206" s="1" t="n"/>
      <c r="P206" s="17" t="inlineStr">
        <is>
          <t>Material Sub Total</t>
        </is>
      </c>
      <c r="Q206" s="35" t="n"/>
      <c r="R206" s="2382" t="n"/>
      <c r="S206" s="2335">
        <f>ROUNDUP(SUM(S200:S205),0)</f>
        <v/>
      </c>
      <c r="T206" s="1" t="n"/>
      <c r="U206" s="1" t="n"/>
    </row>
    <row r="207">
      <c r="B207" s="20" t="inlineStr">
        <is>
          <t>Discount</t>
        </is>
      </c>
      <c r="C207" s="270" t="n">
        <v>0</v>
      </c>
      <c r="D207" s="2283" t="n"/>
      <c r="E207" s="2383">
        <f>ROUNDUP(SUM(E203)*C207,0)</f>
        <v/>
      </c>
      <c r="F207" s="1" t="n"/>
      <c r="G207" s="1" t="n"/>
      <c r="H207" s="1" t="n"/>
      <c r="I207" s="20" t="inlineStr">
        <is>
          <t>Discount</t>
        </is>
      </c>
      <c r="J207" s="270" t="n">
        <v>0</v>
      </c>
      <c r="K207" s="2283" t="n"/>
      <c r="L207" s="2383">
        <f>ROUNDUP(SUM(L203)*J207,0)</f>
        <v/>
      </c>
      <c r="M207" s="1" t="n"/>
      <c r="N207" s="1" t="n"/>
      <c r="P207" s="20" t="inlineStr">
        <is>
          <t>Discount</t>
        </is>
      </c>
      <c r="Q207" s="270" t="n">
        <v>0</v>
      </c>
      <c r="R207" s="2283" t="n"/>
      <c r="S207" s="2383">
        <f>ROUNDUP(SUM(S203)*Q207,0)</f>
        <v/>
      </c>
      <c r="T207" s="1" t="n"/>
      <c r="U207" s="1" t="n"/>
      <c r="W207" s="2407" t="inlineStr">
        <is>
          <t>Material - Quartz BC - 100 sf</t>
        </is>
      </c>
      <c r="X207" s="2350" t="n"/>
      <c r="Y207" s="2350" t="n"/>
      <c r="Z207" s="237" t="n"/>
      <c r="AB207" s="43" t="n"/>
    </row>
    <row r="208">
      <c r="B208" s="446" t="inlineStr">
        <is>
          <t>Shipping + Mat. Esc.</t>
        </is>
      </c>
      <c r="C208" s="40">
        <f>IF(E206&lt;=5000,0.1,IF(E206&lt;=10000,0.06,0.04))+$C$12</f>
        <v/>
      </c>
      <c r="D208" s="2384" t="n"/>
      <c r="E208" s="2338">
        <f>ROUNDUP(E206*C208,0)</f>
        <v/>
      </c>
      <c r="F208" s="454">
        <f>$F$12</f>
        <v/>
      </c>
      <c r="I208" s="446" t="inlineStr">
        <is>
          <t>Shipping + Mat. Esc.</t>
        </is>
      </c>
      <c r="J208" s="40">
        <f>IF(L206&lt;=5000,0.1,IF(L206&lt;=10000,0.06,0.04))+$C$12</f>
        <v/>
      </c>
      <c r="K208" s="2384" t="n"/>
      <c r="L208" s="2338">
        <f>ROUNDUP(L206*J208,0)</f>
        <v/>
      </c>
      <c r="M208" s="454">
        <f>$F$12</f>
        <v/>
      </c>
      <c r="P208" s="446" t="inlineStr">
        <is>
          <t>Shipping + Mat. Esc.</t>
        </is>
      </c>
      <c r="Q208" s="40">
        <f>IF(S206&lt;=5000,0.1,IF(S206&lt;=10000,0.06,0.04))+$C$12</f>
        <v/>
      </c>
      <c r="R208" s="2384" t="n"/>
      <c r="S208" s="2338">
        <f>ROUNDUP(S206*Q208,0)</f>
        <v/>
      </c>
      <c r="T208" s="454">
        <f>$F$12</f>
        <v/>
      </c>
      <c r="W208" s="25" t="inlineStr">
        <is>
          <t>MATERIAL - Patch</t>
        </is>
      </c>
      <c r="X208" s="90" t="inlineStr">
        <is>
          <t>Quantity</t>
        </is>
      </c>
      <c r="Y208" s="90" t="inlineStr">
        <is>
          <t>Cost</t>
        </is>
      </c>
      <c r="Z208" s="91" t="inlineStr">
        <is>
          <t>Total</t>
        </is>
      </c>
      <c r="AA208" s="2380" t="n">
        <v>100</v>
      </c>
      <c r="AB208" s="82" t="inlineStr">
        <is>
          <t>SF</t>
        </is>
      </c>
      <c r="AC208" s="1547" t="inlineStr">
        <is>
          <t>DAF 2025 6% increase</t>
        </is>
      </c>
    </row>
    <row r="209">
      <c r="B209" s="10" t="inlineStr">
        <is>
          <t>Material Total</t>
        </is>
      </c>
      <c r="C209" s="36" t="n"/>
      <c r="D209" s="2339" t="n"/>
      <c r="E209" s="2339">
        <f>SUM(E206:E208)</f>
        <v/>
      </c>
      <c r="F209" s="123">
        <f>E209/F202</f>
        <v/>
      </c>
      <c r="G209" s="124" t="inlineStr">
        <is>
          <t>Material $/SF</t>
        </is>
      </c>
      <c r="H209" s="1" t="n"/>
      <c r="I209" s="10" t="inlineStr">
        <is>
          <t>Material Total</t>
        </is>
      </c>
      <c r="J209" s="36" t="n"/>
      <c r="K209" s="2339" t="n"/>
      <c r="L209" s="2339">
        <f>SUM(L206:L208)</f>
        <v/>
      </c>
      <c r="M209" s="123">
        <f>L209/M202</f>
        <v/>
      </c>
      <c r="N209" s="124" t="inlineStr">
        <is>
          <t>Material $/SF</t>
        </is>
      </c>
      <c r="P209" s="10" t="inlineStr">
        <is>
          <t>Material Total</t>
        </is>
      </c>
      <c r="Q209" s="36" t="n"/>
      <c r="R209" s="2339" t="n"/>
      <c r="S209" s="2339">
        <f>SUM(S206:S208)</f>
        <v/>
      </c>
      <c r="T209" s="123">
        <f>S209/T202</f>
        <v/>
      </c>
      <c r="U209" s="124" t="inlineStr">
        <is>
          <t>Material $/SF</t>
        </is>
      </c>
      <c r="W209" s="47" t="inlineStr">
        <is>
          <t>WB</t>
        </is>
      </c>
      <c r="X209" s="2377" t="n">
        <v>1</v>
      </c>
      <c r="Y209" s="2416">
        <f>51.36+AC209</f>
        <v/>
      </c>
      <c r="Z209" s="2308">
        <f>X209*Y209</f>
        <v/>
      </c>
      <c r="AA209" s="301">
        <f>(8/1600)*AA208</f>
        <v/>
      </c>
      <c r="AC209" s="2410">
        <f>51.36*AD198</f>
        <v/>
      </c>
    </row>
    <row r="210">
      <c r="B210" s="1" t="n"/>
      <c r="C210" s="1892" t="n"/>
      <c r="D210" s="2282" t="n"/>
      <c r="E210" s="2282" t="n"/>
      <c r="F210" s="1" t="n"/>
      <c r="I210" s="1" t="n"/>
      <c r="J210" s="1892" t="n"/>
      <c r="K210" s="2282" t="n"/>
      <c r="L210" s="2282" t="n"/>
      <c r="M210" s="1" t="n"/>
      <c r="P210" s="1" t="n"/>
      <c r="Q210" s="1892" t="n"/>
      <c r="R210" s="2282" t="n"/>
      <c r="S210" s="2282" t="n"/>
      <c r="T210" s="1" t="n"/>
      <c r="W210" s="47" t="inlineStr">
        <is>
          <t>Glaze 4</t>
        </is>
      </c>
      <c r="X210" s="2306" t="n">
        <v>4</v>
      </c>
      <c r="Y210" s="2416">
        <f>66.76+AC210</f>
        <v/>
      </c>
      <c r="Z210" s="2308">
        <f>X210*Y210</f>
        <v/>
      </c>
      <c r="AA210" s="301" t="n"/>
      <c r="AC210" s="2410">
        <f>66.76*AD198</f>
        <v/>
      </c>
    </row>
    <row r="211">
      <c r="B211" s="75" t="inlineStr">
        <is>
          <t>Square Footage:</t>
        </is>
      </c>
      <c r="C211" s="2385">
        <f>F202</f>
        <v/>
      </c>
      <c r="D211" s="75" t="inlineStr">
        <is>
          <t>Linear Footage:</t>
        </is>
      </c>
      <c r="E211" s="2386" t="n">
        <v>0</v>
      </c>
      <c r="F211" s="1" t="n"/>
      <c r="G211" s="273">
        <f>E211/C211</f>
        <v/>
      </c>
      <c r="I211" s="75" t="inlineStr">
        <is>
          <t>Square Footage:</t>
        </is>
      </c>
      <c r="J211" s="2385">
        <f>M202</f>
        <v/>
      </c>
      <c r="K211" s="75" t="inlineStr">
        <is>
          <t>Linear Footage:</t>
        </is>
      </c>
      <c r="L211" s="2386" t="n">
        <v>0</v>
      </c>
      <c r="M211" s="1" t="n"/>
      <c r="N211" s="273">
        <f>L211/J211</f>
        <v/>
      </c>
      <c r="P211" s="75" t="inlineStr">
        <is>
          <t>Square Footage:</t>
        </is>
      </c>
      <c r="Q211" s="2385">
        <f>T202</f>
        <v/>
      </c>
      <c r="R211" s="75" t="inlineStr">
        <is>
          <t>Linear Footage:</t>
        </is>
      </c>
      <c r="S211" s="2386" t="n">
        <v>0</v>
      </c>
      <c r="T211" s="1" t="n"/>
      <c r="U211" s="273">
        <f>S211/Q211</f>
        <v/>
      </c>
      <c r="W211" s="47" t="inlineStr">
        <is>
          <t>AT Satin Clr + Grit</t>
        </is>
      </c>
      <c r="X211" s="2306" t="n">
        <v>1</v>
      </c>
      <c r="Y211" s="2416">
        <f>364+AC211</f>
        <v/>
      </c>
      <c r="Z211" s="2308">
        <f>X211*Y211</f>
        <v/>
      </c>
      <c r="AA211" s="301">
        <f>AA208/750</f>
        <v/>
      </c>
      <c r="AC211" s="2410">
        <f>364*AD198</f>
        <v/>
      </c>
    </row>
    <row r="212">
      <c r="B212" s="85" t="inlineStr">
        <is>
          <t>Labor:              Guys</t>
        </is>
      </c>
      <c r="C212" s="68" t="inlineStr">
        <is>
          <t>Days</t>
        </is>
      </c>
      <c r="D212" s="68" t="inlineStr">
        <is>
          <t>Rate (PW?)</t>
        </is>
      </c>
      <c r="E212" s="87" t="inlineStr">
        <is>
          <t>Totals</t>
        </is>
      </c>
      <c r="F212" s="76" t="inlineStr">
        <is>
          <t>8hour days</t>
        </is>
      </c>
      <c r="G212" s="156" t="inlineStr">
        <is>
          <t>Estimated SF/MH</t>
        </is>
      </c>
      <c r="H212" s="274" t="n"/>
      <c r="I212" s="85" t="inlineStr">
        <is>
          <t>Labor:              Guys</t>
        </is>
      </c>
      <c r="J212" s="68" t="inlineStr">
        <is>
          <t>Days</t>
        </is>
      </c>
      <c r="K212" s="68" t="inlineStr">
        <is>
          <t>Rate (PW?)</t>
        </is>
      </c>
      <c r="L212" s="87" t="inlineStr">
        <is>
          <t>Totals</t>
        </is>
      </c>
      <c r="M212" s="76" t="inlineStr">
        <is>
          <t>8hour days</t>
        </is>
      </c>
      <c r="N212" s="156" t="inlineStr">
        <is>
          <t>Estimated SF/MH</t>
        </is>
      </c>
      <c r="P212" s="85" t="inlineStr">
        <is>
          <t>Labor:              Guys</t>
        </is>
      </c>
      <c r="Q212" s="68" t="inlineStr">
        <is>
          <t>Days</t>
        </is>
      </c>
      <c r="R212" s="68" t="inlineStr">
        <is>
          <t>Rate (PW?)</t>
        </is>
      </c>
      <c r="S212" s="87" t="inlineStr">
        <is>
          <t>Totals</t>
        </is>
      </c>
      <c r="T212" s="76" t="inlineStr">
        <is>
          <t>8hour days</t>
        </is>
      </c>
      <c r="U212" s="156" t="inlineStr">
        <is>
          <t>Estimated SF/MH</t>
        </is>
      </c>
      <c r="W212" s="47" t="inlineStr">
        <is>
          <t>Q28 / 40-S</t>
        </is>
      </c>
      <c r="X212" s="2306" t="n">
        <v>100</v>
      </c>
      <c r="Y212" s="2420" t="n">
        <v>0.38</v>
      </c>
      <c r="Z212" s="2038">
        <f>X212*Y212</f>
        <v/>
      </c>
    </row>
    <row r="213">
      <c r="B213" s="69" t="n">
        <v>2</v>
      </c>
      <c r="C213" s="1" t="n">
        <v>2</v>
      </c>
      <c r="D213" s="2388">
        <f>$D$17</f>
        <v/>
      </c>
      <c r="E213" s="70">
        <f>B213*C213*D213*8</f>
        <v/>
      </c>
      <c r="F213" s="76" t="n"/>
      <c r="G213" s="157">
        <f>F202/(E213/D213)</f>
        <v/>
      </c>
      <c r="H213" s="154" t="n"/>
      <c r="I213" s="69" t="n">
        <v>2</v>
      </c>
      <c r="J213" s="1" t="n">
        <v>2.5</v>
      </c>
      <c r="K213" s="2388">
        <f>$D$17</f>
        <v/>
      </c>
      <c r="L213" s="70">
        <f>I213*J213*K213*8</f>
        <v/>
      </c>
      <c r="M213" s="76" t="n"/>
      <c r="N213" s="157">
        <f>M202/(L213/K213)</f>
        <v/>
      </c>
      <c r="P213" s="69" t="n">
        <v>2</v>
      </c>
      <c r="Q213" s="1" t="n">
        <v>2.5</v>
      </c>
      <c r="R213" s="2388">
        <f>$D$17</f>
        <v/>
      </c>
      <c r="S213" s="70">
        <f>P213*Q213*R213*8</f>
        <v/>
      </c>
      <c r="T213" s="76" t="n"/>
      <c r="U213" s="157">
        <f>T202/(S213/R213)</f>
        <v/>
      </c>
      <c r="W213" s="499" t="inlineStr">
        <is>
          <t>Material Total</t>
        </is>
      </c>
      <c r="X213" s="500" t="n"/>
      <c r="Y213" s="2421" t="n"/>
      <c r="Z213" s="2394">
        <f>SUM(Z209:Z212)</f>
        <v/>
      </c>
      <c r="AA213" s="2289">
        <f>Z213/AA208</f>
        <v/>
      </c>
      <c r="AB213" s="220" t="inlineStr">
        <is>
          <t>$/sf</t>
        </is>
      </c>
    </row>
    <row r="214">
      <c r="B214" s="69" t="n"/>
      <c r="C214" s="1" t="n"/>
      <c r="D214" s="2388">
        <f>$D$17</f>
        <v/>
      </c>
      <c r="E214" s="70">
        <f>B214*C214*D214*8</f>
        <v/>
      </c>
      <c r="F214" s="76" t="n"/>
      <c r="G214" s="275">
        <f>F204/(E214/D214)</f>
        <v/>
      </c>
      <c r="H214" s="154" t="n"/>
      <c r="I214" s="69" t="n"/>
      <c r="J214" s="1" t="n"/>
      <c r="K214" s="2388">
        <f>$D$17</f>
        <v/>
      </c>
      <c r="L214" s="70">
        <f>I214*J214*K214*8</f>
        <v/>
      </c>
      <c r="M214" s="76" t="n"/>
      <c r="N214" s="275">
        <f>M204/(L214/K214)</f>
        <v/>
      </c>
      <c r="P214" s="69" t="n"/>
      <c r="Q214" s="1" t="n"/>
      <c r="R214" s="2388">
        <f>$D$17</f>
        <v/>
      </c>
      <c r="S214" s="70">
        <f>P214*Q214*R214*8</f>
        <v/>
      </c>
      <c r="T214" s="76" t="n"/>
      <c r="U214" s="275">
        <f>T204/(S214/R214)</f>
        <v/>
      </c>
    </row>
    <row r="215">
      <c r="B215" s="86" t="inlineStr">
        <is>
          <t>Travel:             Guys</t>
        </is>
      </c>
      <c r="C215" s="67" t="inlineStr">
        <is>
          <t>Hours</t>
        </is>
      </c>
      <c r="D215" s="67" t="inlineStr">
        <is>
          <t>Rate</t>
        </is>
      </c>
      <c r="E215" s="71" t="n"/>
      <c r="F215" s="1357">
        <f>Epoxy!B52</f>
        <v/>
      </c>
      <c r="G215" s="434" t="inlineStr">
        <is>
          <t>Add for Topeka, St. Joe (~2 hrs)</t>
        </is>
      </c>
      <c r="H215" s="395" t="n"/>
      <c r="I215" s="86" t="inlineStr">
        <is>
          <t>Travel:             Guys</t>
        </is>
      </c>
      <c r="J215" s="67" t="inlineStr">
        <is>
          <t>Hours</t>
        </is>
      </c>
      <c r="K215" s="67" t="inlineStr">
        <is>
          <t>Rate</t>
        </is>
      </c>
      <c r="L215" s="71" t="n"/>
      <c r="M215" s="1" t="n"/>
      <c r="P215" s="86" t="inlineStr">
        <is>
          <t>Travel:             Guys</t>
        </is>
      </c>
      <c r="Q215" s="67" t="inlineStr">
        <is>
          <t>Hours</t>
        </is>
      </c>
      <c r="R215" s="67" t="inlineStr">
        <is>
          <t>Rate</t>
        </is>
      </c>
      <c r="S215" s="71" t="n"/>
      <c r="T215" s="1" t="n"/>
      <c r="W215" s="2407" t="inlineStr">
        <is>
          <t>Material - Hybrid Quartz (trowel) - 100 sf</t>
        </is>
      </c>
      <c r="X215" s="2350" t="n"/>
      <c r="Y215" s="2350" t="n"/>
      <c r="Z215" s="237" t="n"/>
    </row>
    <row r="216">
      <c r="B216" s="69">
        <f>B213</f>
        <v/>
      </c>
      <c r="C216" s="1">
        <f>IF(F215&gt;0,F215,F216)</f>
        <v/>
      </c>
      <c r="D216" s="2388">
        <f>$D$20</f>
        <v/>
      </c>
      <c r="E216" s="70">
        <f>B216*C216*D216</f>
        <v/>
      </c>
      <c r="F216" s="431">
        <f>Polish!B44</f>
        <v/>
      </c>
      <c r="G216" s="431" t="inlineStr">
        <is>
          <t>Add for Topeka, St. Joe (~2 hrs)</t>
        </is>
      </c>
      <c r="H216" s="392" t="n"/>
      <c r="I216" s="69">
        <f>I213</f>
        <v/>
      </c>
      <c r="J216" s="1">
        <f>4</f>
        <v/>
      </c>
      <c r="K216" s="2388">
        <f>$D$20</f>
        <v/>
      </c>
      <c r="L216" s="70">
        <f>I216*J216*K216</f>
        <v/>
      </c>
      <c r="M216" s="76" t="inlineStr">
        <is>
          <t>Drive &amp; Setup Time</t>
        </is>
      </c>
      <c r="P216" s="69">
        <f>P213</f>
        <v/>
      </c>
      <c r="Q216" s="1">
        <f>6</f>
        <v/>
      </c>
      <c r="R216" s="2388">
        <f>$D$20</f>
        <v/>
      </c>
      <c r="S216" s="70">
        <f>P216*Q216*R216</f>
        <v/>
      </c>
      <c r="T216" s="76" t="inlineStr">
        <is>
          <t>Drive &amp; Setup Time</t>
        </is>
      </c>
      <c r="W216" s="25" t="inlineStr">
        <is>
          <t>MATERIAL - Patch</t>
        </is>
      </c>
      <c r="X216" s="90" t="inlineStr">
        <is>
          <t>Quantity</t>
        </is>
      </c>
      <c r="Y216" s="90" t="inlineStr">
        <is>
          <t>Cost</t>
        </is>
      </c>
      <c r="Z216" s="91" t="inlineStr">
        <is>
          <t>Total</t>
        </is>
      </c>
      <c r="AA216" s="2380" t="n">
        <v>100</v>
      </c>
      <c r="AB216" s="82" t="inlineStr">
        <is>
          <t>SF</t>
        </is>
      </c>
      <c r="AC216" s="1547" t="inlineStr">
        <is>
          <t>DAF 2025 6% increase</t>
        </is>
      </c>
    </row>
    <row r="217">
      <c r="B217" s="277" t="inlineStr">
        <is>
          <t>Labor Total</t>
        </is>
      </c>
      <c r="C217" s="278" t="n"/>
      <c r="D217" s="278" t="n"/>
      <c r="E217" s="2390">
        <f>ROUNDUP(SUM(E213:E216),0)</f>
        <v/>
      </c>
      <c r="F217" s="123">
        <f>E217/C211</f>
        <v/>
      </c>
      <c r="G217" s="124" t="inlineStr">
        <is>
          <t>Labor $/SF</t>
        </is>
      </c>
      <c r="H217" s="1" t="n"/>
      <c r="I217" s="277" t="inlineStr">
        <is>
          <t>Labor Total</t>
        </is>
      </c>
      <c r="J217" s="278" t="n"/>
      <c r="K217" s="278" t="n"/>
      <c r="L217" s="2390">
        <f>ROUNDUP(SUM(L213:L216),0)</f>
        <v/>
      </c>
      <c r="M217" s="123">
        <f>L217/J211</f>
        <v/>
      </c>
      <c r="N217" s="124" t="inlineStr">
        <is>
          <t>Labor $/SF</t>
        </is>
      </c>
      <c r="P217" s="277" t="inlineStr">
        <is>
          <t>Labor Total</t>
        </is>
      </c>
      <c r="Q217" s="278" t="n"/>
      <c r="R217" s="278" t="n"/>
      <c r="S217" s="2390">
        <f>ROUNDUP(SUM(S213:S216),0)</f>
        <v/>
      </c>
      <c r="T217" s="123">
        <f>S217/Q211</f>
        <v/>
      </c>
      <c r="U217" s="124" t="inlineStr">
        <is>
          <t>Labor $/SF</t>
        </is>
      </c>
      <c r="W217" s="47" t="inlineStr">
        <is>
          <t>SL</t>
        </is>
      </c>
      <c r="X217" s="2377" t="n">
        <v>2</v>
      </c>
      <c r="Y217" s="2416">
        <f>129+AC217</f>
        <v/>
      </c>
      <c r="Z217" s="2308">
        <f>X217*Y217</f>
        <v/>
      </c>
      <c r="AA217" s="301">
        <f>AA216/55</f>
        <v/>
      </c>
      <c r="AC217" s="2410">
        <f>129*AD198</f>
        <v/>
      </c>
    </row>
    <row r="218">
      <c r="B218" s="1" t="n"/>
      <c r="C218" s="1892" t="n"/>
      <c r="D218" s="2282" t="n"/>
      <c r="E218" s="2282" t="n"/>
      <c r="F218" s="2282" t="n"/>
      <c r="G218" s="1" t="n"/>
      <c r="H218" s="1" t="n"/>
      <c r="I218" s="1" t="n"/>
      <c r="J218" s="1892" t="n"/>
      <c r="K218" s="2282" t="n"/>
      <c r="L218" s="2282" t="n"/>
      <c r="M218" s="2282" t="n"/>
      <c r="N218" s="1" t="n"/>
      <c r="P218" s="1" t="n"/>
      <c r="Q218" s="1892" t="n"/>
      <c r="R218" s="2282" t="n"/>
      <c r="S218" s="2282" t="n"/>
      <c r="T218" s="2282" t="n"/>
      <c r="U218" s="1" t="n"/>
      <c r="W218" s="47" t="inlineStr">
        <is>
          <t>Glaze 4 (double BC)</t>
        </is>
      </c>
      <c r="X218" s="2306">
        <f>2+2</f>
        <v/>
      </c>
      <c r="Y218" s="2416">
        <f>66.76+AC218</f>
        <v/>
      </c>
      <c r="Z218" s="2308">
        <f>X218*Y218</f>
        <v/>
      </c>
      <c r="AA218" s="220" t="inlineStr">
        <is>
          <t>double BC</t>
        </is>
      </c>
      <c r="AC218" s="2410">
        <f>66.76*AD198</f>
        <v/>
      </c>
    </row>
    <row r="219">
      <c r="B219" s="5" t="inlineStr">
        <is>
          <t>OTHER COSTS</t>
        </is>
      </c>
      <c r="C219" s="30" t="inlineStr">
        <is>
          <t>Quantity</t>
        </is>
      </c>
      <c r="D219" s="11" t="inlineStr">
        <is>
          <t>Cost</t>
        </is>
      </c>
      <c r="E219" s="2019" t="inlineStr">
        <is>
          <t>Total</t>
        </is>
      </c>
      <c r="F219" s="1" t="n"/>
      <c r="G219" s="1" t="n"/>
      <c r="H219" s="1" t="n"/>
      <c r="I219" s="5" t="inlineStr">
        <is>
          <t>OTHER COSTS</t>
        </is>
      </c>
      <c r="J219" s="30" t="inlineStr">
        <is>
          <t>Quantity</t>
        </is>
      </c>
      <c r="K219" s="11" t="inlineStr">
        <is>
          <t>Cost</t>
        </is>
      </c>
      <c r="L219" s="2019" t="inlineStr">
        <is>
          <t>Total</t>
        </is>
      </c>
      <c r="M219" s="1" t="n"/>
      <c r="N219" s="1" t="n"/>
      <c r="P219" s="5" t="inlineStr">
        <is>
          <t>OTHER COSTS</t>
        </is>
      </c>
      <c r="Q219" s="30" t="inlineStr">
        <is>
          <t>Quantity</t>
        </is>
      </c>
      <c r="R219" s="11" t="inlineStr">
        <is>
          <t>Cost</t>
        </is>
      </c>
      <c r="S219" s="2019" t="inlineStr">
        <is>
          <t>Total</t>
        </is>
      </c>
      <c r="T219" s="1" t="n"/>
      <c r="U219" s="1" t="n"/>
      <c r="W219" s="47" t="inlineStr">
        <is>
          <t>Cove Rez (extra grout)</t>
        </is>
      </c>
      <c r="X219" s="2306" t="n">
        <v>1</v>
      </c>
      <c r="Y219" s="2416">
        <f>85.6+AC219</f>
        <v/>
      </c>
      <c r="Z219" s="2308">
        <f>X219*Y219</f>
        <v/>
      </c>
      <c r="AA219" s="2422">
        <f>(8/1600)*AA216</f>
        <v/>
      </c>
      <c r="AC219" s="2410">
        <f>85.6*AD198</f>
        <v/>
      </c>
    </row>
    <row r="220">
      <c r="B220" s="6" t="inlineStr">
        <is>
          <t>Moisture Test</t>
        </is>
      </c>
      <c r="C220" s="37" t="n">
        <v>1</v>
      </c>
      <c r="D220" s="2282" t="n">
        <v>35</v>
      </c>
      <c r="E220" s="2038">
        <f>ROUNDUP(C220*D220,0)</f>
        <v/>
      </c>
      <c r="F220" s="1" t="n"/>
      <c r="G220" s="1" t="n"/>
      <c r="H220" s="1" t="n"/>
      <c r="I220" s="6" t="inlineStr">
        <is>
          <t>Moisture Test</t>
        </is>
      </c>
      <c r="J220" s="37" t="n">
        <v>1</v>
      </c>
      <c r="K220" s="2282" t="n">
        <v>35</v>
      </c>
      <c r="L220" s="2038">
        <f>ROUNDUP(J220*K220,0)</f>
        <v/>
      </c>
      <c r="M220" s="1" t="n"/>
      <c r="N220" s="1" t="n"/>
      <c r="P220" s="6" t="inlineStr">
        <is>
          <t>Moisture Test</t>
        </is>
      </c>
      <c r="Q220" s="37" t="n">
        <v>1</v>
      </c>
      <c r="R220" s="2282" t="n">
        <v>35</v>
      </c>
      <c r="S220" s="2038">
        <f>ROUNDUP(Q220*R220,0)</f>
        <v/>
      </c>
      <c r="T220" s="1" t="n"/>
      <c r="U220" s="1" t="n"/>
      <c r="W220" s="47" t="inlineStr">
        <is>
          <t>AT Satin Clr + Grit</t>
        </is>
      </c>
      <c r="X220" s="2306" t="n">
        <v>1</v>
      </c>
      <c r="Y220" s="2416">
        <f>364+AC220</f>
        <v/>
      </c>
      <c r="Z220" s="2038">
        <f>X220*Y220</f>
        <v/>
      </c>
      <c r="AA220" s="301">
        <f>AA216/750</f>
        <v/>
      </c>
      <c r="AB220" s="220" t="inlineStr">
        <is>
          <t>extra grout coat</t>
        </is>
      </c>
      <c r="AC220" s="2410">
        <f>364*AD198</f>
        <v/>
      </c>
    </row>
    <row r="221">
      <c r="B221" s="6" t="inlineStr">
        <is>
          <t>Tooling &amp; Consumables</t>
        </is>
      </c>
      <c r="C221" s="37" t="n"/>
      <c r="D221" s="2282" t="n">
        <v>0.33</v>
      </c>
      <c r="E221" s="2038">
        <f>ROUNDUP(C221*D221,0)</f>
        <v/>
      </c>
      <c r="F221" s="1" t="n"/>
      <c r="G221" s="1" t="n"/>
      <c r="H221" s="1" t="n"/>
      <c r="I221" s="6" t="inlineStr">
        <is>
          <t>Tooling &amp; Consumables</t>
        </is>
      </c>
      <c r="J221" s="37" t="n"/>
      <c r="K221" s="2282" t="n">
        <v>0.33</v>
      </c>
      <c r="L221" s="2038">
        <f>ROUNDUP(J221*K221,0)</f>
        <v/>
      </c>
      <c r="M221" s="1" t="n"/>
      <c r="N221" s="1" t="n"/>
      <c r="P221" s="6" t="inlineStr">
        <is>
          <t>Tooling &amp; Consumables</t>
        </is>
      </c>
      <c r="Q221" s="37" t="n"/>
      <c r="R221" s="2282" t="n">
        <v>0.33</v>
      </c>
      <c r="S221" s="2038">
        <f>ROUNDUP(Q221*R221,0)</f>
        <v/>
      </c>
      <c r="T221" s="1" t="n"/>
      <c r="U221" s="1" t="n"/>
      <c r="W221" s="47" t="inlineStr">
        <is>
          <t>Q28 / 40-S (double BC)</t>
        </is>
      </c>
      <c r="X221" s="2306">
        <f>100+50</f>
        <v/>
      </c>
      <c r="Y221" s="2420" t="n">
        <v>0.38</v>
      </c>
      <c r="Z221" s="2038">
        <f>X221*Y221</f>
        <v/>
      </c>
      <c r="AA221" s="220" t="inlineStr">
        <is>
          <t>double BC</t>
        </is>
      </c>
    </row>
    <row r="222">
      <c r="B222" s="6" t="inlineStr">
        <is>
          <t>Travel - Lodging</t>
        </is>
      </c>
      <c r="C222" s="37" t="n">
        <v>0</v>
      </c>
      <c r="D222" s="2282">
        <f>$D$26</f>
        <v/>
      </c>
      <c r="E222" s="2038">
        <f>ROUNDUP(C222*D222,0)</f>
        <v/>
      </c>
      <c r="F222" s="1" t="n"/>
      <c r="G222" s="1" t="n"/>
      <c r="H222" s="1" t="n"/>
      <c r="I222" s="6" t="inlineStr">
        <is>
          <t>Travel - Lodging</t>
        </is>
      </c>
      <c r="J222" s="37">
        <f>I213</f>
        <v/>
      </c>
      <c r="K222" s="2282">
        <f>$D$26</f>
        <v/>
      </c>
      <c r="L222" s="2038">
        <f>ROUNDUP(J222*K222,0)</f>
        <v/>
      </c>
      <c r="M222" s="1" t="n"/>
      <c r="N222" s="1" t="n"/>
      <c r="P222" s="6" t="inlineStr">
        <is>
          <t>Travel - Lodging</t>
        </is>
      </c>
      <c r="Q222" s="37">
        <f>((S217-S216)/8)/R213</f>
        <v/>
      </c>
      <c r="R222" s="2282">
        <f>$D$26</f>
        <v/>
      </c>
      <c r="S222" s="2038">
        <f>ROUNDUP(Q222*R222,0)</f>
        <v/>
      </c>
      <c r="T222" s="1" t="n"/>
      <c r="U222" s="505" t="n"/>
      <c r="V222" s="506" t="inlineStr">
        <is>
          <t>**** MOST EXPENSIVE ------------&gt;</t>
        </is>
      </c>
      <c r="W222" s="507" t="inlineStr">
        <is>
          <t>Material Total</t>
        </is>
      </c>
      <c r="X222" s="508" t="n"/>
      <c r="Y222" s="2423" t="n"/>
      <c r="Z222" s="2424">
        <f>SUM(Z217:Z221)</f>
        <v/>
      </c>
      <c r="AA222" s="2289">
        <f>Z222/AA216</f>
        <v/>
      </c>
      <c r="AB222" s="220" t="inlineStr">
        <is>
          <t>$/sf</t>
        </is>
      </c>
    </row>
    <row r="223">
      <c r="B223" s="6" t="inlineStr">
        <is>
          <t>Travel - Food</t>
        </is>
      </c>
      <c r="C223" s="37">
        <f>C222</f>
        <v/>
      </c>
      <c r="D223" s="2282">
        <f>$D$27</f>
        <v/>
      </c>
      <c r="E223" s="2038">
        <f>ROUNDUP(C223*D223,0)</f>
        <v/>
      </c>
      <c r="F223" s="43" t="n"/>
      <c r="G223" s="1" t="n"/>
      <c r="H223" s="1" t="n"/>
      <c r="I223" s="6" t="inlineStr">
        <is>
          <t>Travel - Food</t>
        </is>
      </c>
      <c r="J223" s="37">
        <f>J222</f>
        <v/>
      </c>
      <c r="K223" s="2282">
        <f>$D$27</f>
        <v/>
      </c>
      <c r="L223" s="2038">
        <f>ROUNDUP(J223*K223,0)</f>
        <v/>
      </c>
      <c r="M223" s="43" t="n"/>
      <c r="N223" s="1" t="n"/>
      <c r="P223" s="6" t="inlineStr">
        <is>
          <t>Travel - Food</t>
        </is>
      </c>
      <c r="Q223" s="37">
        <f>Q222</f>
        <v/>
      </c>
      <c r="R223" s="2282">
        <f>$D$27</f>
        <v/>
      </c>
      <c r="S223" s="2038">
        <f>ROUNDUP(Q223*R223,0)</f>
        <v/>
      </c>
      <c r="T223" s="43" t="n"/>
      <c r="U223" s="1" t="n"/>
    </row>
    <row r="224">
      <c r="B224" s="6" t="inlineStr">
        <is>
          <t>Foreman - Fuel</t>
        </is>
      </c>
      <c r="C224" s="37">
        <f>(E217/8)/D213</f>
        <v/>
      </c>
      <c r="D224" s="2282">
        <f>$D$28</f>
        <v/>
      </c>
      <c r="E224" s="2038">
        <f>ROUNDUP(C224*D224,0)</f>
        <v/>
      </c>
      <c r="F224" s="43" t="n"/>
      <c r="G224" s="1" t="n"/>
      <c r="H224" s="1" t="n"/>
      <c r="I224" s="6" t="inlineStr">
        <is>
          <t>Foreman - Fuel</t>
        </is>
      </c>
      <c r="J224" s="37">
        <f>(L217/8)/K213</f>
        <v/>
      </c>
      <c r="K224" s="2282">
        <f>$D$28</f>
        <v/>
      </c>
      <c r="L224" s="2038">
        <f>ROUNDUP(J224*K224,0)</f>
        <v/>
      </c>
      <c r="M224" s="43" t="n"/>
      <c r="N224" s="1" t="n"/>
      <c r="P224" s="6" t="inlineStr">
        <is>
          <t>Foreman - Fuel</t>
        </is>
      </c>
      <c r="Q224" s="37">
        <f>(S217/8)/R213</f>
        <v/>
      </c>
      <c r="R224" s="2282">
        <f>$D$28</f>
        <v/>
      </c>
      <c r="S224" s="2038">
        <f>ROUNDUP(Q224*R224,0)</f>
        <v/>
      </c>
      <c r="T224" s="43" t="n"/>
      <c r="U224" s="1" t="n"/>
      <c r="W224" s="2407" t="inlineStr">
        <is>
          <t>Material - SLB - 100 sf</t>
        </is>
      </c>
      <c r="X224" s="2350" t="n"/>
      <c r="Y224" s="2350" t="n"/>
      <c r="Z224" s="237" t="n"/>
    </row>
    <row r="225">
      <c r="B225" s="6" t="inlineStr">
        <is>
          <t>Generator Fuel</t>
        </is>
      </c>
      <c r="C225" s="37" t="n"/>
      <c r="D225" s="2282" t="n">
        <v>0.04</v>
      </c>
      <c r="E225" s="2038">
        <f>ROUNDUP(C225*D225,0)</f>
        <v/>
      </c>
      <c r="F225" s="1" t="n"/>
      <c r="G225" s="1" t="n"/>
      <c r="H225" s="1" t="n"/>
      <c r="I225" s="6" t="inlineStr">
        <is>
          <t>Mileage</t>
        </is>
      </c>
      <c r="J225" s="37" t="n">
        <v>240</v>
      </c>
      <c r="K225" s="2282" t="n">
        <v>0.6</v>
      </c>
      <c r="L225" s="2038">
        <f>ROUNDUP(J225*K225,0)</f>
        <v/>
      </c>
      <c r="M225" s="1" t="n"/>
      <c r="N225" s="1" t="n"/>
      <c r="P225" s="6" t="inlineStr">
        <is>
          <t>Mileage</t>
        </is>
      </c>
      <c r="Q225" s="37" t="n">
        <v>400</v>
      </c>
      <c r="R225" s="2282" t="n">
        <v>0.6</v>
      </c>
      <c r="S225" s="2038">
        <f>ROUNDUP(Q225*R225,0)</f>
        <v/>
      </c>
      <c r="T225" s="1" t="n"/>
      <c r="U225" s="1" t="n"/>
      <c r="W225" s="25" t="inlineStr">
        <is>
          <t>MATERIAL - Patch</t>
        </is>
      </c>
      <c r="X225" s="90" t="inlineStr">
        <is>
          <t>Quantity</t>
        </is>
      </c>
      <c r="Y225" s="90" t="inlineStr">
        <is>
          <t>Cost</t>
        </is>
      </c>
      <c r="Z225" s="91" t="inlineStr">
        <is>
          <t>Total</t>
        </is>
      </c>
      <c r="AA225" s="2380" t="n">
        <v>100</v>
      </c>
      <c r="AB225" s="82" t="inlineStr">
        <is>
          <t>SF</t>
        </is>
      </c>
      <c r="AC225" s="1547" t="inlineStr">
        <is>
          <t>DAF 2025 6% increase</t>
        </is>
      </c>
    </row>
    <row r="226">
      <c r="B226" s="6" t="inlineStr">
        <is>
          <t>Plastic</t>
        </is>
      </c>
      <c r="C226" s="37" t="n"/>
      <c r="D226" s="2282" t="n"/>
      <c r="E226" s="2038">
        <f>ROUNDUP(C226*D226,0)</f>
        <v/>
      </c>
      <c r="F226" s="1" t="n"/>
      <c r="G226" s="1" t="n"/>
      <c r="H226" s="1" t="n"/>
      <c r="I226" s="6" t="inlineStr">
        <is>
          <t>Plastic</t>
        </is>
      </c>
      <c r="J226" s="37" t="n"/>
      <c r="K226" s="2282" t="n"/>
      <c r="L226" s="2038">
        <f>ROUNDUP(J226*K226,0)</f>
        <v/>
      </c>
      <c r="M226" s="1" t="n"/>
      <c r="N226" s="1" t="n"/>
      <c r="P226" s="6" t="inlineStr">
        <is>
          <t>Plastic</t>
        </is>
      </c>
      <c r="Q226" s="37" t="n"/>
      <c r="R226" s="2282" t="n"/>
      <c r="S226" s="2038">
        <f>ROUNDUP(Q226*R226,0)</f>
        <v/>
      </c>
      <c r="T226" s="1" t="n"/>
      <c r="U226" s="1" t="n"/>
      <c r="W226" s="47" t="inlineStr">
        <is>
          <t>SL</t>
        </is>
      </c>
      <c r="X226" s="2377" t="n">
        <v>2</v>
      </c>
      <c r="Y226" s="2416">
        <f>129+AC226</f>
        <v/>
      </c>
      <c r="Z226" s="2308">
        <f>X226*Y226</f>
        <v/>
      </c>
      <c r="AA226" s="301">
        <f>AA225/55</f>
        <v/>
      </c>
      <c r="AC226" s="2410">
        <f>129*AD198</f>
        <v/>
      </c>
    </row>
    <row r="227">
      <c r="B227" s="10" t="inlineStr">
        <is>
          <t>Other Costs Total</t>
        </is>
      </c>
      <c r="C227" s="36" t="n"/>
      <c r="D227" s="2339" t="n"/>
      <c r="E227" s="2340">
        <f>SUM(E220:E226)</f>
        <v/>
      </c>
      <c r="F227" s="1" t="n"/>
      <c r="G227" s="1" t="n"/>
      <c r="H227" s="1" t="n"/>
      <c r="I227" s="10" t="inlineStr">
        <is>
          <t>Other Costs Total</t>
        </is>
      </c>
      <c r="J227" s="36" t="n"/>
      <c r="K227" s="2339" t="n"/>
      <c r="L227" s="2340">
        <f>SUM(L220:L226)</f>
        <v/>
      </c>
      <c r="M227" s="1" t="n"/>
      <c r="N227" s="1" t="n"/>
      <c r="P227" s="10" t="inlineStr">
        <is>
          <t>Other Costs Total</t>
        </is>
      </c>
      <c r="Q227" s="36" t="n"/>
      <c r="R227" s="2339" t="n"/>
      <c r="S227" s="2340">
        <f>SUM(S220:S226)</f>
        <v/>
      </c>
      <c r="T227" s="1" t="n"/>
      <c r="U227" s="1" t="n"/>
      <c r="W227" s="47" t="inlineStr">
        <is>
          <t>CF Lrg @ 16</t>
        </is>
      </c>
      <c r="X227" s="2377" t="n">
        <v>1</v>
      </c>
      <c r="Y227" s="2416">
        <f>290+AC227</f>
        <v/>
      </c>
      <c r="Z227" s="2308">
        <f>X227*Y227</f>
        <v/>
      </c>
      <c r="AA227" s="301">
        <f>AA225/200</f>
        <v/>
      </c>
      <c r="AC227" s="2410">
        <f>290*AD198</f>
        <v/>
      </c>
    </row>
    <row r="228">
      <c r="B228" s="1" t="n"/>
      <c r="C228" s="1892" t="n"/>
      <c r="D228" s="2282" t="n"/>
      <c r="E228" s="2282" t="n"/>
      <c r="F228" s="1" t="n"/>
      <c r="G228" s="1" t="n"/>
      <c r="H228" s="1" t="n"/>
      <c r="I228" s="1" t="n"/>
      <c r="J228" s="1892" t="n"/>
      <c r="K228" s="2282" t="n"/>
      <c r="L228" s="2282" t="n"/>
      <c r="M228" s="1" t="n"/>
      <c r="N228" s="1" t="n"/>
      <c r="P228" s="1" t="n"/>
      <c r="Q228" s="1892" t="n"/>
      <c r="R228" s="2282" t="n"/>
      <c r="S228" s="2282" t="n"/>
      <c r="T228" s="1" t="n"/>
      <c r="U228" s="1" t="n"/>
      <c r="W228" s="47" t="inlineStr">
        <is>
          <t>Silica</t>
        </is>
      </c>
      <c r="X228" s="2377" t="n">
        <v>100</v>
      </c>
      <c r="Y228" s="2312" t="n">
        <v>0.44</v>
      </c>
      <c r="Z228" s="2308">
        <f>X228*Y228</f>
        <v/>
      </c>
      <c r="AA228" s="301">
        <f>AA225*0.75</f>
        <v/>
      </c>
      <c r="AC228" s="2410" t="n"/>
    </row>
    <row r="229">
      <c r="B229" s="1" t="n"/>
      <c r="C229" s="1892" t="n"/>
      <c r="D229" s="2282" t="n"/>
      <c r="E229" s="2282" t="n"/>
      <c r="F229" s="1" t="n"/>
      <c r="G229" s="1" t="n"/>
      <c r="H229" s="1" t="n"/>
      <c r="I229" s="1" t="n"/>
      <c r="J229" s="1892" t="n"/>
      <c r="K229" s="2282" t="n"/>
      <c r="L229" s="2282" t="n"/>
      <c r="M229" s="1" t="n"/>
      <c r="N229" s="1" t="n"/>
      <c r="P229" s="1" t="n"/>
      <c r="Q229" s="1892" t="n"/>
      <c r="R229" s="2282" t="n"/>
      <c r="S229" s="2282" t="n"/>
      <c r="T229" s="1" t="n"/>
      <c r="U229" s="1" t="n"/>
      <c r="W229" s="47" t="n"/>
      <c r="X229" s="2377" t="n"/>
      <c r="Y229" s="2282" t="n"/>
      <c r="Z229" s="2038">
        <f>X229*Y229</f>
        <v/>
      </c>
    </row>
    <row r="230">
      <c r="B230" s="280" t="inlineStr">
        <is>
          <t>SUB-TOTAL COSTS</t>
        </is>
      </c>
      <c r="C230" s="281" t="n"/>
      <c r="D230" s="2393" t="n"/>
      <c r="E230" s="2394">
        <f>SUM(E209,E217,E227)</f>
        <v/>
      </c>
      <c r="F230" s="1" t="n"/>
      <c r="G230" s="1" t="n"/>
      <c r="H230" s="1" t="n"/>
      <c r="I230" s="280" t="inlineStr">
        <is>
          <t>SUB-TOTAL COSTS</t>
        </is>
      </c>
      <c r="J230" s="281" t="n"/>
      <c r="K230" s="2393" t="n"/>
      <c r="L230" s="2394">
        <f>SUM(L209,L217,L227)</f>
        <v/>
      </c>
      <c r="M230" s="1" t="n"/>
      <c r="N230" s="1" t="n"/>
      <c r="P230" s="280" t="inlineStr">
        <is>
          <t>SUB-TOTAL COSTS</t>
        </is>
      </c>
      <c r="Q230" s="281" t="n"/>
      <c r="R230" s="2393" t="n"/>
      <c r="S230" s="2394">
        <f>SUM(S209,S217,S227)</f>
        <v/>
      </c>
      <c r="T230" s="1" t="n"/>
      <c r="U230" s="1" t="n"/>
      <c r="W230" s="499" t="inlineStr">
        <is>
          <t>Material Total</t>
        </is>
      </c>
      <c r="X230" s="500" t="n"/>
      <c r="Y230" s="2421" t="n"/>
      <c r="Z230" s="2394">
        <f>SUM(Z226:Z229)</f>
        <v/>
      </c>
      <c r="AA230" s="2289">
        <f>Z230/AA225</f>
        <v/>
      </c>
      <c r="AB230" s="220" t="inlineStr">
        <is>
          <t>$/sf</t>
        </is>
      </c>
    </row>
    <row r="231">
      <c r="B231" s="1" t="n"/>
      <c r="C231" s="1892" t="n"/>
      <c r="D231" s="2282" t="n"/>
      <c r="E231" s="2282" t="n"/>
      <c r="F231" s="1" t="n"/>
      <c r="G231" s="1" t="n"/>
      <c r="H231" s="1" t="n"/>
      <c r="I231" s="1" t="n"/>
      <c r="J231" s="1892" t="n"/>
      <c r="K231" s="2282" t="n"/>
      <c r="L231" s="2282" t="n"/>
      <c r="M231" s="1" t="n"/>
      <c r="N231" s="1" t="n"/>
      <c r="P231" s="1" t="n"/>
      <c r="Q231" s="1892" t="n"/>
      <c r="R231" s="2282" t="n"/>
      <c r="S231" s="2282" t="n"/>
      <c r="T231" s="1" t="n"/>
      <c r="U231" s="1" t="n"/>
    </row>
    <row r="232">
      <c r="B232" s="5" t="inlineStr">
        <is>
          <t>MARKUP</t>
        </is>
      </c>
      <c r="C232" s="30" t="inlineStr">
        <is>
          <t>%</t>
        </is>
      </c>
      <c r="D232" s="2395" t="n"/>
      <c r="E232" s="2019" t="n"/>
      <c r="F232" s="1" t="n"/>
      <c r="G232" s="1" t="n"/>
      <c r="H232" s="1" t="n"/>
      <c r="I232" s="5" t="inlineStr">
        <is>
          <t>MARKUP</t>
        </is>
      </c>
      <c r="J232" s="30" t="inlineStr">
        <is>
          <t>%</t>
        </is>
      </c>
      <c r="K232" s="2395" t="n"/>
      <c r="L232" s="2019" t="n"/>
      <c r="M232" s="1" t="n"/>
      <c r="N232" s="1" t="n"/>
      <c r="P232" s="5" t="inlineStr">
        <is>
          <t>MARKUP</t>
        </is>
      </c>
      <c r="Q232" s="30" t="inlineStr">
        <is>
          <t>%</t>
        </is>
      </c>
      <c r="R232" s="2395" t="n"/>
      <c r="S232" s="2019" t="n"/>
      <c r="T232" s="1" t="n"/>
      <c r="U232" s="1" t="n"/>
      <c r="W232" s="2407" t="inlineStr">
        <is>
          <t>Material - MDB - 100 sf</t>
        </is>
      </c>
      <c r="X232" s="2350" t="n"/>
      <c r="Y232" s="2350" t="n"/>
      <c r="Z232" s="237" t="n"/>
    </row>
    <row r="233">
      <c r="B233" s="6" t="inlineStr">
        <is>
          <t>Sales Tax</t>
        </is>
      </c>
      <c r="C233" s="2396">
        <f>$C$37</f>
        <v/>
      </c>
      <c r="D233" s="2397" t="n"/>
      <c r="E233" s="2038">
        <f>ROUNDUP(SUM(E209:E209)*C233,0)</f>
        <v/>
      </c>
      <c r="F233" s="1" t="n"/>
      <c r="G233" s="1" t="n"/>
      <c r="H233" s="1" t="n"/>
      <c r="I233" s="6" t="inlineStr">
        <is>
          <t>Sales Tax</t>
        </is>
      </c>
      <c r="J233" s="2396">
        <f>$C$37</f>
        <v/>
      </c>
      <c r="K233" s="2397" t="n"/>
      <c r="L233" s="2038">
        <f>ROUNDUP(SUM(L209:L209)*J233,0)</f>
        <v/>
      </c>
      <c r="M233" s="1" t="n"/>
      <c r="N233" s="1" t="n"/>
      <c r="P233" s="6" t="inlineStr">
        <is>
          <t>Sales Tax</t>
        </is>
      </c>
      <c r="Q233" s="2396">
        <f>$C$37</f>
        <v/>
      </c>
      <c r="R233" s="2397" t="n"/>
      <c r="S233" s="2038">
        <f>ROUNDUP(SUM(S209:S209)*Q233,0)</f>
        <v/>
      </c>
      <c r="T233" s="1" t="n"/>
      <c r="U233" s="1" t="n"/>
      <c r="W233" s="25" t="inlineStr">
        <is>
          <t>MATERIAL - Patch</t>
        </is>
      </c>
      <c r="X233" s="90" t="inlineStr">
        <is>
          <t>Quantity</t>
        </is>
      </c>
      <c r="Y233" s="90" t="inlineStr">
        <is>
          <t>Cost</t>
        </is>
      </c>
      <c r="Z233" s="91" t="inlineStr">
        <is>
          <t>Total</t>
        </is>
      </c>
      <c r="AA233" s="2380" t="n">
        <v>100</v>
      </c>
      <c r="AB233" s="82" t="inlineStr">
        <is>
          <t>SF</t>
        </is>
      </c>
      <c r="AC233" s="1547" t="inlineStr">
        <is>
          <t>DAF 2025 6% increase</t>
        </is>
      </c>
    </row>
    <row r="234">
      <c r="B234" s="6" t="inlineStr">
        <is>
          <t>Insurance</t>
        </is>
      </c>
      <c r="C234" s="241" t="n">
        <v>0.08</v>
      </c>
      <c r="D234" s="2397" t="n"/>
      <c r="E234" s="2038">
        <f>ROUNDUP(SUM(E217)*C234,0)</f>
        <v/>
      </c>
      <c r="F234" s="1" t="n"/>
      <c r="G234" s="1" t="n"/>
      <c r="H234" s="1" t="n"/>
      <c r="I234" s="6" t="inlineStr">
        <is>
          <t>Insurance</t>
        </is>
      </c>
      <c r="J234" s="241" t="n">
        <v>0.08</v>
      </c>
      <c r="K234" s="2397" t="n"/>
      <c r="L234" s="2038">
        <f>ROUNDUP(SUM(L217)*J234,0)</f>
        <v/>
      </c>
      <c r="M234" s="1" t="n"/>
      <c r="N234" s="1" t="n"/>
      <c r="P234" s="6" t="inlineStr">
        <is>
          <t>Insurance</t>
        </is>
      </c>
      <c r="Q234" s="241" t="n">
        <v>0.08</v>
      </c>
      <c r="R234" s="2397" t="n"/>
      <c r="S234" s="2038">
        <f>ROUNDUP(SUM(S217)*Q234,0)</f>
        <v/>
      </c>
      <c r="T234" s="1" t="n"/>
      <c r="U234" s="1" t="n"/>
      <c r="W234" s="47" t="inlineStr">
        <is>
          <t>MD</t>
        </is>
      </c>
      <c r="X234" s="2377" t="n">
        <v>4</v>
      </c>
      <c r="Y234" s="2416">
        <f>148+AC234</f>
        <v/>
      </c>
      <c r="Z234" s="2308">
        <f>X234*Y234</f>
        <v/>
      </c>
      <c r="AA234" s="301">
        <f>AA233/32</f>
        <v/>
      </c>
      <c r="AC234" s="2410">
        <f>148*AD198</f>
        <v/>
      </c>
    </row>
    <row r="235">
      <c r="B235" s="6" t="inlineStr">
        <is>
          <t>Material Contingency</t>
        </is>
      </c>
      <c r="C235" s="122" t="n">
        <v>0.15</v>
      </c>
      <c r="D235" s="2282" t="n"/>
      <c r="E235" s="2038">
        <f>ROUNDUP(E209*C235,0)</f>
        <v/>
      </c>
      <c r="F235" s="1" t="n"/>
      <c r="G235" s="1" t="n"/>
      <c r="H235" s="1" t="n"/>
      <c r="I235" s="6" t="inlineStr">
        <is>
          <t>Material Contingency</t>
        </is>
      </c>
      <c r="J235" s="122" t="n">
        <v>0.15</v>
      </c>
      <c r="K235" s="2282" t="n"/>
      <c r="L235" s="2038">
        <f>ROUNDUP(L209*J235,0)</f>
        <v/>
      </c>
      <c r="M235" s="1" t="n"/>
      <c r="N235" s="1" t="n"/>
      <c r="P235" s="6" t="inlineStr">
        <is>
          <t>Material Contingency</t>
        </is>
      </c>
      <c r="Q235" s="122" t="n">
        <v>0.15</v>
      </c>
      <c r="R235" s="2282" t="n"/>
      <c r="S235" s="2038">
        <f>ROUNDUP(S209*Q235,0)</f>
        <v/>
      </c>
      <c r="T235" s="1" t="n"/>
      <c r="U235" s="1" t="n"/>
      <c r="W235" s="47" t="inlineStr">
        <is>
          <t>CF Lrg @ 16</t>
        </is>
      </c>
      <c r="X235" s="2377" t="n">
        <v>1</v>
      </c>
      <c r="Y235" s="2416">
        <f>290+AC235</f>
        <v/>
      </c>
      <c r="Z235" s="2308">
        <f>X235*Y235</f>
        <v/>
      </c>
      <c r="AA235" s="301">
        <f>AA233/200</f>
        <v/>
      </c>
      <c r="AC235" s="2410">
        <f>290*AD198</f>
        <v/>
      </c>
    </row>
    <row r="236">
      <c r="B236" s="6" t="inlineStr">
        <is>
          <t>Labor Contingency</t>
        </is>
      </c>
      <c r="C236" s="122" t="n">
        <v>0.24</v>
      </c>
      <c r="D236" s="2282" t="n"/>
      <c r="E236" s="2038">
        <f>ROUNDUP(E217*C236,0)</f>
        <v/>
      </c>
      <c r="F236" s="1" t="n"/>
      <c r="G236" s="1" t="n"/>
      <c r="H236" s="1" t="n"/>
      <c r="I236" s="6" t="inlineStr">
        <is>
          <t>Labor Contingency</t>
        </is>
      </c>
      <c r="J236" s="122" t="n">
        <v>0.24</v>
      </c>
      <c r="K236" s="2282" t="n"/>
      <c r="L236" s="2038">
        <f>ROUNDUP(L217*J236,0)</f>
        <v/>
      </c>
      <c r="M236" s="1" t="n"/>
      <c r="N236" s="1" t="n"/>
      <c r="P236" s="6" t="inlineStr">
        <is>
          <t>Labor Contingency</t>
        </is>
      </c>
      <c r="Q236" s="122" t="n">
        <v>0.24</v>
      </c>
      <c r="R236" s="2282" t="n"/>
      <c r="S236" s="2038">
        <f>ROUNDUP(S217*Q236,0)</f>
        <v/>
      </c>
      <c r="T236" s="1" t="n"/>
      <c r="U236" s="1" t="n"/>
      <c r="W236" s="47" t="inlineStr">
        <is>
          <t>Silica</t>
        </is>
      </c>
      <c r="X236" s="2377" t="n">
        <v>100</v>
      </c>
      <c r="Y236" s="2312" t="n">
        <v>0.44</v>
      </c>
      <c r="Z236" s="2308">
        <f>X236*Y236</f>
        <v/>
      </c>
      <c r="AA236" s="301">
        <f>AA233*1</f>
        <v/>
      </c>
      <c r="AC236" s="2410" t="n"/>
    </row>
    <row r="237">
      <c r="B237" s="6" t="inlineStr">
        <is>
          <t>Mark Up</t>
        </is>
      </c>
      <c r="C237" s="122" t="n">
        <v>0.38</v>
      </c>
      <c r="D237" s="2282" t="n"/>
      <c r="E237" s="2038">
        <f>ROUNDUP(SUM(E230:E236)*C237,0)</f>
        <v/>
      </c>
      <c r="F237" s="1" t="n"/>
      <c r="G237" s="1" t="n"/>
      <c r="H237" s="1" t="n"/>
      <c r="I237" s="6" t="inlineStr">
        <is>
          <t>Mark Up</t>
        </is>
      </c>
      <c r="J237" s="122" t="n">
        <v>0.38</v>
      </c>
      <c r="K237" s="2282" t="n"/>
      <c r="L237" s="2038">
        <f>ROUNDUP(SUM(L230:L236)*J237,0)</f>
        <v/>
      </c>
      <c r="M237" s="1" t="n"/>
      <c r="N237" s="1" t="n"/>
      <c r="P237" s="6" t="inlineStr">
        <is>
          <t>Mark Up</t>
        </is>
      </c>
      <c r="Q237" s="122" t="n">
        <v>0.38</v>
      </c>
      <c r="R237" s="2282" t="n"/>
      <c r="S237" s="2038">
        <f>ROUNDUP(SUM(S230:S236)*Q237,0)</f>
        <v/>
      </c>
      <c r="T237" s="1" t="n"/>
      <c r="U237" s="1" t="n"/>
      <c r="W237" s="47" t="n"/>
      <c r="X237" s="2377" t="n"/>
      <c r="Y237" s="2282" t="n"/>
      <c r="Z237" s="2038">
        <f>X237*Y237</f>
        <v/>
      </c>
    </row>
    <row r="238">
      <c r="B238" s="284">
        <f>$B$42</f>
        <v/>
      </c>
      <c r="C238" s="241">
        <f>$C$42</f>
        <v/>
      </c>
      <c r="D238" s="2282" t="n"/>
      <c r="E238" s="2038">
        <f>ROUNDUP(SUM(E217,E234:E237)*C238,0)</f>
        <v/>
      </c>
      <c r="F238" s="1" t="n"/>
      <c r="G238" s="1" t="n"/>
      <c r="H238" s="1" t="n"/>
      <c r="I238" s="284">
        <f>$B$42</f>
        <v/>
      </c>
      <c r="J238" s="241">
        <f>$C$42</f>
        <v/>
      </c>
      <c r="K238" s="2282" t="n"/>
      <c r="L238" s="2038">
        <f>ROUNDUP(SUM(L217,L234:L237)*J238,0)</f>
        <v/>
      </c>
      <c r="M238" s="1" t="n"/>
      <c r="N238" s="1" t="n"/>
      <c r="P238" s="284">
        <f>$B$42</f>
        <v/>
      </c>
      <c r="Q238" s="241">
        <f>$C$42</f>
        <v/>
      </c>
      <c r="R238" s="2282" t="n"/>
      <c r="S238" s="2038">
        <f>ROUNDUP(SUM(S217,S234:S237)*Q238,0)</f>
        <v/>
      </c>
      <c r="T238" s="1" t="n"/>
      <c r="U238" s="486" t="n"/>
      <c r="V238" s="489" t="inlineStr">
        <is>
          <t>** USED (covers most options) ---&gt;</t>
        </is>
      </c>
      <c r="W238" s="503" t="inlineStr">
        <is>
          <t>Material Total</t>
        </is>
      </c>
      <c r="X238" s="487" t="n"/>
      <c r="Y238" s="2425" t="n"/>
      <c r="Z238" s="2426">
        <f>SUM(Z234:Z237)</f>
        <v/>
      </c>
      <c r="AA238" s="2289">
        <f>Z238/AA233</f>
        <v/>
      </c>
      <c r="AB238" s="220" t="inlineStr">
        <is>
          <t>$/sf</t>
        </is>
      </c>
    </row>
    <row r="239">
      <c r="B239" s="403" t="inlineStr">
        <is>
          <t>Warranty &amp; Extra Soft Cost</t>
        </is>
      </c>
      <c r="C239" s="241">
        <f>$C$43</f>
        <v/>
      </c>
      <c r="D239" s="2282" t="n"/>
      <c r="E239" s="2038">
        <f>ROUNDUP(C239*SUM(E230:E238),0)</f>
        <v/>
      </c>
      <c r="F239" s="1" t="n"/>
      <c r="G239" s="1" t="n"/>
      <c r="H239" s="1" t="n"/>
      <c r="I239" s="403" t="inlineStr">
        <is>
          <t>Warranty &amp; Extra Soft Cost</t>
        </is>
      </c>
      <c r="J239" s="241">
        <f>$C$43</f>
        <v/>
      </c>
      <c r="K239" s="2282" t="n"/>
      <c r="L239" s="2038">
        <f>ROUNDUP(J239*SUM(L230:L238),0)</f>
        <v/>
      </c>
      <c r="M239" s="1" t="n"/>
      <c r="N239" s="1" t="n"/>
      <c r="P239" s="403" t="inlineStr">
        <is>
          <t>Warranty &amp; Extra Soft Cost</t>
        </is>
      </c>
      <c r="Q239" s="241">
        <f>$C$43</f>
        <v/>
      </c>
      <c r="R239" s="2282" t="n"/>
      <c r="S239" s="2038">
        <f>ROUNDUP(Q239*SUM(S230:S238),0)</f>
        <v/>
      </c>
      <c r="T239" s="1" t="n"/>
      <c r="U239" s="1" t="n"/>
    </row>
    <row r="240">
      <c r="B240" s="45" t="inlineStr">
        <is>
          <t>Bond</t>
        </is>
      </c>
      <c r="C240" s="46">
        <f>$C$44</f>
        <v/>
      </c>
      <c r="D240" s="2314" t="n"/>
      <c r="E240" s="2400" t="n">
        <v>24</v>
      </c>
      <c r="F240" s="1" t="n"/>
      <c r="G240" s="1" t="n"/>
      <c r="H240" s="1" t="n"/>
      <c r="I240" s="45" t="inlineStr">
        <is>
          <t>Bond</t>
        </is>
      </c>
      <c r="J240" s="46">
        <f>$C$44</f>
        <v/>
      </c>
      <c r="K240" s="2314" t="n"/>
      <c r="L240" s="2400">
        <f>ROUNDUP(SUM(L230:L239)*J240,0)-6</f>
        <v/>
      </c>
      <c r="M240" s="1" t="n"/>
      <c r="N240" s="1" t="n"/>
      <c r="P240" s="45" t="inlineStr">
        <is>
          <t>Bond</t>
        </is>
      </c>
      <c r="Q240" s="46">
        <f>$C$44</f>
        <v/>
      </c>
      <c r="R240" s="2314" t="n"/>
      <c r="S240" s="2400">
        <f>ROUNDUP(SUM(S230:S239)*Q240,0)+13</f>
        <v/>
      </c>
      <c r="T240" s="1" t="n"/>
      <c r="U240" s="1" t="n"/>
    </row>
    <row r="241">
      <c r="B241" s="1" t="n"/>
      <c r="C241" s="8" t="n"/>
      <c r="D241" s="2282" t="n"/>
      <c r="E241" s="2411" t="inlineStr">
        <is>
          <t>Epoxy</t>
        </is>
      </c>
      <c r="F241" s="1" t="n"/>
      <c r="G241" s="286" t="inlineStr">
        <is>
          <t>Mark Up + Conting.</t>
        </is>
      </c>
      <c r="H241" s="1892" t="n"/>
      <c r="I241" s="1" t="n"/>
      <c r="J241" s="8" t="n"/>
      <c r="K241" s="2282" t="n"/>
      <c r="L241" s="2411" t="inlineStr">
        <is>
          <t>Epoxy</t>
        </is>
      </c>
      <c r="M241" s="1" t="n"/>
      <c r="N241" s="286" t="inlineStr">
        <is>
          <t>Mark Up + Conting.</t>
        </is>
      </c>
      <c r="P241" s="1" t="n"/>
      <c r="Q241" s="8" t="n"/>
      <c r="R241" s="2282" t="n"/>
      <c r="S241" s="2411" t="inlineStr">
        <is>
          <t>Epoxy</t>
        </is>
      </c>
      <c r="T241" s="1" t="n"/>
      <c r="U241" s="286" t="inlineStr">
        <is>
          <t>Mark Up + Conting.</t>
        </is>
      </c>
    </row>
    <row r="242" ht="16.2" customHeight="1" thickBot="1">
      <c r="B242" s="1" t="n"/>
      <c r="C242" s="287" t="inlineStr">
        <is>
          <t>SF:</t>
        </is>
      </c>
      <c r="D242" s="2405">
        <f>C211</f>
        <v/>
      </c>
      <c r="E242" s="1073" t="inlineStr">
        <is>
          <t>Mock (In Town)</t>
        </is>
      </c>
      <c r="F242" s="38" t="inlineStr">
        <is>
          <t>Less Sales Tax</t>
        </is>
      </c>
      <c r="G242" s="2402">
        <f>SUM(E235:E237)</f>
        <v/>
      </c>
      <c r="H242" s="2282" t="n"/>
      <c r="I242" s="1" t="n"/>
      <c r="J242" s="287" t="inlineStr">
        <is>
          <t>SF:</t>
        </is>
      </c>
      <c r="K242" s="2405">
        <f>J211</f>
        <v/>
      </c>
      <c r="L242" s="1073" t="inlineStr">
        <is>
          <t>Mock (2 hours)</t>
        </is>
      </c>
      <c r="M242" s="38" t="inlineStr">
        <is>
          <t>Less Sales Tax</t>
        </is>
      </c>
      <c r="N242" s="2402">
        <f>SUM(L235:L237)</f>
        <v/>
      </c>
      <c r="P242" s="1" t="n"/>
      <c r="Q242" s="287" t="inlineStr">
        <is>
          <t>SF:</t>
        </is>
      </c>
      <c r="R242" s="2405">
        <f>Q211</f>
        <v/>
      </c>
      <c r="S242" s="1073" t="inlineStr">
        <is>
          <t>Mock (3 hours)</t>
        </is>
      </c>
      <c r="T242" s="38" t="inlineStr">
        <is>
          <t>Less Sales Tax</t>
        </is>
      </c>
      <c r="U242" s="2402">
        <f>SUM(S235:S237)</f>
        <v/>
      </c>
    </row>
    <row r="243" ht="16.2" customHeight="1" thickBot="1">
      <c r="B243" s="289" t="inlineStr">
        <is>
          <t>TOTAL</t>
        </is>
      </c>
      <c r="C243" s="290" t="n"/>
      <c r="D243" s="2412">
        <f>E243/C211</f>
        <v/>
      </c>
      <c r="E243" s="2404">
        <f>SUM(E230:E240)</f>
        <v/>
      </c>
      <c r="F243" s="2282">
        <f>E243-E233-E238</f>
        <v/>
      </c>
      <c r="G243" s="293">
        <f>G242/E243</f>
        <v/>
      </c>
      <c r="H243" s="294" t="n"/>
      <c r="I243" s="289" t="inlineStr">
        <is>
          <t>TOTAL</t>
        </is>
      </c>
      <c r="J243" s="290" t="n"/>
      <c r="K243" s="2412">
        <f>L243/J211</f>
        <v/>
      </c>
      <c r="L243" s="2404">
        <f>SUM(L230:L240)</f>
        <v/>
      </c>
      <c r="M243" s="2282">
        <f>L243-L233-L238</f>
        <v/>
      </c>
      <c r="N243" s="293">
        <f>N242/L243</f>
        <v/>
      </c>
      <c r="P243" s="289" t="inlineStr">
        <is>
          <t>TOTAL</t>
        </is>
      </c>
      <c r="Q243" s="290" t="n"/>
      <c r="R243" s="2412">
        <f>S243/Q211</f>
        <v/>
      </c>
      <c r="S243" s="2404">
        <f>SUM(S230:S240)</f>
        <v/>
      </c>
      <c r="T243" s="2282">
        <f>S243-S233-S238</f>
        <v/>
      </c>
      <c r="U243" s="293">
        <f>U242/S243</f>
        <v/>
      </c>
    </row>
    <row r="244">
      <c r="B244" s="1" t="n"/>
      <c r="C244" s="1" t="inlineStr">
        <is>
          <t xml:space="preserve"> </t>
        </is>
      </c>
      <c r="D244" s="2282">
        <f>E244/C211</f>
        <v/>
      </c>
      <c r="E244" s="2282">
        <f>E243-E238</f>
        <v/>
      </c>
      <c r="F244" t="inlineStr">
        <is>
          <t xml:space="preserve">less ks remodel, if applicable </t>
        </is>
      </c>
      <c r="G244" s="295">
        <f>IF(G243&lt;=0.25,"OWNER APPROVAL REQUIRED","GP % Okay")</f>
        <v/>
      </c>
      <c r="H244" s="1891" t="n"/>
      <c r="I244" s="1" t="n"/>
      <c r="J244" s="1" t="inlineStr">
        <is>
          <t xml:space="preserve"> </t>
        </is>
      </c>
      <c r="K244" s="2282">
        <f>L244/J211</f>
        <v/>
      </c>
      <c r="L244" s="2282">
        <f>L243-L238</f>
        <v/>
      </c>
      <c r="M244" t="inlineStr">
        <is>
          <t xml:space="preserve">less ks remodel, if applicable </t>
        </is>
      </c>
      <c r="N244" s="295">
        <f>IF(N243&lt;=0.25,"OWNER APPROVAL REQUIRED","GP % Okay")</f>
        <v/>
      </c>
      <c r="P244" s="1" t="n"/>
      <c r="Q244" s="1" t="inlineStr">
        <is>
          <t xml:space="preserve"> </t>
        </is>
      </c>
      <c r="R244" s="2282">
        <f>S244/Q211</f>
        <v/>
      </c>
      <c r="S244" s="2282">
        <f>S243-S238</f>
        <v/>
      </c>
      <c r="T244" t="inlineStr">
        <is>
          <t xml:space="preserve">less ks remodel, if applicable </t>
        </is>
      </c>
      <c r="U244" s="295">
        <f>IF(U243&lt;=0.25,"OWNER APPROVAL REQUIRED","GP % Okay")</f>
        <v/>
      </c>
    </row>
    <row r="247">
      <c r="B247" s="2413" t="inlineStr">
        <is>
          <t>POLISH - Mock-Up (In Town)</t>
        </is>
      </c>
      <c r="C247" s="2350" t="n"/>
      <c r="D247" s="2350" t="n"/>
      <c r="E247" s="237" t="n"/>
      <c r="F247" s="2375">
        <f>E292</f>
        <v/>
      </c>
      <c r="G247" s="263" t="inlineStr">
        <is>
          <t>Total</t>
        </is>
      </c>
      <c r="I247" s="2413" t="inlineStr">
        <is>
          <t>POLISH - Mock-Up (2:00 Hours One Way)</t>
        </is>
      </c>
      <c r="J247" s="2350" t="n"/>
      <c r="K247" s="2350" t="n"/>
      <c r="L247" s="237" t="n"/>
      <c r="M247" s="2375">
        <f>L292</f>
        <v/>
      </c>
      <c r="N247" s="263" t="inlineStr">
        <is>
          <t>Total</t>
        </is>
      </c>
      <c r="P247" s="2413" t="inlineStr">
        <is>
          <t>POLISH - Mock-Up (3:00 Hours One Way)</t>
        </is>
      </c>
      <c r="Q247" s="2350" t="n"/>
      <c r="R247" s="2350" t="n"/>
      <c r="S247" s="237" t="n"/>
      <c r="T247" s="2375">
        <f>S292</f>
        <v/>
      </c>
      <c r="U247" s="263" t="inlineStr">
        <is>
          <t>Total</t>
        </is>
      </c>
    </row>
    <row r="248">
      <c r="B248" s="25" t="inlineStr">
        <is>
          <t>MATERIAL - Patch</t>
        </is>
      </c>
      <c r="C248" s="90" t="inlineStr">
        <is>
          <t>Quantity</t>
        </is>
      </c>
      <c r="D248" s="90" t="inlineStr">
        <is>
          <t>Cost</t>
        </is>
      </c>
      <c r="E248" s="91" t="inlineStr">
        <is>
          <t>Total</t>
        </is>
      </c>
      <c r="F248" s="2415">
        <f>F247/F251</f>
        <v/>
      </c>
      <c r="G248" s="512" t="inlineStr">
        <is>
          <t>$/sf</t>
        </is>
      </c>
      <c r="H248" s="264" t="n"/>
      <c r="I248" s="25" t="inlineStr">
        <is>
          <t>MATERIAL - Patch</t>
        </is>
      </c>
      <c r="J248" s="90" t="inlineStr">
        <is>
          <t>Quantity</t>
        </is>
      </c>
      <c r="K248" s="90" t="inlineStr">
        <is>
          <t>Cost</t>
        </is>
      </c>
      <c r="L248" s="91" t="inlineStr">
        <is>
          <t>Total</t>
        </is>
      </c>
      <c r="M248" s="2415">
        <f>M247/M251</f>
        <v/>
      </c>
      <c r="N248" s="512" t="inlineStr">
        <is>
          <t>$/sf</t>
        </is>
      </c>
      <c r="P248" s="25" t="inlineStr">
        <is>
          <t>MATERIAL - Patch</t>
        </is>
      </c>
      <c r="Q248" s="90" t="inlineStr">
        <is>
          <t>Quantity</t>
        </is>
      </c>
      <c r="R248" s="90" t="inlineStr">
        <is>
          <t>Cost</t>
        </is>
      </c>
      <c r="S248" s="91" t="inlineStr">
        <is>
          <t>Total</t>
        </is>
      </c>
      <c r="T248" s="2415">
        <f>T247/T251</f>
        <v/>
      </c>
      <c r="U248" s="512" t="inlineStr">
        <is>
          <t>$/sf</t>
        </is>
      </c>
    </row>
    <row r="249">
      <c r="B249" s="44" t="n"/>
      <c r="C249" s="2377" t="n"/>
      <c r="D249" s="2312" t="n"/>
      <c r="E249" s="2308">
        <f>C249*D249</f>
        <v/>
      </c>
      <c r="F249" s="1" t="n"/>
      <c r="G249" s="1" t="n"/>
      <c r="H249" s="1" t="n"/>
      <c r="I249" s="44" t="n"/>
      <c r="J249" s="2377" t="n"/>
      <c r="K249" s="2312" t="n"/>
      <c r="L249" s="2308">
        <f>J249*K249</f>
        <v/>
      </c>
      <c r="M249" s="1" t="n"/>
      <c r="N249" s="1" t="n"/>
      <c r="P249" s="44" t="n"/>
      <c r="Q249" s="2377" t="n"/>
      <c r="R249" s="2312" t="n"/>
      <c r="S249" s="2308">
        <f>Q249*R249</f>
        <v/>
      </c>
      <c r="T249" s="1" t="n"/>
      <c r="U249" s="1" t="n"/>
    </row>
    <row r="250">
      <c r="B250" s="44" t="n"/>
      <c r="C250" s="2377" t="n"/>
      <c r="D250" s="2312" t="n"/>
      <c r="E250" s="2308">
        <f>C250*D250</f>
        <v/>
      </c>
      <c r="F250" s="1" t="n"/>
      <c r="G250" s="1" t="n"/>
      <c r="H250" s="1" t="n"/>
      <c r="I250" s="44" t="n"/>
      <c r="J250" s="2377" t="n"/>
      <c r="K250" s="2312" t="n"/>
      <c r="L250" s="2308">
        <f>J250*K250</f>
        <v/>
      </c>
      <c r="M250" s="1" t="n"/>
      <c r="N250" s="1" t="n"/>
      <c r="P250" s="44" t="n"/>
      <c r="Q250" s="2377" t="n"/>
      <c r="R250" s="2312" t="n"/>
      <c r="S250" s="2308">
        <f>Q250*R250</f>
        <v/>
      </c>
      <c r="T250" s="1" t="n"/>
      <c r="U250" s="1" t="n"/>
    </row>
    <row r="251">
      <c r="B251" s="25" t="inlineStr">
        <is>
          <t>Mock-Up MATERIAL - Floor</t>
        </is>
      </c>
      <c r="C251" s="2379" t="n"/>
      <c r="D251" s="23" t="n"/>
      <c r="E251" s="29" t="n"/>
      <c r="F251" s="2380" t="n">
        <v>100</v>
      </c>
      <c r="G251" s="82" t="inlineStr">
        <is>
          <t>SF</t>
        </is>
      </c>
      <c r="H251" s="1" t="n"/>
      <c r="I251" s="25" t="inlineStr">
        <is>
          <t>Mock-Up MATERIAL - Floor</t>
        </is>
      </c>
      <c r="J251" s="2379" t="n"/>
      <c r="K251" s="23" t="n"/>
      <c r="L251" s="29" t="n"/>
      <c r="M251" s="2380" t="n">
        <v>100</v>
      </c>
      <c r="N251" s="82" t="inlineStr">
        <is>
          <t>SF</t>
        </is>
      </c>
      <c r="P251" s="25" t="inlineStr">
        <is>
          <t>Mock-Up MATERIAL - Floor</t>
        </is>
      </c>
      <c r="Q251" s="2379" t="n"/>
      <c r="R251" s="23" t="n"/>
      <c r="S251" s="29" t="n"/>
      <c r="T251" s="2380" t="n">
        <v>100</v>
      </c>
      <c r="U251" s="82" t="inlineStr">
        <is>
          <t>SF</t>
        </is>
      </c>
    </row>
    <row r="252">
      <c r="B252" s="47" t="inlineStr">
        <is>
          <t>Polish Materials</t>
        </is>
      </c>
      <c r="C252" s="2377" t="n">
        <v>1</v>
      </c>
      <c r="D252" s="2282" t="n">
        <v>200</v>
      </c>
      <c r="E252" s="2038">
        <f>C252*D252</f>
        <v/>
      </c>
      <c r="F252" s="1" t="n"/>
      <c r="G252" s="1" t="n"/>
      <c r="H252" s="1" t="n"/>
      <c r="I252" s="47" t="inlineStr">
        <is>
          <t>Polish Materials</t>
        </is>
      </c>
      <c r="J252" s="2377" t="n">
        <v>1</v>
      </c>
      <c r="K252" s="2282" t="n">
        <v>200</v>
      </c>
      <c r="L252" s="2038">
        <f>J252*K252</f>
        <v/>
      </c>
      <c r="M252" s="1" t="n"/>
      <c r="N252" s="1" t="n"/>
      <c r="P252" s="47" t="inlineStr">
        <is>
          <t>Polish Materials</t>
        </is>
      </c>
      <c r="Q252" s="2377" t="n">
        <v>1</v>
      </c>
      <c r="R252" s="2282" t="n">
        <v>200</v>
      </c>
      <c r="S252" s="2038">
        <f>Q252*R252</f>
        <v/>
      </c>
      <c r="T252" s="1" t="n"/>
      <c r="U252" s="1" t="n"/>
    </row>
    <row r="253">
      <c r="B253" s="47" t="n"/>
      <c r="C253" s="2377" t="n"/>
      <c r="D253" s="2282" t="n"/>
      <c r="E253" s="2038">
        <f>C253*D253</f>
        <v/>
      </c>
      <c r="F253" s="1" t="n"/>
      <c r="G253" s="1" t="n"/>
      <c r="H253" s="1" t="n"/>
      <c r="I253" s="47" t="n"/>
      <c r="J253" s="2377" t="n"/>
      <c r="K253" s="2282" t="n"/>
      <c r="L253" s="2038">
        <f>J253*K253</f>
        <v/>
      </c>
      <c r="M253" s="1" t="n"/>
      <c r="N253" s="1" t="n"/>
      <c r="P253" s="47" t="n"/>
      <c r="Q253" s="2377" t="n"/>
      <c r="R253" s="2282" t="n"/>
      <c r="S253" s="2038">
        <f>Q253*R253</f>
        <v/>
      </c>
      <c r="T253" s="1" t="n"/>
      <c r="U253" s="1" t="n"/>
    </row>
    <row r="254">
      <c r="B254" s="48" t="n"/>
      <c r="C254" s="2381" t="n"/>
      <c r="D254" s="2332" t="n"/>
      <c r="E254" s="2333">
        <f>C254*D254</f>
        <v/>
      </c>
      <c r="F254" s="1" t="n"/>
      <c r="G254" s="1" t="n"/>
      <c r="H254" s="1" t="n"/>
      <c r="I254" s="48" t="n"/>
      <c r="J254" s="2381" t="n"/>
      <c r="K254" s="2332" t="n"/>
      <c r="L254" s="2333">
        <f>J254*K254</f>
        <v/>
      </c>
      <c r="M254" s="1" t="n"/>
      <c r="N254" s="1" t="n"/>
      <c r="P254" s="48" t="n"/>
      <c r="Q254" s="2381" t="n"/>
      <c r="R254" s="2332" t="n"/>
      <c r="S254" s="2333">
        <f>Q254*R254</f>
        <v/>
      </c>
      <c r="T254" s="1" t="n"/>
      <c r="U254" s="1" t="n"/>
    </row>
    <row r="255">
      <c r="B255" s="17" t="inlineStr">
        <is>
          <t>Material Sub Total</t>
        </is>
      </c>
      <c r="C255" s="35" t="n"/>
      <c r="D255" s="2382" t="n"/>
      <c r="E255" s="2335">
        <f>ROUNDUP(SUM(E249:E254),0)</f>
        <v/>
      </c>
      <c r="F255" s="1" t="n"/>
      <c r="G255" s="1" t="n"/>
      <c r="H255" s="1" t="n"/>
      <c r="I255" s="17" t="inlineStr">
        <is>
          <t>Material Sub Total</t>
        </is>
      </c>
      <c r="J255" s="35" t="n"/>
      <c r="K255" s="2382" t="n"/>
      <c r="L255" s="2335">
        <f>ROUNDUP(SUM(L249:L254),0)</f>
        <v/>
      </c>
      <c r="M255" s="1" t="n"/>
      <c r="N255" s="1" t="n"/>
      <c r="P255" s="17" t="inlineStr">
        <is>
          <t>Material Sub Total</t>
        </is>
      </c>
      <c r="Q255" s="35" t="n"/>
      <c r="R255" s="2382" t="n"/>
      <c r="S255" s="2335">
        <f>ROUNDUP(SUM(S249:S254),0)</f>
        <v/>
      </c>
      <c r="T255" s="1" t="n"/>
      <c r="U255" s="1" t="n"/>
    </row>
    <row r="256">
      <c r="B256" s="20" t="inlineStr">
        <is>
          <t>Discount</t>
        </is>
      </c>
      <c r="C256" s="270" t="n">
        <v>0</v>
      </c>
      <c r="D256" s="2283" t="n"/>
      <c r="E256" s="2383">
        <f>ROUNDUP(SUM(E252)*C256,0)</f>
        <v/>
      </c>
      <c r="F256" s="1" t="n"/>
      <c r="G256" s="1" t="n"/>
      <c r="H256" s="1" t="n"/>
      <c r="I256" s="20" t="inlineStr">
        <is>
          <t>Discount</t>
        </is>
      </c>
      <c r="J256" s="270" t="n">
        <v>0</v>
      </c>
      <c r="K256" s="2283" t="n"/>
      <c r="L256" s="2383">
        <f>ROUNDUP(SUM(L252)*J256,0)</f>
        <v/>
      </c>
      <c r="M256" s="1" t="n"/>
      <c r="N256" s="1" t="n"/>
      <c r="P256" s="20" t="inlineStr">
        <is>
          <t>Discount</t>
        </is>
      </c>
      <c r="Q256" s="270" t="n">
        <v>0</v>
      </c>
      <c r="R256" s="2283" t="n"/>
      <c r="S256" s="2383">
        <f>ROUNDUP(SUM(S252)*Q256,0)</f>
        <v/>
      </c>
      <c r="T256" s="1" t="n"/>
      <c r="U256" s="1" t="n"/>
    </row>
    <row r="257">
      <c r="B257" s="446" t="inlineStr">
        <is>
          <t>Shipping + Mat. Esc.</t>
        </is>
      </c>
      <c r="C257" s="40">
        <f>IF(E255&lt;=5000,0.1,IF(E255&lt;=10000,0.06,0.04))+$C$12</f>
        <v/>
      </c>
      <c r="D257" s="2384" t="n"/>
      <c r="E257" s="2338">
        <f>ROUNDUP(E255*C257,0)</f>
        <v/>
      </c>
      <c r="F257" s="454">
        <f>$F$12</f>
        <v/>
      </c>
      <c r="I257" s="446" t="inlineStr">
        <is>
          <t>Shipping + Mat. Esc.</t>
        </is>
      </c>
      <c r="J257" s="40">
        <f>IF(L255&lt;=5000,0.1,IF(L255&lt;=10000,0.06,0.04))+$C$12</f>
        <v/>
      </c>
      <c r="K257" s="2384" t="n"/>
      <c r="L257" s="2338">
        <f>ROUNDUP(L255*J257,0)</f>
        <v/>
      </c>
      <c r="M257" s="454">
        <f>$F$12</f>
        <v/>
      </c>
      <c r="P257" s="446" t="inlineStr">
        <is>
          <t>Shipping + Mat. Esc.</t>
        </is>
      </c>
      <c r="Q257" s="40">
        <f>IF(S255&lt;=5000,0.1,IF(S255&lt;=10000,0.06,0.04))+$C$12</f>
        <v/>
      </c>
      <c r="R257" s="2384" t="n"/>
      <c r="S257" s="2338">
        <f>ROUNDUP(S255*Q257,0)</f>
        <v/>
      </c>
      <c r="T257" s="454">
        <f>$F$12</f>
        <v/>
      </c>
    </row>
    <row r="258">
      <c r="B258" s="10" t="inlineStr">
        <is>
          <t>Material Total</t>
        </is>
      </c>
      <c r="C258" s="36" t="n"/>
      <c r="D258" s="2339" t="n"/>
      <c r="E258" s="2339">
        <f>SUM(E255:E257)</f>
        <v/>
      </c>
      <c r="F258" s="123">
        <f>E258/F251</f>
        <v/>
      </c>
      <c r="G258" s="124" t="inlineStr">
        <is>
          <t>Material $/SF</t>
        </is>
      </c>
      <c r="H258" s="1" t="n"/>
      <c r="I258" s="10" t="inlineStr">
        <is>
          <t>Material Total</t>
        </is>
      </c>
      <c r="J258" s="36" t="n"/>
      <c r="K258" s="2339" t="n"/>
      <c r="L258" s="2339">
        <f>SUM(L255:L257)</f>
        <v/>
      </c>
      <c r="M258" s="123">
        <f>L258/M251</f>
        <v/>
      </c>
      <c r="N258" s="124" t="inlineStr">
        <is>
          <t>Material $/SF</t>
        </is>
      </c>
      <c r="P258" s="10" t="inlineStr">
        <is>
          <t>Material Total</t>
        </is>
      </c>
      <c r="Q258" s="36" t="n"/>
      <c r="R258" s="2339" t="n"/>
      <c r="S258" s="2339">
        <f>SUM(S255:S257)</f>
        <v/>
      </c>
      <c r="T258" s="123">
        <f>S258/T251</f>
        <v/>
      </c>
      <c r="U258" s="124" t="inlineStr">
        <is>
          <t>Material $/SF</t>
        </is>
      </c>
    </row>
    <row r="259">
      <c r="B259" s="1" t="n"/>
      <c r="C259" s="1892" t="n"/>
      <c r="D259" s="2282" t="n"/>
      <c r="E259" s="2282" t="n"/>
      <c r="F259" s="1" t="n"/>
      <c r="I259" s="1" t="n"/>
      <c r="J259" s="1892" t="n"/>
      <c r="K259" s="2282" t="n"/>
      <c r="L259" s="2282" t="n"/>
      <c r="M259" s="1" t="n"/>
      <c r="P259" s="1" t="n"/>
      <c r="Q259" s="1892" t="n"/>
      <c r="R259" s="2282" t="n"/>
      <c r="S259" s="2282" t="n"/>
      <c r="T259" s="1" t="n"/>
    </row>
    <row r="260">
      <c r="B260" s="75" t="inlineStr">
        <is>
          <t>Square Footage:</t>
        </is>
      </c>
      <c r="C260" s="2385">
        <f>F251</f>
        <v/>
      </c>
      <c r="D260" s="75" t="inlineStr">
        <is>
          <t>Linear Footage:</t>
        </is>
      </c>
      <c r="E260" s="2386" t="n">
        <v>0</v>
      </c>
      <c r="F260" s="1" t="n"/>
      <c r="G260" s="273">
        <f>E260/C260</f>
        <v/>
      </c>
      <c r="I260" s="75" t="inlineStr">
        <is>
          <t>Square Footage:</t>
        </is>
      </c>
      <c r="J260" s="2385">
        <f>M251</f>
        <v/>
      </c>
      <c r="K260" s="75" t="inlineStr">
        <is>
          <t>Linear Footage:</t>
        </is>
      </c>
      <c r="L260" s="2386" t="n">
        <v>0</v>
      </c>
      <c r="M260" s="1" t="n"/>
      <c r="N260" s="273">
        <f>L260/J260</f>
        <v/>
      </c>
      <c r="P260" s="75" t="inlineStr">
        <is>
          <t>Square Footage:</t>
        </is>
      </c>
      <c r="Q260" s="2385">
        <f>T251</f>
        <v/>
      </c>
      <c r="R260" s="75" t="inlineStr">
        <is>
          <t>Linear Footage:</t>
        </is>
      </c>
      <c r="S260" s="2386" t="n">
        <v>0</v>
      </c>
      <c r="T260" s="1" t="n"/>
      <c r="U260" s="273">
        <f>S260/Q260</f>
        <v/>
      </c>
    </row>
    <row r="261">
      <c r="B261" s="85" t="inlineStr">
        <is>
          <t>Labor:              Guys</t>
        </is>
      </c>
      <c r="C261" s="68" t="inlineStr">
        <is>
          <t>Days</t>
        </is>
      </c>
      <c r="D261" s="68" t="inlineStr">
        <is>
          <t>Rate (PW?)</t>
        </is>
      </c>
      <c r="E261" s="87" t="inlineStr">
        <is>
          <t>Totals</t>
        </is>
      </c>
      <c r="F261" s="76" t="inlineStr">
        <is>
          <t>8hour days</t>
        </is>
      </c>
      <c r="G261" s="156" t="inlineStr">
        <is>
          <t>Estimated SF/MH</t>
        </is>
      </c>
      <c r="H261" s="274" t="n"/>
      <c r="I261" s="85" t="inlineStr">
        <is>
          <t>Labor:              Guys</t>
        </is>
      </c>
      <c r="J261" s="68" t="inlineStr">
        <is>
          <t>Days</t>
        </is>
      </c>
      <c r="K261" s="68" t="inlineStr">
        <is>
          <t>Rate (PW?)</t>
        </is>
      </c>
      <c r="L261" s="87" t="inlineStr">
        <is>
          <t>Totals</t>
        </is>
      </c>
      <c r="M261" s="76" t="inlineStr">
        <is>
          <t>8hour days</t>
        </is>
      </c>
      <c r="N261" s="156" t="inlineStr">
        <is>
          <t>Estimated SF/MH</t>
        </is>
      </c>
      <c r="P261" s="85" t="inlineStr">
        <is>
          <t>Labor:              Guys</t>
        </is>
      </c>
      <c r="Q261" s="68" t="inlineStr">
        <is>
          <t>Days</t>
        </is>
      </c>
      <c r="R261" s="68" t="inlineStr">
        <is>
          <t>Rate (PW?)</t>
        </is>
      </c>
      <c r="S261" s="87" t="inlineStr">
        <is>
          <t>Totals</t>
        </is>
      </c>
      <c r="T261" s="76" t="inlineStr">
        <is>
          <t>8hour days</t>
        </is>
      </c>
      <c r="U261" s="156" t="inlineStr">
        <is>
          <t>Estimated SF/MH</t>
        </is>
      </c>
    </row>
    <row r="262">
      <c r="B262" s="69" t="n">
        <v>1.5</v>
      </c>
      <c r="C262" s="1" t="n">
        <v>1</v>
      </c>
      <c r="D262" s="2388">
        <f>$D$17</f>
        <v/>
      </c>
      <c r="E262" s="70">
        <f>B262*C262*D262*8</f>
        <v/>
      </c>
      <c r="F262" s="76" t="n"/>
      <c r="G262" s="157">
        <f>F251/(E262/D262)</f>
        <v/>
      </c>
      <c r="H262" s="154" t="n"/>
      <c r="I262" s="69" t="n">
        <v>2</v>
      </c>
      <c r="J262" s="1" t="n">
        <v>1.5</v>
      </c>
      <c r="K262" s="2388">
        <f>$D$17</f>
        <v/>
      </c>
      <c r="L262" s="70">
        <f>I262*J262*K262*8</f>
        <v/>
      </c>
      <c r="M262" s="76" t="n"/>
      <c r="N262" s="157">
        <f>M251/(L262/K262)</f>
        <v/>
      </c>
      <c r="P262" s="69" t="n">
        <v>2</v>
      </c>
      <c r="Q262" s="1" t="n">
        <v>2</v>
      </c>
      <c r="R262" s="2388">
        <f>$D$17</f>
        <v/>
      </c>
      <c r="S262" s="70">
        <f>P262*Q262*R262*8</f>
        <v/>
      </c>
      <c r="T262" s="76" t="n"/>
      <c r="U262" s="157">
        <f>T251/(S262/R262)</f>
        <v/>
      </c>
    </row>
    <row r="263">
      <c r="B263" s="69" t="n"/>
      <c r="C263" s="1" t="n"/>
      <c r="D263" s="2388">
        <f>$D$17</f>
        <v/>
      </c>
      <c r="E263" s="70">
        <f>B263*C263*D263*8</f>
        <v/>
      </c>
      <c r="F263" s="76" t="n"/>
      <c r="G263" s="275">
        <f>F253/(E263/D263)</f>
        <v/>
      </c>
      <c r="H263" s="154" t="n"/>
      <c r="I263" s="69" t="n"/>
      <c r="J263" s="1" t="n"/>
      <c r="K263" s="2388">
        <f>$D$17</f>
        <v/>
      </c>
      <c r="L263" s="70">
        <f>I263*J263*K263*8</f>
        <v/>
      </c>
      <c r="M263" s="76" t="n"/>
      <c r="N263" s="275">
        <f>M253/(L263/K263)</f>
        <v/>
      </c>
      <c r="P263" s="69" t="n"/>
      <c r="Q263" s="1" t="n"/>
      <c r="R263" s="2388">
        <f>$D$17</f>
        <v/>
      </c>
      <c r="S263" s="70">
        <f>P263*Q263*R263*8</f>
        <v/>
      </c>
      <c r="T263" s="76" t="n"/>
      <c r="U263" s="275">
        <f>T253/(S263/R263)</f>
        <v/>
      </c>
    </row>
    <row r="264">
      <c r="B264" s="86" t="inlineStr">
        <is>
          <t>Travel:             Guys</t>
        </is>
      </c>
      <c r="C264" s="67" t="inlineStr">
        <is>
          <t>Hours</t>
        </is>
      </c>
      <c r="D264" s="67" t="inlineStr">
        <is>
          <t>Rate</t>
        </is>
      </c>
      <c r="E264" s="71" t="n"/>
      <c r="F264" s="1357">
        <f>Epoxy!B52</f>
        <v/>
      </c>
      <c r="G264" s="434" t="inlineStr">
        <is>
          <t>Add for Topeka, St. Joe (~2 hrs)</t>
        </is>
      </c>
      <c r="H264" s="395" t="n"/>
      <c r="I264" s="86" t="inlineStr">
        <is>
          <t>Travel:             Guys</t>
        </is>
      </c>
      <c r="J264" s="67" t="inlineStr">
        <is>
          <t>Hours</t>
        </is>
      </c>
      <c r="K264" s="67" t="inlineStr">
        <is>
          <t>Rate</t>
        </is>
      </c>
      <c r="L264" s="71" t="n"/>
      <c r="M264" s="1" t="n"/>
      <c r="P264" s="86" t="inlineStr">
        <is>
          <t>Travel:             Guys</t>
        </is>
      </c>
      <c r="Q264" s="67" t="inlineStr">
        <is>
          <t>Hours</t>
        </is>
      </c>
      <c r="R264" s="67" t="inlineStr">
        <is>
          <t>Rate</t>
        </is>
      </c>
      <c r="S264" s="71" t="n"/>
      <c r="T264" s="1" t="n"/>
    </row>
    <row r="265">
      <c r="B265" s="69" t="n">
        <v>2</v>
      </c>
      <c r="C265" s="1">
        <f>IF(F264&gt;0,F264,F265)</f>
        <v/>
      </c>
      <c r="D265" s="2388">
        <f>$D$20</f>
        <v/>
      </c>
      <c r="E265" s="70">
        <f>B265*C265*D265</f>
        <v/>
      </c>
      <c r="F265" s="431">
        <f>Polish!B44</f>
        <v/>
      </c>
      <c r="G265" s="431" t="inlineStr">
        <is>
          <t>Add for Topeka, St. Joe (~2 hrs)</t>
        </is>
      </c>
      <c r="H265" s="392" t="n"/>
      <c r="I265" s="69">
        <f>I262</f>
        <v/>
      </c>
      <c r="J265" s="1">
        <f>4</f>
        <v/>
      </c>
      <c r="K265" s="2388">
        <f>$D$20</f>
        <v/>
      </c>
      <c r="L265" s="70">
        <f>I265*J265*K265</f>
        <v/>
      </c>
      <c r="M265" s="76" t="inlineStr">
        <is>
          <t>Drive &amp; Setup Time</t>
        </is>
      </c>
      <c r="P265" s="69">
        <f>P262</f>
        <v/>
      </c>
      <c r="Q265" s="1">
        <f>6</f>
        <v/>
      </c>
      <c r="R265" s="2388">
        <f>$D$20</f>
        <v/>
      </c>
      <c r="S265" s="70">
        <f>P265*Q265*R265</f>
        <v/>
      </c>
      <c r="T265" s="76" t="inlineStr">
        <is>
          <t>Drive &amp; Setup Time</t>
        </is>
      </c>
    </row>
    <row r="266">
      <c r="B266" s="277" t="inlineStr">
        <is>
          <t>Labor Total</t>
        </is>
      </c>
      <c r="C266" s="278" t="n"/>
      <c r="D266" s="278" t="n"/>
      <c r="E266" s="2390">
        <f>ROUNDUP(SUM(E262:E265),0)</f>
        <v/>
      </c>
      <c r="F266" s="123">
        <f>E266/C260</f>
        <v/>
      </c>
      <c r="G266" s="124" t="inlineStr">
        <is>
          <t>Labor $/SF</t>
        </is>
      </c>
      <c r="H266" s="1" t="n"/>
      <c r="I266" s="277" t="inlineStr">
        <is>
          <t>Labor Total</t>
        </is>
      </c>
      <c r="J266" s="278" t="n"/>
      <c r="K266" s="278" t="n"/>
      <c r="L266" s="2390">
        <f>ROUNDUP(SUM(L262:L265),0)</f>
        <v/>
      </c>
      <c r="M266" s="123">
        <f>L266/J260</f>
        <v/>
      </c>
      <c r="N266" s="124" t="inlineStr">
        <is>
          <t>Labor $/SF</t>
        </is>
      </c>
      <c r="P266" s="277" t="inlineStr">
        <is>
          <t>Labor Total</t>
        </is>
      </c>
      <c r="Q266" s="278" t="n"/>
      <c r="R266" s="278" t="n"/>
      <c r="S266" s="2390">
        <f>ROUNDUP(SUM(S262:S265),0)</f>
        <v/>
      </c>
      <c r="T266" s="123">
        <f>S266/Q260</f>
        <v/>
      </c>
      <c r="U266" s="124" t="inlineStr">
        <is>
          <t>Labor $/SF</t>
        </is>
      </c>
    </row>
    <row r="267">
      <c r="B267" s="1" t="n"/>
      <c r="C267" s="1892" t="n"/>
      <c r="D267" s="2282" t="n"/>
      <c r="E267" s="2282" t="n"/>
      <c r="F267" s="2282" t="n"/>
      <c r="G267" s="1" t="n"/>
      <c r="H267" s="1" t="n"/>
      <c r="I267" s="1" t="n"/>
      <c r="J267" s="1892" t="n"/>
      <c r="K267" s="2282" t="n"/>
      <c r="L267" s="2282" t="n"/>
      <c r="M267" s="2282" t="n"/>
      <c r="N267" s="1" t="n"/>
      <c r="P267" s="1" t="n"/>
      <c r="Q267" s="1892" t="n"/>
      <c r="R267" s="2282" t="n"/>
      <c r="S267" s="2282" t="n"/>
      <c r="T267" s="2282" t="n"/>
      <c r="U267" s="1" t="n"/>
    </row>
    <row r="268">
      <c r="B268" s="5" t="inlineStr">
        <is>
          <t>OTHER COSTS</t>
        </is>
      </c>
      <c r="C268" s="30" t="inlineStr">
        <is>
          <t>Quantity</t>
        </is>
      </c>
      <c r="D268" s="11" t="inlineStr">
        <is>
          <t>Cost</t>
        </is>
      </c>
      <c r="E268" s="2019" t="inlineStr">
        <is>
          <t>Total</t>
        </is>
      </c>
      <c r="F268" s="1" t="n"/>
      <c r="G268" s="1" t="n"/>
      <c r="H268" s="1" t="n"/>
      <c r="I268" s="5" t="inlineStr">
        <is>
          <t>OTHER COSTS</t>
        </is>
      </c>
      <c r="J268" s="30" t="inlineStr">
        <is>
          <t>Quantity</t>
        </is>
      </c>
      <c r="K268" s="11" t="inlineStr">
        <is>
          <t>Cost</t>
        </is>
      </c>
      <c r="L268" s="2019" t="inlineStr">
        <is>
          <t>Total</t>
        </is>
      </c>
      <c r="M268" s="1" t="n"/>
      <c r="N268" s="1" t="n"/>
      <c r="P268" s="5" t="inlineStr">
        <is>
          <t>OTHER COSTS</t>
        </is>
      </c>
      <c r="Q268" s="30" t="inlineStr">
        <is>
          <t>Quantity</t>
        </is>
      </c>
      <c r="R268" s="11" t="inlineStr">
        <is>
          <t>Cost</t>
        </is>
      </c>
      <c r="S268" s="2019" t="inlineStr">
        <is>
          <t>Total</t>
        </is>
      </c>
      <c r="T268" s="1" t="n"/>
      <c r="U268" s="1" t="n"/>
    </row>
    <row r="269">
      <c r="B269" s="6" t="inlineStr">
        <is>
          <t>Moisture Test</t>
        </is>
      </c>
      <c r="C269" s="37" t="n"/>
      <c r="D269" s="2282" t="n">
        <v>35</v>
      </c>
      <c r="E269" s="2038">
        <f>ROUNDUP(C269*D269,0)</f>
        <v/>
      </c>
      <c r="F269" s="1" t="n"/>
      <c r="G269" s="1" t="n"/>
      <c r="H269" s="1" t="n"/>
      <c r="I269" s="6" t="inlineStr">
        <is>
          <t>Moisture Test</t>
        </is>
      </c>
      <c r="J269" s="37" t="n"/>
      <c r="K269" s="2282" t="n">
        <v>35</v>
      </c>
      <c r="L269" s="2038">
        <f>ROUNDUP(J269*K269,0)</f>
        <v/>
      </c>
      <c r="M269" s="1" t="n"/>
      <c r="N269" s="1" t="n"/>
      <c r="P269" s="6" t="inlineStr">
        <is>
          <t>Moisture Test</t>
        </is>
      </c>
      <c r="Q269" s="37" t="n"/>
      <c r="R269" s="2282" t="n">
        <v>35</v>
      </c>
      <c r="S269" s="2038">
        <f>ROUNDUP(Q269*R269,0)</f>
        <v/>
      </c>
      <c r="T269" s="1" t="n"/>
      <c r="U269" s="1" t="n"/>
    </row>
    <row r="270">
      <c r="B270" s="6" t="inlineStr">
        <is>
          <t>Tooling &amp; Consumables</t>
        </is>
      </c>
      <c r="C270" s="37" t="n"/>
      <c r="D270" s="2282" t="n">
        <v>0.33</v>
      </c>
      <c r="E270" s="2038">
        <f>ROUNDUP(C270*D270,0)</f>
        <v/>
      </c>
      <c r="F270" s="1" t="n"/>
      <c r="G270" s="1" t="n"/>
      <c r="H270" s="1" t="n"/>
      <c r="I270" s="6" t="inlineStr">
        <is>
          <t>Tooling &amp; Consumables</t>
        </is>
      </c>
      <c r="J270" s="37" t="n"/>
      <c r="K270" s="2282" t="n">
        <v>0.33</v>
      </c>
      <c r="L270" s="2038">
        <f>ROUNDUP(J270*K270,0)</f>
        <v/>
      </c>
      <c r="M270" s="1" t="n"/>
      <c r="N270" s="1" t="n"/>
      <c r="P270" s="6" t="inlineStr">
        <is>
          <t>Tooling &amp; Consumables</t>
        </is>
      </c>
      <c r="Q270" s="37" t="n"/>
      <c r="R270" s="2282" t="n">
        <v>0.33</v>
      </c>
      <c r="S270" s="2038">
        <f>ROUNDUP(Q270*R270,0)</f>
        <v/>
      </c>
      <c r="T270" s="1" t="n"/>
      <c r="U270" s="1" t="n"/>
    </row>
    <row r="271">
      <c r="B271" s="6" t="inlineStr">
        <is>
          <t>Travel - Lodging</t>
        </is>
      </c>
      <c r="C271" s="37" t="n">
        <v>0</v>
      </c>
      <c r="D271" s="2282">
        <f>$D$26</f>
        <v/>
      </c>
      <c r="E271" s="2038">
        <f>ROUNDUP(C271*D271,0)</f>
        <v/>
      </c>
      <c r="F271" s="1" t="n"/>
      <c r="G271" s="1" t="n"/>
      <c r="H271" s="1" t="n"/>
      <c r="I271" s="6" t="inlineStr">
        <is>
          <t>Travel - Lodging</t>
        </is>
      </c>
      <c r="J271" s="37">
        <f>I262</f>
        <v/>
      </c>
      <c r="K271" s="2282">
        <f>$D$26</f>
        <v/>
      </c>
      <c r="L271" s="2038">
        <f>ROUNDUP(J271*K271,0)</f>
        <v/>
      </c>
      <c r="M271" s="1" t="n"/>
      <c r="N271" s="1" t="n"/>
      <c r="P271" s="6" t="inlineStr">
        <is>
          <t>Travel - Lodging</t>
        </is>
      </c>
      <c r="Q271" s="37">
        <f>((S266-S265)/8)/R262</f>
        <v/>
      </c>
      <c r="R271" s="2282">
        <f>$D$26</f>
        <v/>
      </c>
      <c r="S271" s="2038">
        <f>ROUNDUP(Q271*R271,0)</f>
        <v/>
      </c>
      <c r="T271" s="1" t="n"/>
      <c r="U271" s="1" t="n"/>
    </row>
    <row r="272">
      <c r="B272" s="6" t="inlineStr">
        <is>
          <t>Travel - Food</t>
        </is>
      </c>
      <c r="C272" s="37">
        <f>C271</f>
        <v/>
      </c>
      <c r="D272" s="2282">
        <f>$D$27</f>
        <v/>
      </c>
      <c r="E272" s="2038">
        <f>ROUNDUP(C272*D272,0)</f>
        <v/>
      </c>
      <c r="F272" s="43" t="n"/>
      <c r="G272" s="1" t="n"/>
      <c r="H272" s="1" t="n"/>
      <c r="I272" s="6" t="inlineStr">
        <is>
          <t>Travel - Food</t>
        </is>
      </c>
      <c r="J272" s="37">
        <f>J271</f>
        <v/>
      </c>
      <c r="K272" s="2282">
        <f>$D$27</f>
        <v/>
      </c>
      <c r="L272" s="2038">
        <f>ROUNDUP(J272*K272,0)</f>
        <v/>
      </c>
      <c r="M272" s="43" t="n"/>
      <c r="N272" s="1" t="n"/>
      <c r="P272" s="6" t="inlineStr">
        <is>
          <t>Travel - Food</t>
        </is>
      </c>
      <c r="Q272" s="37">
        <f>Q271</f>
        <v/>
      </c>
      <c r="R272" s="2282">
        <f>$D$27</f>
        <v/>
      </c>
      <c r="S272" s="2038">
        <f>ROUNDUP(Q272*R272,0)</f>
        <v/>
      </c>
      <c r="T272" s="43" t="n"/>
      <c r="U272" s="1" t="n"/>
    </row>
    <row r="273">
      <c r="B273" s="6" t="inlineStr">
        <is>
          <t>Foreman - Fuel</t>
        </is>
      </c>
      <c r="C273" s="37">
        <f>(E266/8)/D262</f>
        <v/>
      </c>
      <c r="D273" s="2282">
        <f>$D$28</f>
        <v/>
      </c>
      <c r="E273" s="2038">
        <f>ROUNDUP(C273*D273,0)</f>
        <v/>
      </c>
      <c r="F273" s="43" t="n"/>
      <c r="G273" s="1" t="n"/>
      <c r="H273" s="1" t="n"/>
      <c r="I273" s="6" t="inlineStr">
        <is>
          <t>Foreman - Fuel</t>
        </is>
      </c>
      <c r="J273" s="37">
        <f>(L266/8)/K262</f>
        <v/>
      </c>
      <c r="K273" s="2282">
        <f>$D$28</f>
        <v/>
      </c>
      <c r="L273" s="2038">
        <f>ROUNDUP(J273*K273,0)</f>
        <v/>
      </c>
      <c r="M273" s="43" t="n"/>
      <c r="N273" s="1" t="n"/>
      <c r="P273" s="6" t="inlineStr">
        <is>
          <t>Foreman - Fuel</t>
        </is>
      </c>
      <c r="Q273" s="37">
        <f>(S266/8)/R262</f>
        <v/>
      </c>
      <c r="R273" s="2282">
        <f>$D$28</f>
        <v/>
      </c>
      <c r="S273" s="2038">
        <f>ROUNDUP(Q273*R273,0)</f>
        <v/>
      </c>
      <c r="T273" s="43" t="n"/>
      <c r="U273" s="1" t="n"/>
    </row>
    <row r="274">
      <c r="B274" s="6" t="inlineStr">
        <is>
          <t>Generator Fuel</t>
        </is>
      </c>
      <c r="C274" s="37" t="n"/>
      <c r="D274" s="2282" t="n">
        <v>0.04</v>
      </c>
      <c r="E274" s="2038">
        <f>ROUNDUP(C274*D274,0)</f>
        <v/>
      </c>
      <c r="F274" s="1" t="n"/>
      <c r="G274" s="1" t="n"/>
      <c r="H274" s="1" t="n"/>
      <c r="I274" s="6" t="inlineStr">
        <is>
          <t>Mileage</t>
        </is>
      </c>
      <c r="J274" s="37" t="n">
        <v>240</v>
      </c>
      <c r="K274" s="2282" t="n">
        <v>0.6</v>
      </c>
      <c r="L274" s="2038">
        <f>ROUNDUP(J274*K274,0)</f>
        <v/>
      </c>
      <c r="M274" s="1" t="n"/>
      <c r="N274" s="1" t="n"/>
      <c r="P274" s="6" t="inlineStr">
        <is>
          <t>Mileage</t>
        </is>
      </c>
      <c r="Q274" s="37" t="n">
        <v>400</v>
      </c>
      <c r="R274" s="2282" t="n">
        <v>0.6</v>
      </c>
      <c r="S274" s="2038">
        <f>ROUNDUP(Q274*R274,0)</f>
        <v/>
      </c>
      <c r="T274" s="1" t="n"/>
      <c r="U274" s="1" t="n"/>
    </row>
    <row r="275">
      <c r="B275" s="6" t="inlineStr">
        <is>
          <t>Plastic</t>
        </is>
      </c>
      <c r="C275" s="37" t="n"/>
      <c r="D275" s="2282" t="n"/>
      <c r="E275" s="2038">
        <f>ROUNDUP(C275*D275,0)</f>
        <v/>
      </c>
      <c r="F275" s="1" t="n"/>
      <c r="G275" s="1" t="n"/>
      <c r="H275" s="1" t="n"/>
      <c r="I275" s="6" t="inlineStr">
        <is>
          <t>Plastic</t>
        </is>
      </c>
      <c r="J275" s="37" t="n"/>
      <c r="K275" s="2282" t="n"/>
      <c r="L275" s="2038">
        <f>ROUNDUP(J275*K275,0)</f>
        <v/>
      </c>
      <c r="M275" s="1" t="n"/>
      <c r="N275" s="1" t="n"/>
      <c r="P275" s="6" t="inlineStr">
        <is>
          <t>Plastic</t>
        </is>
      </c>
      <c r="Q275" s="37" t="n"/>
      <c r="R275" s="2282" t="n"/>
      <c r="S275" s="2038">
        <f>ROUNDUP(Q275*R275,0)</f>
        <v/>
      </c>
      <c r="T275" s="1" t="n"/>
      <c r="U275" s="1" t="n"/>
    </row>
    <row r="276">
      <c r="B276" s="10" t="inlineStr">
        <is>
          <t>Other Costs Total</t>
        </is>
      </c>
      <c r="C276" s="36" t="n"/>
      <c r="D276" s="2339" t="n"/>
      <c r="E276" s="2340">
        <f>SUM(E269:E275)</f>
        <v/>
      </c>
      <c r="F276" s="1" t="n"/>
      <c r="G276" s="1" t="n"/>
      <c r="H276" s="1" t="n"/>
      <c r="I276" s="10" t="inlineStr">
        <is>
          <t>Other Costs Total</t>
        </is>
      </c>
      <c r="J276" s="36" t="n"/>
      <c r="K276" s="2339" t="n"/>
      <c r="L276" s="2340">
        <f>SUM(L269:L275)</f>
        <v/>
      </c>
      <c r="M276" s="1" t="n"/>
      <c r="N276" s="1" t="n"/>
      <c r="P276" s="10" t="inlineStr">
        <is>
          <t>Other Costs Total</t>
        </is>
      </c>
      <c r="Q276" s="36" t="n"/>
      <c r="R276" s="2339" t="n"/>
      <c r="S276" s="2340">
        <f>SUM(S269:S275)</f>
        <v/>
      </c>
      <c r="T276" s="1" t="n"/>
      <c r="U276" s="1" t="n"/>
    </row>
    <row r="277">
      <c r="B277" s="1" t="n"/>
      <c r="C277" s="1892" t="n"/>
      <c r="D277" s="2282" t="n"/>
      <c r="E277" s="2282" t="n"/>
      <c r="F277" s="1" t="n"/>
      <c r="G277" s="1" t="n"/>
      <c r="H277" s="1" t="n"/>
      <c r="I277" s="1" t="n"/>
      <c r="J277" s="1892" t="n"/>
      <c r="K277" s="2282" t="n"/>
      <c r="L277" s="2282" t="n"/>
      <c r="M277" s="1" t="n"/>
      <c r="N277" s="1" t="n"/>
      <c r="P277" s="1" t="n"/>
      <c r="Q277" s="1892" t="n"/>
      <c r="R277" s="2282" t="n"/>
      <c r="S277" s="2282" t="n"/>
      <c r="T277" s="1" t="n"/>
      <c r="U277" s="1" t="n"/>
    </row>
    <row r="278">
      <c r="B278" s="1" t="n"/>
      <c r="C278" s="1892" t="n"/>
      <c r="D278" s="2282" t="n"/>
      <c r="E278" s="2282" t="n"/>
      <c r="F278" s="1" t="n"/>
      <c r="G278" s="1" t="n"/>
      <c r="H278" s="1" t="n"/>
      <c r="I278" s="1" t="n"/>
      <c r="J278" s="1892" t="n"/>
      <c r="K278" s="2282" t="n"/>
      <c r="L278" s="2282" t="n"/>
      <c r="M278" s="1" t="n"/>
      <c r="N278" s="1" t="n"/>
      <c r="P278" s="1" t="n"/>
      <c r="Q278" s="1892" t="n"/>
      <c r="R278" s="2282" t="n"/>
      <c r="S278" s="2282" t="n"/>
      <c r="T278" s="1" t="n"/>
      <c r="U278" s="1" t="n"/>
    </row>
    <row r="279">
      <c r="B279" s="280" t="inlineStr">
        <is>
          <t>SUB-TOTAL COSTS</t>
        </is>
      </c>
      <c r="C279" s="281" t="n"/>
      <c r="D279" s="2393" t="n"/>
      <c r="E279" s="2394">
        <f>SUM(E258,E266,E276)</f>
        <v/>
      </c>
      <c r="F279" s="1" t="n"/>
      <c r="G279" s="1" t="n"/>
      <c r="H279" s="1" t="n"/>
      <c r="I279" s="280" t="inlineStr">
        <is>
          <t>SUB-TOTAL COSTS</t>
        </is>
      </c>
      <c r="J279" s="281" t="n"/>
      <c r="K279" s="2393" t="n"/>
      <c r="L279" s="2394">
        <f>SUM(L258,L266,L276)</f>
        <v/>
      </c>
      <c r="M279" s="1" t="n"/>
      <c r="N279" s="1" t="n"/>
      <c r="P279" s="280" t="inlineStr">
        <is>
          <t>SUB-TOTAL COSTS</t>
        </is>
      </c>
      <c r="Q279" s="281" t="n"/>
      <c r="R279" s="2393" t="n"/>
      <c r="S279" s="2394">
        <f>SUM(S258,S266,S276)</f>
        <v/>
      </c>
      <c r="T279" s="1" t="n"/>
      <c r="U279" s="1" t="n"/>
    </row>
    <row r="280">
      <c r="B280" s="1" t="n"/>
      <c r="C280" s="1892" t="n"/>
      <c r="D280" s="2282" t="n"/>
      <c r="E280" s="2282" t="n"/>
      <c r="F280" s="1" t="n"/>
      <c r="G280" s="1" t="n"/>
      <c r="H280" s="1" t="n"/>
      <c r="I280" s="1" t="n"/>
      <c r="J280" s="1892" t="n"/>
      <c r="K280" s="2282" t="n"/>
      <c r="L280" s="2282" t="n"/>
      <c r="M280" s="1" t="n"/>
      <c r="N280" s="1" t="n"/>
      <c r="P280" s="1" t="n"/>
      <c r="Q280" s="1892" t="n"/>
      <c r="R280" s="2282" t="n"/>
      <c r="S280" s="2282" t="n"/>
      <c r="T280" s="1" t="n"/>
      <c r="U280" s="1" t="n"/>
    </row>
    <row r="281">
      <c r="B281" s="5" t="inlineStr">
        <is>
          <t>MARKUP</t>
        </is>
      </c>
      <c r="C281" s="30" t="inlineStr">
        <is>
          <t>%</t>
        </is>
      </c>
      <c r="D281" s="2395" t="n"/>
      <c r="E281" s="2019" t="n"/>
      <c r="F281" s="1" t="n"/>
      <c r="G281" s="1" t="n"/>
      <c r="H281" s="1" t="n"/>
      <c r="I281" s="5" t="inlineStr">
        <is>
          <t>MARKUP</t>
        </is>
      </c>
      <c r="J281" s="30" t="inlineStr">
        <is>
          <t>%</t>
        </is>
      </c>
      <c r="K281" s="2395" t="n"/>
      <c r="L281" s="2019" t="n"/>
      <c r="M281" s="1" t="n"/>
      <c r="N281" s="1" t="n"/>
      <c r="P281" s="5" t="inlineStr">
        <is>
          <t>MARKUP</t>
        </is>
      </c>
      <c r="Q281" s="30" t="inlineStr">
        <is>
          <t>%</t>
        </is>
      </c>
      <c r="R281" s="2395" t="n"/>
      <c r="S281" s="2019" t="n"/>
      <c r="T281" s="1" t="n"/>
      <c r="U281" s="1" t="n"/>
    </row>
    <row r="282">
      <c r="B282" s="6" t="inlineStr">
        <is>
          <t>Sales Tax</t>
        </is>
      </c>
      <c r="C282" s="2396">
        <f>$C$37</f>
        <v/>
      </c>
      <c r="D282" s="2397" t="n"/>
      <c r="E282" s="2038">
        <f>ROUNDUP(SUM(E258:E258)*C282,0)</f>
        <v/>
      </c>
      <c r="F282" s="1" t="n"/>
      <c r="G282" s="1" t="n"/>
      <c r="H282" s="1" t="n"/>
      <c r="I282" s="6" t="inlineStr">
        <is>
          <t>Sales Tax</t>
        </is>
      </c>
      <c r="J282" s="2396">
        <f>$C$37</f>
        <v/>
      </c>
      <c r="K282" s="2397" t="n"/>
      <c r="L282" s="2038">
        <f>ROUNDUP(SUM(L258:L258)*J282,0)</f>
        <v/>
      </c>
      <c r="M282" s="1" t="n"/>
      <c r="N282" s="1" t="n"/>
      <c r="P282" s="6" t="inlineStr">
        <is>
          <t>Sales Tax</t>
        </is>
      </c>
      <c r="Q282" s="2396">
        <f>$C$37</f>
        <v/>
      </c>
      <c r="R282" s="2397" t="n"/>
      <c r="S282" s="2038">
        <f>ROUNDUP(SUM(S258:S258)*Q282,0)</f>
        <v/>
      </c>
      <c r="T282" s="1" t="n"/>
      <c r="U282" s="1" t="n"/>
    </row>
    <row r="283">
      <c r="B283" s="6" t="inlineStr">
        <is>
          <t>Insurance</t>
        </is>
      </c>
      <c r="C283" s="241" t="n">
        <v>0.08</v>
      </c>
      <c r="D283" s="2397" t="n"/>
      <c r="E283" s="2038">
        <f>ROUNDUP(SUM(E266)*C283,0)</f>
        <v/>
      </c>
      <c r="F283" s="1" t="n"/>
      <c r="G283" s="1" t="n"/>
      <c r="H283" s="1" t="n"/>
      <c r="I283" s="6" t="inlineStr">
        <is>
          <t>Insurance</t>
        </is>
      </c>
      <c r="J283" s="241" t="n">
        <v>0.08</v>
      </c>
      <c r="K283" s="2397" t="n"/>
      <c r="L283" s="2038">
        <f>ROUNDUP(SUM(L266)*J283,0)</f>
        <v/>
      </c>
      <c r="M283" s="1" t="n"/>
      <c r="N283" s="1" t="n"/>
      <c r="P283" s="6" t="inlineStr">
        <is>
          <t>Insurance</t>
        </is>
      </c>
      <c r="Q283" s="241" t="n">
        <v>0.08</v>
      </c>
      <c r="R283" s="2397" t="n"/>
      <c r="S283" s="2038">
        <f>ROUNDUP(SUM(S266)*Q283,0)</f>
        <v/>
      </c>
      <c r="T283" s="1" t="n"/>
      <c r="U283" s="1" t="n"/>
    </row>
    <row r="284">
      <c r="B284" s="6" t="inlineStr">
        <is>
          <t>Material Contingency</t>
        </is>
      </c>
      <c r="C284" s="122" t="n">
        <v>0</v>
      </c>
      <c r="D284" s="2282" t="n"/>
      <c r="E284" s="2038">
        <f>ROUNDUP(E258*C284,0)</f>
        <v/>
      </c>
      <c r="F284" s="1" t="n"/>
      <c r="G284" s="1" t="n"/>
      <c r="H284" s="1" t="n"/>
      <c r="I284" s="6" t="inlineStr">
        <is>
          <t>Material Contingency</t>
        </is>
      </c>
      <c r="J284" s="122">
        <f>IF(L258&lt;=5000,0.1,0.05)</f>
        <v/>
      </c>
      <c r="K284" s="2282" t="n"/>
      <c r="L284" s="2038">
        <f>ROUNDUP(L258*J284,0)</f>
        <v/>
      </c>
      <c r="M284" s="1" t="n"/>
      <c r="N284" s="1" t="n"/>
      <c r="P284" s="6" t="inlineStr">
        <is>
          <t>Material Contingency</t>
        </is>
      </c>
      <c r="Q284" s="122">
        <f>IF(S258&lt;=5000,0.1,0.05)</f>
        <v/>
      </c>
      <c r="R284" s="2282" t="n"/>
      <c r="S284" s="2038">
        <f>ROUNDUP(S258*Q284,0)</f>
        <v/>
      </c>
      <c r="T284" s="1" t="n"/>
      <c r="U284" s="1" t="n"/>
    </row>
    <row r="285">
      <c r="B285" s="6" t="inlineStr">
        <is>
          <t>Labor Contingency</t>
        </is>
      </c>
      <c r="C285" s="122" t="n">
        <v>0.2</v>
      </c>
      <c r="D285" s="2282" t="n"/>
      <c r="E285" s="2038">
        <f>ROUNDUP(E266*C285,0)</f>
        <v/>
      </c>
      <c r="F285" s="1" t="n"/>
      <c r="G285" s="1" t="n"/>
      <c r="H285" s="1" t="n"/>
      <c r="I285" s="6" t="inlineStr">
        <is>
          <t>Labor Contingency</t>
        </is>
      </c>
      <c r="J285" s="122" t="n">
        <v>0.2</v>
      </c>
      <c r="K285" s="2282" t="n"/>
      <c r="L285" s="2038">
        <f>ROUNDUP(L266*J285,0)</f>
        <v/>
      </c>
      <c r="M285" s="1" t="n"/>
      <c r="N285" s="1" t="n"/>
      <c r="P285" s="6" t="inlineStr">
        <is>
          <t>Labor Contingency</t>
        </is>
      </c>
      <c r="Q285" s="122" t="n">
        <v>0.2</v>
      </c>
      <c r="R285" s="2282" t="n"/>
      <c r="S285" s="2038">
        <f>ROUNDUP(S266*Q285,0)</f>
        <v/>
      </c>
      <c r="T285" s="1" t="n"/>
      <c r="U285" s="1" t="n"/>
    </row>
    <row r="286">
      <c r="B286" s="6" t="inlineStr">
        <is>
          <t>Mark Up</t>
        </is>
      </c>
      <c r="C286" s="122" t="n">
        <v>0.35</v>
      </c>
      <c r="D286" s="2282" t="n"/>
      <c r="E286" s="2038">
        <f>ROUNDUP(SUM(E279:E285)*C286,0)</f>
        <v/>
      </c>
      <c r="F286" s="1" t="n"/>
      <c r="G286" s="1" t="n"/>
      <c r="H286" s="1" t="n"/>
      <c r="I286" s="6" t="inlineStr">
        <is>
          <t>Mark Up</t>
        </is>
      </c>
      <c r="J286" s="122" t="n">
        <v>0.5</v>
      </c>
      <c r="K286" s="2282" t="n"/>
      <c r="L286" s="2038">
        <f>ROUNDUP(SUM(L279:L285)*J286,0)</f>
        <v/>
      </c>
      <c r="M286" s="1" t="n"/>
      <c r="N286" s="1" t="n"/>
      <c r="P286" s="6" t="inlineStr">
        <is>
          <t>Mark Up</t>
        </is>
      </c>
      <c r="Q286" s="122" t="n">
        <v>0.5</v>
      </c>
      <c r="R286" s="2282" t="n"/>
      <c r="S286" s="2038">
        <f>ROUNDUP(SUM(S279:S285)*Q286,0)</f>
        <v/>
      </c>
      <c r="T286" s="1" t="n"/>
      <c r="U286" s="1" t="n"/>
    </row>
    <row r="287">
      <c r="B287" s="284">
        <f>$B$42</f>
        <v/>
      </c>
      <c r="C287" s="241">
        <f>$C$42</f>
        <v/>
      </c>
      <c r="D287" s="2282" t="n"/>
      <c r="E287" s="2038">
        <f>ROUNDUP(SUM(E266,E283:E286)*C287,0)</f>
        <v/>
      </c>
      <c r="F287" s="1" t="n"/>
      <c r="G287" s="1" t="n"/>
      <c r="H287" s="1" t="n"/>
      <c r="I287" s="284">
        <f>$B$42</f>
        <v/>
      </c>
      <c r="J287" s="241">
        <f>$C$42</f>
        <v/>
      </c>
      <c r="K287" s="2282" t="n"/>
      <c r="L287" s="2038">
        <f>ROUNDUP(SUM(L266,L283:L286)*J287,0)</f>
        <v/>
      </c>
      <c r="M287" s="1" t="n"/>
      <c r="N287" s="1" t="n"/>
      <c r="P287" s="284">
        <f>$B$42</f>
        <v/>
      </c>
      <c r="Q287" s="241">
        <f>$C$42</f>
        <v/>
      </c>
      <c r="R287" s="2282" t="n"/>
      <c r="S287" s="2038">
        <f>ROUNDUP(SUM(S266,S283:S286)*Q287,0)</f>
        <v/>
      </c>
      <c r="T287" s="1" t="n"/>
      <c r="U287" s="1" t="n"/>
    </row>
    <row r="288">
      <c r="B288" s="403" t="inlineStr">
        <is>
          <t>Warranty &amp; Extra Soft Cost</t>
        </is>
      </c>
      <c r="C288" s="241">
        <f>$C$43</f>
        <v/>
      </c>
      <c r="D288" s="2282" t="n"/>
      <c r="E288" s="2038">
        <f>ROUNDUP(C288*SUM(E279:E287),0)</f>
        <v/>
      </c>
      <c r="F288" s="1" t="n"/>
      <c r="G288" s="1" t="n"/>
      <c r="H288" s="1" t="n"/>
      <c r="I288" s="403" t="inlineStr">
        <is>
          <t>Warranty &amp; Extra Soft Cost</t>
        </is>
      </c>
      <c r="J288" s="241">
        <f>$C$43</f>
        <v/>
      </c>
      <c r="K288" s="2282" t="n"/>
      <c r="L288" s="2038">
        <f>ROUNDUP(J288*SUM(L279:L287),0)</f>
        <v/>
      </c>
      <c r="M288" s="1" t="n"/>
      <c r="N288" s="1" t="n"/>
      <c r="P288" s="403" t="inlineStr">
        <is>
          <t>Warranty &amp; Extra Soft Cost</t>
        </is>
      </c>
      <c r="Q288" s="241">
        <f>$C$43</f>
        <v/>
      </c>
      <c r="R288" s="2282" t="n"/>
      <c r="S288" s="2038">
        <f>ROUNDUP(Q288*SUM(S279:S287),0)</f>
        <v/>
      </c>
      <c r="T288" s="1" t="n"/>
      <c r="U288" s="1" t="n"/>
    </row>
    <row r="289">
      <c r="B289" s="45" t="inlineStr">
        <is>
          <t>Bond</t>
        </is>
      </c>
      <c r="C289" s="46">
        <f>$C$44</f>
        <v/>
      </c>
      <c r="D289" s="2314" t="n"/>
      <c r="E289" s="2400" t="n">
        <v>5</v>
      </c>
      <c r="F289" s="1" t="n"/>
      <c r="G289" s="1" t="n"/>
      <c r="H289" s="1" t="n"/>
      <c r="I289" s="45" t="inlineStr">
        <is>
          <t>Bond</t>
        </is>
      </c>
      <c r="J289" s="46">
        <f>$C$44</f>
        <v/>
      </c>
      <c r="K289" s="2314" t="n"/>
      <c r="L289" s="2400">
        <f>ROUNDUP(SUM(L279:L288)*J289,0)</f>
        <v/>
      </c>
      <c r="M289" s="1" t="n"/>
      <c r="N289" s="1" t="n"/>
      <c r="P289" s="45" t="inlineStr">
        <is>
          <t>Bond</t>
        </is>
      </c>
      <c r="Q289" s="46">
        <f>$C$44</f>
        <v/>
      </c>
      <c r="R289" s="2314" t="n"/>
      <c r="S289" s="2400">
        <f>ROUNDUP(SUM(S279:S288)*Q289,0)</f>
        <v/>
      </c>
      <c r="T289" s="1" t="n"/>
      <c r="U289" s="1" t="n"/>
    </row>
    <row r="290">
      <c r="B290" s="1" t="n"/>
      <c r="C290" s="8" t="n"/>
      <c r="D290" s="2282" t="n"/>
      <c r="E290" s="2414" t="inlineStr">
        <is>
          <t>Polish</t>
        </is>
      </c>
      <c r="F290" s="1" t="n"/>
      <c r="G290" s="286" t="inlineStr">
        <is>
          <t>Mark Up + Conting.</t>
        </is>
      </c>
      <c r="H290" s="1892" t="n"/>
      <c r="I290" s="1" t="n"/>
      <c r="J290" s="8" t="n"/>
      <c r="K290" s="2282" t="n"/>
      <c r="L290" s="2414" t="inlineStr">
        <is>
          <t>Polish</t>
        </is>
      </c>
      <c r="M290" s="1" t="n"/>
      <c r="N290" s="286" t="inlineStr">
        <is>
          <t>Mark Up + Conting.</t>
        </is>
      </c>
      <c r="P290" s="1" t="n"/>
      <c r="Q290" s="8" t="n"/>
      <c r="R290" s="2282" t="n"/>
      <c r="S290" s="2414" t="inlineStr">
        <is>
          <t>Polish</t>
        </is>
      </c>
      <c r="T290" s="1" t="n"/>
      <c r="U290" s="286" t="inlineStr">
        <is>
          <t>Mark Up + Conting.</t>
        </is>
      </c>
    </row>
    <row r="291" ht="16.2" customHeight="1" thickBot="1">
      <c r="B291" s="1" t="n"/>
      <c r="C291" s="287" t="inlineStr">
        <is>
          <t>SF:</t>
        </is>
      </c>
      <c r="D291" s="2405">
        <f>C260</f>
        <v/>
      </c>
      <c r="E291" s="1074" t="inlineStr">
        <is>
          <t>Mock (In Town)</t>
        </is>
      </c>
      <c r="F291" s="38" t="inlineStr">
        <is>
          <t>Less Sales Tax</t>
        </is>
      </c>
      <c r="G291" s="2402">
        <f>SUM(E284:E286)</f>
        <v/>
      </c>
      <c r="H291" s="2282" t="n"/>
      <c r="I291" s="1" t="n"/>
      <c r="J291" s="287" t="inlineStr">
        <is>
          <t>SF:</t>
        </is>
      </c>
      <c r="K291" s="2405">
        <f>J260</f>
        <v/>
      </c>
      <c r="L291" s="1074" t="inlineStr">
        <is>
          <t>Mock (2 hours)</t>
        </is>
      </c>
      <c r="M291" s="38" t="inlineStr">
        <is>
          <t>Less Sales Tax</t>
        </is>
      </c>
      <c r="N291" s="2402">
        <f>SUM(L284:L286)</f>
        <v/>
      </c>
      <c r="P291" s="1" t="n"/>
      <c r="Q291" s="287" t="inlineStr">
        <is>
          <t>SF:</t>
        </is>
      </c>
      <c r="R291" s="2405">
        <f>Q260</f>
        <v/>
      </c>
      <c r="S291" s="1074" t="inlineStr">
        <is>
          <t>Mock (3 hours)</t>
        </is>
      </c>
      <c r="T291" s="38" t="inlineStr">
        <is>
          <t>Less Sales Tax</t>
        </is>
      </c>
      <c r="U291" s="2402">
        <f>SUM(S284:S286)</f>
        <v/>
      </c>
    </row>
    <row r="292" ht="16.2" customHeight="1" thickBot="1">
      <c r="B292" s="289" t="inlineStr">
        <is>
          <t>TOTAL</t>
        </is>
      </c>
      <c r="C292" s="290" t="n"/>
      <c r="D292" s="2412">
        <f>E292/C260</f>
        <v/>
      </c>
      <c r="E292" s="2404">
        <f>SUM(E279:E289)</f>
        <v/>
      </c>
      <c r="F292" s="2282">
        <f>E292-E282-E287</f>
        <v/>
      </c>
      <c r="G292" s="293">
        <f>G291/E292</f>
        <v/>
      </c>
      <c r="H292" s="294" t="n"/>
      <c r="I292" s="289" t="inlineStr">
        <is>
          <t>TOTAL</t>
        </is>
      </c>
      <c r="J292" s="290" t="n"/>
      <c r="K292" s="2412">
        <f>L292/J260</f>
        <v/>
      </c>
      <c r="L292" s="2404">
        <f>SUM(L279:L289)</f>
        <v/>
      </c>
      <c r="M292" s="2282">
        <f>L292-L282-L287</f>
        <v/>
      </c>
      <c r="N292" s="293">
        <f>N291/L292</f>
        <v/>
      </c>
      <c r="P292" s="289" t="inlineStr">
        <is>
          <t>TOTAL</t>
        </is>
      </c>
      <c r="Q292" s="290" t="n"/>
      <c r="R292" s="2412">
        <f>S292/Q260</f>
        <v/>
      </c>
      <c r="S292" s="2404">
        <f>SUM(S279:S289)</f>
        <v/>
      </c>
      <c r="T292" s="2282">
        <f>S292-S282-S287</f>
        <v/>
      </c>
      <c r="U292" s="293">
        <f>U291/S292</f>
        <v/>
      </c>
    </row>
    <row r="293">
      <c r="B293" s="1" t="n"/>
      <c r="C293" s="1" t="inlineStr">
        <is>
          <t xml:space="preserve"> </t>
        </is>
      </c>
      <c r="D293" s="2282">
        <f>E293/C260</f>
        <v/>
      </c>
      <c r="E293" s="2282">
        <f>E292-E287</f>
        <v/>
      </c>
      <c r="F293" t="inlineStr">
        <is>
          <t xml:space="preserve">less ks remodel, if applicable </t>
        </is>
      </c>
      <c r="G293" s="295">
        <f>IF(G292&lt;=0.25,"OWNER APPROVAL REQUIRED","GP % Okay")</f>
        <v/>
      </c>
      <c r="H293" s="1891" t="n"/>
      <c r="I293" s="1" t="n"/>
      <c r="J293" s="1" t="inlineStr">
        <is>
          <t xml:space="preserve"> </t>
        </is>
      </c>
      <c r="K293" s="2282">
        <f>L293/J260</f>
        <v/>
      </c>
      <c r="L293" s="2282">
        <f>L292-L287</f>
        <v/>
      </c>
      <c r="M293" t="inlineStr">
        <is>
          <t xml:space="preserve">less ks remodel, if applicable </t>
        </is>
      </c>
      <c r="N293" s="295">
        <f>IF(N292&lt;=0.25,"OWNER APPROVAL REQUIRED","GP % Okay")</f>
        <v/>
      </c>
      <c r="P293" s="1" t="n"/>
      <c r="Q293" s="1" t="inlineStr">
        <is>
          <t xml:space="preserve"> </t>
        </is>
      </c>
      <c r="R293" s="2282">
        <f>S293/Q260</f>
        <v/>
      </c>
      <c r="S293" s="2282">
        <f>S292-S287</f>
        <v/>
      </c>
      <c r="T293" t="inlineStr">
        <is>
          <t xml:space="preserve">less ks remodel, if applicable </t>
        </is>
      </c>
      <c r="U293" s="295">
        <f>IF(U292&lt;=0.25,"OWNER APPROVAL REQUIRED","GP % Okay")</f>
        <v/>
      </c>
    </row>
    <row r="296">
      <c r="B296" s="2407" t="inlineStr">
        <is>
          <t>Altenate  - 16 mils MVP @ 5,000 sf</t>
        </is>
      </c>
      <c r="C296" s="2350" t="n"/>
      <c r="D296" s="2350" t="n"/>
      <c r="E296" s="237" t="n"/>
      <c r="F296" s="2375">
        <f>D341</f>
        <v/>
      </c>
      <c r="G296" s="263" t="inlineStr">
        <is>
          <t>$/sf</t>
        </is>
      </c>
      <c r="H296" s="473" t="inlineStr">
        <is>
          <t>@ 16 mils</t>
        </is>
      </c>
      <c r="I296" s="2407" t="inlineStr">
        <is>
          <t>Altenate  - 16 mils MVP @ 1,000 sf</t>
        </is>
      </c>
      <c r="J296" s="2350" t="n"/>
      <c r="K296" s="2350" t="n"/>
      <c r="L296" s="237" t="n"/>
      <c r="M296" s="2375">
        <f>K341</f>
        <v/>
      </c>
      <c r="N296" s="263" t="inlineStr">
        <is>
          <t>$/sf</t>
        </is>
      </c>
      <c r="O296" s="474" t="inlineStr">
        <is>
          <t>@ 12 mils</t>
        </is>
      </c>
      <c r="P296" s="2407" t="inlineStr">
        <is>
          <t>Altenate  - 12 mils MVP @ 5,000 sf</t>
        </is>
      </c>
      <c r="Q296" s="2350" t="n"/>
      <c r="R296" s="2350" t="n"/>
      <c r="S296" s="237" t="n"/>
      <c r="T296" s="2375">
        <f>R341</f>
        <v/>
      </c>
      <c r="U296" s="263" t="inlineStr">
        <is>
          <t>$/sf</t>
        </is>
      </c>
      <c r="V296" s="474" t="inlineStr">
        <is>
          <t>@ 12 mils</t>
        </is>
      </c>
      <c r="W296" s="2407" t="inlineStr">
        <is>
          <t>Altenate  - 12 mils MVP @ 1,000 sf</t>
        </is>
      </c>
      <c r="X296" s="2350" t="n"/>
      <c r="Y296" s="2350" t="n"/>
      <c r="Z296" s="237" t="n"/>
      <c r="AA296" s="2375">
        <f>Y341</f>
        <v/>
      </c>
      <c r="AB296" s="263" t="inlineStr">
        <is>
          <t>$/sf</t>
        </is>
      </c>
      <c r="AC296" s="470" t="inlineStr">
        <is>
          <t>Poly-Crete</t>
        </is>
      </c>
      <c r="AD296" s="2427" t="inlineStr">
        <is>
          <t>Altenate  - SL @ 5,000 sf</t>
        </is>
      </c>
      <c r="AE296" s="2350" t="n"/>
      <c r="AF296" s="2350" t="n"/>
      <c r="AG296" s="237" t="n"/>
      <c r="AH296" s="2375">
        <f>AF341</f>
        <v/>
      </c>
      <c r="AI296" s="263" t="inlineStr">
        <is>
          <t>$/sf</t>
        </is>
      </c>
      <c r="AJ296" s="470" t="inlineStr">
        <is>
          <t>Poly-Crete</t>
        </is>
      </c>
      <c r="AK296" s="2427" t="inlineStr">
        <is>
          <t>Altenate  - SL @ 1,000 sf</t>
        </is>
      </c>
      <c r="AL296" s="2350" t="n"/>
      <c r="AM296" s="2350" t="n"/>
      <c r="AN296" s="237" t="n"/>
      <c r="AO296" s="2375">
        <f>AM341</f>
        <v/>
      </c>
      <c r="AP296" s="263" t="inlineStr">
        <is>
          <t>$/sf</t>
        </is>
      </c>
    </row>
    <row r="297">
      <c r="B297" s="25" t="inlineStr">
        <is>
          <t>MATERIAL - Patch</t>
        </is>
      </c>
      <c r="C297" s="90" t="inlineStr">
        <is>
          <t>Quantity</t>
        </is>
      </c>
      <c r="D297" s="90" t="inlineStr">
        <is>
          <t>Cost</t>
        </is>
      </c>
      <c r="E297" s="91" t="inlineStr">
        <is>
          <t>Total</t>
        </is>
      </c>
      <c r="F297" s="23" t="n"/>
      <c r="G297" s="89" t="n"/>
      <c r="H297" s="264" t="n"/>
      <c r="I297" s="25" t="inlineStr">
        <is>
          <t>MATERIAL - Patch</t>
        </is>
      </c>
      <c r="J297" s="90" t="inlineStr">
        <is>
          <t>Quantity</t>
        </is>
      </c>
      <c r="K297" s="90" t="inlineStr">
        <is>
          <t>Cost</t>
        </is>
      </c>
      <c r="L297" s="91" t="inlineStr">
        <is>
          <t>Total</t>
        </is>
      </c>
      <c r="M297" s="23" t="n"/>
      <c r="N297" s="89" t="n"/>
      <c r="O297" s="463" t="inlineStr">
        <is>
          <t>-----&gt;</t>
        </is>
      </c>
      <c r="P297" s="25" t="inlineStr">
        <is>
          <t>MATERIAL - Patch</t>
        </is>
      </c>
      <c r="Q297" s="90" t="inlineStr">
        <is>
          <t>Quantity</t>
        </is>
      </c>
      <c r="R297" s="90" t="inlineStr">
        <is>
          <t>Cost</t>
        </is>
      </c>
      <c r="S297" s="91" t="inlineStr">
        <is>
          <t>Total</t>
        </is>
      </c>
      <c r="T297" s="23" t="n"/>
      <c r="U297" s="89" t="n"/>
      <c r="V297" s="264" t="n"/>
      <c r="W297" s="25" t="inlineStr">
        <is>
          <t>MATERIAL - Patch</t>
        </is>
      </c>
      <c r="X297" s="90" t="inlineStr">
        <is>
          <t>Quantity</t>
        </is>
      </c>
      <c r="Y297" s="90" t="inlineStr">
        <is>
          <t>Cost</t>
        </is>
      </c>
      <c r="Z297" s="91" t="inlineStr">
        <is>
          <t>Total</t>
        </is>
      </c>
      <c r="AA297" s="23" t="n"/>
      <c r="AB297" s="89" t="n"/>
      <c r="AC297" s="470" t="inlineStr">
        <is>
          <t>SL</t>
        </is>
      </c>
      <c r="AD297" s="25" t="inlineStr">
        <is>
          <t>MATERIAL - Patch</t>
        </is>
      </c>
      <c r="AE297" s="90" t="inlineStr">
        <is>
          <t>Quantity</t>
        </is>
      </c>
      <c r="AF297" s="90" t="inlineStr">
        <is>
          <t>Cost</t>
        </is>
      </c>
      <c r="AG297" s="91" t="inlineStr">
        <is>
          <t>Total</t>
        </is>
      </c>
      <c r="AH297" s="23" t="n"/>
      <c r="AI297" s="89" t="n"/>
      <c r="AJ297" s="470" t="inlineStr">
        <is>
          <t>SL</t>
        </is>
      </c>
      <c r="AK297" s="25" t="inlineStr">
        <is>
          <t>MATERIAL - Patch</t>
        </is>
      </c>
      <c r="AL297" s="90" t="inlineStr">
        <is>
          <t>Quantity</t>
        </is>
      </c>
      <c r="AM297" s="90" t="inlineStr">
        <is>
          <t>Cost</t>
        </is>
      </c>
      <c r="AN297" s="91" t="inlineStr">
        <is>
          <t>Total</t>
        </is>
      </c>
      <c r="AO297" s="23" t="n"/>
      <c r="AP297" s="89" t="n"/>
    </row>
    <row r="298">
      <c r="B298" s="44" t="n"/>
      <c r="C298" s="2377" t="n"/>
      <c r="D298" s="2312" t="n"/>
      <c r="E298" s="2308">
        <f>C298*D298</f>
        <v/>
      </c>
      <c r="F298" s="1" t="n"/>
      <c r="G298" s="1" t="n"/>
      <c r="H298" s="1" t="n"/>
      <c r="I298" s="44" t="n"/>
      <c r="J298" s="2377" t="n"/>
      <c r="K298" s="2312" t="n"/>
      <c r="L298" s="2308">
        <f>J298*K298</f>
        <v/>
      </c>
      <c r="M298" s="1" t="n"/>
      <c r="N298" s="1" t="n"/>
      <c r="P298" s="44" t="n"/>
      <c r="Q298" s="2377" t="n"/>
      <c r="R298" s="2312" t="n"/>
      <c r="S298" s="2308">
        <f>Q298*R298</f>
        <v/>
      </c>
      <c r="T298" s="1" t="n"/>
      <c r="U298" s="1" t="n"/>
      <c r="V298" s="1" t="n"/>
      <c r="W298" s="44" t="n"/>
      <c r="X298" s="2377" t="n"/>
      <c r="Y298" s="2312" t="n"/>
      <c r="Z298" s="2308">
        <f>X298*Y298</f>
        <v/>
      </c>
      <c r="AA298" s="1" t="n"/>
      <c r="AB298" s="1" t="n"/>
      <c r="AC298" s="469" t="inlineStr">
        <is>
          <t>-----&gt;</t>
        </is>
      </c>
      <c r="AD298" s="44" t="n"/>
      <c r="AE298" s="2377" t="n"/>
      <c r="AF298" s="2312" t="n"/>
      <c r="AG298" s="2308">
        <f>AE298*AF298</f>
        <v/>
      </c>
      <c r="AH298" s="1" t="n"/>
      <c r="AI298" s="1" t="n"/>
      <c r="AK298" s="44" t="n"/>
      <c r="AL298" s="2377" t="n"/>
      <c r="AM298" s="2312" t="n"/>
      <c r="AN298" s="2308">
        <f>AL298*AM298</f>
        <v/>
      </c>
      <c r="AO298" s="1" t="n"/>
      <c r="AP298" s="1" t="n"/>
    </row>
    <row r="299">
      <c r="B299" s="44" t="n"/>
      <c r="C299" s="2377" t="n"/>
      <c r="D299" s="2312" t="n"/>
      <c r="E299" s="2308">
        <f>C299*D299</f>
        <v/>
      </c>
      <c r="F299" s="1" t="n"/>
      <c r="G299" s="1" t="n"/>
      <c r="H299" s="1" t="n"/>
      <c r="I299" s="44" t="n"/>
      <c r="J299" s="2377" t="n"/>
      <c r="K299" s="2312" t="n"/>
      <c r="L299" s="2308">
        <f>J299*K299</f>
        <v/>
      </c>
      <c r="M299" s="1" t="n"/>
      <c r="N299" s="1" t="n"/>
      <c r="P299" s="44" t="n"/>
      <c r="Q299" s="2377" t="n"/>
      <c r="R299" s="2312" t="n"/>
      <c r="S299" s="2308">
        <f>Q299*R299</f>
        <v/>
      </c>
      <c r="T299" s="1" t="n"/>
      <c r="U299" s="1" t="n"/>
      <c r="V299" s="1" t="n"/>
      <c r="W299" s="44" t="n"/>
      <c r="X299" s="2377" t="n"/>
      <c r="Y299" s="2312" t="n"/>
      <c r="Z299" s="2308">
        <f>X299*Y299</f>
        <v/>
      </c>
      <c r="AA299" s="1" t="n"/>
      <c r="AB299" s="1" t="n"/>
      <c r="AD299" s="44" t="n"/>
      <c r="AE299" s="2377" t="n"/>
      <c r="AF299" s="2312" t="n"/>
      <c r="AG299" s="2308">
        <f>AE299*AF299</f>
        <v/>
      </c>
      <c r="AH299" s="1" t="n"/>
      <c r="AI299" s="1" t="n"/>
      <c r="AK299" s="44" t="n"/>
      <c r="AL299" s="2377" t="n"/>
      <c r="AM299" s="2312" t="n"/>
      <c r="AN299" s="2308">
        <f>AL299*AM299</f>
        <v/>
      </c>
      <c r="AO299" s="1" t="n"/>
      <c r="AP299" s="1" t="n"/>
    </row>
    <row r="300">
      <c r="B300" s="25" t="inlineStr">
        <is>
          <t>MATERIAL - Floor</t>
        </is>
      </c>
      <c r="C300" s="2379" t="n"/>
      <c r="D300" s="23" t="n"/>
      <c r="E300" s="29" t="n"/>
      <c r="F300" s="2380" t="n">
        <v>5000</v>
      </c>
      <c r="G300" s="82" t="inlineStr">
        <is>
          <t>SF</t>
        </is>
      </c>
      <c r="H300" s="1" t="n"/>
      <c r="I300" s="25" t="inlineStr">
        <is>
          <t>MATERIAL - Floor</t>
        </is>
      </c>
      <c r="J300" s="2379" t="n"/>
      <c r="K300" s="23" t="n"/>
      <c r="L300" s="29" t="n"/>
      <c r="M300" s="2380" t="n">
        <v>1000</v>
      </c>
      <c r="N300" s="82" t="inlineStr">
        <is>
          <t>SF</t>
        </is>
      </c>
      <c r="P300" s="25" t="inlineStr">
        <is>
          <t>MATERIAL - Floor</t>
        </is>
      </c>
      <c r="Q300" s="2379" t="n"/>
      <c r="R300" s="23" t="n"/>
      <c r="S300" s="29" t="n"/>
      <c r="T300" s="2380" t="n">
        <v>5000</v>
      </c>
      <c r="U300" s="82" t="inlineStr">
        <is>
          <t>SF</t>
        </is>
      </c>
      <c r="V300" s="1" t="n"/>
      <c r="W300" s="25" t="inlineStr">
        <is>
          <t>MATERIAL - Floor</t>
        </is>
      </c>
      <c r="X300" s="2379" t="n"/>
      <c r="Y300" s="23" t="n"/>
      <c r="Z300" s="29" t="n"/>
      <c r="AA300" s="2380" t="n">
        <v>1000</v>
      </c>
      <c r="AB300" s="82" t="inlineStr">
        <is>
          <t>SF</t>
        </is>
      </c>
      <c r="AD300" s="25" t="inlineStr">
        <is>
          <t>MATERIAL - Floor</t>
        </is>
      </c>
      <c r="AE300" s="2379" t="n"/>
      <c r="AF300" s="23" t="n"/>
      <c r="AG300" s="29" t="n"/>
      <c r="AH300" s="2380" t="n">
        <v>5000</v>
      </c>
      <c r="AI300" s="82" t="inlineStr">
        <is>
          <t>SF</t>
        </is>
      </c>
      <c r="AK300" s="25" t="inlineStr">
        <is>
          <t>MATERIAL - Floor</t>
        </is>
      </c>
      <c r="AL300" s="2379" t="n"/>
      <c r="AM300" s="23" t="n"/>
      <c r="AN300" s="29" t="n"/>
      <c r="AO300" s="2380" t="n">
        <v>1000</v>
      </c>
      <c r="AP300" s="82" t="inlineStr">
        <is>
          <t>SF</t>
        </is>
      </c>
    </row>
    <row r="301">
      <c r="B301" s="460" t="inlineStr">
        <is>
          <t>WB (deduct)</t>
        </is>
      </c>
      <c r="C301" s="461" t="n">
        <v>-25</v>
      </c>
      <c r="D301" s="2428">
        <f>Y200</f>
        <v/>
      </c>
      <c r="E301" s="2038">
        <f>C301*D301</f>
        <v/>
      </c>
      <c r="F301" s="475">
        <f>-(F300/200)</f>
        <v/>
      </c>
      <c r="G301" s="74" t="inlineStr">
        <is>
          <t>8 mils - Standard Primer deduct</t>
        </is>
      </c>
      <c r="H301" s="1" t="n"/>
      <c r="I301" s="460" t="inlineStr">
        <is>
          <t>WB (deduct)</t>
        </is>
      </c>
      <c r="J301" s="461" t="n">
        <v>-5</v>
      </c>
      <c r="K301" s="2282">
        <f>$D$301</f>
        <v/>
      </c>
      <c r="L301" s="2038">
        <f>J301*K301</f>
        <v/>
      </c>
      <c r="M301" s="475">
        <f>-(M300/200)</f>
        <v/>
      </c>
      <c r="N301" s="74" t="inlineStr">
        <is>
          <t>8 mils - Standard Primer deduct</t>
        </is>
      </c>
      <c r="P301" s="460" t="inlineStr">
        <is>
          <t>WB (deduct)</t>
        </is>
      </c>
      <c r="Q301" s="461" t="n">
        <v>-25</v>
      </c>
      <c r="R301" s="2282">
        <f>$D$301</f>
        <v/>
      </c>
      <c r="S301" s="2038">
        <f>Q301*R301</f>
        <v/>
      </c>
      <c r="T301" s="475">
        <f>-(T300/200)</f>
        <v/>
      </c>
      <c r="U301" s="74" t="inlineStr">
        <is>
          <t>8 mils - Standard Primer deduct</t>
        </is>
      </c>
      <c r="V301" s="1" t="n"/>
      <c r="W301" s="460" t="inlineStr">
        <is>
          <t>WB (deduct)</t>
        </is>
      </c>
      <c r="X301" s="461" t="n">
        <v>-5</v>
      </c>
      <c r="Y301" s="2282">
        <f>$D$301</f>
        <v/>
      </c>
      <c r="Z301" s="2038">
        <f>X301*Y301</f>
        <v/>
      </c>
      <c r="AA301" s="475">
        <f>-(AA300/200)</f>
        <v/>
      </c>
      <c r="AB301" s="74" t="inlineStr">
        <is>
          <t>8 mils - Standard Primer deduct</t>
        </is>
      </c>
      <c r="AD301" s="460" t="inlineStr">
        <is>
          <t>WB (deduct)</t>
        </is>
      </c>
      <c r="AE301" s="461" t="n">
        <v>-25</v>
      </c>
      <c r="AF301" s="2282">
        <f>$D$301</f>
        <v/>
      </c>
      <c r="AG301" s="2038">
        <f>AE301*AF301</f>
        <v/>
      </c>
      <c r="AH301" s="475">
        <f>-(AH300/200)</f>
        <v/>
      </c>
      <c r="AI301" s="74" t="inlineStr">
        <is>
          <t>Standard Primer deduct</t>
        </is>
      </c>
      <c r="AK301" s="460" t="inlineStr">
        <is>
          <t>WB (deduct)</t>
        </is>
      </c>
      <c r="AL301" s="461" t="n">
        <v>-5</v>
      </c>
      <c r="AM301" s="2282">
        <f>$D$301</f>
        <v/>
      </c>
      <c r="AN301" s="2038">
        <f>AL301*AM301</f>
        <v/>
      </c>
      <c r="AO301" s="475">
        <f>-(AO300/200)</f>
        <v/>
      </c>
      <c r="AP301" s="74" t="inlineStr">
        <is>
          <t>Standard Primer deduct</t>
        </is>
      </c>
    </row>
    <row r="302">
      <c r="B302" s="47" t="inlineStr">
        <is>
          <t>MVP (add)</t>
        </is>
      </c>
      <c r="C302" s="466" t="n">
        <v>50</v>
      </c>
      <c r="D302" s="2428">
        <f>129.8+F303</f>
        <v/>
      </c>
      <c r="E302" s="2038">
        <f>C302*D302</f>
        <v/>
      </c>
      <c r="F302" s="477">
        <f>(16/1600)*F300</f>
        <v/>
      </c>
      <c r="G302" s="478" t="inlineStr">
        <is>
          <t>@ 16 mils</t>
        </is>
      </c>
      <c r="H302" s="1" t="n"/>
      <c r="I302" s="47" t="inlineStr">
        <is>
          <t>MVP (add)</t>
        </is>
      </c>
      <c r="J302" s="466" t="n">
        <v>10</v>
      </c>
      <c r="K302" s="2282">
        <f>$D$302</f>
        <v/>
      </c>
      <c r="L302" s="2038">
        <f>J302*K302</f>
        <v/>
      </c>
      <c r="M302" s="477">
        <f>(16/1600)*M300</f>
        <v/>
      </c>
      <c r="N302" s="478" t="inlineStr">
        <is>
          <t>@ 16 mils</t>
        </is>
      </c>
      <c r="P302" s="47" t="inlineStr">
        <is>
          <t>MVP (add)</t>
        </is>
      </c>
      <c r="Q302" s="465" t="n">
        <v>38</v>
      </c>
      <c r="R302" s="2282">
        <f>$D$302</f>
        <v/>
      </c>
      <c r="S302" s="2038">
        <f>Q302*R302</f>
        <v/>
      </c>
      <c r="T302" s="477">
        <f>(12/1600)*T300</f>
        <v/>
      </c>
      <c r="U302" s="464" t="inlineStr">
        <is>
          <t>@ 12 mils</t>
        </is>
      </c>
      <c r="V302" s="1" t="n"/>
      <c r="W302" s="47" t="inlineStr">
        <is>
          <t>MVP (add)</t>
        </is>
      </c>
      <c r="X302" s="465" t="n">
        <v>8</v>
      </c>
      <c r="Y302" s="2282">
        <f>$D$302</f>
        <v/>
      </c>
      <c r="Z302" s="2038">
        <f>X302*Y302</f>
        <v/>
      </c>
      <c r="AA302" s="477">
        <f>(12/1600)*AA300</f>
        <v/>
      </c>
      <c r="AB302" s="464" t="inlineStr">
        <is>
          <t>@ 12 mils</t>
        </is>
      </c>
      <c r="AD302" s="471" t="inlineStr">
        <is>
          <t>Receiving Coat (deduct)</t>
        </is>
      </c>
      <c r="AE302" s="472" t="n"/>
      <c r="AF302" s="2429">
        <f>Y202</f>
        <v/>
      </c>
      <c r="AG302" s="2038">
        <f>AE302*AF302</f>
        <v/>
      </c>
      <c r="AH302" s="476">
        <f>-(5.4/1600)*AH300</f>
        <v/>
      </c>
      <c r="AI302" s="74" t="inlineStr">
        <is>
          <t>Receiving Coat deduct</t>
        </is>
      </c>
      <c r="AK302" s="471" t="inlineStr">
        <is>
          <t>Receiving Coat (deduct)</t>
        </is>
      </c>
      <c r="AL302" s="472" t="n"/>
      <c r="AM302" s="2332">
        <f>$AF$302</f>
        <v/>
      </c>
      <c r="AN302" s="2038">
        <f>AL302*AM302</f>
        <v/>
      </c>
      <c r="AO302" s="476">
        <f>-(5.4/1600)*AO300</f>
        <v/>
      </c>
      <c r="AP302" s="74" t="inlineStr">
        <is>
          <t>Receiving Coat deduct</t>
        </is>
      </c>
    </row>
    <row r="303">
      <c r="B303" s="48" t="n"/>
      <c r="C303" s="2381" t="n"/>
      <c r="D303" s="2332" t="n"/>
      <c r="E303" s="2333">
        <f>C303*D303</f>
        <v/>
      </c>
      <c r="F303" s="2410">
        <f>129.8*H303</f>
        <v/>
      </c>
      <c r="G303" s="1552" t="inlineStr">
        <is>
          <t>DAF 2025 6% increase</t>
        </is>
      </c>
      <c r="H303" s="1549" t="n">
        <v>0.06</v>
      </c>
      <c r="I303" s="48" t="n"/>
      <c r="J303" s="2381" t="n"/>
      <c r="K303" s="2332" t="n"/>
      <c r="L303" s="2333">
        <f>J303*K303</f>
        <v/>
      </c>
      <c r="M303" s="1" t="n"/>
      <c r="N303" s="1" t="n"/>
      <c r="P303" s="48" t="n"/>
      <c r="Q303" s="2381" t="n"/>
      <c r="R303" s="2332" t="n"/>
      <c r="S303" s="2333">
        <f>Q303*R303</f>
        <v/>
      </c>
      <c r="T303" s="2422" t="n"/>
      <c r="U303" s="1" t="n"/>
      <c r="V303" s="1" t="n"/>
      <c r="W303" s="48" t="n"/>
      <c r="X303" s="2381" t="n"/>
      <c r="Y303" s="2332" t="n"/>
      <c r="Z303" s="2333">
        <f>X303*Y303</f>
        <v/>
      </c>
      <c r="AA303" s="1" t="n"/>
      <c r="AB303" s="1" t="n"/>
      <c r="AD303" s="423" t="inlineStr">
        <is>
          <t>SL (add)</t>
        </is>
      </c>
      <c r="AE303" s="468" t="n">
        <v>91</v>
      </c>
      <c r="AF303" s="2428">
        <f>Y226</f>
        <v/>
      </c>
      <c r="AG303" s="2333">
        <f>AE303*AF303</f>
        <v/>
      </c>
      <c r="AH303" s="477">
        <f>AH300/55</f>
        <v/>
      </c>
      <c r="AI303" s="467" t="inlineStr">
        <is>
          <t>@ 55 sf/kit</t>
        </is>
      </c>
      <c r="AK303" s="423" t="inlineStr">
        <is>
          <t>SL (add)</t>
        </is>
      </c>
      <c r="AL303" s="468" t="n">
        <v>19</v>
      </c>
      <c r="AM303" s="2428">
        <f>AF303</f>
        <v/>
      </c>
      <c r="AN303" s="2333">
        <f>AL303*AM303</f>
        <v/>
      </c>
      <c r="AO303" s="477">
        <f>AO300/55</f>
        <v/>
      </c>
      <c r="AP303" s="467" t="inlineStr">
        <is>
          <t>@ 55 sf/kit</t>
        </is>
      </c>
    </row>
    <row r="304">
      <c r="B304" s="17" t="inlineStr">
        <is>
          <t>Material Sub Total</t>
        </is>
      </c>
      <c r="C304" s="35" t="n"/>
      <c r="D304" s="2382" t="n"/>
      <c r="E304" s="2335">
        <f>ROUNDUP(SUM(E298:E303),0)</f>
        <v/>
      </c>
      <c r="F304" s="1" t="n"/>
      <c r="G304" s="1" t="n"/>
      <c r="H304" s="1" t="n"/>
      <c r="I304" s="17" t="inlineStr">
        <is>
          <t>Material Sub Total</t>
        </is>
      </c>
      <c r="J304" s="35" t="n"/>
      <c r="K304" s="2382" t="n"/>
      <c r="L304" s="2335">
        <f>ROUNDUP(SUM(L298:L303),0)</f>
        <v/>
      </c>
      <c r="M304" s="1" t="n"/>
      <c r="N304" s="1" t="n"/>
      <c r="P304" s="17" t="inlineStr">
        <is>
          <t>Material Sub Total</t>
        </is>
      </c>
      <c r="Q304" s="35" t="n"/>
      <c r="R304" s="2382" t="n"/>
      <c r="S304" s="2335">
        <f>ROUNDUP(SUM(S298:S303),0)</f>
        <v/>
      </c>
      <c r="T304" s="1" t="n"/>
      <c r="U304" s="1" t="n"/>
      <c r="V304" s="1" t="n"/>
      <c r="W304" s="17" t="inlineStr">
        <is>
          <t>Material Sub Total</t>
        </is>
      </c>
      <c r="X304" s="35" t="n"/>
      <c r="Y304" s="2382" t="n"/>
      <c r="Z304" s="2335">
        <f>ROUNDUP(SUM(Z298:Z303),0)</f>
        <v/>
      </c>
      <c r="AA304" s="1" t="n"/>
      <c r="AB304" s="1" t="n"/>
      <c r="AD304" s="17" t="inlineStr">
        <is>
          <t>Material Sub Total</t>
        </is>
      </c>
      <c r="AE304" s="35" t="n"/>
      <c r="AF304" s="2382" t="n"/>
      <c r="AG304" s="2335">
        <f>ROUNDUP(SUM(AG298:AG303),0)</f>
        <v/>
      </c>
      <c r="AH304" s="1" t="n"/>
      <c r="AI304" s="1" t="n"/>
      <c r="AK304" s="17" t="inlineStr">
        <is>
          <t>Material Sub Total</t>
        </is>
      </c>
      <c r="AL304" s="35" t="n"/>
      <c r="AM304" s="2382" t="n"/>
      <c r="AN304" s="2335">
        <f>ROUNDUP(SUM(AN298:AN303),0)</f>
        <v/>
      </c>
      <c r="AO304" s="1" t="n"/>
      <c r="AP304" s="1" t="n"/>
    </row>
    <row r="305">
      <c r="B305" s="20" t="inlineStr">
        <is>
          <t>Discount</t>
        </is>
      </c>
      <c r="C305" s="270" t="n">
        <v>0</v>
      </c>
      <c r="D305" s="2283" t="n"/>
      <c r="E305" s="2383">
        <f>ROUNDUP(SUM(E301)*C305,0)</f>
        <v/>
      </c>
      <c r="F305" s="1" t="n"/>
      <c r="G305" s="1" t="n"/>
      <c r="H305" s="1" t="n"/>
      <c r="I305" s="20" t="inlineStr">
        <is>
          <t>Discount</t>
        </is>
      </c>
      <c r="J305" s="270" t="n">
        <v>0</v>
      </c>
      <c r="K305" s="2283" t="n"/>
      <c r="L305" s="2383">
        <f>ROUNDUP(SUM(L301)*J305,0)</f>
        <v/>
      </c>
      <c r="M305" s="1" t="n"/>
      <c r="N305" s="1" t="n"/>
      <c r="P305" s="20" t="inlineStr">
        <is>
          <t>Discount</t>
        </is>
      </c>
      <c r="Q305" s="270" t="n">
        <v>0</v>
      </c>
      <c r="R305" s="2283" t="n"/>
      <c r="S305" s="2383">
        <f>ROUNDUP(SUM(S301)*Q305,0)</f>
        <v/>
      </c>
      <c r="T305" s="1" t="n"/>
      <c r="U305" s="1" t="n"/>
      <c r="V305" s="1" t="n"/>
      <c r="W305" s="20" t="inlineStr">
        <is>
          <t>Discount</t>
        </is>
      </c>
      <c r="X305" s="270" t="n">
        <v>0</v>
      </c>
      <c r="Y305" s="2283" t="n"/>
      <c r="Z305" s="2383">
        <f>ROUNDUP(SUM(Z301)*X305,0)</f>
        <v/>
      </c>
      <c r="AA305" s="1" t="n"/>
      <c r="AB305" s="1" t="n"/>
      <c r="AD305" s="20" t="inlineStr">
        <is>
          <t>Discount</t>
        </is>
      </c>
      <c r="AE305" s="270" t="n">
        <v>0</v>
      </c>
      <c r="AF305" s="2283" t="n"/>
      <c r="AG305" s="2383">
        <f>ROUNDUP(SUM(AG301)*AE305,0)</f>
        <v/>
      </c>
      <c r="AH305" s="1" t="n"/>
      <c r="AI305" s="1" t="n"/>
      <c r="AK305" s="20" t="inlineStr">
        <is>
          <t>Discount</t>
        </is>
      </c>
      <c r="AL305" s="270" t="n">
        <v>0</v>
      </c>
      <c r="AM305" s="2283" t="n"/>
      <c r="AN305" s="2383">
        <f>ROUNDUP(SUM(AN301)*AL305,0)</f>
        <v/>
      </c>
      <c r="AO305" s="1" t="n"/>
      <c r="AP305" s="1" t="n"/>
    </row>
    <row r="306">
      <c r="B306" s="446" t="inlineStr">
        <is>
          <t>Shipping + Mat. Esc.</t>
        </is>
      </c>
      <c r="C306" s="40">
        <f>$C$12</f>
        <v/>
      </c>
      <c r="D306" s="2384" t="n"/>
      <c r="E306" s="2338">
        <f>ROUNDUP(E304*C306,0)</f>
        <v/>
      </c>
      <c r="F306" s="454">
        <f>$F$12</f>
        <v/>
      </c>
      <c r="I306" s="446" t="inlineStr">
        <is>
          <t>Shipping + Mat. Esc.</t>
        </is>
      </c>
      <c r="J306" s="40">
        <f>$C$12</f>
        <v/>
      </c>
      <c r="K306" s="2384" t="n"/>
      <c r="L306" s="2338">
        <f>ROUNDUP(L304*J306,0)</f>
        <v/>
      </c>
      <c r="M306" s="454">
        <f>$F$12</f>
        <v/>
      </c>
      <c r="P306" s="446" t="inlineStr">
        <is>
          <t>Shipping + Mat. Esc.</t>
        </is>
      </c>
      <c r="Q306" s="40">
        <f>$C$12</f>
        <v/>
      </c>
      <c r="R306" s="2384" t="n"/>
      <c r="S306" s="2338">
        <f>ROUNDUP(S304*Q306,0)</f>
        <v/>
      </c>
      <c r="T306" s="454">
        <f>$F$12</f>
        <v/>
      </c>
      <c r="W306" s="446" t="inlineStr">
        <is>
          <t>Shipping + Mat. Esc.</t>
        </is>
      </c>
      <c r="X306" s="40">
        <f>$C$12</f>
        <v/>
      </c>
      <c r="Y306" s="2384" t="n"/>
      <c r="Z306" s="2338">
        <f>ROUNDUP(Z304*X306,0)</f>
        <v/>
      </c>
      <c r="AA306" s="454">
        <f>$F$12</f>
        <v/>
      </c>
      <c r="AD306" s="446" t="inlineStr">
        <is>
          <t>Shipping + Mat. Esc.</t>
        </is>
      </c>
      <c r="AE306" s="40">
        <f>$C$12</f>
        <v/>
      </c>
      <c r="AF306" s="2384" t="n"/>
      <c r="AG306" s="2338">
        <f>ROUNDUP(AG304*AE306,0)</f>
        <v/>
      </c>
      <c r="AH306" s="454">
        <f>$F$12</f>
        <v/>
      </c>
      <c r="AK306" s="446" t="inlineStr">
        <is>
          <t>Shipping + Mat. Esc.</t>
        </is>
      </c>
      <c r="AL306" s="40">
        <f>$C$12</f>
        <v/>
      </c>
      <c r="AM306" s="2384" t="n"/>
      <c r="AN306" s="2338">
        <f>ROUNDUP(AN304*AL306,0)</f>
        <v/>
      </c>
      <c r="AO306" s="454">
        <f>$F$12</f>
        <v/>
      </c>
    </row>
    <row r="307">
      <c r="B307" s="10" t="inlineStr">
        <is>
          <t>Material Total</t>
        </is>
      </c>
      <c r="C307" s="36" t="n"/>
      <c r="D307" s="2339" t="n"/>
      <c r="E307" s="2339">
        <f>SUM(E304:E306)</f>
        <v/>
      </c>
      <c r="F307" s="123">
        <f>E307/F300</f>
        <v/>
      </c>
      <c r="G307" s="124" t="inlineStr">
        <is>
          <t>Material $/SF</t>
        </is>
      </c>
      <c r="H307" s="1" t="n"/>
      <c r="I307" s="10" t="inlineStr">
        <is>
          <t>Material Total</t>
        </is>
      </c>
      <c r="J307" s="36" t="n"/>
      <c r="K307" s="2339" t="n"/>
      <c r="L307" s="2339">
        <f>SUM(L304:L306)</f>
        <v/>
      </c>
      <c r="M307" s="123">
        <f>L307/M300</f>
        <v/>
      </c>
      <c r="N307" s="124" t="inlineStr">
        <is>
          <t>Material $/SF</t>
        </is>
      </c>
      <c r="P307" s="10" t="inlineStr">
        <is>
          <t>Material Total</t>
        </is>
      </c>
      <c r="Q307" s="36" t="n"/>
      <c r="R307" s="2339" t="n"/>
      <c r="S307" s="2339">
        <f>SUM(S304:S306)</f>
        <v/>
      </c>
      <c r="T307" s="123">
        <f>S307/T300</f>
        <v/>
      </c>
      <c r="U307" s="124" t="inlineStr">
        <is>
          <t>Material $/SF</t>
        </is>
      </c>
      <c r="V307" s="1" t="n"/>
      <c r="W307" s="10" t="inlineStr">
        <is>
          <t>Material Total</t>
        </is>
      </c>
      <c r="X307" s="36" t="n"/>
      <c r="Y307" s="2339" t="n"/>
      <c r="Z307" s="2339">
        <f>SUM(Z304:Z306)</f>
        <v/>
      </c>
      <c r="AA307" s="123">
        <f>Z307/AA300</f>
        <v/>
      </c>
      <c r="AB307" s="124" t="inlineStr">
        <is>
          <t>Material $/SF</t>
        </is>
      </c>
      <c r="AD307" s="10" t="inlineStr">
        <is>
          <t>Material Total</t>
        </is>
      </c>
      <c r="AE307" s="36" t="n"/>
      <c r="AF307" s="2339" t="n"/>
      <c r="AG307" s="2339">
        <f>SUM(AG304:AG306)</f>
        <v/>
      </c>
      <c r="AH307" s="123">
        <f>AG307/AH300</f>
        <v/>
      </c>
      <c r="AI307" s="124" t="inlineStr">
        <is>
          <t>Material $/SF</t>
        </is>
      </c>
      <c r="AK307" s="10" t="inlineStr">
        <is>
          <t>Material Total</t>
        </is>
      </c>
      <c r="AL307" s="36" t="n"/>
      <c r="AM307" s="2339" t="n"/>
      <c r="AN307" s="2339">
        <f>SUM(AN304:AN306)</f>
        <v/>
      </c>
      <c r="AO307" s="123">
        <f>AN307/AO300</f>
        <v/>
      </c>
      <c r="AP307" s="124" t="inlineStr">
        <is>
          <t>Material $/SF</t>
        </is>
      </c>
    </row>
    <row r="308">
      <c r="B308" s="1" t="n"/>
      <c r="C308" s="1892" t="n"/>
      <c r="D308" s="2282" t="n"/>
      <c r="E308" s="2282" t="n"/>
      <c r="F308" s="1" t="n"/>
      <c r="I308" s="1" t="n"/>
      <c r="J308" s="1892" t="n"/>
      <c r="K308" s="2282" t="n"/>
      <c r="L308" s="2282" t="n"/>
      <c r="M308" s="1" t="n"/>
      <c r="P308" s="1" t="n"/>
      <c r="Q308" s="1892" t="n"/>
      <c r="R308" s="2282" t="n"/>
      <c r="S308" s="2282" t="n"/>
      <c r="T308" s="1" t="n"/>
      <c r="W308" s="1" t="n"/>
      <c r="X308" s="1892" t="n"/>
      <c r="Y308" s="2282" t="n"/>
      <c r="Z308" s="2282" t="n"/>
      <c r="AA308" s="1" t="n"/>
      <c r="AD308" s="1" t="n"/>
      <c r="AE308" s="1892" t="n"/>
      <c r="AF308" s="2282" t="n"/>
      <c r="AG308" s="2282" t="n"/>
      <c r="AH308" s="1" t="n"/>
      <c r="AK308" s="1" t="n"/>
      <c r="AL308" s="1892" t="n"/>
      <c r="AM308" s="2282" t="n"/>
      <c r="AN308" s="2282" t="n"/>
      <c r="AO308" s="1" t="n"/>
    </row>
    <row r="309">
      <c r="B309" s="75" t="inlineStr">
        <is>
          <t>Square Footage:</t>
        </is>
      </c>
      <c r="C309" s="2385">
        <f>F300</f>
        <v/>
      </c>
      <c r="D309" s="75" t="inlineStr">
        <is>
          <t>Linear Footage:</t>
        </is>
      </c>
      <c r="E309" s="2386" t="n">
        <v>0</v>
      </c>
      <c r="F309" s="1" t="n"/>
      <c r="G309" s="273">
        <f>E309/C309</f>
        <v/>
      </c>
      <c r="I309" s="75" t="inlineStr">
        <is>
          <t>Square Footage:</t>
        </is>
      </c>
      <c r="J309" s="2385">
        <f>M300</f>
        <v/>
      </c>
      <c r="K309" s="75" t="inlineStr">
        <is>
          <t>Linear Footage:</t>
        </is>
      </c>
      <c r="L309" s="2386" t="n">
        <v>0</v>
      </c>
      <c r="M309" s="1" t="n"/>
      <c r="N309" s="273">
        <f>L309/J309</f>
        <v/>
      </c>
      <c r="P309" s="75" t="inlineStr">
        <is>
          <t>Square Footage:</t>
        </is>
      </c>
      <c r="Q309" s="2385">
        <f>T300</f>
        <v/>
      </c>
      <c r="R309" s="75" t="inlineStr">
        <is>
          <t>Linear Footage:</t>
        </is>
      </c>
      <c r="S309" s="2386" t="n">
        <v>0</v>
      </c>
      <c r="T309" s="1" t="n"/>
      <c r="U309" s="273">
        <f>S309/Q309</f>
        <v/>
      </c>
      <c r="W309" s="75" t="inlineStr">
        <is>
          <t>Square Footage:</t>
        </is>
      </c>
      <c r="X309" s="2385">
        <f>AA300</f>
        <v/>
      </c>
      <c r="Y309" s="75" t="inlineStr">
        <is>
          <t>Linear Footage:</t>
        </is>
      </c>
      <c r="Z309" s="2386" t="n">
        <v>0</v>
      </c>
      <c r="AA309" s="1" t="n"/>
      <c r="AB309" s="273">
        <f>Z309/X309</f>
        <v/>
      </c>
      <c r="AD309" s="75" t="inlineStr">
        <is>
          <t>Square Footage:</t>
        </is>
      </c>
      <c r="AE309" s="2385">
        <f>AH300</f>
        <v/>
      </c>
      <c r="AF309" s="75" t="inlineStr">
        <is>
          <t>Linear Footage:</t>
        </is>
      </c>
      <c r="AG309" s="2386" t="n">
        <v>0</v>
      </c>
      <c r="AH309" s="1" t="n"/>
      <c r="AI309" s="273">
        <f>AG309/AE309</f>
        <v/>
      </c>
      <c r="AK309" s="75" t="inlineStr">
        <is>
          <t>Square Footage:</t>
        </is>
      </c>
      <c r="AL309" s="2385">
        <f>AO300</f>
        <v/>
      </c>
      <c r="AM309" s="75" t="inlineStr">
        <is>
          <t>Linear Footage:</t>
        </is>
      </c>
      <c r="AN309" s="2386" t="n">
        <v>0</v>
      </c>
      <c r="AO309" s="1" t="n"/>
      <c r="AP309" s="273">
        <f>AN309/AL309</f>
        <v/>
      </c>
    </row>
    <row r="310">
      <c r="B310" s="85" t="inlineStr">
        <is>
          <t>Labor:              Guys</t>
        </is>
      </c>
      <c r="C310" s="68" t="inlineStr">
        <is>
          <t>Days</t>
        </is>
      </c>
      <c r="D310" s="68" t="inlineStr">
        <is>
          <t>Rate (PW?)</t>
        </is>
      </c>
      <c r="E310" s="87" t="inlineStr">
        <is>
          <t>Totals</t>
        </is>
      </c>
      <c r="F310" s="76" t="inlineStr">
        <is>
          <t>8hour days</t>
        </is>
      </c>
      <c r="G310" s="156" t="inlineStr">
        <is>
          <t>Estimated SF/MH</t>
        </is>
      </c>
      <c r="H310" s="274" t="n"/>
      <c r="I310" s="85" t="inlineStr">
        <is>
          <t>Labor:              Guys</t>
        </is>
      </c>
      <c r="J310" s="68" t="inlineStr">
        <is>
          <t>Days</t>
        </is>
      </c>
      <c r="K310" s="68" t="inlineStr">
        <is>
          <t>Rate (PW?)</t>
        </is>
      </c>
      <c r="L310" s="87" t="inlineStr">
        <is>
          <t>Totals</t>
        </is>
      </c>
      <c r="M310" s="76" t="inlineStr">
        <is>
          <t>8hour days</t>
        </is>
      </c>
      <c r="N310" s="156" t="inlineStr">
        <is>
          <t>Estimated SF/MH</t>
        </is>
      </c>
      <c r="P310" s="85" t="inlineStr">
        <is>
          <t>Labor:              Guys</t>
        </is>
      </c>
      <c r="Q310" s="68" t="inlineStr">
        <is>
          <t>Days</t>
        </is>
      </c>
      <c r="R310" s="68" t="inlineStr">
        <is>
          <t>Rate (PW?)</t>
        </is>
      </c>
      <c r="S310" s="87" t="inlineStr">
        <is>
          <t>Totals</t>
        </is>
      </c>
      <c r="T310" s="76" t="inlineStr">
        <is>
          <t>8hour days</t>
        </is>
      </c>
      <c r="U310" s="156" t="inlineStr">
        <is>
          <t>Estimated SF/MH</t>
        </is>
      </c>
      <c r="V310" s="274" t="n"/>
      <c r="W310" s="85" t="inlineStr">
        <is>
          <t>Labor:              Guys</t>
        </is>
      </c>
      <c r="X310" s="68" t="inlineStr">
        <is>
          <t>Days</t>
        </is>
      </c>
      <c r="Y310" s="68" t="inlineStr">
        <is>
          <t>Rate (PW?)</t>
        </is>
      </c>
      <c r="Z310" s="87" t="inlineStr">
        <is>
          <t>Totals</t>
        </is>
      </c>
      <c r="AA310" s="76" t="inlineStr">
        <is>
          <t>8hour days</t>
        </is>
      </c>
      <c r="AB310" s="156" t="inlineStr">
        <is>
          <t>Estimated SF/MH</t>
        </is>
      </c>
      <c r="AD310" s="85" t="inlineStr">
        <is>
          <t>Labor:              Guys</t>
        </is>
      </c>
      <c r="AE310" s="68" t="inlineStr">
        <is>
          <t>Days</t>
        </is>
      </c>
      <c r="AF310" s="68" t="inlineStr">
        <is>
          <t>Rate (PW?)</t>
        </is>
      </c>
      <c r="AG310" s="87" t="inlineStr">
        <is>
          <t>Totals</t>
        </is>
      </c>
      <c r="AH310" s="76" t="inlineStr">
        <is>
          <t>8hour days</t>
        </is>
      </c>
      <c r="AI310" s="156" t="inlineStr">
        <is>
          <t>Estimated SF/MH</t>
        </is>
      </c>
      <c r="AK310" s="85" t="inlineStr">
        <is>
          <t>Labor:              Guys</t>
        </is>
      </c>
      <c r="AL310" s="68" t="inlineStr">
        <is>
          <t>Days</t>
        </is>
      </c>
      <c r="AM310" s="68" t="inlineStr">
        <is>
          <t>Rate (PW?)</t>
        </is>
      </c>
      <c r="AN310" s="87" t="inlineStr">
        <is>
          <t>Totals</t>
        </is>
      </c>
      <c r="AO310" s="76" t="inlineStr">
        <is>
          <t>8hour days</t>
        </is>
      </c>
      <c r="AP310" s="156" t="inlineStr">
        <is>
          <t>Estimated SF/MH</t>
        </is>
      </c>
    </row>
    <row r="311">
      <c r="B311" s="69" t="n">
        <v>3</v>
      </c>
      <c r="C311" s="1" t="n">
        <v>0</v>
      </c>
      <c r="D311" s="2388">
        <f>$D$17</f>
        <v/>
      </c>
      <c r="E311" s="70">
        <f>B311*C311*D311*8</f>
        <v/>
      </c>
      <c r="F311" s="76" t="n"/>
      <c r="G311" s="157">
        <f>F300/(E311/D311)</f>
        <v/>
      </c>
      <c r="H311" s="154" t="n"/>
      <c r="I311" s="69" t="n">
        <v>3</v>
      </c>
      <c r="J311" s="1" t="n">
        <v>0</v>
      </c>
      <c r="K311" s="2388">
        <f>$D$17</f>
        <v/>
      </c>
      <c r="L311" s="70">
        <f>I311*J311*K311*8</f>
        <v/>
      </c>
      <c r="M311" s="76" t="n"/>
      <c r="N311" s="157">
        <f>M300/(L311/K311)</f>
        <v/>
      </c>
      <c r="P311" s="69" t="n">
        <v>3</v>
      </c>
      <c r="Q311" s="1" t="n">
        <v>0</v>
      </c>
      <c r="R311" s="2388">
        <f>$D$17</f>
        <v/>
      </c>
      <c r="S311" s="70">
        <f>P311*Q311*R311*8</f>
        <v/>
      </c>
      <c r="T311" s="76" t="n"/>
      <c r="U311" s="157">
        <f>T300/(S311/R311)</f>
        <v/>
      </c>
      <c r="V311" s="154" t="n"/>
      <c r="W311" s="69" t="n">
        <v>3</v>
      </c>
      <c r="X311" s="1" t="n">
        <v>0</v>
      </c>
      <c r="Y311" s="2388">
        <f>$D$17</f>
        <v/>
      </c>
      <c r="Z311" s="70">
        <f>W311*X311*Y311*8</f>
        <v/>
      </c>
      <c r="AA311" s="76" t="n"/>
      <c r="AB311" s="157">
        <f>AA300/(Z311/Y311)</f>
        <v/>
      </c>
      <c r="AD311" s="69" t="n">
        <v>3</v>
      </c>
      <c r="AE311" s="1" t="n">
        <v>0</v>
      </c>
      <c r="AF311" s="2388">
        <f>$D$17</f>
        <v/>
      </c>
      <c r="AG311" s="70">
        <f>AD311*AE311*AF311*8</f>
        <v/>
      </c>
      <c r="AH311" s="76" t="n"/>
      <c r="AI311" s="157">
        <f>AH300/(AG311/AF311)</f>
        <v/>
      </c>
      <c r="AK311" s="69" t="n">
        <v>3</v>
      </c>
      <c r="AL311" s="1" t="n">
        <v>0</v>
      </c>
      <c r="AM311" s="2388">
        <f>$D$17</f>
        <v/>
      </c>
      <c r="AN311" s="70">
        <f>AK311*AL311*AM311*8</f>
        <v/>
      </c>
      <c r="AO311" s="76" t="n"/>
      <c r="AP311" s="157">
        <f>AO300/(AN311/AM311)</f>
        <v/>
      </c>
    </row>
    <row r="312">
      <c r="B312" s="69" t="n"/>
      <c r="C312" s="1" t="n"/>
      <c r="D312" s="2388">
        <f>$D$17</f>
        <v/>
      </c>
      <c r="E312" s="70">
        <f>B312*C312*D312*8</f>
        <v/>
      </c>
      <c r="F312" s="76" t="n"/>
      <c r="G312" s="275">
        <f>F302/(E312/D312)</f>
        <v/>
      </c>
      <c r="H312" s="154" t="n"/>
      <c r="I312" s="69" t="n"/>
      <c r="J312" s="1" t="n"/>
      <c r="K312" s="2388">
        <f>$D$17</f>
        <v/>
      </c>
      <c r="L312" s="70">
        <f>I312*J312*K312*8</f>
        <v/>
      </c>
      <c r="M312" s="76" t="n"/>
      <c r="N312" s="275">
        <f>M302/(L312/K312)</f>
        <v/>
      </c>
      <c r="P312" s="69" t="n"/>
      <c r="Q312" s="1" t="n"/>
      <c r="R312" s="2388">
        <f>$D$17</f>
        <v/>
      </c>
      <c r="S312" s="70">
        <f>P312*Q312*R312*8</f>
        <v/>
      </c>
      <c r="T312" s="76" t="n"/>
      <c r="U312" s="275">
        <f>T302/(S312/R312)</f>
        <v/>
      </c>
      <c r="V312" s="154" t="n"/>
      <c r="W312" s="69" t="n"/>
      <c r="X312" s="1" t="n"/>
      <c r="Y312" s="2388">
        <f>$D$17</f>
        <v/>
      </c>
      <c r="Z312" s="70">
        <f>W312*X312*Y312*8</f>
        <v/>
      </c>
      <c r="AA312" s="76" t="n"/>
      <c r="AB312" s="275">
        <f>AA302/(Z312/Y312)</f>
        <v/>
      </c>
      <c r="AD312" s="69" t="n"/>
      <c r="AE312" s="1" t="n"/>
      <c r="AF312" s="2388">
        <f>$D$17</f>
        <v/>
      </c>
      <c r="AG312" s="70">
        <f>AD312*AE312*AF312*8</f>
        <v/>
      </c>
      <c r="AH312" s="76" t="n"/>
      <c r="AI312" s="275">
        <f>AH302/(AG312/AF312)</f>
        <v/>
      </c>
      <c r="AK312" s="69" t="n"/>
      <c r="AL312" s="1" t="n"/>
      <c r="AM312" s="2388">
        <f>$D$17</f>
        <v/>
      </c>
      <c r="AN312" s="70">
        <f>AK312*AL312*AM312*8</f>
        <v/>
      </c>
      <c r="AO312" s="76" t="n"/>
      <c r="AP312" s="275">
        <f>AO302/(AN312/AM312)</f>
        <v/>
      </c>
    </row>
    <row r="313">
      <c r="B313" s="86" t="inlineStr">
        <is>
          <t>Travel:             Guys</t>
        </is>
      </c>
      <c r="C313" s="67" t="inlineStr">
        <is>
          <t>Hours</t>
        </is>
      </c>
      <c r="D313" s="276" t="inlineStr">
        <is>
          <t>Rate</t>
        </is>
      </c>
      <c r="E313" s="71" t="n"/>
      <c r="F313" s="1" t="n"/>
      <c r="I313" s="86" t="inlineStr">
        <is>
          <t>Travel:             Guys</t>
        </is>
      </c>
      <c r="J313" s="67" t="inlineStr">
        <is>
          <t>Hours</t>
        </is>
      </c>
      <c r="K313" s="276" t="inlineStr">
        <is>
          <t>Rate</t>
        </is>
      </c>
      <c r="L313" s="71" t="n"/>
      <c r="M313" s="1" t="n"/>
      <c r="P313" s="86" t="inlineStr">
        <is>
          <t>Travel:             Guys</t>
        </is>
      </c>
      <c r="Q313" s="67" t="inlineStr">
        <is>
          <t>Hours</t>
        </is>
      </c>
      <c r="R313" s="276" t="inlineStr">
        <is>
          <t>Rate</t>
        </is>
      </c>
      <c r="S313" s="71" t="n"/>
      <c r="T313" s="1" t="n"/>
      <c r="W313" s="86" t="inlineStr">
        <is>
          <t>Travel:             Guys</t>
        </is>
      </c>
      <c r="X313" s="67" t="inlineStr">
        <is>
          <t>Hours</t>
        </is>
      </c>
      <c r="Y313" s="276" t="inlineStr">
        <is>
          <t>Rate</t>
        </is>
      </c>
      <c r="Z313" s="71" t="n"/>
      <c r="AA313" s="1" t="n"/>
      <c r="AD313" s="86" t="inlineStr">
        <is>
          <t>Travel:             Guys</t>
        </is>
      </c>
      <c r="AE313" s="67" t="inlineStr">
        <is>
          <t>Hours</t>
        </is>
      </c>
      <c r="AF313" s="276" t="inlineStr">
        <is>
          <t>Rate</t>
        </is>
      </c>
      <c r="AG313" s="71" t="n"/>
      <c r="AH313" s="1" t="n"/>
      <c r="AK313" s="86" t="inlineStr">
        <is>
          <t>Travel:             Guys</t>
        </is>
      </c>
      <c r="AL313" s="67" t="inlineStr">
        <is>
          <t>Hours</t>
        </is>
      </c>
      <c r="AM313" s="276" t="inlineStr">
        <is>
          <t>Rate</t>
        </is>
      </c>
      <c r="AN313" s="71" t="n"/>
      <c r="AO313" s="1" t="n"/>
    </row>
    <row r="314">
      <c r="B314" s="69" t="n">
        <v>0</v>
      </c>
      <c r="C314" s="1" t="n">
        <v>0</v>
      </c>
      <c r="D314" s="2388">
        <f>$D$20</f>
        <v/>
      </c>
      <c r="E314" s="70">
        <f>B314*C314*D314</f>
        <v/>
      </c>
      <c r="F314" s="76" t="n"/>
      <c r="I314" s="69" t="n">
        <v>0</v>
      </c>
      <c r="J314" s="1" t="n">
        <v>0</v>
      </c>
      <c r="K314" s="2388">
        <f>$D$20</f>
        <v/>
      </c>
      <c r="L314" s="70">
        <f>I314*J314*K314</f>
        <v/>
      </c>
      <c r="M314" s="76" t="n"/>
      <c r="P314" s="69" t="n">
        <v>0</v>
      </c>
      <c r="Q314" s="1" t="n">
        <v>0</v>
      </c>
      <c r="R314" s="2388">
        <f>$D$20</f>
        <v/>
      </c>
      <c r="S314" s="70">
        <f>P314*Q314*R314</f>
        <v/>
      </c>
      <c r="T314" s="76" t="n"/>
      <c r="W314" s="69" t="n">
        <v>0</v>
      </c>
      <c r="X314" s="1" t="n">
        <v>0</v>
      </c>
      <c r="Y314" s="2388">
        <f>$D$20</f>
        <v/>
      </c>
      <c r="Z314" s="70">
        <f>W314*X314*Y314</f>
        <v/>
      </c>
      <c r="AA314" s="76" t="n"/>
      <c r="AD314" s="69" t="n">
        <v>0</v>
      </c>
      <c r="AE314" s="1" t="n">
        <v>0</v>
      </c>
      <c r="AF314" s="2388">
        <f>$D$20</f>
        <v/>
      </c>
      <c r="AG314" s="70">
        <f>AD314*AE314*AF314</f>
        <v/>
      </c>
      <c r="AH314" s="76" t="n"/>
      <c r="AK314" s="69" t="n">
        <v>0</v>
      </c>
      <c r="AL314" s="1" t="n">
        <v>0</v>
      </c>
      <c r="AM314" s="2388">
        <f>$D$20</f>
        <v/>
      </c>
      <c r="AN314" s="70">
        <f>AK314*AL314*AM314</f>
        <v/>
      </c>
      <c r="AO314" s="76" t="n"/>
    </row>
    <row r="315">
      <c r="B315" s="277" t="inlineStr">
        <is>
          <t>Labor Total</t>
        </is>
      </c>
      <c r="C315" s="278" t="n"/>
      <c r="D315" s="278" t="n"/>
      <c r="E315" s="2390">
        <f>ROUNDUP(SUM(E311:E314),0)</f>
        <v/>
      </c>
      <c r="F315" s="123">
        <f>E315/C309</f>
        <v/>
      </c>
      <c r="G315" s="124" t="inlineStr">
        <is>
          <t>Labor $/SF</t>
        </is>
      </c>
      <c r="H315" s="1" t="n"/>
      <c r="I315" s="277" t="inlineStr">
        <is>
          <t>Labor Total</t>
        </is>
      </c>
      <c r="J315" s="278" t="n"/>
      <c r="K315" s="278" t="n"/>
      <c r="L315" s="2390">
        <f>ROUNDUP(SUM(L311:L314),0)</f>
        <v/>
      </c>
      <c r="M315" s="123">
        <f>L315/J309</f>
        <v/>
      </c>
      <c r="N315" s="124" t="inlineStr">
        <is>
          <t>Labor $/SF</t>
        </is>
      </c>
      <c r="P315" s="277" t="inlineStr">
        <is>
          <t>Labor Total</t>
        </is>
      </c>
      <c r="Q315" s="278" t="n"/>
      <c r="R315" s="278" t="n"/>
      <c r="S315" s="2390">
        <f>ROUNDUP(SUM(S311:S314),0)</f>
        <v/>
      </c>
      <c r="T315" s="123">
        <f>S315/Q309</f>
        <v/>
      </c>
      <c r="U315" s="124" t="inlineStr">
        <is>
          <t>Labor $/SF</t>
        </is>
      </c>
      <c r="V315" s="1" t="n"/>
      <c r="W315" s="277" t="inlineStr">
        <is>
          <t>Labor Total</t>
        </is>
      </c>
      <c r="X315" s="278" t="n"/>
      <c r="Y315" s="278" t="n"/>
      <c r="Z315" s="2390">
        <f>ROUNDUP(SUM(Z311:Z314),0)</f>
        <v/>
      </c>
      <c r="AA315" s="123">
        <f>Z315/X309</f>
        <v/>
      </c>
      <c r="AB315" s="124" t="inlineStr">
        <is>
          <t>Labor $/SF</t>
        </is>
      </c>
      <c r="AD315" s="277" t="inlineStr">
        <is>
          <t>Labor Total</t>
        </is>
      </c>
      <c r="AE315" s="278" t="n"/>
      <c r="AF315" s="278" t="n"/>
      <c r="AG315" s="2390">
        <f>ROUNDUP(SUM(AG311:AG314),0)</f>
        <v/>
      </c>
      <c r="AH315" s="123">
        <f>AG315/AE309</f>
        <v/>
      </c>
      <c r="AI315" s="124" t="inlineStr">
        <is>
          <t>Labor $/SF</t>
        </is>
      </c>
      <c r="AK315" s="277" t="inlineStr">
        <is>
          <t>Labor Total</t>
        </is>
      </c>
      <c r="AL315" s="278" t="n"/>
      <c r="AM315" s="278" t="n"/>
      <c r="AN315" s="2390">
        <f>ROUNDUP(SUM(AN311:AN314),0)</f>
        <v/>
      </c>
      <c r="AO315" s="123">
        <f>AN315/AL309</f>
        <v/>
      </c>
      <c r="AP315" s="124" t="inlineStr">
        <is>
          <t>Labor $/SF</t>
        </is>
      </c>
    </row>
    <row r="316">
      <c r="B316" s="1" t="n"/>
      <c r="C316" s="1892" t="n"/>
      <c r="D316" s="2282" t="n"/>
      <c r="E316" s="2282" t="n"/>
      <c r="F316" s="2282" t="n"/>
      <c r="G316" s="1" t="n"/>
      <c r="H316" s="1" t="n"/>
      <c r="I316" s="1" t="n"/>
      <c r="J316" s="1892" t="n"/>
      <c r="K316" s="2282" t="n"/>
      <c r="L316" s="2282" t="n"/>
      <c r="M316" s="2282" t="n"/>
      <c r="N316" s="1" t="n"/>
      <c r="P316" s="1" t="n"/>
      <c r="Q316" s="1892" t="n"/>
      <c r="R316" s="2282" t="n"/>
      <c r="S316" s="2282" t="n"/>
      <c r="T316" s="2282" t="n"/>
      <c r="U316" s="1" t="n"/>
      <c r="V316" s="1" t="n"/>
      <c r="W316" s="1" t="n"/>
      <c r="X316" s="1892" t="n"/>
      <c r="Y316" s="2282" t="n"/>
      <c r="Z316" s="2282" t="n"/>
      <c r="AA316" s="2282" t="n"/>
      <c r="AB316" s="1" t="n"/>
      <c r="AD316" s="1" t="n"/>
      <c r="AE316" s="1892" t="n"/>
      <c r="AF316" s="2282" t="n"/>
      <c r="AG316" s="2282" t="n"/>
      <c r="AH316" s="2282" t="n"/>
      <c r="AI316" s="1" t="n"/>
      <c r="AK316" s="1" t="n"/>
      <c r="AL316" s="1892" t="n"/>
      <c r="AM316" s="2282" t="n"/>
      <c r="AN316" s="2282" t="n"/>
      <c r="AO316" s="2282" t="n"/>
      <c r="AP316" s="1" t="n"/>
    </row>
    <row r="317">
      <c r="B317" s="5" t="inlineStr">
        <is>
          <t>OTHER COSTS</t>
        </is>
      </c>
      <c r="C317" s="30" t="inlineStr">
        <is>
          <t>Quantity</t>
        </is>
      </c>
      <c r="D317" s="11" t="inlineStr">
        <is>
          <t>Cost</t>
        </is>
      </c>
      <c r="E317" s="2019" t="inlineStr">
        <is>
          <t>Total</t>
        </is>
      </c>
      <c r="F317" s="1" t="n"/>
      <c r="G317" s="1" t="n"/>
      <c r="H317" s="1" t="n"/>
      <c r="I317" s="5" t="inlineStr">
        <is>
          <t>OTHER COSTS</t>
        </is>
      </c>
      <c r="J317" s="30" t="inlineStr">
        <is>
          <t>Quantity</t>
        </is>
      </c>
      <c r="K317" s="11" t="inlineStr">
        <is>
          <t>Cost</t>
        </is>
      </c>
      <c r="L317" s="2019" t="inlineStr">
        <is>
          <t>Total</t>
        </is>
      </c>
      <c r="M317" s="1" t="n"/>
      <c r="N317" s="1" t="n"/>
      <c r="P317" s="5" t="inlineStr">
        <is>
          <t>OTHER COSTS</t>
        </is>
      </c>
      <c r="Q317" s="30" t="inlineStr">
        <is>
          <t>Quantity</t>
        </is>
      </c>
      <c r="R317" s="11" t="inlineStr">
        <is>
          <t>Cost</t>
        </is>
      </c>
      <c r="S317" s="2019" t="inlineStr">
        <is>
          <t>Total</t>
        </is>
      </c>
      <c r="T317" s="1" t="n"/>
      <c r="U317" s="1" t="n"/>
      <c r="V317" s="1" t="n"/>
      <c r="W317" s="5" t="inlineStr">
        <is>
          <t>OTHER COSTS</t>
        </is>
      </c>
      <c r="X317" s="30" t="inlineStr">
        <is>
          <t>Quantity</t>
        </is>
      </c>
      <c r="Y317" s="11" t="inlineStr">
        <is>
          <t>Cost</t>
        </is>
      </c>
      <c r="Z317" s="2019" t="inlineStr">
        <is>
          <t>Total</t>
        </is>
      </c>
      <c r="AA317" s="1" t="n"/>
      <c r="AB317" s="1" t="n"/>
      <c r="AD317" s="5" t="inlineStr">
        <is>
          <t>OTHER COSTS</t>
        </is>
      </c>
      <c r="AE317" s="30" t="inlineStr">
        <is>
          <t>Quantity</t>
        </is>
      </c>
      <c r="AF317" s="11" t="inlineStr">
        <is>
          <t>Cost</t>
        </is>
      </c>
      <c r="AG317" s="2019" t="inlineStr">
        <is>
          <t>Total</t>
        </is>
      </c>
      <c r="AH317" s="1" t="n"/>
      <c r="AI317" s="1" t="n"/>
      <c r="AK317" s="5" t="inlineStr">
        <is>
          <t>OTHER COSTS</t>
        </is>
      </c>
      <c r="AL317" s="30" t="inlineStr">
        <is>
          <t>Quantity</t>
        </is>
      </c>
      <c r="AM317" s="11" t="inlineStr">
        <is>
          <t>Cost</t>
        </is>
      </c>
      <c r="AN317" s="2019" t="inlineStr">
        <is>
          <t>Total</t>
        </is>
      </c>
      <c r="AO317" s="1" t="n"/>
      <c r="AP317" s="1" t="n"/>
    </row>
    <row r="318">
      <c r="B318" s="6" t="inlineStr">
        <is>
          <t>Moisture Test</t>
        </is>
      </c>
      <c r="C318" s="37" t="n"/>
      <c r="D318" s="2282" t="n">
        <v>35</v>
      </c>
      <c r="E318" s="2038">
        <f>ROUNDUP(C318*D318,0)</f>
        <v/>
      </c>
      <c r="F318" s="1" t="n"/>
      <c r="G318" s="1" t="n"/>
      <c r="H318" s="1" t="n"/>
      <c r="I318" s="6" t="inlineStr">
        <is>
          <t>Moisture Test</t>
        </is>
      </c>
      <c r="J318" s="37" t="n"/>
      <c r="K318" s="2282" t="n">
        <v>35</v>
      </c>
      <c r="L318" s="2038">
        <f>ROUNDUP(J318*K318,0)</f>
        <v/>
      </c>
      <c r="M318" s="1" t="n"/>
      <c r="N318" s="1" t="n"/>
      <c r="P318" s="6" t="inlineStr">
        <is>
          <t>Moisture Test</t>
        </is>
      </c>
      <c r="Q318" s="37" t="n"/>
      <c r="R318" s="2282" t="n">
        <v>35</v>
      </c>
      <c r="S318" s="2038">
        <f>ROUNDUP(Q318*R318,0)</f>
        <v/>
      </c>
      <c r="T318" s="1" t="n"/>
      <c r="U318" s="1" t="n"/>
      <c r="V318" s="1" t="n"/>
      <c r="W318" s="6" t="inlineStr">
        <is>
          <t>Moisture Test</t>
        </is>
      </c>
      <c r="X318" s="37" t="n"/>
      <c r="Y318" s="2282" t="n">
        <v>35</v>
      </c>
      <c r="Z318" s="2038">
        <f>ROUNDUP(X318*Y318,0)</f>
        <v/>
      </c>
      <c r="AA318" s="1" t="n"/>
      <c r="AB318" s="1" t="n"/>
      <c r="AD318" s="6" t="inlineStr">
        <is>
          <t>Moisture Test</t>
        </is>
      </c>
      <c r="AE318" s="37" t="n"/>
      <c r="AF318" s="2282" t="n">
        <v>35</v>
      </c>
      <c r="AG318" s="2038">
        <f>ROUNDUP(AE318*AF318,0)</f>
        <v/>
      </c>
      <c r="AH318" s="1" t="n"/>
      <c r="AI318" s="1" t="n"/>
      <c r="AK318" s="6" t="inlineStr">
        <is>
          <t>Moisture Test</t>
        </is>
      </c>
      <c r="AL318" s="37" t="n"/>
      <c r="AM318" s="2282" t="n">
        <v>35</v>
      </c>
      <c r="AN318" s="2038">
        <f>ROUNDUP(AL318*AM318,0)</f>
        <v/>
      </c>
      <c r="AO318" s="1" t="n"/>
      <c r="AP318" s="1" t="n"/>
    </row>
    <row r="319">
      <c r="B319" s="6" t="inlineStr">
        <is>
          <t>Tooling &amp; Consumables</t>
        </is>
      </c>
      <c r="C319" s="37" t="n"/>
      <c r="D319" s="2282" t="n">
        <v>0.33</v>
      </c>
      <c r="E319" s="2038">
        <f>ROUNDUP(C319*D319,0)</f>
        <v/>
      </c>
      <c r="F319" s="1" t="n"/>
      <c r="G319" s="1" t="n"/>
      <c r="H319" s="1" t="n"/>
      <c r="I319" s="6" t="inlineStr">
        <is>
          <t>Tooling &amp; Consumables</t>
        </is>
      </c>
      <c r="J319" s="37" t="n"/>
      <c r="K319" s="2282" t="n">
        <v>0.33</v>
      </c>
      <c r="L319" s="2038">
        <f>ROUNDUP(J319*K319,0)</f>
        <v/>
      </c>
      <c r="M319" s="1" t="n"/>
      <c r="N319" s="1" t="n"/>
      <c r="P319" s="6" t="inlineStr">
        <is>
          <t>Tooling &amp; Consumables</t>
        </is>
      </c>
      <c r="Q319" s="37" t="n"/>
      <c r="R319" s="2282" t="n">
        <v>0.33</v>
      </c>
      <c r="S319" s="2038">
        <f>ROUNDUP(Q319*R319,0)</f>
        <v/>
      </c>
      <c r="T319" s="1" t="n"/>
      <c r="U319" s="1" t="n"/>
      <c r="V319" s="1" t="n"/>
      <c r="W319" s="6" t="inlineStr">
        <is>
          <t>Tooling &amp; Consumables</t>
        </is>
      </c>
      <c r="X319" s="37" t="n"/>
      <c r="Y319" s="2282" t="n">
        <v>0.33</v>
      </c>
      <c r="Z319" s="2038">
        <f>ROUNDUP(X319*Y319,0)</f>
        <v/>
      </c>
      <c r="AA319" s="1" t="n"/>
      <c r="AB319" s="1" t="n"/>
      <c r="AD319" s="6" t="inlineStr">
        <is>
          <t>Tooling &amp; Consumables</t>
        </is>
      </c>
      <c r="AE319" s="37" t="n"/>
      <c r="AF319" s="2282" t="n">
        <v>0.33</v>
      </c>
      <c r="AG319" s="2038">
        <f>ROUNDUP(AE319*AF319,0)</f>
        <v/>
      </c>
      <c r="AH319" s="1" t="n"/>
      <c r="AI319" s="1" t="n"/>
      <c r="AK319" s="6" t="inlineStr">
        <is>
          <t>Tooling &amp; Consumables</t>
        </is>
      </c>
      <c r="AL319" s="37" t="n"/>
      <c r="AM319" s="2282" t="n">
        <v>0.33</v>
      </c>
      <c r="AN319" s="2038">
        <f>ROUNDUP(AL319*AM319,0)</f>
        <v/>
      </c>
      <c r="AO319" s="1" t="n"/>
      <c r="AP319" s="1" t="n"/>
    </row>
    <row r="320">
      <c r="B320" s="6" t="inlineStr">
        <is>
          <t>Travel - Lodging</t>
        </is>
      </c>
      <c r="C320" s="37" t="n">
        <v>0</v>
      </c>
      <c r="D320" s="2282">
        <f>$D$26</f>
        <v/>
      </c>
      <c r="E320" s="2038">
        <f>ROUNDUP(C320*D320,0)</f>
        <v/>
      </c>
      <c r="F320" s="1" t="n"/>
      <c r="G320" s="1" t="n"/>
      <c r="H320" s="1" t="n"/>
      <c r="I320" s="6" t="inlineStr">
        <is>
          <t>Travel - Lodging</t>
        </is>
      </c>
      <c r="J320" s="37" t="n">
        <v>0</v>
      </c>
      <c r="K320" s="2282">
        <f>$D$26</f>
        <v/>
      </c>
      <c r="L320" s="2038">
        <f>ROUNDUP(J320*K320,0)</f>
        <v/>
      </c>
      <c r="M320" s="1" t="n"/>
      <c r="N320" s="1" t="n"/>
      <c r="P320" s="6" t="inlineStr">
        <is>
          <t>Travel - Lodging</t>
        </is>
      </c>
      <c r="Q320" s="37" t="n">
        <v>0</v>
      </c>
      <c r="R320" s="2282">
        <f>$D$26</f>
        <v/>
      </c>
      <c r="S320" s="2038">
        <f>ROUNDUP(Q320*R320,0)</f>
        <v/>
      </c>
      <c r="T320" s="1" t="n"/>
      <c r="U320" s="1" t="n"/>
      <c r="V320" s="1" t="n"/>
      <c r="W320" s="6" t="inlineStr">
        <is>
          <t>Travel - Lodging</t>
        </is>
      </c>
      <c r="X320" s="37" t="n">
        <v>0</v>
      </c>
      <c r="Y320" s="2282">
        <f>$D$26</f>
        <v/>
      </c>
      <c r="Z320" s="2038">
        <f>ROUNDUP(X320*Y320,0)</f>
        <v/>
      </c>
      <c r="AA320" s="1" t="n"/>
      <c r="AB320" s="1" t="n"/>
      <c r="AD320" s="6" t="inlineStr">
        <is>
          <t>Travel - Lodging</t>
        </is>
      </c>
      <c r="AE320" s="37" t="n">
        <v>0</v>
      </c>
      <c r="AF320" s="2282">
        <f>$D$26</f>
        <v/>
      </c>
      <c r="AG320" s="2038">
        <f>ROUNDUP(AE320*AF320,0)</f>
        <v/>
      </c>
      <c r="AH320" s="1" t="n"/>
      <c r="AI320" s="1" t="n"/>
      <c r="AK320" s="6" t="inlineStr">
        <is>
          <t>Travel - Lodging</t>
        </is>
      </c>
      <c r="AL320" s="37" t="n">
        <v>0</v>
      </c>
      <c r="AM320" s="2282">
        <f>$D$26</f>
        <v/>
      </c>
      <c r="AN320" s="2038">
        <f>ROUNDUP(AL320*AM320,0)</f>
        <v/>
      </c>
      <c r="AO320" s="1" t="n"/>
      <c r="AP320" s="1" t="n"/>
    </row>
    <row r="321">
      <c r="B321" s="6" t="inlineStr">
        <is>
          <t>Travel - Food</t>
        </is>
      </c>
      <c r="C321" s="37">
        <f>C320</f>
        <v/>
      </c>
      <c r="D321" s="2282">
        <f>$D$27</f>
        <v/>
      </c>
      <c r="E321" s="2038">
        <f>ROUNDUP(C321*D321,0)</f>
        <v/>
      </c>
      <c r="F321" s="43" t="n"/>
      <c r="G321" s="1" t="n"/>
      <c r="H321" s="1" t="n"/>
      <c r="I321" s="6" t="inlineStr">
        <is>
          <t>Travel - Food</t>
        </is>
      </c>
      <c r="J321" s="37">
        <f>J320</f>
        <v/>
      </c>
      <c r="K321" s="2282">
        <f>$D$27</f>
        <v/>
      </c>
      <c r="L321" s="2038">
        <f>ROUNDUP(J321*K321,0)</f>
        <v/>
      </c>
      <c r="M321" s="43" t="n"/>
      <c r="N321" s="1" t="n"/>
      <c r="P321" s="6" t="inlineStr">
        <is>
          <t>Travel - Food</t>
        </is>
      </c>
      <c r="Q321" s="37">
        <f>Q320</f>
        <v/>
      </c>
      <c r="R321" s="2282">
        <f>$D$27</f>
        <v/>
      </c>
      <c r="S321" s="2038">
        <f>ROUNDUP(Q321*R321,0)</f>
        <v/>
      </c>
      <c r="T321" s="43" t="n"/>
      <c r="U321" s="1" t="n"/>
      <c r="V321" s="1" t="n"/>
      <c r="W321" s="6" t="inlineStr">
        <is>
          <t>Travel - Food</t>
        </is>
      </c>
      <c r="X321" s="37">
        <f>X320</f>
        <v/>
      </c>
      <c r="Y321" s="2282">
        <f>$D$27</f>
        <v/>
      </c>
      <c r="Z321" s="2038">
        <f>ROUNDUP(X321*Y321,0)</f>
        <v/>
      </c>
      <c r="AA321" s="43" t="n"/>
      <c r="AB321" s="1" t="n"/>
      <c r="AD321" s="6" t="inlineStr">
        <is>
          <t>Travel - Food</t>
        </is>
      </c>
      <c r="AE321" s="37">
        <f>AE320</f>
        <v/>
      </c>
      <c r="AF321" s="2282">
        <f>$D$27</f>
        <v/>
      </c>
      <c r="AG321" s="2038">
        <f>ROUNDUP(AE321*AF321,0)</f>
        <v/>
      </c>
      <c r="AH321" s="43" t="n"/>
      <c r="AI321" s="1" t="n"/>
      <c r="AK321" s="6" t="inlineStr">
        <is>
          <t>Travel - Food</t>
        </is>
      </c>
      <c r="AL321" s="37">
        <f>AL320</f>
        <v/>
      </c>
      <c r="AM321" s="2282">
        <f>$D$27</f>
        <v/>
      </c>
      <c r="AN321" s="2038">
        <f>ROUNDUP(AL321*AM321,0)</f>
        <v/>
      </c>
      <c r="AO321" s="43" t="n"/>
      <c r="AP321" s="1" t="n"/>
    </row>
    <row r="322">
      <c r="B322" s="6" t="inlineStr">
        <is>
          <t>Foreman - Fuel</t>
        </is>
      </c>
      <c r="C322" s="37" t="n">
        <v>0</v>
      </c>
      <c r="D322" s="2282">
        <f>$D$28</f>
        <v/>
      </c>
      <c r="E322" s="2038">
        <f>ROUNDUP(C322*D322,0)</f>
        <v/>
      </c>
      <c r="F322" s="43" t="n"/>
      <c r="G322" s="1" t="n"/>
      <c r="H322" s="1" t="n"/>
      <c r="I322" s="6" t="inlineStr">
        <is>
          <t>Foreman - Fuel</t>
        </is>
      </c>
      <c r="J322" s="37" t="n">
        <v>0</v>
      </c>
      <c r="K322" s="2282">
        <f>$D$28</f>
        <v/>
      </c>
      <c r="L322" s="2038">
        <f>ROUNDUP(J322*K322,0)</f>
        <v/>
      </c>
      <c r="M322" s="43" t="n"/>
      <c r="N322" s="1" t="n"/>
      <c r="P322" s="6" t="inlineStr">
        <is>
          <t>Foreman - Fuel</t>
        </is>
      </c>
      <c r="Q322" s="37" t="n">
        <v>0</v>
      </c>
      <c r="R322" s="2282">
        <f>$D$28</f>
        <v/>
      </c>
      <c r="S322" s="2038">
        <f>ROUNDUP(Q322*R322,0)</f>
        <v/>
      </c>
      <c r="T322" s="43" t="n"/>
      <c r="U322" s="1" t="n"/>
      <c r="V322" s="1" t="n"/>
      <c r="W322" s="6" t="inlineStr">
        <is>
          <t>Foreman - Fuel</t>
        </is>
      </c>
      <c r="X322" s="37" t="n">
        <v>0</v>
      </c>
      <c r="Y322" s="2282">
        <f>$D$28</f>
        <v/>
      </c>
      <c r="Z322" s="2038">
        <f>ROUNDUP(X322*Y322,0)</f>
        <v/>
      </c>
      <c r="AA322" s="43" t="n"/>
      <c r="AB322" s="1" t="n"/>
      <c r="AD322" s="6" t="inlineStr">
        <is>
          <t>Foreman - Fuel</t>
        </is>
      </c>
      <c r="AE322" s="37" t="n">
        <v>0</v>
      </c>
      <c r="AF322" s="2282">
        <f>$D$28</f>
        <v/>
      </c>
      <c r="AG322" s="2038">
        <f>ROUNDUP(AE322*AF322,0)</f>
        <v/>
      </c>
      <c r="AH322" s="43" t="n"/>
      <c r="AI322" s="1" t="n"/>
      <c r="AK322" s="6" t="inlineStr">
        <is>
          <t>Foreman - Fuel</t>
        </is>
      </c>
      <c r="AL322" s="37" t="n">
        <v>0</v>
      </c>
      <c r="AM322" s="2282">
        <f>$D$28</f>
        <v/>
      </c>
      <c r="AN322" s="2038">
        <f>ROUNDUP(AL322*AM322,0)</f>
        <v/>
      </c>
      <c r="AO322" s="43" t="n"/>
      <c r="AP322" s="1" t="n"/>
    </row>
    <row r="323">
      <c r="B323" s="6" t="inlineStr">
        <is>
          <t>Generator Fuel</t>
        </is>
      </c>
      <c r="C323" s="37" t="n"/>
      <c r="D323" s="2282" t="n">
        <v>0.04</v>
      </c>
      <c r="E323" s="2038">
        <f>ROUNDUP(C323*D323,0)</f>
        <v/>
      </c>
      <c r="F323" s="1" t="n"/>
      <c r="G323" s="1" t="n"/>
      <c r="H323" s="1" t="n"/>
      <c r="I323" s="6" t="inlineStr">
        <is>
          <t>Generator Fuel</t>
        </is>
      </c>
      <c r="J323" s="37" t="n"/>
      <c r="K323" s="2282" t="n">
        <v>0.04</v>
      </c>
      <c r="L323" s="2038">
        <f>ROUNDUP(J323*K323,0)</f>
        <v/>
      </c>
      <c r="M323" s="1" t="n"/>
      <c r="N323" s="1" t="n"/>
      <c r="P323" s="6" t="inlineStr">
        <is>
          <t>Generator Fuel</t>
        </is>
      </c>
      <c r="Q323" s="37" t="n"/>
      <c r="R323" s="2282" t="n">
        <v>0.04</v>
      </c>
      <c r="S323" s="2038">
        <f>ROUNDUP(Q323*R323,0)</f>
        <v/>
      </c>
      <c r="T323" s="1" t="n"/>
      <c r="U323" s="1" t="n"/>
      <c r="V323" s="1" t="n"/>
      <c r="W323" s="6" t="inlineStr">
        <is>
          <t>Generator Fuel</t>
        </is>
      </c>
      <c r="X323" s="37" t="n"/>
      <c r="Y323" s="2282" t="n">
        <v>0.04</v>
      </c>
      <c r="Z323" s="2038">
        <f>ROUNDUP(X323*Y323,0)</f>
        <v/>
      </c>
      <c r="AA323" s="1" t="n"/>
      <c r="AB323" s="1" t="n"/>
      <c r="AD323" s="6" t="inlineStr">
        <is>
          <t>Generator Fuel</t>
        </is>
      </c>
      <c r="AE323" s="37" t="n"/>
      <c r="AF323" s="2282" t="n">
        <v>0.04</v>
      </c>
      <c r="AG323" s="2038">
        <f>ROUNDUP(AE323*AF323,0)</f>
        <v/>
      </c>
      <c r="AH323" s="1" t="n"/>
      <c r="AI323" s="1" t="n"/>
      <c r="AK323" s="6" t="inlineStr">
        <is>
          <t>Generator Fuel</t>
        </is>
      </c>
      <c r="AL323" s="37" t="n"/>
      <c r="AM323" s="2282" t="n">
        <v>0.04</v>
      </c>
      <c r="AN323" s="2038">
        <f>ROUNDUP(AL323*AM323,0)</f>
        <v/>
      </c>
      <c r="AO323" s="1" t="n"/>
      <c r="AP323" s="1" t="n"/>
    </row>
    <row r="324">
      <c r="B324" s="6" t="inlineStr">
        <is>
          <t>Plastic</t>
        </is>
      </c>
      <c r="C324" s="37" t="n"/>
      <c r="D324" s="2282" t="n"/>
      <c r="E324" s="2038">
        <f>ROUNDUP(C324*D324,0)</f>
        <v/>
      </c>
      <c r="F324" s="1" t="n"/>
      <c r="G324" s="1" t="n"/>
      <c r="H324" s="1" t="n"/>
      <c r="I324" s="6" t="inlineStr">
        <is>
          <t>Plastic</t>
        </is>
      </c>
      <c r="J324" s="37" t="n"/>
      <c r="K324" s="2282" t="n"/>
      <c r="L324" s="2038">
        <f>ROUNDUP(J324*K324,0)</f>
        <v/>
      </c>
      <c r="M324" s="1" t="n"/>
      <c r="N324" s="1" t="n"/>
      <c r="P324" s="6" t="inlineStr">
        <is>
          <t>Plastic</t>
        </is>
      </c>
      <c r="Q324" s="37" t="n"/>
      <c r="R324" s="2282" t="n"/>
      <c r="S324" s="2038">
        <f>ROUNDUP(Q324*R324,0)</f>
        <v/>
      </c>
      <c r="T324" s="1" t="n"/>
      <c r="U324" s="1" t="n"/>
      <c r="V324" s="1" t="n"/>
      <c r="W324" s="6" t="inlineStr">
        <is>
          <t>Plastic</t>
        </is>
      </c>
      <c r="X324" s="37" t="n"/>
      <c r="Y324" s="2282" t="n"/>
      <c r="Z324" s="2038">
        <f>ROUNDUP(X324*Y324,0)</f>
        <v/>
      </c>
      <c r="AA324" s="1" t="n"/>
      <c r="AB324" s="1" t="n"/>
      <c r="AD324" s="6" t="inlineStr">
        <is>
          <t>Plastic</t>
        </is>
      </c>
      <c r="AE324" s="37" t="n"/>
      <c r="AF324" s="2282" t="n"/>
      <c r="AG324" s="2038">
        <f>ROUNDUP(AE324*AF324,0)</f>
        <v/>
      </c>
      <c r="AH324" s="1" t="n"/>
      <c r="AI324" s="1" t="n"/>
      <c r="AK324" s="6" t="inlineStr">
        <is>
          <t>Plastic</t>
        </is>
      </c>
      <c r="AL324" s="37" t="n"/>
      <c r="AM324" s="2282" t="n"/>
      <c r="AN324" s="2038">
        <f>ROUNDUP(AL324*AM324,0)</f>
        <v/>
      </c>
      <c r="AO324" s="1" t="n"/>
      <c r="AP324" s="1" t="n"/>
    </row>
    <row r="325">
      <c r="B325" s="10" t="inlineStr">
        <is>
          <t>Other Costs Total</t>
        </is>
      </c>
      <c r="C325" s="36" t="n"/>
      <c r="D325" s="2339" t="n"/>
      <c r="E325" s="2340">
        <f>SUM(E318:E324)</f>
        <v/>
      </c>
      <c r="F325" s="1" t="n"/>
      <c r="G325" s="1" t="n"/>
      <c r="H325" s="1" t="n"/>
      <c r="I325" s="10" t="inlineStr">
        <is>
          <t>Other Costs Total</t>
        </is>
      </c>
      <c r="J325" s="36" t="n"/>
      <c r="K325" s="2339" t="n"/>
      <c r="L325" s="2340">
        <f>SUM(L318:L324)</f>
        <v/>
      </c>
      <c r="M325" s="1" t="n"/>
      <c r="N325" s="1" t="n"/>
      <c r="P325" s="10" t="inlineStr">
        <is>
          <t>Other Costs Total</t>
        </is>
      </c>
      <c r="Q325" s="36" t="n"/>
      <c r="R325" s="2339" t="n"/>
      <c r="S325" s="2340">
        <f>SUM(S318:S324)</f>
        <v/>
      </c>
      <c r="T325" s="1" t="n"/>
      <c r="U325" s="1" t="n"/>
      <c r="V325" s="1" t="n"/>
      <c r="W325" s="10" t="inlineStr">
        <is>
          <t>Other Costs Total</t>
        </is>
      </c>
      <c r="X325" s="36" t="n"/>
      <c r="Y325" s="2339" t="n"/>
      <c r="Z325" s="2340">
        <f>SUM(Z318:Z324)</f>
        <v/>
      </c>
      <c r="AA325" s="1" t="n"/>
      <c r="AB325" s="1" t="n"/>
      <c r="AD325" s="10" t="inlineStr">
        <is>
          <t>Other Costs Total</t>
        </is>
      </c>
      <c r="AE325" s="36" t="n"/>
      <c r="AF325" s="2339" t="n"/>
      <c r="AG325" s="2340">
        <f>SUM(AG318:AG324)</f>
        <v/>
      </c>
      <c r="AH325" s="1" t="n"/>
      <c r="AI325" s="1" t="n"/>
      <c r="AK325" s="10" t="inlineStr">
        <is>
          <t>Other Costs Total</t>
        </is>
      </c>
      <c r="AL325" s="36" t="n"/>
      <c r="AM325" s="2339" t="n"/>
      <c r="AN325" s="2340">
        <f>SUM(AN318:AN324)</f>
        <v/>
      </c>
      <c r="AO325" s="1" t="n"/>
      <c r="AP325" s="1" t="n"/>
    </row>
    <row r="326">
      <c r="B326" s="1" t="n"/>
      <c r="C326" s="1892" t="n"/>
      <c r="D326" s="2282" t="n"/>
      <c r="E326" s="2282" t="n"/>
      <c r="F326" s="1" t="n"/>
      <c r="G326" s="1" t="n"/>
      <c r="H326" s="1" t="n"/>
      <c r="I326" s="1" t="n"/>
      <c r="J326" s="1892" t="n"/>
      <c r="K326" s="2282" t="n"/>
      <c r="L326" s="2282" t="n"/>
      <c r="M326" s="1" t="n"/>
      <c r="N326" s="1" t="n"/>
      <c r="P326" s="1" t="n"/>
      <c r="Q326" s="1892" t="n"/>
      <c r="R326" s="2282" t="n"/>
      <c r="S326" s="2282" t="n"/>
      <c r="T326" s="1" t="n"/>
      <c r="U326" s="1" t="n"/>
      <c r="V326" s="1" t="n"/>
      <c r="W326" s="1" t="n"/>
      <c r="X326" s="1892" t="n"/>
      <c r="Y326" s="2282" t="n"/>
      <c r="Z326" s="2282" t="n"/>
      <c r="AA326" s="1" t="n"/>
      <c r="AB326" s="1" t="n"/>
      <c r="AD326" s="1" t="n"/>
      <c r="AE326" s="1892" t="n"/>
      <c r="AF326" s="2282" t="n"/>
      <c r="AG326" s="2282" t="n"/>
      <c r="AH326" s="1" t="n"/>
      <c r="AI326" s="1" t="n"/>
      <c r="AK326" s="1" t="n"/>
      <c r="AL326" s="1892" t="n"/>
      <c r="AM326" s="2282" t="n"/>
      <c r="AN326" s="2282" t="n"/>
      <c r="AO326" s="1" t="n"/>
      <c r="AP326" s="1" t="n"/>
    </row>
    <row r="327">
      <c r="B327" s="1" t="n"/>
      <c r="C327" s="1892" t="n"/>
      <c r="D327" s="2282" t="n"/>
      <c r="E327" s="2282" t="n"/>
      <c r="F327" s="1" t="n"/>
      <c r="G327" s="1" t="n"/>
      <c r="H327" s="1" t="n"/>
      <c r="I327" s="1" t="n"/>
      <c r="J327" s="1892" t="n"/>
      <c r="K327" s="2282" t="n"/>
      <c r="L327" s="2282" t="n"/>
      <c r="M327" s="1" t="n"/>
      <c r="N327" s="1" t="n"/>
      <c r="P327" s="1" t="n"/>
      <c r="Q327" s="1892" t="n"/>
      <c r="R327" s="2282" t="n"/>
      <c r="S327" s="2282" t="n"/>
      <c r="T327" s="1" t="n"/>
      <c r="U327" s="1" t="n"/>
      <c r="V327" s="1" t="n"/>
      <c r="W327" s="1" t="n"/>
      <c r="X327" s="1892" t="n"/>
      <c r="Y327" s="2282" t="n"/>
      <c r="Z327" s="2282" t="n"/>
      <c r="AA327" s="1" t="n"/>
      <c r="AB327" s="1" t="n"/>
      <c r="AD327" s="1" t="n"/>
      <c r="AE327" s="1892" t="n"/>
      <c r="AF327" s="2282" t="n"/>
      <c r="AG327" s="2282" t="n"/>
      <c r="AH327" s="1" t="n"/>
      <c r="AI327" s="1" t="n"/>
      <c r="AK327" s="1" t="n"/>
      <c r="AL327" s="1892" t="n"/>
      <c r="AM327" s="2282" t="n"/>
      <c r="AN327" s="2282" t="n"/>
      <c r="AO327" s="1" t="n"/>
      <c r="AP327" s="1" t="n"/>
    </row>
    <row r="328">
      <c r="B328" s="280" t="inlineStr">
        <is>
          <t>SUB-TOTAL COSTS</t>
        </is>
      </c>
      <c r="C328" s="281" t="n"/>
      <c r="D328" s="2393" t="n"/>
      <c r="E328" s="2394">
        <f>SUM(E307,E315,E325)</f>
        <v/>
      </c>
      <c r="F328" s="1" t="n"/>
      <c r="G328" s="1" t="n"/>
      <c r="H328" s="1" t="n"/>
      <c r="I328" s="280" t="inlineStr">
        <is>
          <t>SUB-TOTAL COSTS</t>
        </is>
      </c>
      <c r="J328" s="281" t="n"/>
      <c r="K328" s="2393" t="n"/>
      <c r="L328" s="2394">
        <f>SUM(L307,L315,L325)</f>
        <v/>
      </c>
      <c r="M328" s="1" t="n"/>
      <c r="N328" s="1" t="n"/>
      <c r="P328" s="280" t="inlineStr">
        <is>
          <t>SUB-TOTAL COSTS</t>
        </is>
      </c>
      <c r="Q328" s="281" t="n"/>
      <c r="R328" s="2393" t="n"/>
      <c r="S328" s="2394">
        <f>SUM(S307,S315,S325)</f>
        <v/>
      </c>
      <c r="T328" s="1" t="n"/>
      <c r="U328" s="1" t="n"/>
      <c r="V328" s="1" t="n"/>
      <c r="W328" s="280" t="inlineStr">
        <is>
          <t>SUB-TOTAL COSTS</t>
        </is>
      </c>
      <c r="X328" s="281" t="n"/>
      <c r="Y328" s="2393" t="n"/>
      <c r="Z328" s="2394">
        <f>SUM(Z307,Z315,Z325)</f>
        <v/>
      </c>
      <c r="AA328" s="1" t="n"/>
      <c r="AB328" s="1" t="n"/>
      <c r="AD328" s="280" t="inlineStr">
        <is>
          <t>SUB-TOTAL COSTS</t>
        </is>
      </c>
      <c r="AE328" s="281" t="n"/>
      <c r="AF328" s="2393" t="n"/>
      <c r="AG328" s="2394">
        <f>SUM(AG307,AG315,AG325)</f>
        <v/>
      </c>
      <c r="AH328" s="1" t="n"/>
      <c r="AI328" s="1" t="n"/>
      <c r="AK328" s="280" t="inlineStr">
        <is>
          <t>SUB-TOTAL COSTS</t>
        </is>
      </c>
      <c r="AL328" s="281" t="n"/>
      <c r="AM328" s="2393" t="n"/>
      <c r="AN328" s="2394">
        <f>SUM(AN307,AN315,AN325)</f>
        <v/>
      </c>
      <c r="AO328" s="1" t="n"/>
      <c r="AP328" s="1" t="n"/>
    </row>
    <row r="329">
      <c r="B329" s="1" t="n"/>
      <c r="C329" s="1892" t="n"/>
      <c r="D329" s="2282" t="n"/>
      <c r="E329" s="2282" t="n"/>
      <c r="F329" s="1" t="n"/>
      <c r="G329" s="1" t="n"/>
      <c r="H329" s="1" t="n"/>
      <c r="I329" s="1" t="n"/>
      <c r="J329" s="1892" t="n"/>
      <c r="K329" s="2282" t="n"/>
      <c r="L329" s="2282" t="n"/>
      <c r="M329" s="1" t="n"/>
      <c r="N329" s="1" t="n"/>
      <c r="P329" s="1" t="n"/>
      <c r="Q329" s="1892" t="n"/>
      <c r="R329" s="2282" t="n"/>
      <c r="S329" s="2282" t="n"/>
      <c r="T329" s="1" t="n"/>
      <c r="U329" s="1" t="n"/>
      <c r="V329" s="1" t="n"/>
      <c r="W329" s="1" t="n"/>
      <c r="X329" s="1892" t="n"/>
      <c r="Y329" s="2282" t="n"/>
      <c r="Z329" s="2282" t="n"/>
      <c r="AA329" s="1" t="n"/>
      <c r="AB329" s="1" t="n"/>
      <c r="AD329" s="1" t="n"/>
      <c r="AE329" s="1892" t="n"/>
      <c r="AF329" s="2282" t="n"/>
      <c r="AG329" s="2282" t="n"/>
      <c r="AH329" s="1" t="n"/>
      <c r="AI329" s="1" t="n"/>
      <c r="AK329" s="1" t="n"/>
      <c r="AL329" s="1892" t="n"/>
      <c r="AM329" s="2282" t="n"/>
      <c r="AN329" s="2282" t="n"/>
      <c r="AO329" s="1" t="n"/>
      <c r="AP329" s="1" t="n"/>
    </row>
    <row r="330">
      <c r="B330" s="5" t="inlineStr">
        <is>
          <t>MARKUP</t>
        </is>
      </c>
      <c r="C330" s="30" t="inlineStr">
        <is>
          <t>%</t>
        </is>
      </c>
      <c r="D330" s="2395" t="n"/>
      <c r="E330" s="2019" t="n"/>
      <c r="F330" s="1" t="n"/>
      <c r="G330" s="1" t="n"/>
      <c r="H330" s="1" t="n"/>
      <c r="I330" s="5" t="inlineStr">
        <is>
          <t>MARKUP</t>
        </is>
      </c>
      <c r="J330" s="30" t="inlineStr">
        <is>
          <t>%</t>
        </is>
      </c>
      <c r="K330" s="2395" t="n"/>
      <c r="L330" s="2019" t="n"/>
      <c r="M330" s="1" t="n"/>
      <c r="N330" s="1" t="n"/>
      <c r="P330" s="5" t="inlineStr">
        <is>
          <t>MARKUP</t>
        </is>
      </c>
      <c r="Q330" s="30" t="inlineStr">
        <is>
          <t>%</t>
        </is>
      </c>
      <c r="R330" s="2395" t="n"/>
      <c r="S330" s="2019" t="n"/>
      <c r="T330" s="1" t="n"/>
      <c r="U330" s="1" t="n"/>
      <c r="V330" s="1" t="n"/>
      <c r="W330" s="5" t="inlineStr">
        <is>
          <t>MARKUP</t>
        </is>
      </c>
      <c r="X330" s="30" t="inlineStr">
        <is>
          <t>%</t>
        </is>
      </c>
      <c r="Y330" s="2395" t="n"/>
      <c r="Z330" s="2019" t="n"/>
      <c r="AA330" s="1" t="n"/>
      <c r="AB330" s="1" t="n"/>
      <c r="AD330" s="5" t="inlineStr">
        <is>
          <t>MARKUP</t>
        </is>
      </c>
      <c r="AE330" s="30" t="inlineStr">
        <is>
          <t>%</t>
        </is>
      </c>
      <c r="AF330" s="2395" t="n"/>
      <c r="AG330" s="2019" t="n"/>
      <c r="AH330" s="1" t="n"/>
      <c r="AI330" s="1" t="n"/>
      <c r="AK330" s="5" t="inlineStr">
        <is>
          <t>MARKUP</t>
        </is>
      </c>
      <c r="AL330" s="30" t="inlineStr">
        <is>
          <t>%</t>
        </is>
      </c>
      <c r="AM330" s="2395" t="n"/>
      <c r="AN330" s="2019" t="n"/>
      <c r="AO330" s="1" t="n"/>
      <c r="AP330" s="1" t="n"/>
    </row>
    <row r="331">
      <c r="B331" s="6" t="inlineStr">
        <is>
          <t>Sales Tax</t>
        </is>
      </c>
      <c r="C331" s="2396">
        <f>$C$37</f>
        <v/>
      </c>
      <c r="D331" s="2397" t="n"/>
      <c r="E331" s="2038">
        <f>ROUNDUP(SUM(E307:E307)*C331,0)</f>
        <v/>
      </c>
      <c r="F331" s="1" t="n"/>
      <c r="G331" s="1" t="n"/>
      <c r="H331" s="1" t="n"/>
      <c r="I331" s="6" t="inlineStr">
        <is>
          <t>Sales Tax</t>
        </is>
      </c>
      <c r="J331" s="2396">
        <f>$C$37</f>
        <v/>
      </c>
      <c r="K331" s="2397" t="n"/>
      <c r="L331" s="2038">
        <f>ROUNDUP(SUM(L307:L307)*J331,0)</f>
        <v/>
      </c>
      <c r="M331" s="1" t="n"/>
      <c r="N331" s="1" t="n"/>
      <c r="P331" s="6" t="inlineStr">
        <is>
          <t>Sales Tax</t>
        </is>
      </c>
      <c r="Q331" s="2396">
        <f>$C$37</f>
        <v/>
      </c>
      <c r="R331" s="2397" t="n"/>
      <c r="S331" s="2038">
        <f>ROUNDUP(SUM(S307:S307)*Q331,0)</f>
        <v/>
      </c>
      <c r="T331" s="1" t="n"/>
      <c r="U331" s="1" t="n"/>
      <c r="V331" s="1" t="n"/>
      <c r="W331" s="6" t="inlineStr">
        <is>
          <t>Sales Tax</t>
        </is>
      </c>
      <c r="X331" s="2396">
        <f>$C$37</f>
        <v/>
      </c>
      <c r="Y331" s="2397" t="n"/>
      <c r="Z331" s="2038">
        <f>ROUNDUP(SUM(Z307:Z307)*X331,0)</f>
        <v/>
      </c>
      <c r="AA331" s="1" t="n"/>
      <c r="AB331" s="1" t="n"/>
      <c r="AD331" s="6" t="inlineStr">
        <is>
          <t>Sales Tax</t>
        </is>
      </c>
      <c r="AE331" s="2396">
        <f>$C$37</f>
        <v/>
      </c>
      <c r="AF331" s="2397" t="n"/>
      <c r="AG331" s="2038">
        <f>ROUNDUP(SUM(AG307:AG307)*AE331,0)</f>
        <v/>
      </c>
      <c r="AH331" s="1" t="n"/>
      <c r="AI331" s="1" t="n"/>
      <c r="AK331" s="6" t="inlineStr">
        <is>
          <t>Sales Tax</t>
        </is>
      </c>
      <c r="AL331" s="2396">
        <f>$C$37</f>
        <v/>
      </c>
      <c r="AM331" s="2397" t="n"/>
      <c r="AN331" s="2038">
        <f>ROUNDUP(SUM(AN307:AN307)*AL331,0)</f>
        <v/>
      </c>
      <c r="AO331" s="1" t="n"/>
      <c r="AP331" s="1" t="n"/>
    </row>
    <row r="332">
      <c r="B332" s="6" t="inlineStr">
        <is>
          <t>Insurance</t>
        </is>
      </c>
      <c r="C332" s="241" t="n">
        <v>0.08</v>
      </c>
      <c r="D332" s="2397" t="n"/>
      <c r="E332" s="2038">
        <f>ROUNDUP(SUM(E315)*C332,0)</f>
        <v/>
      </c>
      <c r="F332" s="1" t="n"/>
      <c r="G332" s="1" t="n"/>
      <c r="H332" s="1" t="n"/>
      <c r="I332" s="6" t="inlineStr">
        <is>
          <t>Insurance</t>
        </is>
      </c>
      <c r="J332" s="241" t="n">
        <v>0.08</v>
      </c>
      <c r="K332" s="2397" t="n"/>
      <c r="L332" s="2038">
        <f>ROUNDUP(SUM(L315)*J332,0)</f>
        <v/>
      </c>
      <c r="M332" s="1" t="n"/>
      <c r="N332" s="1" t="n"/>
      <c r="P332" s="6" t="inlineStr">
        <is>
          <t>Insurance</t>
        </is>
      </c>
      <c r="Q332" s="241" t="n">
        <v>0.08</v>
      </c>
      <c r="R332" s="2397" t="n"/>
      <c r="S332" s="2038">
        <f>ROUNDUP(SUM(S315)*Q332,0)</f>
        <v/>
      </c>
      <c r="T332" s="1" t="n"/>
      <c r="U332" s="1" t="n"/>
      <c r="V332" s="1" t="n"/>
      <c r="W332" s="6" t="inlineStr">
        <is>
          <t>Insurance</t>
        </is>
      </c>
      <c r="X332" s="241" t="n">
        <v>0.08</v>
      </c>
      <c r="Y332" s="2397" t="n"/>
      <c r="Z332" s="2038">
        <f>ROUNDUP(SUM(Z315)*X332,0)</f>
        <v/>
      </c>
      <c r="AA332" s="1" t="n"/>
      <c r="AB332" s="1" t="n"/>
      <c r="AD332" s="6" t="inlineStr">
        <is>
          <t>Insurance</t>
        </is>
      </c>
      <c r="AE332" s="241" t="n">
        <v>0.08</v>
      </c>
      <c r="AF332" s="2397" t="n"/>
      <c r="AG332" s="2038">
        <f>ROUNDUP(SUM(AG315)*AE332,0)</f>
        <v/>
      </c>
      <c r="AH332" s="1" t="n"/>
      <c r="AI332" s="1" t="n"/>
      <c r="AK332" s="6" t="inlineStr">
        <is>
          <t>Insurance</t>
        </is>
      </c>
      <c r="AL332" s="241" t="n">
        <v>0.08</v>
      </c>
      <c r="AM332" s="2397" t="n"/>
      <c r="AN332" s="2038">
        <f>ROUNDUP(SUM(AN315)*AL332,0)</f>
        <v/>
      </c>
      <c r="AO332" s="1" t="n"/>
      <c r="AP332" s="1" t="n"/>
    </row>
    <row r="333">
      <c r="B333" s="6" t="inlineStr">
        <is>
          <t>Material Contingency</t>
        </is>
      </c>
      <c r="C333" s="122" t="n">
        <v>0.15</v>
      </c>
      <c r="D333" s="2282" t="n"/>
      <c r="E333" s="2038">
        <f>ROUNDUP(E307*C333,0)</f>
        <v/>
      </c>
      <c r="F333" s="1" t="n"/>
      <c r="G333" s="1" t="n"/>
      <c r="H333" s="1" t="n"/>
      <c r="I333" s="6" t="inlineStr">
        <is>
          <t>Material Contingency</t>
        </is>
      </c>
      <c r="J333" s="122" t="n">
        <v>0.15</v>
      </c>
      <c r="K333" s="2282" t="n"/>
      <c r="L333" s="2038">
        <f>ROUNDUP(L307*J333,0)</f>
        <v/>
      </c>
      <c r="M333" s="1" t="n"/>
      <c r="N333" s="1" t="n"/>
      <c r="P333" s="6" t="inlineStr">
        <is>
          <t>Material Contingency</t>
        </is>
      </c>
      <c r="Q333" s="122" t="n">
        <v>0.15</v>
      </c>
      <c r="R333" s="2282" t="n"/>
      <c r="S333" s="2038">
        <f>ROUNDUP(S307*Q333,0)</f>
        <v/>
      </c>
      <c r="T333" s="1" t="n"/>
      <c r="U333" s="1" t="n"/>
      <c r="V333" s="1" t="n"/>
      <c r="W333" s="6" t="inlineStr">
        <is>
          <t>Material Contingency</t>
        </is>
      </c>
      <c r="X333" s="122" t="n">
        <v>0.15</v>
      </c>
      <c r="Y333" s="2282" t="n"/>
      <c r="Z333" s="2038">
        <f>ROUNDUP(Z307*X333,0)</f>
        <v/>
      </c>
      <c r="AA333" s="1" t="n"/>
      <c r="AB333" s="1" t="n"/>
      <c r="AD333" s="6" t="inlineStr">
        <is>
          <t>Material Contingency</t>
        </is>
      </c>
      <c r="AE333" s="122" t="n">
        <v>0.15</v>
      </c>
      <c r="AF333" s="2282" t="n"/>
      <c r="AG333" s="2038">
        <f>ROUNDUP(AG307*AE333,0)</f>
        <v/>
      </c>
      <c r="AH333" s="1" t="n"/>
      <c r="AI333" s="1" t="n"/>
      <c r="AK333" s="6" t="inlineStr">
        <is>
          <t>Material Contingency</t>
        </is>
      </c>
      <c r="AL333" s="122" t="n">
        <v>0.15</v>
      </c>
      <c r="AM333" s="2282" t="n"/>
      <c r="AN333" s="2038">
        <f>ROUNDUP(AN307*AL333,0)</f>
        <v/>
      </c>
      <c r="AO333" s="1" t="n"/>
      <c r="AP333" s="1" t="n"/>
    </row>
    <row r="334">
      <c r="B334" s="6" t="inlineStr">
        <is>
          <t>Labor Contingency</t>
        </is>
      </c>
      <c r="C334" s="122" t="n">
        <v>0.2</v>
      </c>
      <c r="D334" s="2282" t="n"/>
      <c r="E334" s="2038">
        <f>ROUNDUP(E315*C334,0)</f>
        <v/>
      </c>
      <c r="F334" s="1" t="n"/>
      <c r="G334" s="1" t="n"/>
      <c r="H334" s="1" t="n"/>
      <c r="I334" s="6" t="inlineStr">
        <is>
          <t>Labor Contingency</t>
        </is>
      </c>
      <c r="J334" s="122" t="n">
        <v>0.2</v>
      </c>
      <c r="K334" s="2282" t="n"/>
      <c r="L334" s="2038">
        <f>ROUNDUP(L315*J334,0)</f>
        <v/>
      </c>
      <c r="M334" s="1" t="n"/>
      <c r="N334" s="1" t="n"/>
      <c r="P334" s="6" t="inlineStr">
        <is>
          <t>Labor Contingency</t>
        </is>
      </c>
      <c r="Q334" s="122" t="n">
        <v>0.2</v>
      </c>
      <c r="R334" s="2282" t="n"/>
      <c r="S334" s="2038">
        <f>ROUNDUP(S315*Q334,0)</f>
        <v/>
      </c>
      <c r="T334" s="1" t="n"/>
      <c r="U334" s="1" t="n"/>
      <c r="V334" s="1" t="n"/>
      <c r="W334" s="6" t="inlineStr">
        <is>
          <t>Labor Contingency</t>
        </is>
      </c>
      <c r="X334" s="122" t="n">
        <v>0.2</v>
      </c>
      <c r="Y334" s="2282" t="n"/>
      <c r="Z334" s="2038">
        <f>ROUNDUP(Z315*X334,0)</f>
        <v/>
      </c>
      <c r="AA334" s="1" t="n"/>
      <c r="AB334" s="1" t="n"/>
      <c r="AD334" s="6" t="inlineStr">
        <is>
          <t>Labor Contingency</t>
        </is>
      </c>
      <c r="AE334" s="122" t="n">
        <v>0.2</v>
      </c>
      <c r="AF334" s="2282" t="n"/>
      <c r="AG334" s="2038">
        <f>ROUNDUP(AG315*AE334,0)</f>
        <v/>
      </c>
      <c r="AH334" s="1" t="n"/>
      <c r="AI334" s="1" t="n"/>
      <c r="AK334" s="6" t="inlineStr">
        <is>
          <t>Labor Contingency</t>
        </is>
      </c>
      <c r="AL334" s="122" t="n">
        <v>0.2</v>
      </c>
      <c r="AM334" s="2282" t="n"/>
      <c r="AN334" s="2038">
        <f>ROUNDUP(AN315*AL334,0)</f>
        <v/>
      </c>
      <c r="AO334" s="1" t="n"/>
      <c r="AP334" s="1" t="n"/>
    </row>
    <row r="335">
      <c r="B335" s="6" t="inlineStr">
        <is>
          <t>Mark Up</t>
        </is>
      </c>
      <c r="C335" s="462" t="n">
        <v>0.4</v>
      </c>
      <c r="D335" s="2282" t="n"/>
      <c r="E335" s="2038">
        <f>ROUNDUP(SUM(E328:E334)*C335,0)</f>
        <v/>
      </c>
      <c r="F335" s="1" t="n"/>
      <c r="G335" s="1" t="n"/>
      <c r="H335" s="1" t="n"/>
      <c r="I335" s="6" t="inlineStr">
        <is>
          <t>Mark Up</t>
        </is>
      </c>
      <c r="J335" s="462">
        <f>$C$335</f>
        <v/>
      </c>
      <c r="K335" s="2282" t="n"/>
      <c r="L335" s="2038">
        <f>ROUNDUP(SUM(L328:L334)*J335,0)</f>
        <v/>
      </c>
      <c r="M335" s="1" t="n"/>
      <c r="N335" s="1" t="n"/>
      <c r="P335" s="6" t="inlineStr">
        <is>
          <t>Mark Up</t>
        </is>
      </c>
      <c r="Q335" s="462">
        <f>$C$335</f>
        <v/>
      </c>
      <c r="R335" s="2282" t="n"/>
      <c r="S335" s="2038">
        <f>ROUNDUP(SUM(S328:S334)*Q335,0)</f>
        <v/>
      </c>
      <c r="T335" s="1" t="n"/>
      <c r="U335" s="1" t="n"/>
      <c r="V335" s="1" t="n"/>
      <c r="W335" s="6" t="inlineStr">
        <is>
          <t>Mark Up</t>
        </is>
      </c>
      <c r="X335" s="462">
        <f>$C$335</f>
        <v/>
      </c>
      <c r="Y335" s="2282" t="n"/>
      <c r="Z335" s="2038">
        <f>ROUNDUP(SUM(Z328:Z334)*X335,0)</f>
        <v/>
      </c>
      <c r="AA335" s="1" t="n"/>
      <c r="AB335" s="1" t="n"/>
      <c r="AD335" s="6" t="inlineStr">
        <is>
          <t>Mark Up</t>
        </is>
      </c>
      <c r="AE335" s="462">
        <f>$C$335</f>
        <v/>
      </c>
      <c r="AF335" s="2282" t="n"/>
      <c r="AG335" s="2038">
        <f>ROUNDUP(SUM(AG328:AG334)*AE335,0)</f>
        <v/>
      </c>
      <c r="AH335" s="1" t="n"/>
      <c r="AI335" s="1" t="n"/>
      <c r="AK335" s="6" t="inlineStr">
        <is>
          <t>Mark Up</t>
        </is>
      </c>
      <c r="AL335" s="462">
        <f>$C$335</f>
        <v/>
      </c>
      <c r="AM335" s="2282" t="n"/>
      <c r="AN335" s="2038">
        <f>ROUNDUP(SUM(AN328:AN334)*AL335,0)</f>
        <v/>
      </c>
      <c r="AO335" s="1" t="n"/>
      <c r="AP335" s="1" t="n"/>
    </row>
    <row r="336">
      <c r="B336" s="284">
        <f>$B$42</f>
        <v/>
      </c>
      <c r="C336" s="241">
        <f>$C$42</f>
        <v/>
      </c>
      <c r="D336" s="2282" t="n"/>
      <c r="E336" s="2038">
        <f>ROUNDUP(SUM(E315,E332:E335)*C336,0)</f>
        <v/>
      </c>
      <c r="F336" s="1" t="n"/>
      <c r="G336" s="1" t="n"/>
      <c r="H336" s="1" t="n"/>
      <c r="I336" s="284">
        <f>$B$42</f>
        <v/>
      </c>
      <c r="J336" s="241">
        <f>$C$42</f>
        <v/>
      </c>
      <c r="K336" s="2282" t="n"/>
      <c r="L336" s="2038">
        <f>ROUNDUP(SUM(L315,L332:L335)*J336,0)</f>
        <v/>
      </c>
      <c r="M336" s="1" t="n"/>
      <c r="N336" s="1" t="n"/>
      <c r="P336" s="284">
        <f>$B$42</f>
        <v/>
      </c>
      <c r="Q336" s="241">
        <f>$C$42</f>
        <v/>
      </c>
      <c r="R336" s="2282" t="n"/>
      <c r="S336" s="2038">
        <f>ROUNDUP(SUM(S315,S332:S335)*Q336,0)</f>
        <v/>
      </c>
      <c r="T336" s="1" t="n"/>
      <c r="U336" s="1" t="n"/>
      <c r="V336" s="1" t="n"/>
      <c r="W336" s="284">
        <f>$B$42</f>
        <v/>
      </c>
      <c r="X336" s="241">
        <f>$C$42</f>
        <v/>
      </c>
      <c r="Y336" s="2282" t="n"/>
      <c r="Z336" s="2038">
        <f>ROUNDUP(SUM(Z315,Z332:Z335)*X336,0)</f>
        <v/>
      </c>
      <c r="AA336" s="1" t="n"/>
      <c r="AB336" s="1" t="n"/>
      <c r="AD336" s="284">
        <f>$B$42</f>
        <v/>
      </c>
      <c r="AE336" s="241">
        <f>$C$42</f>
        <v/>
      </c>
      <c r="AF336" s="2282" t="n"/>
      <c r="AG336" s="2038">
        <f>ROUNDUP(SUM(AG315,AG332:AG335)*AE336,0)</f>
        <v/>
      </c>
      <c r="AH336" s="1" t="n"/>
      <c r="AI336" s="1" t="n"/>
      <c r="AK336" s="284">
        <f>$B$42</f>
        <v/>
      </c>
      <c r="AL336" s="241">
        <f>$C$42</f>
        <v/>
      </c>
      <c r="AM336" s="2282" t="n"/>
      <c r="AN336" s="2038">
        <f>ROUNDUP(SUM(AN315,AN332:AN335)*AL336,0)</f>
        <v/>
      </c>
      <c r="AO336" s="1" t="n"/>
      <c r="AP336" s="1" t="n"/>
    </row>
    <row r="337">
      <c r="B337" s="403" t="inlineStr">
        <is>
          <t>Warranty &amp; Extra Soft Cost</t>
        </is>
      </c>
      <c r="C337" s="241">
        <f>$C$43</f>
        <v/>
      </c>
      <c r="D337" s="2282" t="n"/>
      <c r="E337" s="2038">
        <f>ROUNDUP(C337*SUM(E328:E336),0)</f>
        <v/>
      </c>
      <c r="F337" s="1" t="n"/>
      <c r="G337" s="1" t="n"/>
      <c r="H337" s="1" t="n"/>
      <c r="I337" s="403" t="inlineStr">
        <is>
          <t>Warranty &amp; Extra Soft Cost</t>
        </is>
      </c>
      <c r="J337" s="241">
        <f>$C$43</f>
        <v/>
      </c>
      <c r="K337" s="2282" t="n"/>
      <c r="L337" s="2038">
        <f>ROUNDUP(J337*SUM(L328:L336),0)</f>
        <v/>
      </c>
      <c r="M337" s="1" t="n"/>
      <c r="N337" s="1" t="n"/>
      <c r="P337" s="403" t="inlineStr">
        <is>
          <t>Warranty &amp; Extra Soft Cost</t>
        </is>
      </c>
      <c r="Q337" s="241">
        <f>$C$43</f>
        <v/>
      </c>
      <c r="R337" s="2282" t="n"/>
      <c r="S337" s="2038">
        <f>ROUNDUP(Q337*SUM(S328:S336),0)</f>
        <v/>
      </c>
      <c r="T337" s="1" t="n"/>
      <c r="U337" s="1" t="n"/>
      <c r="V337" s="1" t="n"/>
      <c r="W337" s="403" t="inlineStr">
        <is>
          <t>Warranty &amp; Extra Soft Cost</t>
        </is>
      </c>
      <c r="X337" s="241">
        <f>$C$43</f>
        <v/>
      </c>
      <c r="Y337" s="2282" t="n"/>
      <c r="Z337" s="2038">
        <f>ROUNDUP(X337*SUM(Z328:Z336),0)</f>
        <v/>
      </c>
      <c r="AA337" s="1" t="n"/>
      <c r="AB337" s="1" t="n"/>
      <c r="AD337" s="403" t="inlineStr">
        <is>
          <t>Warranty &amp; Extra Soft Cost</t>
        </is>
      </c>
      <c r="AE337" s="241">
        <f>$C$43</f>
        <v/>
      </c>
      <c r="AF337" s="2282" t="n"/>
      <c r="AG337" s="2038">
        <f>ROUNDUP(AE337*SUM(AG328:AG336),0)</f>
        <v/>
      </c>
      <c r="AH337" s="1" t="n"/>
      <c r="AI337" s="1" t="n"/>
      <c r="AK337" s="403" t="inlineStr">
        <is>
          <t>Warranty &amp; Extra Soft Cost</t>
        </is>
      </c>
      <c r="AL337" s="241">
        <f>$C$43</f>
        <v/>
      </c>
      <c r="AM337" s="2282" t="n"/>
      <c r="AN337" s="2038">
        <f>ROUNDUP(AL337*SUM(AN328:AN336),0)</f>
        <v/>
      </c>
      <c r="AO337" s="1" t="n"/>
      <c r="AP337" s="1" t="n"/>
    </row>
    <row r="338">
      <c r="B338" s="45" t="inlineStr">
        <is>
          <t>Bond</t>
        </is>
      </c>
      <c r="C338" s="46">
        <f>$C$44</f>
        <v/>
      </c>
      <c r="D338" s="2314" t="n"/>
      <c r="E338" s="2400">
        <f>ROUNDUP(SUM(E328:E337)*C338,0)</f>
        <v/>
      </c>
      <c r="F338" s="1" t="n"/>
      <c r="G338" s="1" t="n"/>
      <c r="H338" s="1" t="n"/>
      <c r="I338" s="45" t="inlineStr">
        <is>
          <t>Bond</t>
        </is>
      </c>
      <c r="J338" s="46">
        <f>$C$44</f>
        <v/>
      </c>
      <c r="K338" s="2314" t="n"/>
      <c r="L338" s="2400">
        <f>ROUNDUP(SUM(L328:L337)*J338,0)</f>
        <v/>
      </c>
      <c r="M338" s="1" t="n"/>
      <c r="N338" s="1" t="n"/>
      <c r="P338" s="45" t="inlineStr">
        <is>
          <t>Bond</t>
        </is>
      </c>
      <c r="Q338" s="46">
        <f>$C$44</f>
        <v/>
      </c>
      <c r="R338" s="2314" t="n"/>
      <c r="S338" s="2400">
        <f>ROUNDUP(SUM(S328:S337)*Q338,0)</f>
        <v/>
      </c>
      <c r="T338" s="1" t="n"/>
      <c r="U338" s="1" t="n"/>
      <c r="V338" s="1" t="n"/>
      <c r="W338" s="45" t="inlineStr">
        <is>
          <t>Bond</t>
        </is>
      </c>
      <c r="X338" s="46">
        <f>$C$44</f>
        <v/>
      </c>
      <c r="Y338" s="2314" t="n"/>
      <c r="Z338" s="2400">
        <f>ROUNDUP(SUM(Z328:Z337)*X338,0)</f>
        <v/>
      </c>
      <c r="AA338" s="1" t="n"/>
      <c r="AB338" s="1" t="n"/>
      <c r="AD338" s="45" t="inlineStr">
        <is>
          <t>Bond</t>
        </is>
      </c>
      <c r="AE338" s="46">
        <f>$C$44</f>
        <v/>
      </c>
      <c r="AF338" s="2314" t="n"/>
      <c r="AG338" s="2400">
        <f>ROUNDUP(SUM(AG328:AG337)*AE338,0)</f>
        <v/>
      </c>
      <c r="AH338" s="1" t="n"/>
      <c r="AI338" s="1" t="n"/>
      <c r="AK338" s="45" t="inlineStr">
        <is>
          <t>Bond</t>
        </is>
      </c>
      <c r="AL338" s="46">
        <f>$C$44</f>
        <v/>
      </c>
      <c r="AM338" s="2314" t="n"/>
      <c r="AN338" s="2400">
        <f>ROUNDUP(SUM(AN328:AN337)*AL338,0)</f>
        <v/>
      </c>
      <c r="AO338" s="1" t="n"/>
      <c r="AP338" s="1" t="n"/>
    </row>
    <row r="339">
      <c r="B339" s="1" t="n"/>
      <c r="C339" s="8" t="n"/>
      <c r="D339" s="2282" t="n"/>
      <c r="E339" s="2282" t="n"/>
      <c r="F339" s="1" t="n"/>
      <c r="G339" s="286" t="inlineStr">
        <is>
          <t>Mark Up + Conting.</t>
        </is>
      </c>
      <c r="H339" s="1892" t="n"/>
      <c r="I339" s="1" t="n"/>
      <c r="J339" s="8" t="n"/>
      <c r="K339" s="2282" t="n"/>
      <c r="L339" s="2282" t="n"/>
      <c r="M339" s="1" t="n"/>
      <c r="N339" s="286" t="inlineStr">
        <is>
          <t>Mark Up + Conting.</t>
        </is>
      </c>
      <c r="P339" s="1" t="n"/>
      <c r="Q339" s="8" t="n"/>
      <c r="R339" s="2282" t="n"/>
      <c r="S339" s="2282" t="n"/>
      <c r="T339" s="1" t="n"/>
      <c r="U339" s="286" t="inlineStr">
        <is>
          <t>Mark Up + Conting.</t>
        </is>
      </c>
      <c r="V339" s="1892" t="n"/>
      <c r="W339" s="1" t="n"/>
      <c r="X339" s="8" t="n"/>
      <c r="Y339" s="2282" t="n"/>
      <c r="Z339" s="2282" t="n"/>
      <c r="AA339" s="1" t="n"/>
      <c r="AB339" s="286" t="inlineStr">
        <is>
          <t>Mark Up + Conting.</t>
        </is>
      </c>
      <c r="AD339" s="1" t="n"/>
      <c r="AE339" s="8" t="n"/>
      <c r="AF339" s="2282" t="n"/>
      <c r="AG339" s="2282" t="n"/>
      <c r="AH339" s="1" t="n"/>
      <c r="AI339" s="286" t="inlineStr">
        <is>
          <t>Mark Up + Conting.</t>
        </is>
      </c>
      <c r="AK339" s="1" t="n"/>
      <c r="AL339" s="8" t="n"/>
      <c r="AM339" s="2282" t="n"/>
      <c r="AN339" s="2282" t="n"/>
      <c r="AO339" s="1" t="n"/>
      <c r="AP339" s="286" t="inlineStr">
        <is>
          <t>Mark Up + Conting.</t>
        </is>
      </c>
    </row>
    <row r="340" ht="16.2" customHeight="1" thickBot="1">
      <c r="B340" s="1" t="n"/>
      <c r="C340" s="287" t="inlineStr">
        <is>
          <t>SF:</t>
        </is>
      </c>
      <c r="D340" s="2405">
        <f>C309</f>
        <v/>
      </c>
      <c r="E340" s="2282" t="n"/>
      <c r="F340" s="38" t="inlineStr">
        <is>
          <t>Less Sales Tax</t>
        </is>
      </c>
      <c r="G340" s="2402">
        <f>SUM(E333:E335)</f>
        <v/>
      </c>
      <c r="H340" s="2282" t="n"/>
      <c r="I340" s="1" t="n"/>
      <c r="J340" s="287" t="inlineStr">
        <is>
          <t>SF:</t>
        </is>
      </c>
      <c r="K340" s="2405">
        <f>J309</f>
        <v/>
      </c>
      <c r="L340" s="2282" t="n"/>
      <c r="M340" s="38" t="inlineStr">
        <is>
          <t>Less Sales Tax</t>
        </is>
      </c>
      <c r="N340" s="2402">
        <f>SUM(L333:L335)</f>
        <v/>
      </c>
      <c r="P340" s="1" t="n"/>
      <c r="Q340" s="287" t="inlineStr">
        <is>
          <t>SF:</t>
        </is>
      </c>
      <c r="R340" s="2405">
        <f>Q309</f>
        <v/>
      </c>
      <c r="S340" s="2282" t="n"/>
      <c r="T340" s="38" t="inlineStr">
        <is>
          <t>Less Sales Tax</t>
        </is>
      </c>
      <c r="U340" s="2402">
        <f>SUM(S333:S335)</f>
        <v/>
      </c>
      <c r="V340" s="2282" t="n"/>
      <c r="W340" s="1" t="n"/>
      <c r="X340" s="287" t="inlineStr">
        <is>
          <t>SF:</t>
        </is>
      </c>
      <c r="Y340" s="2405">
        <f>X309</f>
        <v/>
      </c>
      <c r="Z340" s="2282" t="n"/>
      <c r="AA340" s="38" t="inlineStr">
        <is>
          <t>Less Sales Tax</t>
        </is>
      </c>
      <c r="AB340" s="2402">
        <f>SUM(Z333:Z335)</f>
        <v/>
      </c>
      <c r="AD340" s="1" t="n"/>
      <c r="AE340" s="287" t="inlineStr">
        <is>
          <t>SF:</t>
        </is>
      </c>
      <c r="AF340" s="2405">
        <f>AE309</f>
        <v/>
      </c>
      <c r="AG340" s="2282" t="n"/>
      <c r="AH340" s="38" t="inlineStr">
        <is>
          <t>Less Sales Tax</t>
        </is>
      </c>
      <c r="AI340" s="2402">
        <f>SUM(AG333:AG335)</f>
        <v/>
      </c>
      <c r="AK340" s="1" t="n"/>
      <c r="AL340" s="287" t="inlineStr">
        <is>
          <t>SF:</t>
        </is>
      </c>
      <c r="AM340" s="2405">
        <f>AL309</f>
        <v/>
      </c>
      <c r="AN340" s="2282" t="n"/>
      <c r="AO340" s="38" t="inlineStr">
        <is>
          <t>Less Sales Tax</t>
        </is>
      </c>
      <c r="AP340" s="2402">
        <f>SUM(AN333:AN335)</f>
        <v/>
      </c>
    </row>
    <row r="341" ht="16.2" customHeight="1" thickBot="1">
      <c r="B341" s="289" t="inlineStr">
        <is>
          <t>TOTAL</t>
        </is>
      </c>
      <c r="C341" s="290" t="n"/>
      <c r="D341" s="2412">
        <f>E341/C309</f>
        <v/>
      </c>
      <c r="E341" s="2404">
        <f>SUM(E328:E338)</f>
        <v/>
      </c>
      <c r="F341" s="2282">
        <f>E341-E331-E336</f>
        <v/>
      </c>
      <c r="G341" s="293">
        <f>G340/E341</f>
        <v/>
      </c>
      <c r="H341" s="294" t="n"/>
      <c r="I341" s="289" t="inlineStr">
        <is>
          <t>TOTAL</t>
        </is>
      </c>
      <c r="J341" s="290" t="n"/>
      <c r="K341" s="2412">
        <f>L341/J309</f>
        <v/>
      </c>
      <c r="L341" s="2404">
        <f>SUM(L328:L338)</f>
        <v/>
      </c>
      <c r="M341" s="2282">
        <f>L341-L331-L336</f>
        <v/>
      </c>
      <c r="N341" s="293">
        <f>N340/L341</f>
        <v/>
      </c>
      <c r="P341" s="289" t="inlineStr">
        <is>
          <t>TOTAL</t>
        </is>
      </c>
      <c r="Q341" s="290" t="n"/>
      <c r="R341" s="2412">
        <f>S341/Q309</f>
        <v/>
      </c>
      <c r="S341" s="2404">
        <f>SUM(S328:S338)</f>
        <v/>
      </c>
      <c r="T341" s="2282">
        <f>S341-S331-S336</f>
        <v/>
      </c>
      <c r="U341" s="293">
        <f>U340/S341</f>
        <v/>
      </c>
      <c r="V341" s="294" t="n"/>
      <c r="W341" s="289" t="inlineStr">
        <is>
          <t>TOTAL</t>
        </is>
      </c>
      <c r="X341" s="290" t="n"/>
      <c r="Y341" s="2412">
        <f>Z341/X309</f>
        <v/>
      </c>
      <c r="Z341" s="2404">
        <f>SUM(Z328:Z338)</f>
        <v/>
      </c>
      <c r="AA341" s="2282">
        <f>Z341-Z331-Z336</f>
        <v/>
      </c>
      <c r="AB341" s="293">
        <f>AB340/Z341</f>
        <v/>
      </c>
      <c r="AD341" s="289" t="inlineStr">
        <is>
          <t>TOTAL</t>
        </is>
      </c>
      <c r="AE341" s="290" t="n"/>
      <c r="AF341" s="2412">
        <f>AG341/AE309</f>
        <v/>
      </c>
      <c r="AG341" s="2404">
        <f>SUM(AG328:AG338)</f>
        <v/>
      </c>
      <c r="AH341" s="2282">
        <f>AG341-AG331-AG336</f>
        <v/>
      </c>
      <c r="AI341" s="293">
        <f>AI340/AG341</f>
        <v/>
      </c>
      <c r="AK341" s="289" t="inlineStr">
        <is>
          <t>TOTAL</t>
        </is>
      </c>
      <c r="AL341" s="290" t="n"/>
      <c r="AM341" s="2412">
        <f>AN341/AL309</f>
        <v/>
      </c>
      <c r="AN341" s="2404">
        <f>SUM(AN328:AN338)</f>
        <v/>
      </c>
      <c r="AO341" s="2282">
        <f>AN341-AN331-AN336</f>
        <v/>
      </c>
      <c r="AP341" s="293">
        <f>AP340/AN341</f>
        <v/>
      </c>
    </row>
    <row r="342">
      <c r="B342" s="1" t="n"/>
      <c r="C342" s="1" t="inlineStr">
        <is>
          <t xml:space="preserve"> </t>
        </is>
      </c>
      <c r="D342" s="2282">
        <f>E342/C309</f>
        <v/>
      </c>
      <c r="E342" s="2282">
        <f>E341-E336</f>
        <v/>
      </c>
      <c r="F342" t="inlineStr">
        <is>
          <t xml:space="preserve">less ks remodel, if applicable </t>
        </is>
      </c>
      <c r="G342" s="295">
        <f>IF(G341&lt;=0.25,"OWNER APPROVAL REQUIRED","GP % Okay")</f>
        <v/>
      </c>
      <c r="H342" s="1891" t="n"/>
      <c r="I342" s="1" t="n"/>
      <c r="J342" s="1" t="inlineStr">
        <is>
          <t xml:space="preserve"> </t>
        </is>
      </c>
      <c r="K342" s="2282">
        <f>L342/J309</f>
        <v/>
      </c>
      <c r="L342" s="2282">
        <f>L341-L336</f>
        <v/>
      </c>
      <c r="M342" t="inlineStr">
        <is>
          <t xml:space="preserve">less ks remodel, if applicable </t>
        </is>
      </c>
      <c r="N342" s="295">
        <f>IF(N341&lt;=0.25,"OWNER APPROVAL REQUIRED","GP % Okay")</f>
        <v/>
      </c>
      <c r="P342" s="1" t="n"/>
      <c r="Q342" s="1" t="inlineStr">
        <is>
          <t xml:space="preserve"> </t>
        </is>
      </c>
      <c r="R342" s="2282">
        <f>S342/Q309</f>
        <v/>
      </c>
      <c r="S342" s="2282">
        <f>S341-S336</f>
        <v/>
      </c>
      <c r="T342" t="inlineStr">
        <is>
          <t xml:space="preserve">less ks remodel, if applicable </t>
        </is>
      </c>
      <c r="U342" s="295">
        <f>IF(U341&lt;=0.25,"OWNER APPROVAL REQUIRED","GP % Okay")</f>
        <v/>
      </c>
      <c r="V342" s="1891" t="n"/>
      <c r="W342" s="1" t="n"/>
      <c r="X342" s="1" t="inlineStr">
        <is>
          <t xml:space="preserve"> </t>
        </is>
      </c>
      <c r="Y342" s="2282">
        <f>Z342/X309</f>
        <v/>
      </c>
      <c r="Z342" s="2282">
        <f>Z341-Z336</f>
        <v/>
      </c>
      <c r="AA342" t="inlineStr">
        <is>
          <t xml:space="preserve">less ks remodel, if applicable </t>
        </is>
      </c>
      <c r="AB342" s="295">
        <f>IF(AB341&lt;=0.25,"OWNER APPROVAL REQUIRED","GP % Okay")</f>
        <v/>
      </c>
      <c r="AD342" s="1" t="n"/>
      <c r="AE342" s="1" t="inlineStr">
        <is>
          <t xml:space="preserve"> </t>
        </is>
      </c>
      <c r="AF342" s="2282">
        <f>AG342/AE309</f>
        <v/>
      </c>
      <c r="AG342" s="2282">
        <f>AG341-AG336</f>
        <v/>
      </c>
      <c r="AH342" t="inlineStr">
        <is>
          <t xml:space="preserve">less ks remodel, if applicable </t>
        </is>
      </c>
      <c r="AI342" s="295">
        <f>IF(AI341&lt;=0.25,"OWNER APPROVAL REQUIRED","GP % Okay")</f>
        <v/>
      </c>
      <c r="AK342" s="1" t="n"/>
      <c r="AL342" s="1" t="inlineStr">
        <is>
          <t xml:space="preserve"> </t>
        </is>
      </c>
      <c r="AM342" s="2282">
        <f>AN342/AL309</f>
        <v/>
      </c>
      <c r="AN342" s="2282">
        <f>AN341-AN336</f>
        <v/>
      </c>
      <c r="AO342" t="inlineStr">
        <is>
          <t xml:space="preserve">less ks remodel, if applicable </t>
        </is>
      </c>
      <c r="AP342" s="295">
        <f>IF(AP341&lt;=0.25,"OWNER APPROVAL REQUIRED","GP % Okay")</f>
        <v/>
      </c>
    </row>
    <row r="345">
      <c r="B345" s="2374" t="inlineStr">
        <is>
          <t>4" Rubber Cove Base - 500 lf</t>
        </is>
      </c>
      <c r="C345" s="2350" t="n"/>
      <c r="D345" s="2350" t="n"/>
      <c r="E345" s="237" t="n"/>
      <c r="F345" s="2375">
        <f>D390</f>
        <v/>
      </c>
      <c r="G345" s="263" t="inlineStr">
        <is>
          <t>$/lf</t>
        </is>
      </c>
      <c r="I345" s="2430" t="inlineStr">
        <is>
          <t>4" Rubber Cove Base - 100 lf</t>
        </is>
      </c>
      <c r="J345" s="2350" t="n"/>
      <c r="K345" s="2350" t="n"/>
      <c r="L345" s="237" t="n"/>
      <c r="M345" s="2375">
        <f>K390</f>
        <v/>
      </c>
      <c r="N345" s="263" t="inlineStr">
        <is>
          <t>$/lf</t>
        </is>
      </c>
    </row>
    <row r="346">
      <c r="B346" s="25" t="inlineStr">
        <is>
          <t>MATERIAL - Patch</t>
        </is>
      </c>
      <c r="C346" s="90" t="inlineStr">
        <is>
          <t>Quantity</t>
        </is>
      </c>
      <c r="D346" s="90" t="inlineStr">
        <is>
          <t>Cost</t>
        </is>
      </c>
      <c r="E346" s="91" t="inlineStr">
        <is>
          <t>Total</t>
        </is>
      </c>
      <c r="F346" s="23" t="n"/>
      <c r="G346" s="89" t="n"/>
      <c r="H346" s="264" t="n"/>
      <c r="I346" s="25" t="inlineStr">
        <is>
          <t>MATERIAL - Patch</t>
        </is>
      </c>
      <c r="J346" s="90" t="inlineStr">
        <is>
          <t>Quantity</t>
        </is>
      </c>
      <c r="K346" s="90" t="inlineStr">
        <is>
          <t>Cost</t>
        </is>
      </c>
      <c r="L346" s="91" t="inlineStr">
        <is>
          <t>Total</t>
        </is>
      </c>
      <c r="M346" s="23" t="n"/>
      <c r="N346" s="89" t="n"/>
    </row>
    <row r="347">
      <c r="B347" s="44" t="n"/>
      <c r="C347" s="2377" t="n"/>
      <c r="D347" s="2312" t="n"/>
      <c r="E347" s="2308">
        <f>C347*D347</f>
        <v/>
      </c>
      <c r="F347" s="1" t="n"/>
      <c r="G347" s="1" t="n"/>
      <c r="H347" s="1" t="n"/>
      <c r="I347" s="44" t="n"/>
      <c r="J347" s="2377" t="n"/>
      <c r="K347" s="2312" t="n"/>
      <c r="L347" s="2308">
        <f>J347*K347</f>
        <v/>
      </c>
      <c r="M347" s="1" t="n"/>
      <c r="N347" s="1" t="n"/>
    </row>
    <row r="348">
      <c r="B348" s="425" t="inlineStr">
        <is>
          <t>Roppe 700 Series (from CCS, 06/07/22)</t>
        </is>
      </c>
      <c r="C348" s="2431" t="n"/>
      <c r="D348" s="2312" t="n"/>
      <c r="E348" s="2308">
        <f>C348*D348</f>
        <v/>
      </c>
      <c r="F348" s="1" t="n"/>
      <c r="G348" s="1" t="n"/>
      <c r="H348" s="1" t="n"/>
      <c r="I348" s="425">
        <f>B348</f>
        <v/>
      </c>
      <c r="J348" s="2431" t="n"/>
      <c r="K348" s="2432" t="n"/>
      <c r="L348" s="2308">
        <f>J348*K348</f>
        <v/>
      </c>
      <c r="M348" s="1" t="n"/>
      <c r="N348" s="1" t="n"/>
    </row>
    <row r="349">
      <c r="B349" s="25" t="inlineStr">
        <is>
          <t>MATERIAL - Floor</t>
        </is>
      </c>
      <c r="C349" s="2379" t="n"/>
      <c r="D349" s="419" t="inlineStr">
        <is>
          <t>( 4-1/2" $ )</t>
        </is>
      </c>
      <c r="E349" s="29" t="n"/>
      <c r="F349" s="2380" t="n">
        <v>500</v>
      </c>
      <c r="G349" s="82" t="inlineStr">
        <is>
          <t>LF</t>
        </is>
      </c>
      <c r="H349" s="1" t="n"/>
      <c r="I349" s="25" t="inlineStr">
        <is>
          <t>MATERIAL - Floor</t>
        </is>
      </c>
      <c r="J349" s="2379" t="n"/>
      <c r="K349" s="419" t="inlineStr">
        <is>
          <t>( 4-1/2" $ )</t>
        </is>
      </c>
      <c r="L349" s="29" t="n"/>
      <c r="M349" s="2380" t="n">
        <v>100</v>
      </c>
      <c r="N349" s="82" t="inlineStr">
        <is>
          <t>LF</t>
        </is>
      </c>
    </row>
    <row r="350">
      <c r="B350" s="47" t="inlineStr">
        <is>
          <t>Rubber Cove 4-1/2"</t>
        </is>
      </c>
      <c r="C350" s="2433" t="n">
        <v>5</v>
      </c>
      <c r="D350" s="2434" t="n">
        <v>119</v>
      </c>
      <c r="E350" s="2038">
        <f>C350*D350</f>
        <v/>
      </c>
      <c r="F350" s="297">
        <f>F349/120</f>
        <v/>
      </c>
      <c r="G350" s="420" t="inlineStr">
        <is>
          <t>4" = $109.00 per box</t>
        </is>
      </c>
      <c r="H350" s="1" t="n"/>
      <c r="I350" s="47" t="inlineStr">
        <is>
          <t>Rubber Cove 4-1/2"</t>
        </is>
      </c>
      <c r="J350" s="2433" t="n">
        <v>1</v>
      </c>
      <c r="K350" s="2434" t="n">
        <v>119</v>
      </c>
      <c r="L350" s="2038">
        <f>J350*K350</f>
        <v/>
      </c>
      <c r="M350" s="297">
        <f>M349/120</f>
        <v/>
      </c>
      <c r="N350" s="420" t="inlineStr">
        <is>
          <t>4" = $109.00 per box</t>
        </is>
      </c>
    </row>
    <row r="351">
      <c r="B351" s="421" t="inlineStr">
        <is>
          <t>Adhesive</t>
        </is>
      </c>
      <c r="C351" s="2435">
        <f>F349</f>
        <v/>
      </c>
      <c r="D351" s="2283" t="n">
        <v>0.25</v>
      </c>
      <c r="E351" s="2038">
        <f>C351*D351</f>
        <v/>
      </c>
      <c r="F351" s="1" t="n"/>
      <c r="G351" s="1" t="n"/>
      <c r="H351" s="1" t="n"/>
      <c r="I351" s="421" t="inlineStr">
        <is>
          <t>Adhesive</t>
        </is>
      </c>
      <c r="J351" s="2435">
        <f>M349</f>
        <v/>
      </c>
      <c r="K351" s="2283">
        <f>D351</f>
        <v/>
      </c>
      <c r="L351" s="2038">
        <f>J351*K351</f>
        <v/>
      </c>
      <c r="M351" s="1" t="n"/>
      <c r="N351" s="1" t="n"/>
    </row>
    <row r="352">
      <c r="B352" s="415" t="n"/>
      <c r="C352" s="2436" t="n"/>
      <c r="D352" s="2437" t="n"/>
      <c r="E352" s="2333">
        <f>C352*D352</f>
        <v/>
      </c>
      <c r="F352" s="1" t="n"/>
      <c r="G352" s="1" t="n"/>
      <c r="H352" s="1" t="n"/>
      <c r="I352" s="415" t="n"/>
      <c r="J352" s="2436" t="n"/>
      <c r="K352" s="2437" t="n"/>
      <c r="L352" s="2333">
        <f>J352*K352</f>
        <v/>
      </c>
      <c r="M352" s="1" t="n"/>
      <c r="N352" s="1" t="n"/>
    </row>
    <row r="353">
      <c r="B353" s="17" t="inlineStr">
        <is>
          <t>Material Sub Total</t>
        </is>
      </c>
      <c r="C353" s="35" t="n"/>
      <c r="D353" s="2382" t="n"/>
      <c r="E353" s="2335">
        <f>ROUNDUP(SUM(E347:E352),0)</f>
        <v/>
      </c>
      <c r="F353" s="1" t="n"/>
      <c r="G353" s="1" t="n"/>
      <c r="H353" s="1" t="n"/>
      <c r="I353" s="17" t="inlineStr">
        <is>
          <t>Material Sub Total</t>
        </is>
      </c>
      <c r="J353" s="35" t="n"/>
      <c r="K353" s="2382" t="n"/>
      <c r="L353" s="2335">
        <f>ROUNDUP(SUM(L347:L352),0)</f>
        <v/>
      </c>
      <c r="M353" s="1" t="n"/>
      <c r="N353" s="1" t="n"/>
    </row>
    <row r="354">
      <c r="B354" s="20" t="inlineStr">
        <is>
          <t>Discount</t>
        </is>
      </c>
      <c r="C354" s="270" t="n">
        <v>0</v>
      </c>
      <c r="D354" s="2283" t="n"/>
      <c r="E354" s="2383">
        <f>ROUNDUP(SUM(E350)*C354,0)</f>
        <v/>
      </c>
      <c r="F354" s="1" t="n"/>
      <c r="G354" s="1" t="n"/>
      <c r="H354" s="1" t="n"/>
      <c r="I354" s="20" t="inlineStr">
        <is>
          <t>Discount</t>
        </is>
      </c>
      <c r="J354" s="270" t="n">
        <v>0</v>
      </c>
      <c r="K354" s="2283" t="n"/>
      <c r="L354" s="2383">
        <f>ROUNDUP(SUM(L350)*J354,0)</f>
        <v/>
      </c>
      <c r="M354" s="1" t="n"/>
      <c r="N354" s="1" t="n"/>
    </row>
    <row r="355">
      <c r="B355" s="446" t="inlineStr">
        <is>
          <t>Shipping + Mat. Esc.</t>
        </is>
      </c>
      <c r="C355" s="40">
        <f>IF(E353&lt;=5000,0.1,IF(E353&lt;=10000,0.06,0.04))+$C$12</f>
        <v/>
      </c>
      <c r="D355" s="2384" t="n"/>
      <c r="E355" s="2338">
        <f>ROUNDUP(E353*C355,0)</f>
        <v/>
      </c>
      <c r="F355" s="454">
        <f>$F$12</f>
        <v/>
      </c>
      <c r="I355" s="446" t="inlineStr">
        <is>
          <t>Shipping + Mat. Esc.</t>
        </is>
      </c>
      <c r="J355" s="40">
        <f>IF(L353&lt;=5000,0.1,IF(L353&lt;=10000,0.06,0.04))+$C$12</f>
        <v/>
      </c>
      <c r="K355" s="2384" t="n"/>
      <c r="L355" s="2338">
        <f>ROUNDUP(L353*J355,0)</f>
        <v/>
      </c>
      <c r="M355" s="454">
        <f>$F$12</f>
        <v/>
      </c>
    </row>
    <row r="356">
      <c r="B356" s="10" t="inlineStr">
        <is>
          <t>Material Total</t>
        </is>
      </c>
      <c r="C356" s="36" t="n"/>
      <c r="D356" s="2339" t="n"/>
      <c r="E356" s="2339">
        <f>SUM(E353:E355)</f>
        <v/>
      </c>
      <c r="F356" s="123">
        <f>E356/F349</f>
        <v/>
      </c>
      <c r="G356" s="124" t="inlineStr">
        <is>
          <t>Material $/LF</t>
        </is>
      </c>
      <c r="H356" s="1" t="n"/>
      <c r="I356" s="10" t="inlineStr">
        <is>
          <t>Material Total</t>
        </is>
      </c>
      <c r="J356" s="36" t="n"/>
      <c r="K356" s="2339" t="n"/>
      <c r="L356" s="2339">
        <f>SUM(L353:L355)</f>
        <v/>
      </c>
      <c r="M356" s="123">
        <f>L356/M349</f>
        <v/>
      </c>
      <c r="N356" s="124" t="inlineStr">
        <is>
          <t>Material $/LF</t>
        </is>
      </c>
    </row>
    <row r="357">
      <c r="B357" s="1" t="n"/>
      <c r="C357" s="1892" t="n"/>
      <c r="D357" s="2282" t="n"/>
      <c r="E357" s="2282" t="n"/>
      <c r="F357" s="1" t="n"/>
      <c r="I357" s="1" t="n"/>
      <c r="J357" s="1892" t="n"/>
      <c r="K357" s="2282" t="n"/>
      <c r="L357" s="2282" t="n"/>
      <c r="M357" s="1" t="n"/>
    </row>
    <row r="358">
      <c r="B358" s="75" t="inlineStr">
        <is>
          <t>Square Footage:</t>
        </is>
      </c>
      <c r="C358" s="2385" t="n">
        <v>0</v>
      </c>
      <c r="D358" s="75" t="inlineStr">
        <is>
          <t>Linear Footage:</t>
        </is>
      </c>
      <c r="E358" s="2386">
        <f>F349</f>
        <v/>
      </c>
      <c r="F358" s="1" t="n"/>
      <c r="G358" s="273">
        <f>E358/C358</f>
        <v/>
      </c>
      <c r="I358" s="75" t="inlineStr">
        <is>
          <t>Square Footage:</t>
        </is>
      </c>
      <c r="J358" s="2385" t="n">
        <v>0</v>
      </c>
      <c r="K358" s="75" t="inlineStr">
        <is>
          <t>Linear Footage:</t>
        </is>
      </c>
      <c r="L358" s="2386">
        <f>M349</f>
        <v/>
      </c>
      <c r="M358" s="1" t="n"/>
      <c r="N358" s="273">
        <f>L358/J358</f>
        <v/>
      </c>
    </row>
    <row r="359">
      <c r="B359" s="85" t="inlineStr">
        <is>
          <t>Labor:              Guys</t>
        </is>
      </c>
      <c r="C359" s="68" t="inlineStr">
        <is>
          <t>Days</t>
        </is>
      </c>
      <c r="D359" s="68" t="inlineStr">
        <is>
          <t>Rate (PW?)</t>
        </is>
      </c>
      <c r="E359" s="87" t="inlineStr">
        <is>
          <t>Totals</t>
        </is>
      </c>
      <c r="F359" s="76" t="inlineStr">
        <is>
          <t>8hour days</t>
        </is>
      </c>
      <c r="G359" s="156" t="inlineStr">
        <is>
          <t>Estimated LF/MH</t>
        </is>
      </c>
      <c r="H359" s="274" t="n"/>
      <c r="I359" s="85" t="inlineStr">
        <is>
          <t>Labor:              Guys</t>
        </is>
      </c>
      <c r="J359" s="68" t="inlineStr">
        <is>
          <t>Days</t>
        </is>
      </c>
      <c r="K359" s="68" t="inlineStr">
        <is>
          <t>Rate (PW?)</t>
        </is>
      </c>
      <c r="L359" s="87" t="inlineStr">
        <is>
          <t>Totals</t>
        </is>
      </c>
      <c r="M359" s="76" t="inlineStr">
        <is>
          <t>8hour days</t>
        </is>
      </c>
      <c r="N359" s="156" t="inlineStr">
        <is>
          <t>Estimated LF/MH</t>
        </is>
      </c>
    </row>
    <row r="360">
      <c r="B360" s="69" t="n">
        <v>2</v>
      </c>
      <c r="C360" s="1" t="n">
        <v>1</v>
      </c>
      <c r="D360" s="2388">
        <f>$D$17</f>
        <v/>
      </c>
      <c r="E360" s="70">
        <f>B360*C360*D360*8</f>
        <v/>
      </c>
      <c r="F360" s="76" t="n"/>
      <c r="G360" s="157">
        <f>F349/(E360/D360)</f>
        <v/>
      </c>
      <c r="H360" s="154" t="n"/>
      <c r="I360" s="69" t="n">
        <v>1</v>
      </c>
      <c r="J360" s="1" t="n">
        <v>0.5</v>
      </c>
      <c r="K360" s="2388">
        <f>$D$17</f>
        <v/>
      </c>
      <c r="L360" s="70">
        <f>I360*J360*K360*8</f>
        <v/>
      </c>
      <c r="M360" s="76" t="n"/>
      <c r="N360" s="157">
        <f>M349/(L360/K360)</f>
        <v/>
      </c>
    </row>
    <row r="361">
      <c r="B361" s="69" t="n"/>
      <c r="C361" s="1" t="n"/>
      <c r="D361" s="2388">
        <f>$D$17</f>
        <v/>
      </c>
      <c r="E361" s="70">
        <f>B361*C361*D361*8</f>
        <v/>
      </c>
      <c r="F361" s="76" t="n"/>
      <c r="G361" s="275">
        <f>F351/(E361/D361)</f>
        <v/>
      </c>
      <c r="H361" s="154" t="n"/>
      <c r="I361" s="69" t="n"/>
      <c r="J361" s="1" t="n"/>
      <c r="K361" s="2388">
        <f>$D$17</f>
        <v/>
      </c>
      <c r="L361" s="70">
        <f>I361*J361*K361*8</f>
        <v/>
      </c>
      <c r="M361" s="76" t="n"/>
      <c r="N361" s="275">
        <f>M351/(L361/K361)</f>
        <v/>
      </c>
    </row>
    <row r="362">
      <c r="B362" s="86" t="inlineStr">
        <is>
          <t>Travel:             Guys</t>
        </is>
      </c>
      <c r="C362" s="67" t="inlineStr">
        <is>
          <t>Hours</t>
        </is>
      </c>
      <c r="D362" s="67" t="inlineStr">
        <is>
          <t>Rate</t>
        </is>
      </c>
      <c r="E362" s="71" t="n"/>
      <c r="F362" s="1" t="n"/>
      <c r="I362" s="86" t="inlineStr">
        <is>
          <t>Travel:             Guys</t>
        </is>
      </c>
      <c r="J362" s="67" t="inlineStr">
        <is>
          <t>Hours</t>
        </is>
      </c>
      <c r="K362" s="67" t="inlineStr">
        <is>
          <t>Rate</t>
        </is>
      </c>
      <c r="L362" s="71" t="n"/>
      <c r="M362" s="1" t="n"/>
    </row>
    <row r="363">
      <c r="B363" s="69" t="n">
        <v>0</v>
      </c>
      <c r="C363" s="1" t="n">
        <v>0</v>
      </c>
      <c r="D363" s="2388">
        <f>$D$20</f>
        <v/>
      </c>
      <c r="E363" s="70">
        <f>B363*C363*D363</f>
        <v/>
      </c>
      <c r="F363" s="76" t="n"/>
      <c r="I363" s="69" t="n">
        <v>0</v>
      </c>
      <c r="J363" s="1" t="n">
        <v>0</v>
      </c>
      <c r="K363" s="2388">
        <f>$D$20</f>
        <v/>
      </c>
      <c r="L363" s="70">
        <f>I363*J363*K363</f>
        <v/>
      </c>
      <c r="M363" s="76" t="n"/>
    </row>
    <row r="364">
      <c r="B364" s="277" t="inlineStr">
        <is>
          <t>Labor Total</t>
        </is>
      </c>
      <c r="C364" s="278" t="n"/>
      <c r="D364" s="278" t="n"/>
      <c r="E364" s="2390">
        <f>ROUNDUP(SUM(E360:E363),0)</f>
        <v/>
      </c>
      <c r="F364" s="123">
        <f>E364/E358</f>
        <v/>
      </c>
      <c r="G364" s="124" t="inlineStr">
        <is>
          <t>Labor $/LF</t>
        </is>
      </c>
      <c r="H364" s="1" t="n"/>
      <c r="I364" s="277" t="inlineStr">
        <is>
          <t>Labor Total</t>
        </is>
      </c>
      <c r="J364" s="278" t="n"/>
      <c r="K364" s="278" t="n"/>
      <c r="L364" s="2390">
        <f>ROUNDUP(SUM(L360:L363),0)</f>
        <v/>
      </c>
      <c r="M364" s="123">
        <f>L364/L358</f>
        <v/>
      </c>
      <c r="N364" s="124" t="inlineStr">
        <is>
          <t>Labor $/LF</t>
        </is>
      </c>
    </row>
    <row r="365">
      <c r="B365" s="1" t="n"/>
      <c r="C365" s="1892" t="n"/>
      <c r="D365" s="2282" t="n"/>
      <c r="E365" s="2282" t="n"/>
      <c r="F365" s="2282" t="n"/>
      <c r="G365" s="1" t="n"/>
      <c r="H365" s="1" t="n"/>
      <c r="I365" s="1" t="n"/>
      <c r="J365" s="1892" t="n"/>
      <c r="K365" s="2282" t="n"/>
      <c r="L365" s="2282" t="n"/>
      <c r="M365" s="2282" t="n"/>
      <c r="N365" s="1" t="n"/>
    </row>
    <row r="366">
      <c r="B366" s="5" t="inlineStr">
        <is>
          <t>OTHER COSTS</t>
        </is>
      </c>
      <c r="C366" s="30" t="inlineStr">
        <is>
          <t>Quantity</t>
        </is>
      </c>
      <c r="D366" s="11" t="inlineStr">
        <is>
          <t>Cost</t>
        </is>
      </c>
      <c r="E366" s="2019" t="inlineStr">
        <is>
          <t>Total</t>
        </is>
      </c>
      <c r="F366" s="1" t="n"/>
      <c r="G366" s="1" t="n"/>
      <c r="H366" s="1" t="n"/>
      <c r="I366" s="5" t="inlineStr">
        <is>
          <t>OTHER COSTS</t>
        </is>
      </c>
      <c r="J366" s="30" t="inlineStr">
        <is>
          <t>Quantity</t>
        </is>
      </c>
      <c r="K366" s="11" t="inlineStr">
        <is>
          <t>Cost</t>
        </is>
      </c>
      <c r="L366" s="2019" t="inlineStr">
        <is>
          <t>Total</t>
        </is>
      </c>
      <c r="M366" s="1" t="n"/>
      <c r="N366" s="1" t="n"/>
    </row>
    <row r="367">
      <c r="B367" s="6" t="inlineStr">
        <is>
          <t>Moisture Test</t>
        </is>
      </c>
      <c r="C367" s="37" t="n"/>
      <c r="D367" s="2282" t="n">
        <v>35</v>
      </c>
      <c r="E367" s="2038">
        <f>ROUNDUP(C367*D367,0)</f>
        <v/>
      </c>
      <c r="F367" s="1" t="n"/>
      <c r="G367" s="1" t="n"/>
      <c r="H367" s="1" t="n"/>
      <c r="I367" s="6" t="inlineStr">
        <is>
          <t>Moisture Test</t>
        </is>
      </c>
      <c r="J367" s="37" t="n"/>
      <c r="K367" s="2282" t="n">
        <v>35</v>
      </c>
      <c r="L367" s="2038">
        <f>ROUNDUP(J367*K367,0)</f>
        <v/>
      </c>
      <c r="M367" s="1" t="n"/>
      <c r="N367" s="1" t="n"/>
    </row>
    <row r="368">
      <c r="B368" s="6" t="inlineStr">
        <is>
          <t>Tooling &amp; Consumables</t>
        </is>
      </c>
      <c r="C368" s="37">
        <f>F349</f>
        <v/>
      </c>
      <c r="D368" s="2282" t="n">
        <v>0.17</v>
      </c>
      <c r="E368" s="2038">
        <f>ROUNDUP(C368*D368,0)</f>
        <v/>
      </c>
      <c r="F368" s="1" t="n"/>
      <c r="G368" s="1" t="n"/>
      <c r="H368" s="1" t="n"/>
      <c r="I368" s="6" t="inlineStr">
        <is>
          <t>Tooling &amp; Consumables</t>
        </is>
      </c>
      <c r="J368" s="37">
        <f>L358</f>
        <v/>
      </c>
      <c r="K368" s="2282" t="n">
        <v>0.17</v>
      </c>
      <c r="L368" s="2038">
        <f>ROUNDUP(J368*K368,0)</f>
        <v/>
      </c>
      <c r="M368" s="1" t="n"/>
      <c r="N368" s="1" t="n"/>
    </row>
    <row r="369">
      <c r="B369" s="6" t="inlineStr">
        <is>
          <t>Travel - Lodging</t>
        </is>
      </c>
      <c r="C369" s="37" t="n">
        <v>0</v>
      </c>
      <c r="D369" s="2282">
        <f>$D$26</f>
        <v/>
      </c>
      <c r="E369" s="2038">
        <f>ROUNDUP(C369*D369,0)</f>
        <v/>
      </c>
      <c r="F369" s="1" t="n"/>
      <c r="G369" s="1" t="n"/>
      <c r="H369" s="1" t="n"/>
      <c r="I369" s="6" t="inlineStr">
        <is>
          <t>Travel - Lodging</t>
        </is>
      </c>
      <c r="J369" s="37" t="n">
        <v>0</v>
      </c>
      <c r="K369" s="2282">
        <f>$D$26</f>
        <v/>
      </c>
      <c r="L369" s="2038">
        <f>ROUNDUP(J369*K369,0)</f>
        <v/>
      </c>
      <c r="M369" s="1" t="n"/>
      <c r="N369" s="1" t="n"/>
    </row>
    <row r="370">
      <c r="B370" s="6" t="inlineStr">
        <is>
          <t>Travel - Food</t>
        </is>
      </c>
      <c r="C370" s="37">
        <f>C369</f>
        <v/>
      </c>
      <c r="D370" s="2282">
        <f>$D$27</f>
        <v/>
      </c>
      <c r="E370" s="2038">
        <f>ROUNDUP(C370*D370,0)</f>
        <v/>
      </c>
      <c r="F370" s="43" t="n"/>
      <c r="G370" s="1" t="n"/>
      <c r="H370" s="1" t="n"/>
      <c r="I370" s="6" t="inlineStr">
        <is>
          <t>Travel - Food</t>
        </is>
      </c>
      <c r="J370" s="37">
        <f>J369</f>
        <v/>
      </c>
      <c r="K370" s="2282">
        <f>$D$27</f>
        <v/>
      </c>
      <c r="L370" s="2038">
        <f>ROUNDUP(J370*K370,0)</f>
        <v/>
      </c>
      <c r="M370" s="43" t="n"/>
      <c r="N370" s="1" t="n"/>
    </row>
    <row r="371">
      <c r="B371" s="6" t="inlineStr">
        <is>
          <t>Foreman - Fuel</t>
        </is>
      </c>
      <c r="C371" s="37">
        <f>(E364/8)/D360</f>
        <v/>
      </c>
      <c r="D371" s="2282">
        <f>$D$28</f>
        <v/>
      </c>
      <c r="E371" s="2038">
        <f>ROUNDUP(C371*D371,0)</f>
        <v/>
      </c>
      <c r="F371" s="43" t="n"/>
      <c r="G371" s="1" t="n"/>
      <c r="H371" s="1" t="n"/>
      <c r="I371" s="6" t="inlineStr">
        <is>
          <t>Foreman - Fuel</t>
        </is>
      </c>
      <c r="J371" s="37">
        <f>(L364/8)/K360</f>
        <v/>
      </c>
      <c r="K371" s="2282">
        <f>$D$28</f>
        <v/>
      </c>
      <c r="L371" s="2038">
        <f>ROUNDUP(J371*K371,0)</f>
        <v/>
      </c>
      <c r="M371" s="43" t="n"/>
      <c r="N371" s="1" t="n"/>
    </row>
    <row r="372">
      <c r="B372" s="6" t="inlineStr">
        <is>
          <t>Generator Fuel</t>
        </is>
      </c>
      <c r="C372" s="37" t="n"/>
      <c r="D372" s="2282" t="n">
        <v>0.04</v>
      </c>
      <c r="E372" s="2038">
        <f>ROUNDUP(C372*D372,0)</f>
        <v/>
      </c>
      <c r="F372" s="1" t="n"/>
      <c r="G372" s="1" t="n"/>
      <c r="H372" s="1" t="n"/>
      <c r="I372" s="6" t="inlineStr">
        <is>
          <t>Generator Fuel</t>
        </is>
      </c>
      <c r="J372" s="37" t="n"/>
      <c r="K372" s="2282" t="n">
        <v>0.04</v>
      </c>
      <c r="L372" s="2038">
        <f>ROUNDUP(J372*K372,0)</f>
        <v/>
      </c>
      <c r="M372" s="1" t="n"/>
      <c r="N372" s="1" t="n"/>
    </row>
    <row r="373">
      <c r="B373" s="6" t="inlineStr">
        <is>
          <t>Plastic</t>
        </is>
      </c>
      <c r="C373" s="37" t="n"/>
      <c r="D373" s="2282" t="n"/>
      <c r="E373" s="2038">
        <f>ROUNDUP(C373*D373,0)</f>
        <v/>
      </c>
      <c r="F373" s="1" t="n"/>
      <c r="G373" s="1" t="n"/>
      <c r="H373" s="1" t="n"/>
      <c r="I373" s="6" t="inlineStr">
        <is>
          <t>Plastic</t>
        </is>
      </c>
      <c r="J373" s="37" t="n"/>
      <c r="K373" s="2282" t="n"/>
      <c r="L373" s="2038">
        <f>ROUNDUP(J373*K373,0)</f>
        <v/>
      </c>
      <c r="M373" s="1" t="n"/>
      <c r="N373" s="1" t="n"/>
    </row>
    <row r="374">
      <c r="B374" s="10" t="inlineStr">
        <is>
          <t>Other Costs Total</t>
        </is>
      </c>
      <c r="C374" s="36" t="n"/>
      <c r="D374" s="2339" t="n"/>
      <c r="E374" s="2340">
        <f>SUM(E367:E373)</f>
        <v/>
      </c>
      <c r="F374" s="1" t="n"/>
      <c r="G374" s="1" t="n"/>
      <c r="H374" s="1" t="n"/>
      <c r="I374" s="10" t="inlineStr">
        <is>
          <t>Other Costs Total</t>
        </is>
      </c>
      <c r="J374" s="36" t="n"/>
      <c r="K374" s="2339" t="n"/>
      <c r="L374" s="2340">
        <f>SUM(L367:L373)</f>
        <v/>
      </c>
      <c r="M374" s="1" t="n"/>
      <c r="N374" s="1" t="n"/>
    </row>
    <row r="375">
      <c r="B375" s="1" t="n"/>
      <c r="C375" s="1892" t="n"/>
      <c r="D375" s="2282" t="n"/>
      <c r="E375" s="2282" t="n"/>
      <c r="F375" s="1" t="n"/>
      <c r="G375" s="1" t="n"/>
      <c r="H375" s="1" t="n"/>
      <c r="I375" s="1" t="n"/>
      <c r="J375" s="1892" t="n"/>
      <c r="K375" s="2282" t="n"/>
      <c r="L375" s="2282" t="n"/>
      <c r="M375" s="1" t="n"/>
      <c r="N375" s="1" t="n"/>
    </row>
    <row r="376">
      <c r="B376" s="1" t="n"/>
      <c r="C376" s="1892" t="n"/>
      <c r="D376" s="2282" t="n"/>
      <c r="E376" s="2282" t="n"/>
      <c r="F376" s="1" t="n"/>
      <c r="G376" s="1" t="n"/>
      <c r="H376" s="1" t="n"/>
      <c r="I376" s="1" t="n"/>
      <c r="J376" s="1892" t="n"/>
      <c r="K376" s="2282" t="n"/>
      <c r="L376" s="2282" t="n"/>
      <c r="M376" s="1" t="n"/>
      <c r="N376" s="1" t="n"/>
    </row>
    <row r="377">
      <c r="B377" s="280" t="inlineStr">
        <is>
          <t>SUB-TOTAL COSTS</t>
        </is>
      </c>
      <c r="C377" s="281" t="n"/>
      <c r="D377" s="2393" t="n"/>
      <c r="E377" s="2394">
        <f>SUM(E356,E364,E374)</f>
        <v/>
      </c>
      <c r="F377" s="1" t="n"/>
      <c r="G377" s="1" t="n"/>
      <c r="H377" s="1" t="n"/>
      <c r="I377" s="280" t="inlineStr">
        <is>
          <t>SUB-TOTAL COSTS</t>
        </is>
      </c>
      <c r="J377" s="281" t="n"/>
      <c r="K377" s="2393" t="n"/>
      <c r="L377" s="2394">
        <f>SUM(L356,L364,L374)</f>
        <v/>
      </c>
      <c r="M377" s="1" t="n"/>
      <c r="N377" s="1" t="n"/>
    </row>
    <row r="378">
      <c r="B378" s="1" t="n"/>
      <c r="C378" s="1892" t="n"/>
      <c r="D378" s="2282" t="n"/>
      <c r="E378" s="2282" t="n"/>
      <c r="F378" s="1" t="n"/>
      <c r="G378" s="1" t="n"/>
      <c r="H378" s="1" t="n"/>
      <c r="I378" s="1" t="n"/>
      <c r="J378" s="1892" t="n"/>
      <c r="K378" s="2282" t="n"/>
      <c r="L378" s="2282" t="n"/>
      <c r="M378" s="1" t="n"/>
      <c r="N378" s="1" t="n"/>
    </row>
    <row r="379">
      <c r="B379" s="5" t="inlineStr">
        <is>
          <t>MARKUP</t>
        </is>
      </c>
      <c r="C379" s="30" t="inlineStr">
        <is>
          <t>%</t>
        </is>
      </c>
      <c r="D379" s="2395" t="n"/>
      <c r="E379" s="2019" t="n"/>
      <c r="F379" s="1" t="n"/>
      <c r="G379" s="1" t="n"/>
      <c r="H379" s="1" t="n"/>
      <c r="I379" s="5" t="inlineStr">
        <is>
          <t>MARKUP</t>
        </is>
      </c>
      <c r="J379" s="30" t="inlineStr">
        <is>
          <t>%</t>
        </is>
      </c>
      <c r="K379" s="2395" t="n"/>
      <c r="L379" s="2019" t="n"/>
      <c r="M379" s="1" t="n"/>
      <c r="N379" s="1" t="n"/>
    </row>
    <row r="380">
      <c r="B380" s="6" t="inlineStr">
        <is>
          <t>Sales Tax</t>
        </is>
      </c>
      <c r="C380" s="2396">
        <f>$C$37</f>
        <v/>
      </c>
      <c r="D380" s="2397" t="n"/>
      <c r="E380" s="2038">
        <f>ROUNDUP(SUM(E356:E356)*C380,0)</f>
        <v/>
      </c>
      <c r="F380" s="1" t="n"/>
      <c r="G380" s="1" t="n"/>
      <c r="H380" s="1" t="n"/>
      <c r="I380" s="6" t="inlineStr">
        <is>
          <t>Sales Tax</t>
        </is>
      </c>
      <c r="J380" s="2396">
        <f>$C$37</f>
        <v/>
      </c>
      <c r="K380" s="2397" t="n"/>
      <c r="L380" s="2038">
        <f>ROUNDUP(SUM(L356:L356)*J380,0)</f>
        <v/>
      </c>
      <c r="M380" s="1" t="n"/>
      <c r="N380" s="1" t="n"/>
    </row>
    <row r="381">
      <c r="B381" s="6" t="inlineStr">
        <is>
          <t>Insurance</t>
        </is>
      </c>
      <c r="C381" s="241" t="n">
        <v>0.08</v>
      </c>
      <c r="D381" s="2397" t="n"/>
      <c r="E381" s="2038">
        <f>ROUNDUP(SUM(E364)*C381,0)</f>
        <v/>
      </c>
      <c r="F381" s="1" t="n"/>
      <c r="G381" s="1" t="n"/>
      <c r="H381" s="1" t="n"/>
      <c r="I381" s="6" t="inlineStr">
        <is>
          <t>Insurance</t>
        </is>
      </c>
      <c r="J381" s="241" t="n">
        <v>0.08</v>
      </c>
      <c r="K381" s="2397" t="n"/>
      <c r="L381" s="2038">
        <f>ROUNDUP(SUM(L364)*J381,0)</f>
        <v/>
      </c>
      <c r="M381" s="1" t="n"/>
      <c r="N381" s="1" t="n"/>
    </row>
    <row r="382">
      <c r="B382" s="6" t="inlineStr">
        <is>
          <t>Material Contingency</t>
        </is>
      </c>
      <c r="C382" s="122">
        <f>IF(E356&lt;=5000,0.1,0.05)</f>
        <v/>
      </c>
      <c r="D382" s="2282" t="n"/>
      <c r="E382" s="2038">
        <f>ROUNDUP(E356*C382,0)</f>
        <v/>
      </c>
      <c r="F382" s="1" t="n"/>
      <c r="G382" s="1" t="n"/>
      <c r="H382" s="1" t="n"/>
      <c r="I382" s="6" t="inlineStr">
        <is>
          <t>Material Contingency</t>
        </is>
      </c>
      <c r="J382" s="122" t="n">
        <v>0.2</v>
      </c>
      <c r="K382" s="2282" t="n"/>
      <c r="L382" s="2038">
        <f>ROUNDUP(L356*J382,0)</f>
        <v/>
      </c>
      <c r="M382" s="1" t="n"/>
      <c r="N382" s="1" t="n"/>
    </row>
    <row r="383">
      <c r="B383" s="6" t="inlineStr">
        <is>
          <t>Labor Contingency</t>
        </is>
      </c>
      <c r="C383" s="122" t="n">
        <v>0.2</v>
      </c>
      <c r="D383" s="2282" t="n"/>
      <c r="E383" s="2038">
        <f>ROUNDUP(E364*C383,0)</f>
        <v/>
      </c>
      <c r="F383" s="1" t="n"/>
      <c r="G383" s="1" t="n"/>
      <c r="H383" s="1" t="n"/>
      <c r="I383" s="6" t="inlineStr">
        <is>
          <t>Labor Contingency</t>
        </is>
      </c>
      <c r="J383" s="122" t="n">
        <v>0.3</v>
      </c>
      <c r="K383" s="2282" t="n"/>
      <c r="L383" s="2038">
        <f>ROUNDUP(L364*J383,0)</f>
        <v/>
      </c>
      <c r="M383" s="1" t="n"/>
      <c r="N383" s="1" t="n"/>
    </row>
    <row r="384">
      <c r="B384" s="6" t="inlineStr">
        <is>
          <t>Mark Up</t>
        </is>
      </c>
      <c r="C384" s="122" t="n">
        <v>0.35</v>
      </c>
      <c r="D384" s="2282" t="n"/>
      <c r="E384" s="2038">
        <f>ROUNDUP(SUM(E377:E383)*C384,0)</f>
        <v/>
      </c>
      <c r="F384" s="1" t="n"/>
      <c r="G384" s="1" t="n"/>
      <c r="H384" s="1" t="n"/>
      <c r="I384" s="6" t="inlineStr">
        <is>
          <t>Mark Up</t>
        </is>
      </c>
      <c r="J384" s="122" t="n">
        <v>0.35</v>
      </c>
      <c r="K384" s="2282" t="n"/>
      <c r="L384" s="2038">
        <f>ROUNDUP(SUM(L377:L383)*J384,0)</f>
        <v/>
      </c>
      <c r="M384" s="1" t="n"/>
      <c r="N384" s="1" t="n"/>
    </row>
    <row r="385">
      <c r="B385" s="284">
        <f>$B$42</f>
        <v/>
      </c>
      <c r="C385" s="241">
        <f>$C$42</f>
        <v/>
      </c>
      <c r="D385" s="2282" t="n"/>
      <c r="E385" s="2038">
        <f>ROUNDUP(SUM(E364,E381:E384)*C385,0)</f>
        <v/>
      </c>
      <c r="F385" s="1" t="n"/>
      <c r="G385" s="1" t="n"/>
      <c r="H385" s="1" t="n"/>
      <c r="I385" s="284">
        <f>$B$42</f>
        <v/>
      </c>
      <c r="J385" s="241">
        <f>$C$42</f>
        <v/>
      </c>
      <c r="K385" s="2282" t="n"/>
      <c r="L385" s="2038">
        <f>ROUNDUP(SUM(L364,L381:L384)*J385,0)</f>
        <v/>
      </c>
      <c r="M385" s="1" t="n"/>
      <c r="N385" s="1" t="n"/>
    </row>
    <row r="386">
      <c r="B386" s="403" t="inlineStr">
        <is>
          <t>Warranty &amp; Extra Soft Cost</t>
        </is>
      </c>
      <c r="C386" s="241">
        <f>$C$43</f>
        <v/>
      </c>
      <c r="D386" s="2282" t="n"/>
      <c r="E386" s="2038">
        <f>ROUNDUP(C386*SUM(E377:E385),0)</f>
        <v/>
      </c>
      <c r="F386" s="1" t="n"/>
      <c r="G386" s="1" t="n"/>
      <c r="H386" s="1" t="n"/>
      <c r="I386" s="403" t="inlineStr">
        <is>
          <t>Warranty &amp; Extra Soft Cost</t>
        </is>
      </c>
      <c r="J386" s="241">
        <f>$C$43</f>
        <v/>
      </c>
      <c r="K386" s="2282" t="n"/>
      <c r="L386" s="2038">
        <f>ROUNDUP(J386*SUM(L377:L385),0)</f>
        <v/>
      </c>
      <c r="M386" s="1" t="n"/>
      <c r="N386" s="1" t="n"/>
    </row>
    <row r="387">
      <c r="B387" s="45" t="inlineStr">
        <is>
          <t>Bond</t>
        </is>
      </c>
      <c r="C387" s="46">
        <f>$C$44</f>
        <v/>
      </c>
      <c r="D387" s="2314" t="n"/>
      <c r="E387" s="2400">
        <f>ROUNDUP(SUM(E377:E386)*C387,0)</f>
        <v/>
      </c>
      <c r="F387" s="1" t="n"/>
      <c r="G387" s="1" t="n"/>
      <c r="H387" s="1" t="n"/>
      <c r="I387" s="45" t="inlineStr">
        <is>
          <t>Bond</t>
        </is>
      </c>
      <c r="J387" s="46">
        <f>$C$44</f>
        <v/>
      </c>
      <c r="K387" s="2314" t="n"/>
      <c r="L387" s="2400">
        <f>ROUNDUP(SUM(L377:L386)*J387,0)</f>
        <v/>
      </c>
      <c r="M387" s="1" t="n"/>
      <c r="N387" s="1" t="n"/>
    </row>
    <row r="388">
      <c r="B388" s="1" t="n"/>
      <c r="C388" s="8" t="n"/>
      <c r="D388" s="2282" t="n"/>
      <c r="E388" s="2282" t="n"/>
      <c r="F388" s="1" t="n"/>
      <c r="G388" s="286" t="inlineStr">
        <is>
          <t>Mark Up + Conting.</t>
        </is>
      </c>
      <c r="H388" s="1892" t="n"/>
      <c r="I388" s="1" t="n"/>
      <c r="J388" s="8" t="n"/>
      <c r="K388" s="2282" t="n"/>
      <c r="L388" s="2282" t="n"/>
      <c r="M388" s="1" t="n"/>
      <c r="N388" s="286" t="inlineStr">
        <is>
          <t>Mark Up + Conting.</t>
        </is>
      </c>
    </row>
    <row r="389" ht="16.2" customHeight="1" thickBot="1">
      <c r="B389" s="1" t="n"/>
      <c r="C389" s="287" t="inlineStr">
        <is>
          <t>LF:</t>
        </is>
      </c>
      <c r="D389" s="2405">
        <f>E358</f>
        <v/>
      </c>
      <c r="E389" s="2282" t="n"/>
      <c r="F389" s="38" t="inlineStr">
        <is>
          <t>Less Sales Tax</t>
        </is>
      </c>
      <c r="G389" s="2402">
        <f>SUM(E382:E384)</f>
        <v/>
      </c>
      <c r="H389" s="2282" t="n"/>
      <c r="I389" s="1" t="n"/>
      <c r="J389" s="287" t="inlineStr">
        <is>
          <t>LF:</t>
        </is>
      </c>
      <c r="K389" s="2405">
        <f>L358</f>
        <v/>
      </c>
      <c r="L389" s="2282" t="n"/>
      <c r="M389" s="38" t="inlineStr">
        <is>
          <t>Less Sales Tax</t>
        </is>
      </c>
      <c r="N389" s="2402">
        <f>SUM(L382:L384)</f>
        <v/>
      </c>
    </row>
    <row r="390" ht="16.2" customHeight="1" thickBot="1">
      <c r="B390" s="289" t="inlineStr">
        <is>
          <t>TOTAL</t>
        </is>
      </c>
      <c r="C390" s="290" t="n"/>
      <c r="D390" s="2412">
        <f>E390/E358</f>
        <v/>
      </c>
      <c r="E390" s="2404">
        <f>SUM(E377:E387)</f>
        <v/>
      </c>
      <c r="F390" s="2282">
        <f>E390-E380-E385</f>
        <v/>
      </c>
      <c r="G390" s="293">
        <f>G389/E390</f>
        <v/>
      </c>
      <c r="H390" s="294" t="n"/>
      <c r="I390" s="289" t="inlineStr">
        <is>
          <t>TOTAL</t>
        </is>
      </c>
      <c r="J390" s="290" t="n"/>
      <c r="K390" s="2412">
        <f>L390/L358</f>
        <v/>
      </c>
      <c r="L390" s="2404">
        <f>SUM(L377:L387)</f>
        <v/>
      </c>
      <c r="M390" s="2282">
        <f>L390-L380-L385</f>
        <v/>
      </c>
      <c r="N390" s="293">
        <f>N389/L390</f>
        <v/>
      </c>
    </row>
    <row r="391">
      <c r="B391" s="1" t="n"/>
      <c r="C391" s="1" t="inlineStr">
        <is>
          <t xml:space="preserve"> </t>
        </is>
      </c>
      <c r="D391" s="2282">
        <f>E391/E358</f>
        <v/>
      </c>
      <c r="E391" s="2282">
        <f>E390-E385</f>
        <v/>
      </c>
      <c r="F391" t="inlineStr">
        <is>
          <t xml:space="preserve">less ks remodel, if applicable </t>
        </is>
      </c>
      <c r="G391" s="295">
        <f>IF(G390&lt;=0.25,"OWNER APPROVAL REQUIRED","GP % Okay")</f>
        <v/>
      </c>
      <c r="H391" s="1891" t="n"/>
      <c r="I391" s="1" t="n"/>
      <c r="J391" s="1" t="inlineStr">
        <is>
          <t xml:space="preserve"> </t>
        </is>
      </c>
      <c r="K391" s="2282">
        <f>L391/L358</f>
        <v/>
      </c>
      <c r="L391" s="2282">
        <f>L390-L385</f>
        <v/>
      </c>
      <c r="M391" t="inlineStr">
        <is>
          <t xml:space="preserve">less ks remodel, if applicable </t>
        </is>
      </c>
      <c r="N391" s="295">
        <f>IF(N390&lt;=0.25,"OWNER APPROVAL REQUIRED","GP % Okay")</f>
        <v/>
      </c>
    </row>
    <row r="394">
      <c r="B394" s="2374" t="inlineStr">
        <is>
          <t>6" Rubber Cove Base - 500 lf</t>
        </is>
      </c>
      <c r="C394" s="2350" t="n"/>
      <c r="D394" s="2350" t="n"/>
      <c r="E394" s="237" t="n"/>
      <c r="F394" s="2375">
        <f>D439</f>
        <v/>
      </c>
      <c r="G394" s="263" t="inlineStr">
        <is>
          <t>$/lf</t>
        </is>
      </c>
      <c r="I394" s="2374" t="inlineStr">
        <is>
          <t>6" Rubber Cove Base - 100 lf</t>
        </is>
      </c>
      <c r="J394" s="2350" t="n"/>
      <c r="K394" s="2350" t="n"/>
      <c r="L394" s="237" t="n"/>
      <c r="M394" s="2375">
        <f>K439</f>
        <v/>
      </c>
      <c r="N394" s="263" t="inlineStr">
        <is>
          <t>$/lf</t>
        </is>
      </c>
    </row>
    <row r="395">
      <c r="B395" s="25" t="inlineStr">
        <is>
          <t>MATERIAL - Patch</t>
        </is>
      </c>
      <c r="C395" s="90" t="inlineStr">
        <is>
          <t>Quantity</t>
        </is>
      </c>
      <c r="D395" s="90" t="inlineStr">
        <is>
          <t>Cost</t>
        </is>
      </c>
      <c r="E395" s="91" t="inlineStr">
        <is>
          <t>Total</t>
        </is>
      </c>
      <c r="F395" s="23" t="n"/>
      <c r="G395" s="89" t="n"/>
      <c r="H395" s="264" t="n"/>
      <c r="I395" s="25" t="inlineStr">
        <is>
          <t>MATERIAL - Patch</t>
        </is>
      </c>
      <c r="J395" s="90" t="inlineStr">
        <is>
          <t>Quantity</t>
        </is>
      </c>
      <c r="K395" s="90" t="inlineStr">
        <is>
          <t>Cost</t>
        </is>
      </c>
      <c r="L395" s="91" t="inlineStr">
        <is>
          <t>Total</t>
        </is>
      </c>
      <c r="M395" s="23" t="n"/>
      <c r="N395" s="89" t="n"/>
    </row>
    <row r="396">
      <c r="B396" s="44" t="n"/>
      <c r="C396" s="2377" t="n"/>
      <c r="D396" s="2312" t="n"/>
      <c r="E396" s="2308">
        <f>C396*D396</f>
        <v/>
      </c>
      <c r="F396" s="1" t="n"/>
      <c r="G396" s="1" t="n"/>
      <c r="H396" s="1" t="n"/>
      <c r="I396" s="44" t="n"/>
      <c r="J396" s="2377" t="n"/>
      <c r="K396" s="2312" t="n"/>
      <c r="L396" s="2308">
        <f>J396*K396</f>
        <v/>
      </c>
      <c r="M396" s="1" t="n"/>
      <c r="N396" s="1" t="n"/>
    </row>
    <row r="397">
      <c r="B397" s="423">
        <f>B348</f>
        <v/>
      </c>
      <c r="C397" s="2431" t="n"/>
      <c r="D397" s="2432" t="n"/>
      <c r="E397" s="2308">
        <f>C397*D397</f>
        <v/>
      </c>
      <c r="F397" s="1" t="n"/>
      <c r="G397" s="1" t="n"/>
      <c r="H397" s="1" t="n"/>
      <c r="I397" s="423">
        <f>B348</f>
        <v/>
      </c>
      <c r="J397" s="2431" t="n"/>
      <c r="K397" s="2432" t="n"/>
      <c r="L397" s="2308">
        <f>J397*K397</f>
        <v/>
      </c>
      <c r="M397" s="1" t="n"/>
      <c r="N397" s="1" t="n"/>
    </row>
    <row r="398">
      <c r="B398" s="25" t="inlineStr">
        <is>
          <t>MATERIAL - Floor</t>
        </is>
      </c>
      <c r="C398" s="2379" t="n"/>
      <c r="D398" s="23" t="n"/>
      <c r="E398" s="29" t="n"/>
      <c r="F398" s="2380" t="n">
        <v>500</v>
      </c>
      <c r="G398" s="82" t="inlineStr">
        <is>
          <t>LF</t>
        </is>
      </c>
      <c r="H398" s="1" t="n"/>
      <c r="I398" s="25" t="inlineStr">
        <is>
          <t>MATERIAL - Floor</t>
        </is>
      </c>
      <c r="J398" s="2379" t="n"/>
      <c r="K398" s="23" t="n"/>
      <c r="L398" s="29" t="n"/>
      <c r="M398" s="2380" t="n">
        <v>100</v>
      </c>
      <c r="N398" s="82" t="inlineStr">
        <is>
          <t>LF</t>
        </is>
      </c>
    </row>
    <row r="399">
      <c r="B399" s="47" t="inlineStr">
        <is>
          <t>Rubber Cove 6"</t>
        </is>
      </c>
      <c r="C399" s="2433" t="n">
        <v>5</v>
      </c>
      <c r="D399" s="2434" t="n">
        <v>176</v>
      </c>
      <c r="E399" s="2038">
        <f>C399*D399</f>
        <v/>
      </c>
      <c r="F399" s="297">
        <f>F398/120</f>
        <v/>
      </c>
      <c r="G399" s="1" t="n"/>
      <c r="H399" s="1" t="n"/>
      <c r="I399" s="47" t="inlineStr">
        <is>
          <t>Rubber Cove 6"</t>
        </is>
      </c>
      <c r="J399" s="2433" t="n">
        <v>1</v>
      </c>
      <c r="K399" s="2434" t="n">
        <v>176</v>
      </c>
      <c r="L399" s="2038">
        <f>J399*K399</f>
        <v/>
      </c>
      <c r="M399" s="297">
        <f>M398/120</f>
        <v/>
      </c>
      <c r="N399" s="1" t="n"/>
    </row>
    <row r="400">
      <c r="B400" s="421" t="inlineStr">
        <is>
          <t>Adhesive</t>
        </is>
      </c>
      <c r="C400" s="2435">
        <f>F398</f>
        <v/>
      </c>
      <c r="D400" s="2283">
        <f>D351</f>
        <v/>
      </c>
      <c r="E400" s="2038">
        <f>C400*D400</f>
        <v/>
      </c>
      <c r="F400" s="97" t="n"/>
      <c r="G400" s="1" t="n"/>
      <c r="H400" s="1" t="n"/>
      <c r="I400" s="421" t="inlineStr">
        <is>
          <t>Adhesive</t>
        </is>
      </c>
      <c r="J400" s="2435">
        <f>M398</f>
        <v/>
      </c>
      <c r="K400" s="2283">
        <f>D351</f>
        <v/>
      </c>
      <c r="L400" s="2038">
        <f>J400*K400</f>
        <v/>
      </c>
      <c r="M400" s="97" t="n"/>
      <c r="N400" s="1" t="n"/>
    </row>
    <row r="401">
      <c r="B401" s="415" t="n"/>
      <c r="C401" s="2436" t="n"/>
      <c r="D401" s="2437" t="n"/>
      <c r="E401" s="2333">
        <f>C401*D401</f>
        <v/>
      </c>
      <c r="F401" s="1" t="n"/>
      <c r="G401" s="1" t="n"/>
      <c r="H401" s="1" t="n"/>
      <c r="I401" s="415" t="n"/>
      <c r="J401" s="2436" t="n"/>
      <c r="K401" s="2437" t="n"/>
      <c r="L401" s="2333">
        <f>J401*K401</f>
        <v/>
      </c>
      <c r="M401" s="1" t="n"/>
      <c r="N401" s="1" t="n"/>
    </row>
    <row r="402">
      <c r="B402" s="17" t="inlineStr">
        <is>
          <t>Material Sub Total</t>
        </is>
      </c>
      <c r="C402" s="35" t="n"/>
      <c r="D402" s="2382" t="n"/>
      <c r="E402" s="2335">
        <f>ROUNDUP(SUM(E396:E401),0)</f>
        <v/>
      </c>
      <c r="F402" s="1" t="n"/>
      <c r="G402" s="1" t="n"/>
      <c r="H402" s="1" t="n"/>
      <c r="I402" s="17" t="inlineStr">
        <is>
          <t>Material Sub Total</t>
        </is>
      </c>
      <c r="J402" s="35" t="n"/>
      <c r="K402" s="2382" t="n"/>
      <c r="L402" s="2335">
        <f>ROUNDUP(SUM(L396:L401),0)</f>
        <v/>
      </c>
      <c r="M402" s="1" t="n"/>
      <c r="N402" s="1" t="n"/>
    </row>
    <row r="403">
      <c r="B403" s="20" t="inlineStr">
        <is>
          <t>Discount</t>
        </is>
      </c>
      <c r="C403" s="270" t="n">
        <v>0</v>
      </c>
      <c r="D403" s="2283" t="n"/>
      <c r="E403" s="2383">
        <f>ROUNDUP(SUM(E399)*C403,0)</f>
        <v/>
      </c>
      <c r="F403" s="1" t="n"/>
      <c r="G403" s="1" t="n"/>
      <c r="H403" s="1" t="n"/>
      <c r="I403" s="20" t="inlineStr">
        <is>
          <t>Discount</t>
        </is>
      </c>
      <c r="J403" s="270" t="n">
        <v>0</v>
      </c>
      <c r="K403" s="2283" t="n"/>
      <c r="L403" s="2383">
        <f>ROUNDUP(SUM(L399)*J403,0)</f>
        <v/>
      </c>
      <c r="M403" s="1" t="n"/>
      <c r="N403" s="1" t="n"/>
    </row>
    <row r="404">
      <c r="B404" s="446" t="inlineStr">
        <is>
          <t>Shipping + Mat. Esc.</t>
        </is>
      </c>
      <c r="C404" s="40">
        <f>IF(E402&lt;=5000,0.1,IF(E402&lt;=10000,0.06,0.04))+$C$12</f>
        <v/>
      </c>
      <c r="D404" s="2384" t="n"/>
      <c r="E404" s="2338">
        <f>ROUNDUP(E402*C404,0)</f>
        <v/>
      </c>
      <c r="F404" s="454">
        <f>$F$12</f>
        <v/>
      </c>
      <c r="I404" s="446" t="inlineStr">
        <is>
          <t>Shipping + Mat. Esc.</t>
        </is>
      </c>
      <c r="J404" s="40">
        <f>IF(L402&lt;=5000,0.1,IF(L402&lt;=10000,0.06,0.04))+$C$12</f>
        <v/>
      </c>
      <c r="K404" s="2384" t="n"/>
      <c r="L404" s="2338">
        <f>ROUNDUP(L402*J404,0)</f>
        <v/>
      </c>
      <c r="M404" s="454">
        <f>$F$12</f>
        <v/>
      </c>
    </row>
    <row r="405">
      <c r="B405" s="10" t="inlineStr">
        <is>
          <t>Material Total</t>
        </is>
      </c>
      <c r="C405" s="36" t="n"/>
      <c r="D405" s="2339" t="n"/>
      <c r="E405" s="2339">
        <f>SUM(E402:E404)</f>
        <v/>
      </c>
      <c r="F405" s="123">
        <f>E405/F398</f>
        <v/>
      </c>
      <c r="G405" s="124" t="inlineStr">
        <is>
          <t>Material $/LF</t>
        </is>
      </c>
      <c r="H405" s="1" t="n"/>
      <c r="I405" s="10" t="inlineStr">
        <is>
          <t>Material Total</t>
        </is>
      </c>
      <c r="J405" s="36" t="n"/>
      <c r="K405" s="2339" t="n"/>
      <c r="L405" s="2339">
        <f>SUM(L402:L404)</f>
        <v/>
      </c>
      <c r="M405" s="123">
        <f>L405/M398</f>
        <v/>
      </c>
      <c r="N405" s="124" t="inlineStr">
        <is>
          <t>Material $/LF</t>
        </is>
      </c>
    </row>
    <row r="406">
      <c r="B406" s="1" t="n"/>
      <c r="C406" s="1892" t="n"/>
      <c r="D406" s="2282" t="n"/>
      <c r="E406" s="2282" t="n"/>
      <c r="F406" s="1" t="n"/>
      <c r="I406" s="1" t="n"/>
      <c r="J406" s="1892" t="n"/>
      <c r="K406" s="2282" t="n"/>
      <c r="L406" s="2282" t="n"/>
      <c r="M406" s="1" t="n"/>
    </row>
    <row r="407">
      <c r="B407" s="75" t="inlineStr">
        <is>
          <t>Square Footage:</t>
        </is>
      </c>
      <c r="C407" s="2385" t="n">
        <v>0</v>
      </c>
      <c r="D407" s="75" t="inlineStr">
        <is>
          <t>Linear Footage:</t>
        </is>
      </c>
      <c r="E407" s="2386">
        <f>F398</f>
        <v/>
      </c>
      <c r="F407" s="1" t="n"/>
      <c r="G407" s="273">
        <f>E407/C407</f>
        <v/>
      </c>
      <c r="I407" s="75" t="inlineStr">
        <is>
          <t>Square Footage:</t>
        </is>
      </c>
      <c r="J407" s="2385" t="n">
        <v>0</v>
      </c>
      <c r="K407" s="75" t="inlineStr">
        <is>
          <t>Linear Footage:</t>
        </is>
      </c>
      <c r="L407" s="2386">
        <f>M398</f>
        <v/>
      </c>
      <c r="M407" s="1" t="n"/>
      <c r="N407" s="273">
        <f>L407/J407</f>
        <v/>
      </c>
    </row>
    <row r="408">
      <c r="B408" s="85" t="inlineStr">
        <is>
          <t>Labor:              Guys</t>
        </is>
      </c>
      <c r="C408" s="68" t="inlineStr">
        <is>
          <t>Days</t>
        </is>
      </c>
      <c r="D408" s="68" t="inlineStr">
        <is>
          <t>Rate (PW?)</t>
        </is>
      </c>
      <c r="E408" s="87" t="inlineStr">
        <is>
          <t>Totals</t>
        </is>
      </c>
      <c r="F408" s="76" t="inlineStr">
        <is>
          <t>8hour days</t>
        </is>
      </c>
      <c r="G408" s="156" t="inlineStr">
        <is>
          <t>Estimated LF/MH</t>
        </is>
      </c>
      <c r="H408" s="274" t="n"/>
      <c r="I408" s="85" t="inlineStr">
        <is>
          <t>Labor:              Guys</t>
        </is>
      </c>
      <c r="J408" s="68" t="inlineStr">
        <is>
          <t>Days</t>
        </is>
      </c>
      <c r="K408" s="68" t="inlineStr">
        <is>
          <t>Rate (PW?)</t>
        </is>
      </c>
      <c r="L408" s="87" t="inlineStr">
        <is>
          <t>Totals</t>
        </is>
      </c>
      <c r="M408" s="76" t="inlineStr">
        <is>
          <t>8hour days</t>
        </is>
      </c>
      <c r="N408" s="156" t="inlineStr">
        <is>
          <t>Estimated LF/MH</t>
        </is>
      </c>
    </row>
    <row r="409">
      <c r="B409" s="69" t="n">
        <v>2</v>
      </c>
      <c r="C409" s="1" t="n">
        <v>1</v>
      </c>
      <c r="D409" s="2388">
        <f>$D$17</f>
        <v/>
      </c>
      <c r="E409" s="70">
        <f>B409*C409*D409*8</f>
        <v/>
      </c>
      <c r="F409" s="76" t="n"/>
      <c r="G409" s="157">
        <f>F398/(E409/D409)</f>
        <v/>
      </c>
      <c r="H409" s="154" t="n"/>
      <c r="I409" s="69" t="n">
        <v>1</v>
      </c>
      <c r="J409" s="1" t="n">
        <v>0.5</v>
      </c>
      <c r="K409" s="2388">
        <f>$D$17</f>
        <v/>
      </c>
      <c r="L409" s="70">
        <f>I409*J409*K409*8</f>
        <v/>
      </c>
      <c r="M409" s="76" t="n"/>
      <c r="N409" s="157">
        <f>M398/(L409/K409)</f>
        <v/>
      </c>
    </row>
    <row r="410">
      <c r="B410" s="69" t="n"/>
      <c r="C410" s="1" t="n"/>
      <c r="D410" s="2388">
        <f>$D$17</f>
        <v/>
      </c>
      <c r="E410" s="70">
        <f>B410*C410*D410*8</f>
        <v/>
      </c>
      <c r="F410" s="76" t="n"/>
      <c r="G410" s="275">
        <f>F400/(E410/D410)</f>
        <v/>
      </c>
      <c r="H410" s="154" t="n"/>
      <c r="I410" s="69" t="n"/>
      <c r="J410" s="1" t="n"/>
      <c r="K410" s="2388">
        <f>$D$17</f>
        <v/>
      </c>
      <c r="L410" s="70">
        <f>I410*J410*K410*8</f>
        <v/>
      </c>
      <c r="M410" s="76" t="n"/>
      <c r="N410" s="275">
        <f>M400/(L410/K410)</f>
        <v/>
      </c>
    </row>
    <row r="411">
      <c r="B411" s="86" t="inlineStr">
        <is>
          <t>Travel:             Guys</t>
        </is>
      </c>
      <c r="C411" s="67" t="inlineStr">
        <is>
          <t>Hours</t>
        </is>
      </c>
      <c r="D411" s="67" t="inlineStr">
        <is>
          <t>Rate</t>
        </is>
      </c>
      <c r="E411" s="71" t="n"/>
      <c r="F411" s="1" t="n"/>
      <c r="I411" s="86" t="inlineStr">
        <is>
          <t>Travel:             Guys</t>
        </is>
      </c>
      <c r="J411" s="67" t="inlineStr">
        <is>
          <t>Hours</t>
        </is>
      </c>
      <c r="K411" s="67" t="inlineStr">
        <is>
          <t>Rate</t>
        </is>
      </c>
      <c r="L411" s="71" t="n"/>
      <c r="M411" s="1" t="n"/>
    </row>
    <row r="412">
      <c r="B412" s="69" t="n">
        <v>0</v>
      </c>
      <c r="C412" s="1" t="n">
        <v>0</v>
      </c>
      <c r="D412" s="2388">
        <f>$D$20</f>
        <v/>
      </c>
      <c r="E412" s="70">
        <f>B412*C412*D412</f>
        <v/>
      </c>
      <c r="F412" s="76" t="n"/>
      <c r="I412" s="69" t="n">
        <v>0</v>
      </c>
      <c r="J412" s="1" t="n">
        <v>0</v>
      </c>
      <c r="K412" s="2388">
        <f>$D$20</f>
        <v/>
      </c>
      <c r="L412" s="70">
        <f>I412*J412*K412</f>
        <v/>
      </c>
      <c r="M412" s="76" t="n"/>
    </row>
    <row r="413">
      <c r="B413" s="277" t="inlineStr">
        <is>
          <t>Labor Total</t>
        </is>
      </c>
      <c r="C413" s="278" t="n"/>
      <c r="D413" s="278" t="n"/>
      <c r="E413" s="2390">
        <f>ROUNDUP(SUM(E409:E412),0)</f>
        <v/>
      </c>
      <c r="F413" s="123">
        <f>E413/E407</f>
        <v/>
      </c>
      <c r="G413" s="124" t="inlineStr">
        <is>
          <t>Labor $/LF</t>
        </is>
      </c>
      <c r="H413" s="1" t="n"/>
      <c r="I413" s="277" t="inlineStr">
        <is>
          <t>Labor Total</t>
        </is>
      </c>
      <c r="J413" s="278" t="n"/>
      <c r="K413" s="278" t="n"/>
      <c r="L413" s="2390">
        <f>ROUNDUP(SUM(L409:L412),0)</f>
        <v/>
      </c>
      <c r="M413" s="123">
        <f>L413/L407</f>
        <v/>
      </c>
      <c r="N413" s="124" t="inlineStr">
        <is>
          <t>Labor $/LF</t>
        </is>
      </c>
    </row>
    <row r="414">
      <c r="B414" s="1" t="n"/>
      <c r="C414" s="1892" t="n"/>
      <c r="D414" s="2282" t="n"/>
      <c r="E414" s="2282" t="n"/>
      <c r="F414" s="2282" t="n"/>
      <c r="G414" s="1" t="n"/>
      <c r="H414" s="1" t="n"/>
      <c r="I414" s="1" t="n"/>
      <c r="J414" s="1892" t="n"/>
      <c r="K414" s="2282" t="n"/>
      <c r="L414" s="2282" t="n"/>
      <c r="M414" s="2282" t="n"/>
      <c r="N414" s="1" t="n"/>
    </row>
    <row r="415">
      <c r="B415" s="5" t="inlineStr">
        <is>
          <t>OTHER COSTS</t>
        </is>
      </c>
      <c r="C415" s="30" t="inlineStr">
        <is>
          <t>Quantity</t>
        </is>
      </c>
      <c r="D415" s="11" t="inlineStr">
        <is>
          <t>Cost</t>
        </is>
      </c>
      <c r="E415" s="2019" t="inlineStr">
        <is>
          <t>Total</t>
        </is>
      </c>
      <c r="F415" s="1" t="n"/>
      <c r="G415" s="1" t="n"/>
      <c r="H415" s="1" t="n"/>
      <c r="I415" s="5" t="inlineStr">
        <is>
          <t>OTHER COSTS</t>
        </is>
      </c>
      <c r="J415" s="30" t="inlineStr">
        <is>
          <t>Quantity</t>
        </is>
      </c>
      <c r="K415" s="11" t="inlineStr">
        <is>
          <t>Cost</t>
        </is>
      </c>
      <c r="L415" s="2019" t="inlineStr">
        <is>
          <t>Total</t>
        </is>
      </c>
      <c r="M415" s="1" t="n"/>
      <c r="N415" s="1" t="n"/>
    </row>
    <row r="416">
      <c r="B416" s="6" t="inlineStr">
        <is>
          <t>Moisture Test</t>
        </is>
      </c>
      <c r="C416" s="37" t="n"/>
      <c r="D416" s="2282" t="n">
        <v>35</v>
      </c>
      <c r="E416" s="2038">
        <f>ROUNDUP(C416*D416,0)</f>
        <v/>
      </c>
      <c r="F416" s="1" t="n"/>
      <c r="G416" s="1" t="n"/>
      <c r="H416" s="1" t="n"/>
      <c r="I416" s="6" t="inlineStr">
        <is>
          <t>Moisture Test</t>
        </is>
      </c>
      <c r="J416" s="37" t="n"/>
      <c r="K416" s="2282" t="n">
        <v>35</v>
      </c>
      <c r="L416" s="2038">
        <f>ROUNDUP(J416*K416,0)</f>
        <v/>
      </c>
      <c r="M416" s="1" t="n"/>
      <c r="N416" s="1" t="n"/>
    </row>
    <row r="417">
      <c r="B417" s="6" t="inlineStr">
        <is>
          <t>Tooling &amp; Consumables</t>
        </is>
      </c>
      <c r="C417" s="37">
        <f>F398</f>
        <v/>
      </c>
      <c r="D417" s="2282" t="n">
        <v>0.17</v>
      </c>
      <c r="E417" s="2038">
        <f>ROUNDUP(C417*D417,0)</f>
        <v/>
      </c>
      <c r="F417" s="1" t="n"/>
      <c r="G417" s="1" t="n"/>
      <c r="H417" s="1" t="n"/>
      <c r="I417" s="6" t="inlineStr">
        <is>
          <t>Tooling &amp; Consumables</t>
        </is>
      </c>
      <c r="J417" s="37">
        <f>L407</f>
        <v/>
      </c>
      <c r="K417" s="2282" t="n">
        <v>0.17</v>
      </c>
      <c r="L417" s="2038">
        <f>ROUNDUP(J417*K417,0)</f>
        <v/>
      </c>
      <c r="M417" s="1" t="n"/>
      <c r="N417" s="1" t="n"/>
    </row>
    <row r="418">
      <c r="B418" s="6" t="inlineStr">
        <is>
          <t>Travel - Lodging</t>
        </is>
      </c>
      <c r="C418" s="37" t="n">
        <v>0</v>
      </c>
      <c r="D418" s="2282">
        <f>$D$26</f>
        <v/>
      </c>
      <c r="E418" s="2038">
        <f>ROUNDUP(C418*D418,0)</f>
        <v/>
      </c>
      <c r="F418" s="1" t="n"/>
      <c r="G418" s="1" t="n"/>
      <c r="H418" s="1" t="n"/>
      <c r="I418" s="6" t="inlineStr">
        <is>
          <t>Travel - Lodging</t>
        </is>
      </c>
      <c r="J418" s="37" t="n">
        <v>0</v>
      </c>
      <c r="K418" s="2282">
        <f>$D$26</f>
        <v/>
      </c>
      <c r="L418" s="2038">
        <f>ROUNDUP(J418*K418,0)</f>
        <v/>
      </c>
      <c r="M418" s="1" t="n"/>
      <c r="N418" s="1" t="n"/>
    </row>
    <row r="419">
      <c r="B419" s="6" t="inlineStr">
        <is>
          <t>Travel - Food</t>
        </is>
      </c>
      <c r="C419" s="37">
        <f>C418</f>
        <v/>
      </c>
      <c r="D419" s="2282">
        <f>$D$27</f>
        <v/>
      </c>
      <c r="E419" s="2038">
        <f>ROUNDUP(C419*D419,0)</f>
        <v/>
      </c>
      <c r="F419" s="43" t="n"/>
      <c r="G419" s="1" t="n"/>
      <c r="H419" s="1" t="n"/>
      <c r="I419" s="6" t="inlineStr">
        <is>
          <t>Travel - Food</t>
        </is>
      </c>
      <c r="J419" s="37">
        <f>J418</f>
        <v/>
      </c>
      <c r="K419" s="2282">
        <f>$D$27</f>
        <v/>
      </c>
      <c r="L419" s="2038">
        <f>ROUNDUP(J419*K419,0)</f>
        <v/>
      </c>
      <c r="M419" s="43" t="n"/>
      <c r="N419" s="1" t="n"/>
    </row>
    <row r="420">
      <c r="B420" s="6" t="inlineStr">
        <is>
          <t>Foreman - Fuel</t>
        </is>
      </c>
      <c r="C420" s="37">
        <f>(E413/8)/D409</f>
        <v/>
      </c>
      <c r="D420" s="2282">
        <f>$D$28</f>
        <v/>
      </c>
      <c r="E420" s="2038">
        <f>ROUNDUP(C420*D420,0)</f>
        <v/>
      </c>
      <c r="F420" s="43" t="n"/>
      <c r="G420" s="1" t="n"/>
      <c r="H420" s="1" t="n"/>
      <c r="I420" s="6" t="inlineStr">
        <is>
          <t>Foreman - Fuel</t>
        </is>
      </c>
      <c r="J420" s="37">
        <f>(L413/8)/K409</f>
        <v/>
      </c>
      <c r="K420" s="2282">
        <f>$D$28</f>
        <v/>
      </c>
      <c r="L420" s="2038">
        <f>ROUNDUP(J420*K420,0)</f>
        <v/>
      </c>
      <c r="M420" s="43" t="n"/>
      <c r="N420" s="1" t="n"/>
    </row>
    <row r="421">
      <c r="B421" s="6" t="inlineStr">
        <is>
          <t>Generator Fuel</t>
        </is>
      </c>
      <c r="C421" s="37" t="n"/>
      <c r="D421" s="2282" t="n">
        <v>0.04</v>
      </c>
      <c r="E421" s="2038">
        <f>ROUNDUP(C421*D421,0)</f>
        <v/>
      </c>
      <c r="F421" s="1" t="n"/>
      <c r="G421" s="1" t="n"/>
      <c r="H421" s="1" t="n"/>
      <c r="I421" s="6" t="inlineStr">
        <is>
          <t>Generator Fuel</t>
        </is>
      </c>
      <c r="J421" s="37" t="n"/>
      <c r="K421" s="2282" t="n">
        <v>0.04</v>
      </c>
      <c r="L421" s="2038">
        <f>ROUNDUP(J421*K421,0)</f>
        <v/>
      </c>
      <c r="M421" s="1" t="n"/>
      <c r="N421" s="1" t="n"/>
    </row>
    <row r="422">
      <c r="B422" s="6" t="inlineStr">
        <is>
          <t>Plastic</t>
        </is>
      </c>
      <c r="C422" s="37" t="n"/>
      <c r="D422" s="2282" t="n"/>
      <c r="E422" s="2038">
        <f>ROUNDUP(C422*D422,0)</f>
        <v/>
      </c>
      <c r="F422" s="1" t="n"/>
      <c r="G422" s="1" t="n"/>
      <c r="H422" s="1" t="n"/>
      <c r="I422" s="6" t="inlineStr">
        <is>
          <t>Plastic</t>
        </is>
      </c>
      <c r="J422" s="37" t="n"/>
      <c r="K422" s="2282" t="n"/>
      <c r="L422" s="2038">
        <f>ROUNDUP(J422*K422,0)</f>
        <v/>
      </c>
      <c r="M422" s="1" t="n"/>
      <c r="N422" s="1" t="n"/>
    </row>
    <row r="423">
      <c r="B423" s="10" t="inlineStr">
        <is>
          <t>Other Costs Total</t>
        </is>
      </c>
      <c r="C423" s="36" t="n"/>
      <c r="D423" s="2339" t="n"/>
      <c r="E423" s="2340">
        <f>SUM(E416:E422)</f>
        <v/>
      </c>
      <c r="F423" s="1" t="n"/>
      <c r="G423" s="1" t="n"/>
      <c r="H423" s="1" t="n"/>
      <c r="I423" s="10" t="inlineStr">
        <is>
          <t>Other Costs Total</t>
        </is>
      </c>
      <c r="J423" s="36" t="n"/>
      <c r="K423" s="2339" t="n"/>
      <c r="L423" s="2340">
        <f>SUM(L416:L422)</f>
        <v/>
      </c>
      <c r="M423" s="1" t="n"/>
      <c r="N423" s="1" t="n"/>
    </row>
    <row r="424">
      <c r="B424" s="1" t="n"/>
      <c r="C424" s="1892" t="n"/>
      <c r="D424" s="2282" t="n"/>
      <c r="E424" s="2282" t="n"/>
      <c r="F424" s="1" t="n"/>
      <c r="G424" s="1" t="n"/>
      <c r="H424" s="1" t="n"/>
      <c r="I424" s="1" t="n"/>
      <c r="J424" s="1892" t="n"/>
      <c r="K424" s="2282" t="n"/>
      <c r="L424" s="2282" t="n"/>
      <c r="M424" s="1" t="n"/>
      <c r="N424" s="1" t="n"/>
    </row>
    <row r="425">
      <c r="B425" s="1" t="n"/>
      <c r="C425" s="1892" t="n"/>
      <c r="D425" s="2282" t="n"/>
      <c r="E425" s="2282" t="n"/>
      <c r="F425" s="1" t="n"/>
      <c r="G425" s="1" t="n"/>
      <c r="H425" s="1" t="n"/>
      <c r="I425" s="1" t="n"/>
      <c r="J425" s="1892" t="n"/>
      <c r="K425" s="2282" t="n"/>
      <c r="L425" s="2282" t="n"/>
      <c r="M425" s="1" t="n"/>
      <c r="N425" s="1" t="n"/>
    </row>
    <row r="426">
      <c r="B426" s="280" t="inlineStr">
        <is>
          <t>SUB-TOTAL COSTS</t>
        </is>
      </c>
      <c r="C426" s="281" t="n"/>
      <c r="D426" s="2393" t="n"/>
      <c r="E426" s="2394">
        <f>SUM(E405,E413,E423)</f>
        <v/>
      </c>
      <c r="F426" s="1" t="n"/>
      <c r="G426" s="1" t="n"/>
      <c r="H426" s="1" t="n"/>
      <c r="I426" s="280" t="inlineStr">
        <is>
          <t>SUB-TOTAL COSTS</t>
        </is>
      </c>
      <c r="J426" s="281" t="n"/>
      <c r="K426" s="2393" t="n"/>
      <c r="L426" s="2394">
        <f>SUM(L405,L413,L423)</f>
        <v/>
      </c>
      <c r="M426" s="1" t="n"/>
      <c r="N426" s="1" t="n"/>
    </row>
    <row r="427">
      <c r="B427" s="1" t="n"/>
      <c r="C427" s="1892" t="n"/>
      <c r="D427" s="2282" t="n"/>
      <c r="E427" s="2282" t="n"/>
      <c r="F427" s="1" t="n"/>
      <c r="G427" s="1" t="n"/>
      <c r="H427" s="1" t="n"/>
      <c r="I427" s="1" t="n"/>
      <c r="J427" s="1892" t="n"/>
      <c r="K427" s="2282" t="n"/>
      <c r="L427" s="2282" t="n"/>
      <c r="M427" s="1" t="n"/>
      <c r="N427" s="1" t="n"/>
    </row>
    <row r="428">
      <c r="B428" s="5" t="inlineStr">
        <is>
          <t>MARKUP</t>
        </is>
      </c>
      <c r="C428" s="30" t="inlineStr">
        <is>
          <t>%</t>
        </is>
      </c>
      <c r="D428" s="2395" t="n"/>
      <c r="E428" s="2019" t="n"/>
      <c r="F428" s="1" t="n"/>
      <c r="G428" s="1" t="n"/>
      <c r="H428" s="1" t="n"/>
      <c r="I428" s="5" t="inlineStr">
        <is>
          <t>MARKUP</t>
        </is>
      </c>
      <c r="J428" s="30" t="inlineStr">
        <is>
          <t>%</t>
        </is>
      </c>
      <c r="K428" s="2395" t="n"/>
      <c r="L428" s="2019" t="n"/>
      <c r="M428" s="1" t="n"/>
      <c r="N428" s="1" t="n"/>
    </row>
    <row r="429">
      <c r="B429" s="6" t="inlineStr">
        <is>
          <t>Sales Tax</t>
        </is>
      </c>
      <c r="C429" s="2396">
        <f>$C$37</f>
        <v/>
      </c>
      <c r="D429" s="2397" t="n"/>
      <c r="E429" s="2038">
        <f>ROUNDUP(SUM(E405:E405)*C429,0)</f>
        <v/>
      </c>
      <c r="F429" s="1" t="n"/>
      <c r="G429" s="1" t="n"/>
      <c r="H429" s="1" t="n"/>
      <c r="I429" s="6" t="inlineStr">
        <is>
          <t>Sales Tax</t>
        </is>
      </c>
      <c r="J429" s="2396">
        <f>$C$37</f>
        <v/>
      </c>
      <c r="K429" s="2397" t="n"/>
      <c r="L429" s="2038">
        <f>ROUNDUP(SUM(L405:L405)*J429,0)</f>
        <v/>
      </c>
      <c r="M429" s="1" t="n"/>
      <c r="N429" s="1" t="n"/>
    </row>
    <row r="430">
      <c r="B430" s="6" t="inlineStr">
        <is>
          <t>Insurance</t>
        </is>
      </c>
      <c r="C430" s="241" t="n">
        <v>0.08</v>
      </c>
      <c r="D430" s="2397" t="n"/>
      <c r="E430" s="2038">
        <f>ROUNDUP(SUM(E413)*C430,0)</f>
        <v/>
      </c>
      <c r="F430" s="1" t="n"/>
      <c r="G430" s="1" t="n"/>
      <c r="H430" s="1" t="n"/>
      <c r="I430" s="6" t="inlineStr">
        <is>
          <t>Insurance</t>
        </is>
      </c>
      <c r="J430" s="241" t="n">
        <v>0.08</v>
      </c>
      <c r="K430" s="2397" t="n"/>
      <c r="L430" s="2038">
        <f>ROUNDUP(SUM(L413)*J430,0)</f>
        <v/>
      </c>
      <c r="M430" s="1" t="n"/>
      <c r="N430" s="1" t="n"/>
    </row>
    <row r="431">
      <c r="B431" s="6" t="inlineStr">
        <is>
          <t>Material Contingency</t>
        </is>
      </c>
      <c r="C431" s="122">
        <f>IF(E405&lt;=5000,0.1,0.05)</f>
        <v/>
      </c>
      <c r="D431" s="2282" t="n"/>
      <c r="E431" s="2038">
        <f>ROUNDUP(E405*C431,0)</f>
        <v/>
      </c>
      <c r="F431" s="1" t="n"/>
      <c r="G431" s="1" t="n"/>
      <c r="H431" s="1" t="n"/>
      <c r="I431" s="6" t="inlineStr">
        <is>
          <t>Material Contingency</t>
        </is>
      </c>
      <c r="J431" s="122" t="n">
        <v>0.2</v>
      </c>
      <c r="K431" s="2282" t="n"/>
      <c r="L431" s="2038">
        <f>ROUNDUP(L405*J431,0)</f>
        <v/>
      </c>
      <c r="M431" s="1" t="n"/>
      <c r="N431" s="1" t="n"/>
    </row>
    <row r="432">
      <c r="B432" s="6" t="inlineStr">
        <is>
          <t>Labor Contingency</t>
        </is>
      </c>
      <c r="C432" s="122" t="n">
        <v>0.2</v>
      </c>
      <c r="D432" s="2282" t="n"/>
      <c r="E432" s="2038">
        <f>ROUNDUP(E413*C432,0)</f>
        <v/>
      </c>
      <c r="F432" s="1" t="n"/>
      <c r="G432" s="1" t="n"/>
      <c r="H432" s="1" t="n"/>
      <c r="I432" s="6" t="inlineStr">
        <is>
          <t>Labor Contingency</t>
        </is>
      </c>
      <c r="J432" s="122" t="n">
        <v>0.3</v>
      </c>
      <c r="K432" s="2282" t="n"/>
      <c r="L432" s="2038">
        <f>ROUNDUP(L413*J432,0)</f>
        <v/>
      </c>
      <c r="M432" s="1" t="n"/>
      <c r="N432" s="1" t="n"/>
    </row>
    <row r="433">
      <c r="B433" s="6" t="inlineStr">
        <is>
          <t>Mark Up</t>
        </is>
      </c>
      <c r="C433" s="122" t="n">
        <v>0.35</v>
      </c>
      <c r="D433" s="2282" t="n"/>
      <c r="E433" s="2038">
        <f>ROUNDUP(SUM(E426:E432)*C433,0)</f>
        <v/>
      </c>
      <c r="F433" s="1" t="n"/>
      <c r="G433" s="1" t="n"/>
      <c r="H433" s="1" t="n"/>
      <c r="I433" s="6" t="inlineStr">
        <is>
          <t>Mark Up</t>
        </is>
      </c>
      <c r="J433" s="122" t="n">
        <v>0.35</v>
      </c>
      <c r="K433" s="2282" t="n"/>
      <c r="L433" s="2038">
        <f>ROUNDUP(SUM(L426:L432)*J433,0)</f>
        <v/>
      </c>
      <c r="M433" s="1" t="n"/>
      <c r="N433" s="1" t="n"/>
    </row>
    <row r="434">
      <c r="B434" s="284">
        <f>$B$42</f>
        <v/>
      </c>
      <c r="C434" s="241">
        <f>$C$42</f>
        <v/>
      </c>
      <c r="D434" s="2282" t="n"/>
      <c r="E434" s="2038">
        <f>ROUNDUP(SUM(E413,E430:E433)*C434,0)</f>
        <v/>
      </c>
      <c r="F434" s="1" t="n"/>
      <c r="G434" s="1" t="n"/>
      <c r="H434" s="1" t="n"/>
      <c r="I434" s="284">
        <f>$B$42</f>
        <v/>
      </c>
      <c r="J434" s="241">
        <f>$C$42</f>
        <v/>
      </c>
      <c r="K434" s="2282" t="n"/>
      <c r="L434" s="2038">
        <f>ROUNDUP(SUM(L413,L430:L433)*J434,0)</f>
        <v/>
      </c>
      <c r="M434" s="1" t="n"/>
      <c r="N434" s="1" t="n"/>
    </row>
    <row r="435">
      <c r="B435" s="403" t="inlineStr">
        <is>
          <t>Warranty &amp; Extra Soft Cost</t>
        </is>
      </c>
      <c r="C435" s="241">
        <f>$C$43</f>
        <v/>
      </c>
      <c r="D435" s="2282" t="n"/>
      <c r="E435" s="2038">
        <f>ROUNDUP(C435*SUM(E426:E434),0)</f>
        <v/>
      </c>
      <c r="F435" s="1" t="n"/>
      <c r="G435" s="1" t="n"/>
      <c r="H435" s="1" t="n"/>
      <c r="I435" s="403" t="inlineStr">
        <is>
          <t>Warranty &amp; Extra Soft Cost</t>
        </is>
      </c>
      <c r="J435" s="241">
        <f>$C$43</f>
        <v/>
      </c>
      <c r="K435" s="2282" t="n"/>
      <c r="L435" s="2038">
        <f>ROUNDUP(J435*SUM(L426:L434),0)</f>
        <v/>
      </c>
      <c r="M435" s="1" t="n"/>
      <c r="N435" s="1" t="n"/>
    </row>
    <row r="436">
      <c r="B436" s="45" t="inlineStr">
        <is>
          <t>Bond</t>
        </is>
      </c>
      <c r="C436" s="46">
        <f>$C$44</f>
        <v/>
      </c>
      <c r="D436" s="2314" t="n"/>
      <c r="E436" s="2400">
        <f>ROUNDUP(SUM(E426:E435)*C436,0)</f>
        <v/>
      </c>
      <c r="F436" s="1" t="n"/>
      <c r="G436" s="1" t="n"/>
      <c r="H436" s="1" t="n"/>
      <c r="I436" s="45" t="inlineStr">
        <is>
          <t>Bond</t>
        </is>
      </c>
      <c r="J436" s="46">
        <f>$C$44</f>
        <v/>
      </c>
      <c r="K436" s="2314" t="n"/>
      <c r="L436" s="2400">
        <f>ROUNDUP(SUM(L426:L435)*J436,0)</f>
        <v/>
      </c>
      <c r="M436" s="1" t="n"/>
      <c r="N436" s="1" t="n"/>
    </row>
    <row r="437">
      <c r="B437" s="1" t="n"/>
      <c r="C437" s="8" t="n"/>
      <c r="D437" s="2282" t="n"/>
      <c r="E437" s="2282" t="n"/>
      <c r="F437" s="1" t="n"/>
      <c r="G437" s="286" t="inlineStr">
        <is>
          <t>Mark Up + Conting.</t>
        </is>
      </c>
      <c r="H437" s="1892" t="n"/>
      <c r="I437" s="1" t="n"/>
      <c r="J437" s="8" t="n"/>
      <c r="K437" s="2282" t="n"/>
      <c r="L437" s="2282" t="n"/>
      <c r="M437" s="1" t="n"/>
      <c r="N437" s="286" t="inlineStr">
        <is>
          <t>Mark Up + Conting.</t>
        </is>
      </c>
    </row>
    <row r="438" ht="16.2" customHeight="1" thickBot="1">
      <c r="B438" s="1" t="n"/>
      <c r="C438" s="287" t="inlineStr">
        <is>
          <t>LF:</t>
        </is>
      </c>
      <c r="D438" s="2405">
        <f>E407</f>
        <v/>
      </c>
      <c r="E438" s="2282" t="n"/>
      <c r="F438" s="38" t="inlineStr">
        <is>
          <t>Less Sales Tax</t>
        </is>
      </c>
      <c r="G438" s="2402">
        <f>SUM(E431:E433)</f>
        <v/>
      </c>
      <c r="H438" s="2282" t="n"/>
      <c r="I438" s="1" t="n"/>
      <c r="J438" s="287" t="inlineStr">
        <is>
          <t>LF:</t>
        </is>
      </c>
      <c r="K438" s="2405">
        <f>L407</f>
        <v/>
      </c>
      <c r="L438" s="2282" t="n"/>
      <c r="M438" s="38" t="inlineStr">
        <is>
          <t>Less Sales Tax</t>
        </is>
      </c>
      <c r="N438" s="2402">
        <f>SUM(L431:L433)</f>
        <v/>
      </c>
    </row>
    <row r="439" ht="16.2" customHeight="1" thickBot="1">
      <c r="B439" s="289" t="inlineStr">
        <is>
          <t>TOTAL</t>
        </is>
      </c>
      <c r="C439" s="290" t="n"/>
      <c r="D439" s="2412">
        <f>E439/E407</f>
        <v/>
      </c>
      <c r="E439" s="2404">
        <f>SUM(E426:E436)</f>
        <v/>
      </c>
      <c r="F439" s="2282">
        <f>E439-E429-E434</f>
        <v/>
      </c>
      <c r="G439" s="293">
        <f>G438/E439</f>
        <v/>
      </c>
      <c r="H439" s="294" t="n"/>
      <c r="I439" s="289" t="inlineStr">
        <is>
          <t>TOTAL</t>
        </is>
      </c>
      <c r="J439" s="290" t="n"/>
      <c r="K439" s="2412">
        <f>L439/L407</f>
        <v/>
      </c>
      <c r="L439" s="2404">
        <f>SUM(L426:L436)</f>
        <v/>
      </c>
      <c r="M439" s="2282">
        <f>L439-L429-L434</f>
        <v/>
      </c>
      <c r="N439" s="293">
        <f>N438/L439</f>
        <v/>
      </c>
    </row>
    <row r="440">
      <c r="B440" s="1" t="n"/>
      <c r="C440" s="1" t="inlineStr">
        <is>
          <t xml:space="preserve"> </t>
        </is>
      </c>
      <c r="D440" s="2282">
        <f>E440/E407</f>
        <v/>
      </c>
      <c r="E440" s="2282">
        <f>E439-E434</f>
        <v/>
      </c>
      <c r="F440" t="inlineStr">
        <is>
          <t xml:space="preserve">less ks remodel, if applicable </t>
        </is>
      </c>
      <c r="G440" s="295">
        <f>IF(G439&lt;=0.25,"OWNER APPROVAL REQUIRED","GP % Okay")</f>
        <v/>
      </c>
      <c r="H440" s="1891" t="n"/>
      <c r="I440" s="1" t="n"/>
      <c r="J440" s="1" t="inlineStr">
        <is>
          <t xml:space="preserve"> </t>
        </is>
      </c>
      <c r="K440" s="2282">
        <f>L440/L407</f>
        <v/>
      </c>
      <c r="L440" s="2282">
        <f>L439-L434</f>
        <v/>
      </c>
      <c r="M440" t="inlineStr">
        <is>
          <t xml:space="preserve">less ks remodel, if applicable </t>
        </is>
      </c>
      <c r="N440" s="295">
        <f>IF(N439&lt;=0.25,"OWNER APPROVAL REQUIRED","GP % Okay")</f>
        <v/>
      </c>
    </row>
    <row r="443">
      <c r="B443" s="2438" t="inlineStr">
        <is>
          <t>4" Line Striping - 500 lf</t>
        </is>
      </c>
      <c r="C443" s="2350" t="n"/>
      <c r="D443" s="2350" t="n"/>
      <c r="E443" s="237" t="n"/>
      <c r="F443" s="2375">
        <f>D488</f>
        <v/>
      </c>
      <c r="G443" s="263" t="inlineStr">
        <is>
          <t>$/lf</t>
        </is>
      </c>
      <c r="I443" s="2438" t="inlineStr">
        <is>
          <t>4" Line Striping - 100 lf</t>
        </is>
      </c>
      <c r="J443" s="2350" t="n"/>
      <c r="K443" s="2350" t="n"/>
      <c r="L443" s="237" t="n"/>
      <c r="M443" s="2375">
        <f>K488</f>
        <v/>
      </c>
      <c r="N443" s="263" t="inlineStr">
        <is>
          <t>$/lf</t>
        </is>
      </c>
      <c r="Q443" s="2438" t="inlineStr">
        <is>
          <t>Material  - 4" Line Striping - 100 lf</t>
        </is>
      </c>
      <c r="R443" s="2350" t="n"/>
      <c r="S443" s="2350" t="n"/>
      <c r="T443" s="237" t="n"/>
      <c r="U443">
        <f>100/3</f>
        <v/>
      </c>
      <c r="V443" s="43" t="inlineStr">
        <is>
          <t>100 divided by 3</t>
        </is>
      </c>
    </row>
    <row r="444">
      <c r="B444" s="25" t="inlineStr">
        <is>
          <t>MATERIAL - Patch</t>
        </is>
      </c>
      <c r="C444" s="90" t="inlineStr">
        <is>
          <t>Quantity</t>
        </is>
      </c>
      <c r="D444" s="90" t="inlineStr">
        <is>
          <t>Cost</t>
        </is>
      </c>
      <c r="E444" s="91" t="inlineStr">
        <is>
          <t>Total</t>
        </is>
      </c>
      <c r="F444" s="23" t="n"/>
      <c r="G444" s="89" t="n"/>
      <c r="H444" s="264" t="n"/>
      <c r="I444" s="25" t="inlineStr">
        <is>
          <t>MATERIAL - Patch</t>
        </is>
      </c>
      <c r="J444" s="90" t="inlineStr">
        <is>
          <t>Quantity</t>
        </is>
      </c>
      <c r="K444" s="90" t="inlineStr">
        <is>
          <t>Cost</t>
        </is>
      </c>
      <c r="L444" s="91" t="inlineStr">
        <is>
          <t>Total</t>
        </is>
      </c>
      <c r="M444" s="23" t="n"/>
      <c r="N444" s="89" t="n"/>
      <c r="Q444" s="25" t="inlineStr">
        <is>
          <t>MATERIAL - Patch</t>
        </is>
      </c>
      <c r="R444" s="90" t="inlineStr">
        <is>
          <t>Quantity</t>
        </is>
      </c>
      <c r="S444" s="90" t="inlineStr">
        <is>
          <t>Cost</t>
        </is>
      </c>
      <c r="T444" s="91" t="inlineStr">
        <is>
          <t>Total</t>
        </is>
      </c>
      <c r="U444" s="2380" t="n">
        <v>34</v>
      </c>
      <c r="V444" s="82" t="inlineStr">
        <is>
          <t>SF</t>
        </is>
      </c>
      <c r="W444" s="1549" t="n">
        <v>0.06</v>
      </c>
    </row>
    <row r="445">
      <c r="B445" s="44" t="n"/>
      <c r="C445" s="2377">
        <f>F447</f>
        <v/>
      </c>
      <c r="D445" s="2312" t="n">
        <v>0.1</v>
      </c>
      <c r="E445" s="2308">
        <f>C445*D445</f>
        <v/>
      </c>
      <c r="F445" s="1" t="n"/>
      <c r="G445" s="1" t="n"/>
      <c r="H445" s="1" t="n"/>
      <c r="I445" s="44" t="n"/>
      <c r="J445" s="2377">
        <f>M447</f>
        <v/>
      </c>
      <c r="K445" s="2312" t="n">
        <v>0.1</v>
      </c>
      <c r="L445" s="2308">
        <f>J445*K445</f>
        <v/>
      </c>
      <c r="M445" s="1" t="n"/>
      <c r="N445" s="1" t="n"/>
      <c r="Q445" s="47" t="inlineStr">
        <is>
          <t>WB</t>
        </is>
      </c>
      <c r="R445" s="2377" t="n">
        <v>1</v>
      </c>
      <c r="S445" s="2416">
        <f>51.36+V445</f>
        <v/>
      </c>
      <c r="T445" s="2308">
        <f>R445*S445</f>
        <v/>
      </c>
      <c r="U445" s="301">
        <f>(8/1600)*U444</f>
        <v/>
      </c>
      <c r="V445" s="2410">
        <f>51.36*W444</f>
        <v/>
      </c>
    </row>
    <row r="446">
      <c r="B446" s="44" t="n"/>
      <c r="C446" s="2377" t="n"/>
      <c r="D446" s="2312" t="n"/>
      <c r="E446" s="2308">
        <f>C446*D446</f>
        <v/>
      </c>
      <c r="F446" s="1" t="n"/>
      <c r="G446" s="1" t="n"/>
      <c r="H446" s="1" t="n"/>
      <c r="I446" s="44" t="n"/>
      <c r="J446" s="2377" t="n"/>
      <c r="K446" s="2312" t="n"/>
      <c r="L446" s="2308">
        <f>J446*K446</f>
        <v/>
      </c>
      <c r="M446" s="1" t="n"/>
      <c r="N446" s="1" t="n"/>
      <c r="Q446" s="69" t="inlineStr">
        <is>
          <t>Accelera EXT BrghtYw (Small)</t>
        </is>
      </c>
      <c r="R446" s="2377" t="n">
        <v>1</v>
      </c>
      <c r="S446" s="2416">
        <f>164+V446</f>
        <v/>
      </c>
      <c r="T446" s="2308">
        <f>R446*S446</f>
        <v/>
      </c>
      <c r="U446" s="301">
        <f>U444/120</f>
        <v/>
      </c>
      <c r="V446" s="2410">
        <f>164*W444</f>
        <v/>
      </c>
    </row>
    <row r="447">
      <c r="B447" s="25" t="inlineStr">
        <is>
          <t>MATERIAL - Floor</t>
        </is>
      </c>
      <c r="C447" s="2379" t="n"/>
      <c r="D447" s="23" t="n"/>
      <c r="E447" s="29" t="n"/>
      <c r="F447" s="2380" t="n">
        <v>500</v>
      </c>
      <c r="G447" s="82" t="inlineStr">
        <is>
          <t>LF</t>
        </is>
      </c>
      <c r="H447" s="1" t="n"/>
      <c r="I447" s="25" t="inlineStr">
        <is>
          <t>MATERIAL - Floor</t>
        </is>
      </c>
      <c r="J447" s="2379" t="n"/>
      <c r="K447" s="23" t="n"/>
      <c r="L447" s="29" t="n"/>
      <c r="M447" s="2380" t="n">
        <v>100</v>
      </c>
      <c r="N447" s="82" t="inlineStr">
        <is>
          <t>LF</t>
        </is>
      </c>
      <c r="Q447" s="25" t="n"/>
      <c r="R447" s="2419" t="n"/>
      <c r="S447" s="2439" t="n"/>
      <c r="T447" s="2308">
        <f>R447*S447</f>
        <v/>
      </c>
      <c r="V447" s="1547" t="inlineStr">
        <is>
          <t>DAF 2025 6% increase</t>
        </is>
      </c>
    </row>
    <row r="448">
      <c r="B448" s="47" t="inlineStr">
        <is>
          <t>4" Line</t>
        </is>
      </c>
      <c r="C448" s="2433" t="n">
        <v>1</v>
      </c>
      <c r="D448" s="2282">
        <f>T457</f>
        <v/>
      </c>
      <c r="E448" s="2038">
        <f>C448*D448</f>
        <v/>
      </c>
      <c r="F448" s="2440" t="n">
        <v>167</v>
      </c>
      <c r="G448" s="305" t="inlineStr">
        <is>
          <t>SF  (=500/3)</t>
        </is>
      </c>
      <c r="H448" s="1" t="n"/>
      <c r="I448" s="47" t="inlineStr">
        <is>
          <t>4" Line</t>
        </is>
      </c>
      <c r="J448" s="2433" t="n">
        <v>1</v>
      </c>
      <c r="K448" s="2282">
        <f>T449</f>
        <v/>
      </c>
      <c r="L448" s="2038">
        <f>J448*K448</f>
        <v/>
      </c>
      <c r="M448" s="2440" t="n">
        <v>34</v>
      </c>
      <c r="N448" s="305" t="inlineStr">
        <is>
          <t>SF  (=100/3)</t>
        </is>
      </c>
      <c r="Q448" s="47" t="n"/>
      <c r="R448" s="2419" t="n"/>
      <c r="S448" s="2420" t="n"/>
      <c r="T448" s="2038">
        <f>R448*S448</f>
        <v/>
      </c>
    </row>
    <row r="449">
      <c r="B449" s="47" t="inlineStr">
        <is>
          <t>6" Line</t>
        </is>
      </c>
      <c r="C449" s="2433" t="n">
        <v>0</v>
      </c>
      <c r="D449" s="2282">
        <f>T473</f>
        <v/>
      </c>
      <c r="E449" s="2038">
        <f>C449*D449</f>
        <v/>
      </c>
      <c r="F449" s="2440" t="n">
        <v>250</v>
      </c>
      <c r="G449" s="305" t="inlineStr">
        <is>
          <t>SF  (=500/2)</t>
        </is>
      </c>
      <c r="H449" s="1" t="n"/>
      <c r="I449" s="47" t="inlineStr">
        <is>
          <t>6" Line</t>
        </is>
      </c>
      <c r="J449" s="2433" t="n">
        <v>0</v>
      </c>
      <c r="K449" s="2282">
        <f>T465</f>
        <v/>
      </c>
      <c r="L449" s="2038">
        <f>J449*K449</f>
        <v/>
      </c>
      <c r="M449" s="2440" t="n">
        <v>50</v>
      </c>
      <c r="N449" s="305" t="inlineStr">
        <is>
          <t>SF  (=100/2)</t>
        </is>
      </c>
      <c r="Q449" s="10" t="inlineStr">
        <is>
          <t>Material Total</t>
        </is>
      </c>
      <c r="R449" s="36" t="n"/>
      <c r="S449" s="2339" t="n"/>
      <c r="T449" s="2340">
        <f>SUM(T445:T448)</f>
        <v/>
      </c>
    </row>
    <row r="450">
      <c r="B450" s="48" t="n"/>
      <c r="C450" s="2381" t="n"/>
      <c r="D450" s="2332" t="n"/>
      <c r="E450" s="2333">
        <f>C450*D450</f>
        <v/>
      </c>
      <c r="F450" s="1" t="n"/>
      <c r="G450" s="1" t="n"/>
      <c r="H450" s="1" t="n"/>
      <c r="I450" s="48" t="n"/>
      <c r="J450" s="2381" t="n"/>
      <c r="K450" s="2332" t="n"/>
      <c r="L450" s="2333">
        <f>J450*K450</f>
        <v/>
      </c>
      <c r="M450" s="1" t="n"/>
      <c r="N450" s="1" t="n"/>
    </row>
    <row r="451">
      <c r="B451" s="17" t="inlineStr">
        <is>
          <t>Material Sub Total</t>
        </is>
      </c>
      <c r="C451" s="35" t="n"/>
      <c r="D451" s="2382" t="n"/>
      <c r="E451" s="2335">
        <f>ROUNDUP(SUM(E445:E450),0)</f>
        <v/>
      </c>
      <c r="F451" s="1" t="n"/>
      <c r="G451" s="307" t="inlineStr">
        <is>
          <t>Material Figured ----&gt;</t>
        </is>
      </c>
      <c r="H451" s="1" t="n"/>
      <c r="I451" s="17" t="inlineStr">
        <is>
          <t>Material Sub Total</t>
        </is>
      </c>
      <c r="J451" s="35" t="n"/>
      <c r="K451" s="2382" t="n"/>
      <c r="L451" s="2335">
        <f>ROUNDUP(SUM(L445:L450),0)</f>
        <v/>
      </c>
      <c r="M451" s="1" t="n"/>
      <c r="N451" s="307" t="inlineStr">
        <is>
          <t>Material Figured ----&gt;</t>
        </is>
      </c>
      <c r="Q451" s="2438" t="inlineStr">
        <is>
          <t>Material  - 4" Line Striping - 500 lf</t>
        </is>
      </c>
      <c r="R451" s="2350" t="n"/>
      <c r="S451" s="2350" t="n"/>
      <c r="T451" s="237" t="n"/>
      <c r="U451">
        <f>500/3</f>
        <v/>
      </c>
      <c r="V451" s="43" t="inlineStr">
        <is>
          <t>500 divided by 3</t>
        </is>
      </c>
    </row>
    <row r="452">
      <c r="B452" s="20" t="inlineStr">
        <is>
          <t>Discount / Overage</t>
        </is>
      </c>
      <c r="C452" s="270" t="n">
        <v>0.1</v>
      </c>
      <c r="D452" s="2283" t="n"/>
      <c r="E452" s="2383">
        <f>ROUNDUP(SUM(E448:E449)*C452,0)</f>
        <v/>
      </c>
      <c r="F452" s="1" t="n"/>
      <c r="G452" s="1" t="n"/>
      <c r="H452" s="1" t="n"/>
      <c r="I452" s="20" t="inlineStr">
        <is>
          <t>Discount / Overage</t>
        </is>
      </c>
      <c r="J452" s="270" t="n">
        <v>0.1</v>
      </c>
      <c r="K452" s="2283" t="n"/>
      <c r="L452" s="2383">
        <f>ROUNDUP(SUM(L448:L449)*J452,0)</f>
        <v/>
      </c>
      <c r="M452" s="1" t="n"/>
      <c r="N452" s="1" t="n"/>
      <c r="Q452" s="25" t="inlineStr">
        <is>
          <t>MATERIAL - Patch</t>
        </is>
      </c>
      <c r="R452" s="90" t="inlineStr">
        <is>
          <t>Quantity</t>
        </is>
      </c>
      <c r="S452" s="90" t="inlineStr">
        <is>
          <t>Cost</t>
        </is>
      </c>
      <c r="T452" s="91" t="inlineStr">
        <is>
          <t>Total</t>
        </is>
      </c>
      <c r="U452" s="2380" t="n">
        <v>167</v>
      </c>
      <c r="V452" s="82" t="inlineStr">
        <is>
          <t>SF</t>
        </is>
      </c>
    </row>
    <row r="453">
      <c r="B453" s="446" t="inlineStr">
        <is>
          <t>Shipping + Mat. Esc.</t>
        </is>
      </c>
      <c r="C453" s="40">
        <f>IF(E451&lt;=5000,0.1,IF(E451&lt;=10000,0.06,0.04))+0.05+$C$12</f>
        <v/>
      </c>
      <c r="D453" s="2384" t="n"/>
      <c r="E453" s="2338">
        <f>ROUNDUP(E451*C453,0)</f>
        <v/>
      </c>
      <c r="F453" s="454">
        <f>$F$12</f>
        <v/>
      </c>
      <c r="I453" s="446" t="inlineStr">
        <is>
          <t>Shipping + Mat. Esc.</t>
        </is>
      </c>
      <c r="J453" s="40">
        <f>IF(L451&lt;=5000,0.1,IF(L451&lt;=10000,0.06,0.04))+0.05+$C$12</f>
        <v/>
      </c>
      <c r="K453" s="2384" t="n"/>
      <c r="L453" s="2338">
        <f>ROUNDUP(L451*J453,0)</f>
        <v/>
      </c>
      <c r="M453" s="454">
        <f>$F$12</f>
        <v/>
      </c>
      <c r="Q453" s="47" t="inlineStr">
        <is>
          <t>WB</t>
        </is>
      </c>
      <c r="R453" s="2377" t="n">
        <v>1</v>
      </c>
      <c r="S453" s="2416">
        <f>51.36+V453</f>
        <v/>
      </c>
      <c r="T453" s="2308">
        <f>R453*S453</f>
        <v/>
      </c>
      <c r="U453" s="301">
        <f>(8/1600)*U452</f>
        <v/>
      </c>
      <c r="V453" s="2410">
        <f>51.36*W444</f>
        <v/>
      </c>
    </row>
    <row r="454">
      <c r="B454" s="10" t="inlineStr">
        <is>
          <t>Material Total</t>
        </is>
      </c>
      <c r="C454" s="36" t="n"/>
      <c r="D454" s="2339" t="n"/>
      <c r="E454" s="2339">
        <f>SUM(E451:E453)</f>
        <v/>
      </c>
      <c r="F454" s="123">
        <f>E454/F447</f>
        <v/>
      </c>
      <c r="G454" s="124" t="inlineStr">
        <is>
          <t>Material $/LF</t>
        </is>
      </c>
      <c r="H454" s="1" t="n"/>
      <c r="I454" s="10" t="inlineStr">
        <is>
          <t>Material Total</t>
        </is>
      </c>
      <c r="J454" s="36" t="n"/>
      <c r="K454" s="2339" t="n"/>
      <c r="L454" s="2339">
        <f>SUM(L451:L453)</f>
        <v/>
      </c>
      <c r="M454" s="123">
        <f>L454/M447</f>
        <v/>
      </c>
      <c r="N454" s="124" t="inlineStr">
        <is>
          <t>Material $/LF</t>
        </is>
      </c>
      <c r="Q454" s="69" t="inlineStr">
        <is>
          <t>Accelera EXT BrghtYw (Small)</t>
        </is>
      </c>
      <c r="R454" s="2377" t="n">
        <v>2</v>
      </c>
      <c r="S454" s="2416">
        <f>164+V454</f>
        <v/>
      </c>
      <c r="T454" s="2308">
        <f>R454*S454</f>
        <v/>
      </c>
      <c r="U454" s="301">
        <f>U452/120</f>
        <v/>
      </c>
      <c r="V454" s="2410">
        <f>164*W444</f>
        <v/>
      </c>
    </row>
    <row r="455">
      <c r="B455" s="1" t="n"/>
      <c r="C455" s="1892" t="n"/>
      <c r="D455" s="2282" t="n"/>
      <c r="E455" s="2282" t="n"/>
      <c r="F455" s="1" t="n"/>
      <c r="I455" s="1" t="n"/>
      <c r="J455" s="1892" t="n"/>
      <c r="K455" s="2282" t="n"/>
      <c r="L455" s="2282" t="n"/>
      <c r="M455" s="1" t="n"/>
      <c r="Q455" s="25" t="n"/>
      <c r="R455" s="2419" t="n"/>
      <c r="S455" s="2439" t="n"/>
      <c r="T455" s="2308">
        <f>R455*S455</f>
        <v/>
      </c>
      <c r="V455" s="1547" t="inlineStr">
        <is>
          <t>DAF 2025 6% increase</t>
        </is>
      </c>
    </row>
    <row r="456">
      <c r="B456" s="75" t="inlineStr">
        <is>
          <t>Square Footage:</t>
        </is>
      </c>
      <c r="C456" s="2385" t="n">
        <v>0</v>
      </c>
      <c r="D456" s="75" t="inlineStr">
        <is>
          <t>Linear Footage:</t>
        </is>
      </c>
      <c r="E456" s="2386">
        <f>F447</f>
        <v/>
      </c>
      <c r="F456" s="1" t="n"/>
      <c r="G456" s="273">
        <f>E456/C456</f>
        <v/>
      </c>
      <c r="I456" s="75" t="inlineStr">
        <is>
          <t>Square Footage:</t>
        </is>
      </c>
      <c r="J456" s="2385" t="n">
        <v>0</v>
      </c>
      <c r="K456" s="75" t="inlineStr">
        <is>
          <t>Linear Footage:</t>
        </is>
      </c>
      <c r="L456" s="2386">
        <f>M447</f>
        <v/>
      </c>
      <c r="M456" s="1" t="n"/>
      <c r="N456" s="273">
        <f>L456/J456</f>
        <v/>
      </c>
      <c r="Q456" s="47" t="n"/>
      <c r="R456" s="2419" t="n"/>
      <c r="S456" s="2420" t="n"/>
      <c r="T456" s="2038">
        <f>R456*S456</f>
        <v/>
      </c>
    </row>
    <row r="457">
      <c r="B457" s="85" t="inlineStr">
        <is>
          <t>Labor:              Guys</t>
        </is>
      </c>
      <c r="C457" s="68" t="inlineStr">
        <is>
          <t>Days</t>
        </is>
      </c>
      <c r="D457" s="68" t="inlineStr">
        <is>
          <t>Rate (PW?)</t>
        </is>
      </c>
      <c r="E457" s="87" t="inlineStr">
        <is>
          <t>Totals</t>
        </is>
      </c>
      <c r="F457" s="76" t="inlineStr">
        <is>
          <t>8hour days</t>
        </is>
      </c>
      <c r="G457" s="156" t="inlineStr">
        <is>
          <t>Estimated LF/MH</t>
        </is>
      </c>
      <c r="H457" s="274" t="n"/>
      <c r="I457" s="85" t="inlineStr">
        <is>
          <t>Labor:              Guys</t>
        </is>
      </c>
      <c r="J457" s="68" t="inlineStr">
        <is>
          <t>Days</t>
        </is>
      </c>
      <c r="K457" s="68" t="inlineStr">
        <is>
          <t>Rate (PW?)</t>
        </is>
      </c>
      <c r="L457" s="87" t="inlineStr">
        <is>
          <t>Totals</t>
        </is>
      </c>
      <c r="M457" s="76" t="inlineStr">
        <is>
          <t>8hour days</t>
        </is>
      </c>
      <c r="N457" s="156" t="inlineStr">
        <is>
          <t>Estimated LF/MH</t>
        </is>
      </c>
      <c r="Q457" s="10" t="inlineStr">
        <is>
          <t>Material Total</t>
        </is>
      </c>
      <c r="R457" s="36" t="n"/>
      <c r="S457" s="2339" t="n"/>
      <c r="T457" s="2340">
        <f>SUM(T453:T456)</f>
        <v/>
      </c>
    </row>
    <row r="458">
      <c r="B458" s="69" t="n">
        <v>3</v>
      </c>
      <c r="C458" s="1" t="n">
        <v>2</v>
      </c>
      <c r="D458" s="2388">
        <f>$D$17</f>
        <v/>
      </c>
      <c r="E458" s="70">
        <f>B458*C458*D458*8</f>
        <v/>
      </c>
      <c r="F458" s="76" t="n"/>
      <c r="G458" s="157">
        <f>F447/(E458/D458)</f>
        <v/>
      </c>
      <c r="H458" s="154" t="n"/>
      <c r="I458" s="69" t="n">
        <v>2</v>
      </c>
      <c r="J458" s="1" t="n">
        <v>1</v>
      </c>
      <c r="K458" s="2388">
        <f>$D$17</f>
        <v/>
      </c>
      <c r="L458" s="70">
        <f>I458*J458*K458*8</f>
        <v/>
      </c>
      <c r="M458" s="76" t="n"/>
      <c r="N458" s="157">
        <f>M447/(L458/K458)</f>
        <v/>
      </c>
    </row>
    <row r="459">
      <c r="B459" s="69" t="n"/>
      <c r="C459" s="1" t="n"/>
      <c r="D459" s="2388">
        <f>$D$17</f>
        <v/>
      </c>
      <c r="E459" s="70">
        <f>B459*C459*D459*8</f>
        <v/>
      </c>
      <c r="F459" s="76" t="n"/>
      <c r="G459" s="275">
        <f>F449/(E459/D459)</f>
        <v/>
      </c>
      <c r="H459" s="154" t="n"/>
      <c r="I459" s="69" t="n"/>
      <c r="J459" s="1" t="n"/>
      <c r="K459" s="2388">
        <f>$D$17</f>
        <v/>
      </c>
      <c r="L459" s="70">
        <f>I459*J459*K459*8</f>
        <v/>
      </c>
      <c r="M459" s="76" t="n"/>
      <c r="N459" s="275">
        <f>M449/(L459/K459)</f>
        <v/>
      </c>
      <c r="Q459" s="2438" t="inlineStr">
        <is>
          <t>Material  - 6" Line Striping - 100 lf</t>
        </is>
      </c>
      <c r="R459" s="2350" t="n"/>
      <c r="S459" s="2350" t="n"/>
      <c r="T459" s="237" t="n"/>
      <c r="U459">
        <f>100/2</f>
        <v/>
      </c>
      <c r="V459" t="inlineStr">
        <is>
          <t>100 divided by 2</t>
        </is>
      </c>
    </row>
    <row r="460">
      <c r="B460" s="86" t="inlineStr">
        <is>
          <t>Travel:             Guys</t>
        </is>
      </c>
      <c r="C460" s="67" t="inlineStr">
        <is>
          <t>Hours</t>
        </is>
      </c>
      <c r="D460" s="67" t="inlineStr">
        <is>
          <t>Rate</t>
        </is>
      </c>
      <c r="E460" s="71" t="n"/>
      <c r="F460" s="1" t="n"/>
      <c r="I460" s="86" t="inlineStr">
        <is>
          <t>Travel:             Guys</t>
        </is>
      </c>
      <c r="J460" s="67" t="inlineStr">
        <is>
          <t>Hours</t>
        </is>
      </c>
      <c r="K460" s="67" t="inlineStr">
        <is>
          <t>Rate</t>
        </is>
      </c>
      <c r="L460" s="71" t="n"/>
      <c r="M460" s="1" t="n"/>
      <c r="Q460" s="25" t="inlineStr">
        <is>
          <t>MATERIAL - Patch</t>
        </is>
      </c>
      <c r="R460" s="90" t="inlineStr">
        <is>
          <t>Quantity</t>
        </is>
      </c>
      <c r="S460" s="90" t="inlineStr">
        <is>
          <t>Cost</t>
        </is>
      </c>
      <c r="T460" s="91" t="inlineStr">
        <is>
          <t>Total</t>
        </is>
      </c>
      <c r="U460" s="2380" t="n">
        <v>50</v>
      </c>
      <c r="V460" s="82" t="inlineStr">
        <is>
          <t>SF</t>
        </is>
      </c>
    </row>
    <row r="461">
      <c r="B461" s="69" t="n">
        <v>0</v>
      </c>
      <c r="C461" s="1" t="n">
        <v>0</v>
      </c>
      <c r="D461" s="2388">
        <f>$D$20</f>
        <v/>
      </c>
      <c r="E461" s="70">
        <f>B461*C461*D461</f>
        <v/>
      </c>
      <c r="F461" s="76" t="n"/>
      <c r="I461" s="69" t="n">
        <v>0</v>
      </c>
      <c r="J461" s="1" t="n">
        <v>0</v>
      </c>
      <c r="K461" s="2388">
        <f>$D$20</f>
        <v/>
      </c>
      <c r="L461" s="70">
        <f>I461*J461*K461</f>
        <v/>
      </c>
      <c r="M461" s="76" t="n"/>
      <c r="Q461" s="47" t="inlineStr">
        <is>
          <t>WB</t>
        </is>
      </c>
      <c r="R461" s="2377" t="n">
        <v>1</v>
      </c>
      <c r="S461" s="2416">
        <f>51.36+V461</f>
        <v/>
      </c>
      <c r="T461" s="2308">
        <f>R461*S461</f>
        <v/>
      </c>
      <c r="U461" s="301">
        <f>(8/1600)*U460</f>
        <v/>
      </c>
      <c r="V461" s="2410">
        <f>51.36*W444</f>
        <v/>
      </c>
    </row>
    <row r="462">
      <c r="B462" s="277" t="inlineStr">
        <is>
          <t>Labor Total</t>
        </is>
      </c>
      <c r="C462" s="278" t="n"/>
      <c r="D462" s="278" t="n"/>
      <c r="E462" s="2390">
        <f>ROUNDUP(SUM(E458:E461),0)</f>
        <v/>
      </c>
      <c r="F462" s="123">
        <f>E462/E456</f>
        <v/>
      </c>
      <c r="G462" s="124" t="inlineStr">
        <is>
          <t>Labor $/LF</t>
        </is>
      </c>
      <c r="H462" s="1" t="n"/>
      <c r="I462" s="277" t="inlineStr">
        <is>
          <t>Labor Total</t>
        </is>
      </c>
      <c r="J462" s="278" t="n"/>
      <c r="K462" s="278" t="n"/>
      <c r="L462" s="2390">
        <f>ROUNDUP(SUM(L458:L461),0)</f>
        <v/>
      </c>
      <c r="M462" s="123">
        <f>L462/L456</f>
        <v/>
      </c>
      <c r="N462" s="124" t="inlineStr">
        <is>
          <t>Labor $/LF</t>
        </is>
      </c>
      <c r="Q462" s="69" t="inlineStr">
        <is>
          <t>Accelera EXT BrghtYw (Small)</t>
        </is>
      </c>
      <c r="R462" s="2377" t="n">
        <v>1</v>
      </c>
      <c r="S462" s="2416">
        <f>164+V462</f>
        <v/>
      </c>
      <c r="T462" s="2308">
        <f>R462*S462</f>
        <v/>
      </c>
      <c r="U462" s="301">
        <f>U460/120</f>
        <v/>
      </c>
      <c r="V462" s="2410">
        <f>164*W444</f>
        <v/>
      </c>
    </row>
    <row r="463">
      <c r="B463" s="1" t="n"/>
      <c r="C463" s="1892" t="n"/>
      <c r="D463" s="2282" t="n"/>
      <c r="E463" s="2282" t="n"/>
      <c r="F463" s="2282" t="n"/>
      <c r="G463" s="1" t="n"/>
      <c r="H463" s="1" t="n"/>
      <c r="I463" s="1" t="n"/>
      <c r="J463" s="1892" t="n"/>
      <c r="K463" s="2282" t="n"/>
      <c r="L463" s="2282" t="n"/>
      <c r="M463" s="2282" t="n"/>
      <c r="N463" s="1" t="n"/>
      <c r="Q463" s="25" t="n"/>
      <c r="R463" s="2377" t="n"/>
      <c r="S463" s="2312" t="n"/>
      <c r="T463" s="2308">
        <f>R463*S463</f>
        <v/>
      </c>
      <c r="V463" s="1547" t="inlineStr">
        <is>
          <t>DAF 2025 6% increase</t>
        </is>
      </c>
    </row>
    <row r="464">
      <c r="B464" s="5" t="inlineStr">
        <is>
          <t>OTHER COSTS</t>
        </is>
      </c>
      <c r="C464" s="30" t="inlineStr">
        <is>
          <t>Quantity</t>
        </is>
      </c>
      <c r="D464" s="11" t="inlineStr">
        <is>
          <t>Cost</t>
        </is>
      </c>
      <c r="E464" s="2019" t="inlineStr">
        <is>
          <t>Total</t>
        </is>
      </c>
      <c r="F464" s="1" t="n"/>
      <c r="G464" s="1" t="n"/>
      <c r="H464" s="1" t="n"/>
      <c r="I464" s="5" t="inlineStr">
        <is>
          <t>OTHER COSTS</t>
        </is>
      </c>
      <c r="J464" s="30" t="inlineStr">
        <is>
          <t>Quantity</t>
        </is>
      </c>
      <c r="K464" s="11" t="inlineStr">
        <is>
          <t>Cost</t>
        </is>
      </c>
      <c r="L464" s="2019" t="inlineStr">
        <is>
          <t>Total</t>
        </is>
      </c>
      <c r="M464" s="1" t="n"/>
      <c r="N464" s="1" t="n"/>
      <c r="Q464" s="47" t="n"/>
      <c r="R464" s="2377" t="n"/>
      <c r="S464" s="2282" t="n"/>
      <c r="T464" s="2038">
        <f>R464*S464</f>
        <v/>
      </c>
    </row>
    <row r="465">
      <c r="B465" s="6" t="inlineStr">
        <is>
          <t>Moisture Test</t>
        </is>
      </c>
      <c r="C465" s="37" t="n">
        <v>2</v>
      </c>
      <c r="D465" s="2282" t="n">
        <v>35</v>
      </c>
      <c r="E465" s="2038">
        <f>ROUNDUP(C465*D465,0)</f>
        <v/>
      </c>
      <c r="F465" s="1" t="n"/>
      <c r="G465" s="1" t="n"/>
      <c r="H465" s="1" t="n"/>
      <c r="I465" s="6" t="inlineStr">
        <is>
          <t>Moisture Test</t>
        </is>
      </c>
      <c r="J465" s="37" t="n">
        <v>2</v>
      </c>
      <c r="K465" s="2282" t="n">
        <v>35</v>
      </c>
      <c r="L465" s="2038">
        <f>ROUNDUP(J465*K465,0)</f>
        <v/>
      </c>
      <c r="M465" s="1" t="n"/>
      <c r="N465" s="1" t="n"/>
      <c r="Q465" s="10" t="inlineStr">
        <is>
          <t>Material Total</t>
        </is>
      </c>
      <c r="R465" s="36" t="n"/>
      <c r="S465" s="2339" t="n"/>
      <c r="T465" s="2340">
        <f>SUM(T461:T464)</f>
        <v/>
      </c>
    </row>
    <row r="466">
      <c r="B466" s="6" t="inlineStr">
        <is>
          <t>Tooling &amp; Consumables</t>
        </is>
      </c>
      <c r="C466" s="37">
        <f>E456</f>
        <v/>
      </c>
      <c r="D466" s="2282" t="n">
        <v>0.33</v>
      </c>
      <c r="E466" s="2038">
        <f>ROUNDUP(C466*D466,0)</f>
        <v/>
      </c>
      <c r="F466" s="1" t="n"/>
      <c r="G466" s="1" t="n"/>
      <c r="H466" s="1" t="n"/>
      <c r="I466" s="6" t="inlineStr">
        <is>
          <t>Tooling &amp; Consumables</t>
        </is>
      </c>
      <c r="J466" s="37">
        <f>L456</f>
        <v/>
      </c>
      <c r="K466" s="2282" t="n">
        <v>0.33</v>
      </c>
      <c r="L466" s="2038">
        <f>ROUNDUP(J466*K466,0)</f>
        <v/>
      </c>
      <c r="M466" s="1" t="n"/>
      <c r="N466" s="1" t="n"/>
    </row>
    <row r="467">
      <c r="B467" s="6" t="inlineStr">
        <is>
          <t>Travel - Lodging</t>
        </is>
      </c>
      <c r="C467" s="37" t="n">
        <v>0</v>
      </c>
      <c r="D467" s="2282">
        <f>$D$26</f>
        <v/>
      </c>
      <c r="E467" s="2038">
        <f>ROUNDUP(C467*D467,0)</f>
        <v/>
      </c>
      <c r="F467" s="1" t="n"/>
      <c r="G467" s="1" t="n"/>
      <c r="H467" s="1" t="n"/>
      <c r="I467" s="6" t="inlineStr">
        <is>
          <t>Travel - Lodging</t>
        </is>
      </c>
      <c r="J467" s="37" t="n">
        <v>0</v>
      </c>
      <c r="K467" s="2282">
        <f>$D$26</f>
        <v/>
      </c>
      <c r="L467" s="2038">
        <f>ROUNDUP(J467*K467,0)</f>
        <v/>
      </c>
      <c r="M467" s="1" t="n"/>
      <c r="N467" s="1" t="n"/>
      <c r="Q467" s="2438" t="inlineStr">
        <is>
          <t>Material  - 6" Line Striping - 500 lf</t>
        </is>
      </c>
      <c r="R467" s="2350" t="n"/>
      <c r="S467" s="2350" t="n"/>
      <c r="T467" s="237" t="n"/>
      <c r="U467">
        <f>500/2</f>
        <v/>
      </c>
      <c r="V467" t="inlineStr">
        <is>
          <t>500 divided by 2</t>
        </is>
      </c>
    </row>
    <row r="468">
      <c r="B468" s="6" t="inlineStr">
        <is>
          <t>Travel - Food</t>
        </is>
      </c>
      <c r="C468" s="37">
        <f>C467</f>
        <v/>
      </c>
      <c r="D468" s="2282">
        <f>$D$27</f>
        <v/>
      </c>
      <c r="E468" s="2038">
        <f>ROUNDUP(C468*D468,0)</f>
        <v/>
      </c>
      <c r="F468" s="43" t="n"/>
      <c r="G468" s="1" t="n"/>
      <c r="H468" s="1" t="n"/>
      <c r="I468" s="6" t="inlineStr">
        <is>
          <t>Travel - Food</t>
        </is>
      </c>
      <c r="J468" s="37">
        <f>J467</f>
        <v/>
      </c>
      <c r="K468" s="2282">
        <f>$D$27</f>
        <v/>
      </c>
      <c r="L468" s="2038">
        <f>ROUNDUP(J468*K468,0)</f>
        <v/>
      </c>
      <c r="M468" s="43" t="n"/>
      <c r="N468" s="1" t="n"/>
      <c r="Q468" s="25" t="inlineStr">
        <is>
          <t>MATERIAL - Patch</t>
        </is>
      </c>
      <c r="R468" s="90" t="inlineStr">
        <is>
          <t>Quantity</t>
        </is>
      </c>
      <c r="S468" s="90" t="inlineStr">
        <is>
          <t>Cost</t>
        </is>
      </c>
      <c r="T468" s="91" t="inlineStr">
        <is>
          <t>Total</t>
        </is>
      </c>
      <c r="U468" s="2380" t="n">
        <v>250</v>
      </c>
      <c r="V468" s="82" t="inlineStr">
        <is>
          <t>SF</t>
        </is>
      </c>
    </row>
    <row r="469">
      <c r="B469" s="6" t="inlineStr">
        <is>
          <t>Foreman - Fuel</t>
        </is>
      </c>
      <c r="C469" s="37">
        <f>(E462/8)/D458</f>
        <v/>
      </c>
      <c r="D469" s="2282">
        <f>$D$28</f>
        <v/>
      </c>
      <c r="E469" s="2038">
        <f>ROUNDUP(C469*D469,0)</f>
        <v/>
      </c>
      <c r="F469" s="43" t="n"/>
      <c r="G469" s="1" t="n"/>
      <c r="H469" s="1" t="n"/>
      <c r="I469" s="6" t="inlineStr">
        <is>
          <t>Foreman - Fuel</t>
        </is>
      </c>
      <c r="J469" s="37">
        <f>(L462/8)/K458</f>
        <v/>
      </c>
      <c r="K469" s="2282">
        <f>$D$28</f>
        <v/>
      </c>
      <c r="L469" s="2038">
        <f>ROUNDUP(J469*K469,0)</f>
        <v/>
      </c>
      <c r="M469" s="43" t="n"/>
      <c r="N469" s="1" t="n"/>
      <c r="Q469" s="47" t="inlineStr">
        <is>
          <t>WB</t>
        </is>
      </c>
      <c r="R469" s="2377" t="n">
        <v>2</v>
      </c>
      <c r="S469" s="2416">
        <f>51.36+V469</f>
        <v/>
      </c>
      <c r="T469" s="2308">
        <f>R469*S469</f>
        <v/>
      </c>
      <c r="U469" s="301">
        <f>(8/1600)*U468</f>
        <v/>
      </c>
      <c r="V469" s="2410">
        <f>51.36*W444</f>
        <v/>
      </c>
    </row>
    <row r="470">
      <c r="B470" s="6" t="inlineStr">
        <is>
          <t>Generator Fuel</t>
        </is>
      </c>
      <c r="C470" s="37" t="n"/>
      <c r="D470" s="2282" t="n">
        <v>0.04</v>
      </c>
      <c r="E470" s="2038">
        <f>ROUNDUP(C470*D470,0)</f>
        <v/>
      </c>
      <c r="F470" s="1" t="n"/>
      <c r="G470" s="1" t="n"/>
      <c r="H470" s="1" t="n"/>
      <c r="I470" s="6" t="inlineStr">
        <is>
          <t>Generator Fuel</t>
        </is>
      </c>
      <c r="J470" s="37" t="n"/>
      <c r="K470" s="2282" t="n">
        <v>0.04</v>
      </c>
      <c r="L470" s="2038">
        <f>ROUNDUP(J470*K470,0)</f>
        <v/>
      </c>
      <c r="M470" s="1" t="n"/>
      <c r="N470" s="1" t="n"/>
      <c r="Q470" s="69" t="inlineStr">
        <is>
          <t>Accelera EXT BrghtYw (Small)</t>
        </is>
      </c>
      <c r="R470" s="2377" t="n">
        <v>3</v>
      </c>
      <c r="S470" s="2416">
        <f>164+V470</f>
        <v/>
      </c>
      <c r="T470" s="2308">
        <f>R470*S470</f>
        <v/>
      </c>
      <c r="U470" s="301">
        <f>U468/120</f>
        <v/>
      </c>
      <c r="V470" s="2410">
        <f>164*W444</f>
        <v/>
      </c>
    </row>
    <row r="471">
      <c r="B471" s="6" t="inlineStr">
        <is>
          <t>Plastic</t>
        </is>
      </c>
      <c r="C471" s="37" t="n"/>
      <c r="D471" s="2282" t="n"/>
      <c r="E471" s="2038">
        <f>ROUNDUP(C471*D471,0)</f>
        <v/>
      </c>
      <c r="F471" s="1" t="n"/>
      <c r="G471" s="1" t="n"/>
      <c r="H471" s="1" t="n"/>
      <c r="I471" s="6" t="inlineStr">
        <is>
          <t>Plastic</t>
        </is>
      </c>
      <c r="J471" s="37" t="n"/>
      <c r="K471" s="2282" t="n"/>
      <c r="L471" s="2038">
        <f>ROUNDUP(J471*K471,0)</f>
        <v/>
      </c>
      <c r="M471" s="1" t="n"/>
      <c r="N471" s="1" t="n"/>
      <c r="Q471" s="25" t="n"/>
      <c r="R471" s="2377" t="n"/>
      <c r="S471" s="2312" t="n"/>
      <c r="T471" s="2308">
        <f>R471*S471</f>
        <v/>
      </c>
      <c r="U471" s="301" t="n"/>
      <c r="V471" s="1547" t="inlineStr">
        <is>
          <t>DAF 2025 6% increase</t>
        </is>
      </c>
    </row>
    <row r="472">
      <c r="B472" s="10" t="inlineStr">
        <is>
          <t>Other Costs Total</t>
        </is>
      </c>
      <c r="C472" s="36" t="n"/>
      <c r="D472" s="2339" t="n"/>
      <c r="E472" s="2340">
        <f>SUM(E465:E471)</f>
        <v/>
      </c>
      <c r="F472" s="1" t="n"/>
      <c r="G472" s="1" t="n"/>
      <c r="H472" s="1" t="n"/>
      <c r="I472" s="10" t="inlineStr">
        <is>
          <t>Other Costs Total</t>
        </is>
      </c>
      <c r="J472" s="36" t="n"/>
      <c r="K472" s="2339" t="n"/>
      <c r="L472" s="2340">
        <f>SUM(L465:L471)</f>
        <v/>
      </c>
      <c r="M472" s="1" t="n"/>
      <c r="N472" s="1" t="n"/>
      <c r="Q472" s="47" t="n"/>
      <c r="R472" s="2377" t="n"/>
      <c r="S472" s="2282" t="n"/>
      <c r="T472" s="2038">
        <f>R472*S472</f>
        <v/>
      </c>
    </row>
    <row r="473">
      <c r="B473" s="1" t="n"/>
      <c r="C473" s="1892" t="n"/>
      <c r="D473" s="2282" t="n"/>
      <c r="E473" s="2282" t="n"/>
      <c r="F473" s="1" t="n"/>
      <c r="G473" s="1" t="n"/>
      <c r="H473" s="1" t="n"/>
      <c r="I473" s="1" t="n"/>
      <c r="J473" s="1892" t="n"/>
      <c r="K473" s="2282" t="n"/>
      <c r="L473" s="2282" t="n"/>
      <c r="M473" s="1" t="n"/>
      <c r="N473" s="1" t="n"/>
      <c r="Q473" s="10" t="inlineStr">
        <is>
          <t>Material Total</t>
        </is>
      </c>
      <c r="R473" s="36" t="n"/>
      <c r="S473" s="2339" t="n"/>
      <c r="T473" s="2340">
        <f>SUM(T469:T472)</f>
        <v/>
      </c>
    </row>
    <row r="474">
      <c r="B474" s="1" t="n"/>
      <c r="C474" s="1892" t="n"/>
      <c r="D474" s="2282" t="n"/>
      <c r="E474" s="2282" t="n"/>
      <c r="F474" s="1" t="n"/>
      <c r="G474" s="1" t="n"/>
      <c r="H474" s="1" t="n"/>
      <c r="I474" s="1" t="n"/>
      <c r="J474" s="1892" t="n"/>
      <c r="K474" s="2282" t="n"/>
      <c r="L474" s="2282" t="n"/>
      <c r="M474" s="1" t="n"/>
      <c r="N474" s="1" t="n"/>
    </row>
    <row r="475">
      <c r="B475" s="280" t="inlineStr">
        <is>
          <t>SUB-TOTAL COSTS</t>
        </is>
      </c>
      <c r="C475" s="281" t="n"/>
      <c r="D475" s="2393" t="n"/>
      <c r="E475" s="2394">
        <f>SUM(E454,E462,E472)</f>
        <v/>
      </c>
      <c r="F475" s="1" t="n"/>
      <c r="G475" s="1" t="n"/>
      <c r="H475" s="1" t="n"/>
      <c r="I475" s="280" t="inlineStr">
        <is>
          <t>SUB-TOTAL COSTS</t>
        </is>
      </c>
      <c r="J475" s="281" t="n"/>
      <c r="K475" s="2393" t="n"/>
      <c r="L475" s="2394">
        <f>SUM(L454,L462,L472)</f>
        <v/>
      </c>
      <c r="M475" s="1" t="n"/>
      <c r="N475" s="1" t="n"/>
    </row>
    <row r="476">
      <c r="B476" s="1" t="n"/>
      <c r="C476" s="1892" t="n"/>
      <c r="D476" s="2282" t="n"/>
      <c r="E476" s="2282" t="n"/>
      <c r="F476" s="1" t="n"/>
      <c r="G476" s="1" t="n"/>
      <c r="H476" s="1" t="n"/>
      <c r="I476" s="1" t="n"/>
      <c r="J476" s="1892" t="n"/>
      <c r="K476" s="2282" t="n"/>
      <c r="L476" s="2282" t="n"/>
      <c r="M476" s="1" t="n"/>
      <c r="N476" s="1" t="n"/>
    </row>
    <row r="477">
      <c r="B477" s="5" t="inlineStr">
        <is>
          <t>MARKUP</t>
        </is>
      </c>
      <c r="C477" s="30" t="inlineStr">
        <is>
          <t>%</t>
        </is>
      </c>
      <c r="D477" s="2395" t="n"/>
      <c r="E477" s="2019" t="n"/>
      <c r="F477" s="1" t="n"/>
      <c r="G477" s="1" t="n"/>
      <c r="H477" s="1" t="n"/>
      <c r="I477" s="5" t="inlineStr">
        <is>
          <t>MARKUP</t>
        </is>
      </c>
      <c r="J477" s="30" t="inlineStr">
        <is>
          <t>%</t>
        </is>
      </c>
      <c r="K477" s="2395" t="n"/>
      <c r="L477" s="2019" t="n"/>
      <c r="M477" s="1" t="n"/>
      <c r="N477" s="1" t="n"/>
    </row>
    <row r="478">
      <c r="B478" s="6" t="inlineStr">
        <is>
          <t>Sales Tax</t>
        </is>
      </c>
      <c r="C478" s="2396">
        <f>$C$37</f>
        <v/>
      </c>
      <c r="D478" s="2397" t="n"/>
      <c r="E478" s="2038">
        <f>ROUNDUP(SUM(E454:E454)*C478,0)</f>
        <v/>
      </c>
      <c r="F478" s="1" t="n"/>
      <c r="G478" s="1" t="n"/>
      <c r="H478" s="1" t="n"/>
      <c r="I478" s="6" t="inlineStr">
        <is>
          <t>Sales Tax</t>
        </is>
      </c>
      <c r="J478" s="2396">
        <f>$C$37</f>
        <v/>
      </c>
      <c r="K478" s="2397" t="n"/>
      <c r="L478" s="2038">
        <f>ROUNDUP(SUM(L454:L454)*J478,0)</f>
        <v/>
      </c>
      <c r="M478" s="1" t="n"/>
      <c r="N478" s="1" t="n"/>
    </row>
    <row r="479">
      <c r="B479" s="6" t="inlineStr">
        <is>
          <t>Insurance</t>
        </is>
      </c>
      <c r="C479" s="241" t="n">
        <v>0.08</v>
      </c>
      <c r="D479" s="2397" t="n"/>
      <c r="E479" s="2038">
        <f>ROUNDUP(SUM(E462)*C479,0)</f>
        <v/>
      </c>
      <c r="F479" s="1" t="n"/>
      <c r="G479" s="1" t="n"/>
      <c r="H479" s="1" t="n"/>
      <c r="I479" s="6" t="inlineStr">
        <is>
          <t>Insurance</t>
        </is>
      </c>
      <c r="J479" s="241" t="n">
        <v>0.08</v>
      </c>
      <c r="K479" s="2397" t="n"/>
      <c r="L479" s="2038">
        <f>ROUNDUP(SUM(L462)*J479,0)</f>
        <v/>
      </c>
      <c r="M479" s="1" t="n"/>
      <c r="N479" s="1" t="n"/>
    </row>
    <row r="480">
      <c r="B480" s="6" t="inlineStr">
        <is>
          <t>Material Contingency</t>
        </is>
      </c>
      <c r="C480" s="122">
        <f>IF(E454&lt;=5000,0.1,0.05)</f>
        <v/>
      </c>
      <c r="D480" s="2282" t="n"/>
      <c r="E480" s="2038">
        <f>ROUNDUP(E454*C480,0)</f>
        <v/>
      </c>
      <c r="F480" s="1" t="n"/>
      <c r="G480" s="1" t="n"/>
      <c r="H480" s="1" t="n"/>
      <c r="I480" s="6" t="inlineStr">
        <is>
          <t>Material Contingency</t>
        </is>
      </c>
      <c r="J480" s="122">
        <f>IF(L454&lt;=5000,0.1,0.05)</f>
        <v/>
      </c>
      <c r="K480" s="2282" t="n"/>
      <c r="L480" s="2038">
        <f>ROUNDUP(L454*J480,0)</f>
        <v/>
      </c>
      <c r="M480" s="1" t="n"/>
      <c r="N480" s="1" t="n"/>
    </row>
    <row r="481">
      <c r="B481" s="6" t="inlineStr">
        <is>
          <t>Labor Contingency</t>
        </is>
      </c>
      <c r="C481" s="122" t="n">
        <v>0.2</v>
      </c>
      <c r="D481" s="2282" t="n"/>
      <c r="E481" s="2038">
        <f>ROUNDUP(E462*C481,0)</f>
        <v/>
      </c>
      <c r="F481" s="1" t="n"/>
      <c r="G481" s="1" t="n"/>
      <c r="H481" s="1" t="n"/>
      <c r="I481" s="6" t="inlineStr">
        <is>
          <t>Labor Contingency</t>
        </is>
      </c>
      <c r="J481" s="122" t="n">
        <v>0.2</v>
      </c>
      <c r="K481" s="2282" t="n"/>
      <c r="L481" s="2038">
        <f>ROUNDUP(L462*J481,0)</f>
        <v/>
      </c>
      <c r="M481" s="1" t="n"/>
      <c r="N481" s="1" t="n"/>
    </row>
    <row r="482">
      <c r="B482" s="6" t="inlineStr">
        <is>
          <t>Mark Up</t>
        </is>
      </c>
      <c r="C482" s="122" t="n">
        <v>0.4</v>
      </c>
      <c r="D482" s="2282" t="n"/>
      <c r="E482" s="2038">
        <f>ROUNDUP(SUM(E475:E481)*C482,0)</f>
        <v/>
      </c>
      <c r="F482" s="1" t="n"/>
      <c r="G482" s="1" t="n"/>
      <c r="H482" s="1" t="n"/>
      <c r="I482" s="6" t="inlineStr">
        <is>
          <t>Mark Up</t>
        </is>
      </c>
      <c r="J482" s="122" t="n">
        <v>0.4</v>
      </c>
      <c r="K482" s="2282" t="n"/>
      <c r="L482" s="2038">
        <f>ROUNDUP(SUM(L475:L481)*J482,0)</f>
        <v/>
      </c>
      <c r="M482" s="1" t="n"/>
      <c r="N482" s="1" t="n"/>
    </row>
    <row r="483">
      <c r="B483" s="284">
        <f>$B$42</f>
        <v/>
      </c>
      <c r="C483" s="241">
        <f>$C$42</f>
        <v/>
      </c>
      <c r="D483" s="2282" t="n"/>
      <c r="E483" s="2038">
        <f>ROUNDUP(SUM(E462,E479:E482)*C483,0)</f>
        <v/>
      </c>
      <c r="F483" s="1" t="n"/>
      <c r="G483" s="1" t="n"/>
      <c r="H483" s="1" t="n"/>
      <c r="I483" s="284">
        <f>$B$42</f>
        <v/>
      </c>
      <c r="J483" s="241">
        <f>$C$42</f>
        <v/>
      </c>
      <c r="K483" s="2282" t="n"/>
      <c r="L483" s="2038">
        <f>ROUNDUP(SUM(L462,L479:L482)*J483,0)</f>
        <v/>
      </c>
      <c r="M483" s="1" t="n"/>
      <c r="N483" s="1" t="n"/>
    </row>
    <row r="484">
      <c r="B484" s="403" t="inlineStr">
        <is>
          <t>Warranty &amp; Extra Soft Cost</t>
        </is>
      </c>
      <c r="C484" s="241">
        <f>$C$43</f>
        <v/>
      </c>
      <c r="D484" s="2282" t="n"/>
      <c r="E484" s="2038">
        <f>ROUNDUP(C484*SUM(E475:E483),0)</f>
        <v/>
      </c>
      <c r="F484" s="1" t="n"/>
      <c r="G484" s="1" t="n"/>
      <c r="H484" s="1" t="n"/>
      <c r="I484" s="403" t="inlineStr">
        <is>
          <t>Warranty &amp; Extra Soft Cost</t>
        </is>
      </c>
      <c r="J484" s="241">
        <f>$C$43</f>
        <v/>
      </c>
      <c r="K484" s="2282" t="n"/>
      <c r="L484" s="2038">
        <f>ROUNDUP(J484*SUM(L475:L483),0)</f>
        <v/>
      </c>
      <c r="M484" s="1" t="n"/>
      <c r="N484" s="1" t="n"/>
    </row>
    <row r="485">
      <c r="B485" s="45" t="inlineStr">
        <is>
          <t>Bond</t>
        </is>
      </c>
      <c r="C485" s="46">
        <f>$C$44</f>
        <v/>
      </c>
      <c r="D485" s="2314" t="n"/>
      <c r="E485" s="2400">
        <f>ROUNDUP(SUM(E475:E484)*C485,0)</f>
        <v/>
      </c>
      <c r="F485" s="1" t="n"/>
      <c r="G485" s="1" t="n"/>
      <c r="H485" s="1" t="n"/>
      <c r="I485" s="45" t="inlineStr">
        <is>
          <t>Bond</t>
        </is>
      </c>
      <c r="J485" s="46">
        <f>$C$44</f>
        <v/>
      </c>
      <c r="K485" s="2314" t="n"/>
      <c r="L485" s="2400">
        <f>ROUNDUP(SUM(L475:L484)*J485,0)</f>
        <v/>
      </c>
      <c r="M485" s="1" t="n"/>
      <c r="N485" s="1" t="n"/>
    </row>
    <row r="486">
      <c r="B486" s="1" t="n"/>
      <c r="C486" s="8" t="n"/>
      <c r="D486" s="2282" t="n"/>
      <c r="E486" s="2282" t="n"/>
      <c r="F486" s="1" t="n"/>
      <c r="G486" s="286" t="inlineStr">
        <is>
          <t>Mark Up + Conting.</t>
        </is>
      </c>
      <c r="H486" s="1892" t="n"/>
      <c r="I486" s="1" t="n"/>
      <c r="J486" s="8" t="n"/>
      <c r="K486" s="2282" t="n"/>
      <c r="L486" s="2282" t="n"/>
      <c r="M486" s="1" t="n"/>
      <c r="N486" s="286" t="inlineStr">
        <is>
          <t>Mark Up + Conting.</t>
        </is>
      </c>
    </row>
    <row r="487" ht="16.2" customHeight="1" thickBot="1">
      <c r="B487" s="1" t="n"/>
      <c r="C487" s="287" t="inlineStr">
        <is>
          <t>LF:</t>
        </is>
      </c>
      <c r="D487" s="2405">
        <f>E456</f>
        <v/>
      </c>
      <c r="E487" s="2282" t="n"/>
      <c r="F487" s="38" t="inlineStr">
        <is>
          <t>Less Sales Tax</t>
        </is>
      </c>
      <c r="G487" s="2402">
        <f>SUM(E480:E482)</f>
        <v/>
      </c>
      <c r="H487" s="2282" t="n"/>
      <c r="I487" s="1" t="n"/>
      <c r="J487" s="287" t="inlineStr">
        <is>
          <t>LF:</t>
        </is>
      </c>
      <c r="K487" s="2405">
        <f>L456</f>
        <v/>
      </c>
      <c r="L487" s="2282" t="n"/>
      <c r="M487" s="38" t="inlineStr">
        <is>
          <t>Less Sales Tax</t>
        </is>
      </c>
      <c r="N487" s="2402">
        <f>SUM(L480:L482)</f>
        <v/>
      </c>
    </row>
    <row r="488" ht="16.2" customHeight="1" thickBot="1">
      <c r="B488" s="289" t="inlineStr">
        <is>
          <t>TOTAL</t>
        </is>
      </c>
      <c r="C488" s="290" t="n"/>
      <c r="D488" s="2412">
        <f>E488/E456</f>
        <v/>
      </c>
      <c r="E488" s="2404">
        <f>SUM(E475:E485)</f>
        <v/>
      </c>
      <c r="F488" s="2282">
        <f>E488-E478-E483</f>
        <v/>
      </c>
      <c r="G488" s="293">
        <f>G487/E488</f>
        <v/>
      </c>
      <c r="H488" s="294" t="n"/>
      <c r="I488" s="289" t="inlineStr">
        <is>
          <t>TOTAL</t>
        </is>
      </c>
      <c r="J488" s="290" t="n"/>
      <c r="K488" s="2412">
        <f>L488/L456</f>
        <v/>
      </c>
      <c r="L488" s="2404">
        <f>SUM(L475:L485)</f>
        <v/>
      </c>
      <c r="M488" s="2282">
        <f>L488-L478-L483</f>
        <v/>
      </c>
      <c r="N488" s="293">
        <f>N487/L488</f>
        <v/>
      </c>
    </row>
    <row r="489">
      <c r="B489" s="1" t="n"/>
      <c r="C489" s="1" t="inlineStr">
        <is>
          <t xml:space="preserve"> </t>
        </is>
      </c>
      <c r="D489" s="2282">
        <f>E489/E456</f>
        <v/>
      </c>
      <c r="E489" s="2282">
        <f>E488-E483</f>
        <v/>
      </c>
      <c r="F489" t="inlineStr">
        <is>
          <t xml:space="preserve">less ks remodel, if applicable </t>
        </is>
      </c>
      <c r="G489" s="295">
        <f>IF(G488&lt;=0.25,"OWNER APPROVAL REQUIRED","GP % Okay")</f>
        <v/>
      </c>
      <c r="H489" s="1891" t="n"/>
      <c r="I489" s="1" t="n"/>
      <c r="J489" s="1" t="inlineStr">
        <is>
          <t xml:space="preserve"> </t>
        </is>
      </c>
      <c r="K489" s="2282">
        <f>L489/L456</f>
        <v/>
      </c>
      <c r="L489" s="2282">
        <f>L488-L483</f>
        <v/>
      </c>
      <c r="M489" t="inlineStr">
        <is>
          <t xml:space="preserve">less ks remodel, if applicable </t>
        </is>
      </c>
      <c r="N489" s="295">
        <f>IF(N488&lt;=0.25,"OWNER APPROVAL REQUIRED","GP % Okay")</f>
        <v/>
      </c>
    </row>
    <row r="492">
      <c r="B492" s="2438" t="inlineStr">
        <is>
          <t>6" Line Striping - 500 lf</t>
        </is>
      </c>
      <c r="C492" s="2350" t="n"/>
      <c r="D492" s="2350" t="n"/>
      <c r="E492" s="237" t="n"/>
      <c r="F492" s="2375">
        <f>D537</f>
        <v/>
      </c>
      <c r="G492" s="263" t="inlineStr">
        <is>
          <t>$/lf</t>
        </is>
      </c>
      <c r="I492" s="2438" t="inlineStr">
        <is>
          <t>6" Line Striping - 100 lf</t>
        </is>
      </c>
      <c r="J492" s="2350" t="n"/>
      <c r="K492" s="2350" t="n"/>
      <c r="L492" s="237" t="n"/>
      <c r="M492" s="2375">
        <f>K537</f>
        <v/>
      </c>
      <c r="N492" s="263" t="inlineStr">
        <is>
          <t>$/lf</t>
        </is>
      </c>
      <c r="Q492" s="2438" t="inlineStr">
        <is>
          <t>Material  - 4" Line Striping - 100 lf</t>
        </is>
      </c>
      <c r="R492" s="2350" t="n"/>
      <c r="S492" s="2350" t="n"/>
      <c r="T492" s="237" t="n"/>
      <c r="U492">
        <f>100/3</f>
        <v/>
      </c>
      <c r="V492" s="43" t="inlineStr">
        <is>
          <t>100 divided by 3</t>
        </is>
      </c>
    </row>
    <row r="493">
      <c r="B493" s="25" t="inlineStr">
        <is>
          <t>MATERIAL - Patch</t>
        </is>
      </c>
      <c r="C493" s="90" t="inlineStr">
        <is>
          <t>Quantity</t>
        </is>
      </c>
      <c r="D493" s="90" t="inlineStr">
        <is>
          <t>Cost</t>
        </is>
      </c>
      <c r="E493" s="91" t="inlineStr">
        <is>
          <t>Total</t>
        </is>
      </c>
      <c r="F493" s="23" t="n"/>
      <c r="G493" s="89" t="n"/>
      <c r="H493" s="264" t="n"/>
      <c r="I493" s="25" t="inlineStr">
        <is>
          <t>MATERIAL - Patch</t>
        </is>
      </c>
      <c r="J493" s="90" t="inlineStr">
        <is>
          <t>Quantity</t>
        </is>
      </c>
      <c r="K493" s="90" t="inlineStr">
        <is>
          <t>Cost</t>
        </is>
      </c>
      <c r="L493" s="91" t="inlineStr">
        <is>
          <t>Total</t>
        </is>
      </c>
      <c r="M493" s="23" t="n"/>
      <c r="N493" s="89" t="n"/>
      <c r="Q493" s="25" t="inlineStr">
        <is>
          <t>MATERIAL - Patch</t>
        </is>
      </c>
      <c r="R493" s="90" t="inlineStr">
        <is>
          <t>Quantity</t>
        </is>
      </c>
      <c r="S493" s="90" t="inlineStr">
        <is>
          <t>Cost</t>
        </is>
      </c>
      <c r="T493" s="91" t="inlineStr">
        <is>
          <t>Total</t>
        </is>
      </c>
      <c r="U493" s="2380" t="n">
        <v>34</v>
      </c>
      <c r="V493" s="82" t="inlineStr">
        <is>
          <t>SF</t>
        </is>
      </c>
      <c r="W493" s="1549">
        <f>W444</f>
        <v/>
      </c>
    </row>
    <row r="494">
      <c r="B494" s="44" t="n"/>
      <c r="C494" s="2377">
        <f>F496</f>
        <v/>
      </c>
      <c r="D494" s="2312" t="n">
        <v>0.1</v>
      </c>
      <c r="E494" s="2308">
        <f>C494*D494</f>
        <v/>
      </c>
      <c r="F494" s="1" t="n"/>
      <c r="G494" s="1" t="n"/>
      <c r="H494" s="1" t="n"/>
      <c r="I494" s="44" t="n"/>
      <c r="J494" s="2377">
        <f>M496</f>
        <v/>
      </c>
      <c r="K494" s="2312" t="n">
        <v>0.1</v>
      </c>
      <c r="L494" s="2308">
        <f>J494*K494</f>
        <v/>
      </c>
      <c r="M494" s="1" t="n"/>
      <c r="N494" s="1" t="n"/>
      <c r="Q494" s="47" t="inlineStr">
        <is>
          <t>WB</t>
        </is>
      </c>
      <c r="R494" s="2377" t="n">
        <v>1</v>
      </c>
      <c r="S494" s="2416">
        <f>51.36+V494</f>
        <v/>
      </c>
      <c r="T494" s="2308">
        <f>R494*S494</f>
        <v/>
      </c>
      <c r="U494" s="301">
        <f>(8/1600)*U493</f>
        <v/>
      </c>
      <c r="V494" s="2410">
        <f>51.36*W493</f>
        <v/>
      </c>
    </row>
    <row r="495">
      <c r="B495" s="44" t="n"/>
      <c r="C495" s="2377" t="n"/>
      <c r="D495" s="2312" t="n"/>
      <c r="E495" s="2308">
        <f>C495*D495</f>
        <v/>
      </c>
      <c r="F495" s="1" t="n"/>
      <c r="G495" s="1" t="n"/>
      <c r="H495" s="1" t="n"/>
      <c r="I495" s="44" t="n"/>
      <c r="J495" s="2377" t="n"/>
      <c r="K495" s="2312" t="n"/>
      <c r="L495" s="2308">
        <f>J495*K495</f>
        <v/>
      </c>
      <c r="M495" s="1" t="n"/>
      <c r="N495" s="1" t="n"/>
      <c r="Q495" s="69" t="inlineStr">
        <is>
          <t>Accelera EXT BrghtYw (Small)</t>
        </is>
      </c>
      <c r="R495" s="2377" t="n">
        <v>1</v>
      </c>
      <c r="S495" s="2416">
        <f>164+V495</f>
        <v/>
      </c>
      <c r="T495" s="2308">
        <f>R495*S495</f>
        <v/>
      </c>
      <c r="U495" s="301">
        <f>U493/120</f>
        <v/>
      </c>
      <c r="V495" s="2410">
        <f>164*W493</f>
        <v/>
      </c>
    </row>
    <row r="496">
      <c r="B496" s="25" t="inlineStr">
        <is>
          <t>MATERIAL - Floor</t>
        </is>
      </c>
      <c r="C496" s="2379" t="n"/>
      <c r="D496" s="23" t="n"/>
      <c r="E496" s="29" t="n"/>
      <c r="F496" s="2380" t="n">
        <v>500</v>
      </c>
      <c r="G496" s="82" t="inlineStr">
        <is>
          <t>LF</t>
        </is>
      </c>
      <c r="H496" s="1" t="n"/>
      <c r="I496" s="25" t="inlineStr">
        <is>
          <t>MATERIAL - Floor</t>
        </is>
      </c>
      <c r="J496" s="2379" t="n"/>
      <c r="K496" s="23" t="n"/>
      <c r="L496" s="29" t="n"/>
      <c r="M496" s="2380" t="n">
        <v>100</v>
      </c>
      <c r="N496" s="82" t="inlineStr">
        <is>
          <t>LF</t>
        </is>
      </c>
      <c r="Q496" s="25" t="n"/>
      <c r="R496" s="2419" t="n"/>
      <c r="S496" s="2439" t="n"/>
      <c r="T496" s="2308">
        <f>R496*S496</f>
        <v/>
      </c>
      <c r="V496" s="1547" t="inlineStr">
        <is>
          <t>DAF 2025 6% increase</t>
        </is>
      </c>
    </row>
    <row r="497">
      <c r="B497" s="47" t="inlineStr">
        <is>
          <t>4" Line</t>
        </is>
      </c>
      <c r="C497" s="2433" t="n"/>
      <c r="D497" s="2282">
        <f>T506</f>
        <v/>
      </c>
      <c r="E497" s="2038">
        <f>C497*D497</f>
        <v/>
      </c>
      <c r="F497" s="2440" t="n">
        <v>167</v>
      </c>
      <c r="G497" s="305" t="inlineStr">
        <is>
          <t>SF  (=500/3)</t>
        </is>
      </c>
      <c r="H497" s="1" t="n"/>
      <c r="I497" s="47" t="inlineStr">
        <is>
          <t>4" Line</t>
        </is>
      </c>
      <c r="J497" s="2433" t="n"/>
      <c r="K497" s="2282">
        <f>T498</f>
        <v/>
      </c>
      <c r="L497" s="2038">
        <f>J497*K497</f>
        <v/>
      </c>
      <c r="M497" s="2440" t="n">
        <v>34</v>
      </c>
      <c r="N497" s="305" t="inlineStr">
        <is>
          <t>SF  (=100/3)</t>
        </is>
      </c>
      <c r="Q497" s="47" t="n"/>
      <c r="R497" s="2419" t="n"/>
      <c r="S497" s="2420" t="n"/>
      <c r="T497" s="2038">
        <f>R497*S497</f>
        <v/>
      </c>
    </row>
    <row r="498">
      <c r="B498" s="47" t="inlineStr">
        <is>
          <t>6" Line</t>
        </is>
      </c>
      <c r="C498" s="2433" t="n">
        <v>1</v>
      </c>
      <c r="D498" s="2282">
        <f>T522</f>
        <v/>
      </c>
      <c r="E498" s="2038">
        <f>C498*D498</f>
        <v/>
      </c>
      <c r="F498" s="2440" t="n">
        <v>250</v>
      </c>
      <c r="G498" s="305" t="inlineStr">
        <is>
          <t>SF  (=500/2)</t>
        </is>
      </c>
      <c r="H498" s="1" t="n"/>
      <c r="I498" s="47" t="inlineStr">
        <is>
          <t>6" Line</t>
        </is>
      </c>
      <c r="J498" s="2433" t="n">
        <v>1</v>
      </c>
      <c r="K498" s="2282">
        <f>T514</f>
        <v/>
      </c>
      <c r="L498" s="2038">
        <f>J498*K498</f>
        <v/>
      </c>
      <c r="M498" s="2440" t="n">
        <v>50</v>
      </c>
      <c r="N498" s="305" t="inlineStr">
        <is>
          <t>SF  (=100/2)</t>
        </is>
      </c>
      <c r="Q498" s="10" t="inlineStr">
        <is>
          <t>Material Total</t>
        </is>
      </c>
      <c r="R498" s="36" t="n"/>
      <c r="S498" s="2339" t="n"/>
      <c r="T498" s="2340">
        <f>SUM(T494:T497)</f>
        <v/>
      </c>
    </row>
    <row r="499">
      <c r="B499" s="48" t="n"/>
      <c r="C499" s="2381" t="n"/>
      <c r="D499" s="2332" t="n"/>
      <c r="E499" s="2333">
        <f>C499*D499</f>
        <v/>
      </c>
      <c r="F499" s="1" t="n"/>
      <c r="G499" s="1" t="n"/>
      <c r="H499" s="1" t="n"/>
      <c r="I499" s="48" t="n"/>
      <c r="J499" s="2381" t="n"/>
      <c r="K499" s="2332" t="n"/>
      <c r="L499" s="2333">
        <f>J499*K499</f>
        <v/>
      </c>
      <c r="M499" s="1" t="n"/>
      <c r="N499" s="1" t="n"/>
    </row>
    <row r="500">
      <c r="B500" s="17" t="inlineStr">
        <is>
          <t>Material Sub Total</t>
        </is>
      </c>
      <c r="C500" s="35" t="n"/>
      <c r="D500" s="2382" t="n"/>
      <c r="E500" s="2335">
        <f>ROUNDUP(SUM(E494:E499),0)</f>
        <v/>
      </c>
      <c r="F500" s="1" t="n"/>
      <c r="G500" s="307" t="inlineStr">
        <is>
          <t>Material Figured ----&gt;</t>
        </is>
      </c>
      <c r="H500" s="1" t="n"/>
      <c r="I500" s="17" t="inlineStr">
        <is>
          <t>Material Sub Total</t>
        </is>
      </c>
      <c r="J500" s="35" t="n"/>
      <c r="K500" s="2382" t="n"/>
      <c r="L500" s="2335">
        <f>ROUNDUP(SUM(L494:L499),0)</f>
        <v/>
      </c>
      <c r="M500" s="1" t="n"/>
      <c r="N500" s="307" t="inlineStr">
        <is>
          <t>Material Figured ----&gt;</t>
        </is>
      </c>
      <c r="Q500" s="2438" t="inlineStr">
        <is>
          <t>Material  - 4" Line Striping - 500 lf</t>
        </is>
      </c>
      <c r="R500" s="2350" t="n"/>
      <c r="S500" s="2350" t="n"/>
      <c r="T500" s="237" t="n"/>
      <c r="U500">
        <f>500/3</f>
        <v/>
      </c>
      <c r="V500" s="43" t="inlineStr">
        <is>
          <t>500 divided by 3</t>
        </is>
      </c>
    </row>
    <row r="501">
      <c r="B501" s="20" t="inlineStr">
        <is>
          <t>Discount / Overage</t>
        </is>
      </c>
      <c r="C501" s="270" t="n">
        <v>0.1</v>
      </c>
      <c r="D501" s="2283" t="n"/>
      <c r="E501" s="2383">
        <f>ROUNDUP(SUM(E497:E498)*C501,0)</f>
        <v/>
      </c>
      <c r="F501" s="1" t="n"/>
      <c r="G501" s="1" t="n"/>
      <c r="H501" s="1" t="n"/>
      <c r="I501" s="20" t="inlineStr">
        <is>
          <t>Discount / Overage</t>
        </is>
      </c>
      <c r="J501" s="270" t="n">
        <v>0.1</v>
      </c>
      <c r="K501" s="2283" t="n"/>
      <c r="L501" s="2383">
        <f>ROUNDUP(SUM(L497:L498)*J501,0)</f>
        <v/>
      </c>
      <c r="M501" s="1" t="n"/>
      <c r="N501" s="1" t="n"/>
      <c r="Q501" s="25" t="inlineStr">
        <is>
          <t>MATERIAL - Patch</t>
        </is>
      </c>
      <c r="R501" s="90" t="inlineStr">
        <is>
          <t>Quantity</t>
        </is>
      </c>
      <c r="S501" s="90" t="inlineStr">
        <is>
          <t>Cost</t>
        </is>
      </c>
      <c r="T501" s="91" t="inlineStr">
        <is>
          <t>Total</t>
        </is>
      </c>
      <c r="U501" s="2380" t="n">
        <v>167</v>
      </c>
      <c r="V501" s="82" t="inlineStr">
        <is>
          <t>SF</t>
        </is>
      </c>
    </row>
    <row r="502">
      <c r="B502" s="446" t="inlineStr">
        <is>
          <t>Shipping + Mat. Esc.</t>
        </is>
      </c>
      <c r="C502" s="40">
        <f>IF(E500&lt;=5000,0.1,IF(E500&lt;=10000,0.06,0.04))+0.05+$C$12</f>
        <v/>
      </c>
      <c r="D502" s="2384" t="n"/>
      <c r="E502" s="2338">
        <f>ROUNDUP(E500*C502,0)</f>
        <v/>
      </c>
      <c r="F502" s="454">
        <f>$F$12</f>
        <v/>
      </c>
      <c r="I502" s="446" t="inlineStr">
        <is>
          <t>Shipping + Mat. Esc.</t>
        </is>
      </c>
      <c r="J502" s="40">
        <f>IF(L500&lt;=5000,0.1,IF(L500&lt;=10000,0.06,0.04))+0.05+$C$12</f>
        <v/>
      </c>
      <c r="K502" s="2384" t="n"/>
      <c r="L502" s="2338">
        <f>ROUNDUP(L500*J502,0)</f>
        <v/>
      </c>
      <c r="M502" s="454">
        <f>$F$12</f>
        <v/>
      </c>
      <c r="Q502" s="47" t="inlineStr">
        <is>
          <t>WB</t>
        </is>
      </c>
      <c r="R502" s="2377" t="n">
        <v>1</v>
      </c>
      <c r="S502" s="2416">
        <f>51.36+V502</f>
        <v/>
      </c>
      <c r="T502" s="2308">
        <f>R502*S502</f>
        <v/>
      </c>
      <c r="U502" s="301">
        <f>(8/1600)*U501</f>
        <v/>
      </c>
      <c r="V502" s="2410">
        <f>51.36*W493</f>
        <v/>
      </c>
    </row>
    <row r="503">
      <c r="B503" s="10" t="inlineStr">
        <is>
          <t>Material Total</t>
        </is>
      </c>
      <c r="C503" s="36" t="n"/>
      <c r="D503" s="2339" t="n"/>
      <c r="E503" s="2339">
        <f>SUM(E500:E502)</f>
        <v/>
      </c>
      <c r="F503" s="123">
        <f>E503/F496</f>
        <v/>
      </c>
      <c r="G503" s="124" t="inlineStr">
        <is>
          <t>Material $/LF</t>
        </is>
      </c>
      <c r="H503" s="1" t="n"/>
      <c r="I503" s="10" t="inlineStr">
        <is>
          <t>Material Total</t>
        </is>
      </c>
      <c r="J503" s="36" t="n"/>
      <c r="K503" s="2339" t="n"/>
      <c r="L503" s="2339">
        <f>SUM(L500:L502)</f>
        <v/>
      </c>
      <c r="M503" s="123">
        <f>L503/M496</f>
        <v/>
      </c>
      <c r="N503" s="124" t="inlineStr">
        <is>
          <t>Material $/LF</t>
        </is>
      </c>
      <c r="Q503" s="69" t="inlineStr">
        <is>
          <t>Accelera EXT BrghtYw (Small)</t>
        </is>
      </c>
      <c r="R503" s="2377" t="n">
        <v>2</v>
      </c>
      <c r="S503" s="2416">
        <f>164+V503</f>
        <v/>
      </c>
      <c r="T503" s="2308">
        <f>R503*S503</f>
        <v/>
      </c>
      <c r="U503" s="301">
        <f>U501/120</f>
        <v/>
      </c>
      <c r="V503" s="2410">
        <f>164*W493</f>
        <v/>
      </c>
    </row>
    <row r="504">
      <c r="B504" s="1" t="n"/>
      <c r="C504" s="1892" t="n"/>
      <c r="D504" s="2282" t="n"/>
      <c r="E504" s="2282" t="n"/>
      <c r="F504" s="1" t="n"/>
      <c r="I504" s="1" t="n"/>
      <c r="J504" s="1892" t="n"/>
      <c r="K504" s="2282" t="n"/>
      <c r="L504" s="2282" t="n"/>
      <c r="M504" s="1" t="n"/>
      <c r="Q504" s="25" t="n"/>
      <c r="R504" s="2419" t="n"/>
      <c r="S504" s="2439" t="n"/>
      <c r="T504" s="2308">
        <f>R504*S504</f>
        <v/>
      </c>
      <c r="V504" s="1547" t="inlineStr">
        <is>
          <t>DAF 2025 6% increase</t>
        </is>
      </c>
    </row>
    <row r="505">
      <c r="B505" s="75" t="inlineStr">
        <is>
          <t>Square Footage:</t>
        </is>
      </c>
      <c r="C505" s="2385" t="n">
        <v>0</v>
      </c>
      <c r="D505" s="75" t="inlineStr">
        <is>
          <t>Linear Footage:</t>
        </is>
      </c>
      <c r="E505" s="2386">
        <f>F496</f>
        <v/>
      </c>
      <c r="F505" s="1" t="n"/>
      <c r="G505" s="273">
        <f>E505/C505</f>
        <v/>
      </c>
      <c r="I505" s="75" t="inlineStr">
        <is>
          <t>Square Footage:</t>
        </is>
      </c>
      <c r="J505" s="2385" t="n">
        <v>0</v>
      </c>
      <c r="K505" s="75" t="inlineStr">
        <is>
          <t>Linear Footage:</t>
        </is>
      </c>
      <c r="L505" s="2386">
        <f>M496</f>
        <v/>
      </c>
      <c r="M505" s="1" t="n"/>
      <c r="N505" s="273">
        <f>L505/J505</f>
        <v/>
      </c>
      <c r="Q505" s="47" t="n"/>
      <c r="R505" s="2419" t="n"/>
      <c r="S505" s="2420" t="n"/>
      <c r="T505" s="2038">
        <f>R505*S505</f>
        <v/>
      </c>
    </row>
    <row r="506">
      <c r="B506" s="85" t="inlineStr">
        <is>
          <t>Labor:              Guys</t>
        </is>
      </c>
      <c r="C506" s="68" t="inlineStr">
        <is>
          <t>Days</t>
        </is>
      </c>
      <c r="D506" s="68" t="inlineStr">
        <is>
          <t>Rate (PW?)</t>
        </is>
      </c>
      <c r="E506" s="87" t="inlineStr">
        <is>
          <t>Totals</t>
        </is>
      </c>
      <c r="F506" s="76" t="inlineStr">
        <is>
          <t>8hour days</t>
        </is>
      </c>
      <c r="G506" s="156" t="inlineStr">
        <is>
          <t>Estimated LF/MH</t>
        </is>
      </c>
      <c r="H506" s="274" t="n"/>
      <c r="I506" s="85" t="inlineStr">
        <is>
          <t>Labor:              Guys</t>
        </is>
      </c>
      <c r="J506" s="68" t="inlineStr">
        <is>
          <t>Days</t>
        </is>
      </c>
      <c r="K506" s="68" t="inlineStr">
        <is>
          <t>Rate (PW?)</t>
        </is>
      </c>
      <c r="L506" s="87" t="inlineStr">
        <is>
          <t>Totals</t>
        </is>
      </c>
      <c r="M506" s="76" t="inlineStr">
        <is>
          <t>8hour days</t>
        </is>
      </c>
      <c r="N506" s="156" t="inlineStr">
        <is>
          <t>Estimated LF/MH</t>
        </is>
      </c>
      <c r="Q506" s="10" t="inlineStr">
        <is>
          <t>Material Total</t>
        </is>
      </c>
      <c r="R506" s="36" t="n"/>
      <c r="S506" s="2339" t="n"/>
      <c r="T506" s="2340">
        <f>SUM(T502:T505)</f>
        <v/>
      </c>
    </row>
    <row r="507">
      <c r="B507" s="69" t="n">
        <v>3</v>
      </c>
      <c r="C507" s="1" t="n">
        <v>2</v>
      </c>
      <c r="D507" s="2388">
        <f>$D$17</f>
        <v/>
      </c>
      <c r="E507" s="70">
        <f>B507*C507*D507*8</f>
        <v/>
      </c>
      <c r="F507" s="76" t="n"/>
      <c r="G507" s="157">
        <f>F496/(E507/D507)</f>
        <v/>
      </c>
      <c r="H507" s="154" t="n"/>
      <c r="I507" s="69" t="n">
        <v>2</v>
      </c>
      <c r="J507" s="1" t="n">
        <v>1</v>
      </c>
      <c r="K507" s="2388">
        <f>$D$17</f>
        <v/>
      </c>
      <c r="L507" s="70">
        <f>I507*J507*K507*8</f>
        <v/>
      </c>
      <c r="M507" s="76" t="n"/>
      <c r="N507" s="157">
        <f>M496/(L507/K507)</f>
        <v/>
      </c>
    </row>
    <row r="508">
      <c r="B508" s="69" t="n"/>
      <c r="C508" s="1" t="n"/>
      <c r="D508" s="2388">
        <f>$D$17</f>
        <v/>
      </c>
      <c r="E508" s="70">
        <f>B508*C508*D508*8</f>
        <v/>
      </c>
      <c r="F508" s="76" t="n"/>
      <c r="G508" s="275">
        <f>F498/(E508/D508)</f>
        <v/>
      </c>
      <c r="H508" s="154" t="n"/>
      <c r="I508" s="69" t="n"/>
      <c r="J508" s="1" t="n"/>
      <c r="K508" s="2388">
        <f>$D$17</f>
        <v/>
      </c>
      <c r="L508" s="70">
        <f>I508*J508*K508*8</f>
        <v/>
      </c>
      <c r="M508" s="76" t="n"/>
      <c r="N508" s="275">
        <f>M498/(L508/K508)</f>
        <v/>
      </c>
      <c r="Q508" s="2438" t="inlineStr">
        <is>
          <t>Material  - 6" Line Striping - 100 lf</t>
        </is>
      </c>
      <c r="R508" s="2350" t="n"/>
      <c r="S508" s="2350" t="n"/>
      <c r="T508" s="237" t="n"/>
      <c r="U508">
        <f>100/2</f>
        <v/>
      </c>
      <c r="V508" t="inlineStr">
        <is>
          <t>100 divided by 2</t>
        </is>
      </c>
    </row>
    <row r="509">
      <c r="B509" s="86" t="inlineStr">
        <is>
          <t>Travel:             Guys</t>
        </is>
      </c>
      <c r="C509" s="67" t="inlineStr">
        <is>
          <t>Hours</t>
        </is>
      </c>
      <c r="D509" s="67" t="inlineStr">
        <is>
          <t>Rate</t>
        </is>
      </c>
      <c r="E509" s="71" t="n"/>
      <c r="F509" s="1" t="n"/>
      <c r="I509" s="86" t="inlineStr">
        <is>
          <t>Travel:             Guys</t>
        </is>
      </c>
      <c r="J509" s="67" t="inlineStr">
        <is>
          <t>Hours</t>
        </is>
      </c>
      <c r="K509" s="67" t="inlineStr">
        <is>
          <t>Rate</t>
        </is>
      </c>
      <c r="L509" s="71" t="n"/>
      <c r="M509" s="1" t="n"/>
      <c r="Q509" s="25" t="inlineStr">
        <is>
          <t>MATERIAL - Patch</t>
        </is>
      </c>
      <c r="R509" s="90" t="inlineStr">
        <is>
          <t>Quantity</t>
        </is>
      </c>
      <c r="S509" s="90" t="inlineStr">
        <is>
          <t>Cost</t>
        </is>
      </c>
      <c r="T509" s="91" t="inlineStr">
        <is>
          <t>Total</t>
        </is>
      </c>
      <c r="U509" s="2380" t="n">
        <v>50</v>
      </c>
      <c r="V509" s="82" t="inlineStr">
        <is>
          <t>SF</t>
        </is>
      </c>
    </row>
    <row r="510">
      <c r="B510" s="69" t="n">
        <v>0</v>
      </c>
      <c r="C510" s="1" t="n">
        <v>0</v>
      </c>
      <c r="D510" s="2388">
        <f>$D$20</f>
        <v/>
      </c>
      <c r="E510" s="70">
        <f>B510*C510*D510</f>
        <v/>
      </c>
      <c r="F510" s="76" t="n"/>
      <c r="I510" s="69" t="n">
        <v>0</v>
      </c>
      <c r="J510" s="1" t="n">
        <v>0</v>
      </c>
      <c r="K510" s="2388">
        <f>$D$20</f>
        <v/>
      </c>
      <c r="L510" s="70">
        <f>I510*J510*K510</f>
        <v/>
      </c>
      <c r="M510" s="76" t="n"/>
      <c r="Q510" s="47" t="inlineStr">
        <is>
          <t>WB</t>
        </is>
      </c>
      <c r="R510" s="2377" t="n">
        <v>1</v>
      </c>
      <c r="S510" s="2416">
        <f>51.36+V510</f>
        <v/>
      </c>
      <c r="T510" s="2308">
        <f>R510*S510</f>
        <v/>
      </c>
      <c r="U510" s="301">
        <f>(8/1600)*U509</f>
        <v/>
      </c>
      <c r="V510" s="2410">
        <f>51.36*W493</f>
        <v/>
      </c>
    </row>
    <row r="511">
      <c r="B511" s="277" t="inlineStr">
        <is>
          <t>Labor Total</t>
        </is>
      </c>
      <c r="C511" s="278" t="n"/>
      <c r="D511" s="278" t="n"/>
      <c r="E511" s="2390">
        <f>ROUNDUP(SUM(E507:E510),0)</f>
        <v/>
      </c>
      <c r="F511" s="123">
        <f>E511/E505</f>
        <v/>
      </c>
      <c r="G511" s="124" t="inlineStr">
        <is>
          <t>Labor $/LF</t>
        </is>
      </c>
      <c r="H511" s="1" t="n"/>
      <c r="I511" s="277" t="inlineStr">
        <is>
          <t>Labor Total</t>
        </is>
      </c>
      <c r="J511" s="278" t="n"/>
      <c r="K511" s="278" t="n"/>
      <c r="L511" s="2390">
        <f>ROUNDUP(SUM(L507:L510),0)</f>
        <v/>
      </c>
      <c r="M511" s="123">
        <f>L511/L505</f>
        <v/>
      </c>
      <c r="N511" s="124" t="inlineStr">
        <is>
          <t>Labor $/LF</t>
        </is>
      </c>
      <c r="Q511" s="69" t="inlineStr">
        <is>
          <t>Accelera EXT BrghtYw (Small)</t>
        </is>
      </c>
      <c r="R511" s="2377" t="n">
        <v>1</v>
      </c>
      <c r="S511" s="2416">
        <f>164+V511</f>
        <v/>
      </c>
      <c r="T511" s="2308">
        <f>R511*S511</f>
        <v/>
      </c>
      <c r="U511" s="301">
        <f>U509/120</f>
        <v/>
      </c>
      <c r="V511" s="2410">
        <f>164*W493</f>
        <v/>
      </c>
    </row>
    <row r="512">
      <c r="B512" s="1" t="n"/>
      <c r="C512" s="1892" t="n"/>
      <c r="D512" s="2282" t="n"/>
      <c r="E512" s="2282" t="n"/>
      <c r="F512" s="2282" t="n"/>
      <c r="G512" s="1" t="n"/>
      <c r="H512" s="1" t="n"/>
      <c r="I512" s="1" t="n"/>
      <c r="J512" s="1892" t="n"/>
      <c r="K512" s="2282" t="n"/>
      <c r="L512" s="2282" t="n"/>
      <c r="M512" s="2282" t="n"/>
      <c r="N512" s="1" t="n"/>
      <c r="Q512" s="25" t="n"/>
      <c r="R512" s="2377" t="n"/>
      <c r="S512" s="2312" t="n"/>
      <c r="T512" s="2308">
        <f>R512*S512</f>
        <v/>
      </c>
      <c r="V512" s="1547" t="inlineStr">
        <is>
          <t>DAF 2025 6% increase</t>
        </is>
      </c>
    </row>
    <row r="513">
      <c r="B513" s="5" t="inlineStr">
        <is>
          <t>OTHER COSTS</t>
        </is>
      </c>
      <c r="C513" s="30" t="inlineStr">
        <is>
          <t>Quantity</t>
        </is>
      </c>
      <c r="D513" s="11" t="inlineStr">
        <is>
          <t>Cost</t>
        </is>
      </c>
      <c r="E513" s="2019" t="inlineStr">
        <is>
          <t>Total</t>
        </is>
      </c>
      <c r="F513" s="1" t="n"/>
      <c r="G513" s="1" t="n"/>
      <c r="H513" s="1" t="n"/>
      <c r="I513" s="5" t="inlineStr">
        <is>
          <t>OTHER COSTS</t>
        </is>
      </c>
      <c r="J513" s="30" t="inlineStr">
        <is>
          <t>Quantity</t>
        </is>
      </c>
      <c r="K513" s="11" t="inlineStr">
        <is>
          <t>Cost</t>
        </is>
      </c>
      <c r="L513" s="2019" t="inlineStr">
        <is>
          <t>Total</t>
        </is>
      </c>
      <c r="M513" s="1" t="n"/>
      <c r="N513" s="1" t="n"/>
      <c r="Q513" s="47" t="n"/>
      <c r="R513" s="2377" t="n"/>
      <c r="S513" s="2282" t="n"/>
      <c r="T513" s="2038">
        <f>R513*S513</f>
        <v/>
      </c>
    </row>
    <row r="514">
      <c r="B514" s="6" t="inlineStr">
        <is>
          <t>Moisture Test</t>
        </is>
      </c>
      <c r="C514" s="37" t="n">
        <v>2</v>
      </c>
      <c r="D514" s="2282" t="n">
        <v>35</v>
      </c>
      <c r="E514" s="2038">
        <f>ROUNDUP(C514*D514,0)</f>
        <v/>
      </c>
      <c r="F514" s="1" t="n"/>
      <c r="G514" s="1" t="n"/>
      <c r="H514" s="1" t="n"/>
      <c r="I514" s="6" t="inlineStr">
        <is>
          <t>Moisture Test</t>
        </is>
      </c>
      <c r="J514" s="37" t="n">
        <v>2</v>
      </c>
      <c r="K514" s="2282" t="n">
        <v>35</v>
      </c>
      <c r="L514" s="2038">
        <f>ROUNDUP(J514*K514,0)</f>
        <v/>
      </c>
      <c r="M514" s="1" t="n"/>
      <c r="N514" s="1" t="n"/>
      <c r="Q514" s="10" t="inlineStr">
        <is>
          <t>Material Total</t>
        </is>
      </c>
      <c r="R514" s="36" t="n"/>
      <c r="S514" s="2339" t="n"/>
      <c r="T514" s="2340">
        <f>SUM(T510:T513)</f>
        <v/>
      </c>
    </row>
    <row r="515">
      <c r="B515" s="6" t="inlineStr">
        <is>
          <t>Tooling &amp; Consumables</t>
        </is>
      </c>
      <c r="C515" s="37">
        <f>E505</f>
        <v/>
      </c>
      <c r="D515" s="2282" t="n">
        <v>0.33</v>
      </c>
      <c r="E515" s="2038">
        <f>ROUNDUP(C515*D515,0)</f>
        <v/>
      </c>
      <c r="F515" s="1" t="n"/>
      <c r="G515" s="1" t="n"/>
      <c r="H515" s="1" t="n"/>
      <c r="I515" s="6" t="inlineStr">
        <is>
          <t>Tooling &amp; Consumables</t>
        </is>
      </c>
      <c r="J515" s="37">
        <f>L505</f>
        <v/>
      </c>
      <c r="K515" s="2282" t="n">
        <v>0.33</v>
      </c>
      <c r="L515" s="2038">
        <f>ROUNDUP(J515*K515,0)</f>
        <v/>
      </c>
      <c r="M515" s="1" t="n"/>
      <c r="N515" s="1" t="n"/>
    </row>
    <row r="516">
      <c r="B516" s="6" t="inlineStr">
        <is>
          <t>Travel - Lodging</t>
        </is>
      </c>
      <c r="C516" s="37" t="n">
        <v>0</v>
      </c>
      <c r="D516" s="2282">
        <f>$D$26</f>
        <v/>
      </c>
      <c r="E516" s="2038">
        <f>ROUNDUP(C516*D516,0)</f>
        <v/>
      </c>
      <c r="F516" s="1" t="n"/>
      <c r="G516" s="1" t="n"/>
      <c r="H516" s="1" t="n"/>
      <c r="I516" s="6" t="inlineStr">
        <is>
          <t>Travel - Lodging</t>
        </is>
      </c>
      <c r="J516" s="37" t="n">
        <v>0</v>
      </c>
      <c r="K516" s="2282">
        <f>$D$26</f>
        <v/>
      </c>
      <c r="L516" s="2038">
        <f>ROUNDUP(J516*K516,0)</f>
        <v/>
      </c>
      <c r="M516" s="1" t="n"/>
      <c r="N516" s="1" t="n"/>
      <c r="Q516" s="2438" t="inlineStr">
        <is>
          <t>Material  - 6" Line Striping - 500 lf</t>
        </is>
      </c>
      <c r="R516" s="2350" t="n"/>
      <c r="S516" s="2350" t="n"/>
      <c r="T516" s="237" t="n"/>
      <c r="U516">
        <f>500/2</f>
        <v/>
      </c>
      <c r="V516" t="inlineStr">
        <is>
          <t>500 divided by 2</t>
        </is>
      </c>
    </row>
    <row r="517">
      <c r="B517" s="6" t="inlineStr">
        <is>
          <t>Travel - Food</t>
        </is>
      </c>
      <c r="C517" s="37">
        <f>C516</f>
        <v/>
      </c>
      <c r="D517" s="2282">
        <f>$D$27</f>
        <v/>
      </c>
      <c r="E517" s="2038">
        <f>ROUNDUP(C517*D517,0)</f>
        <v/>
      </c>
      <c r="F517" s="43" t="n"/>
      <c r="G517" s="1" t="n"/>
      <c r="H517" s="1" t="n"/>
      <c r="I517" s="6" t="inlineStr">
        <is>
          <t>Travel - Food</t>
        </is>
      </c>
      <c r="J517" s="37">
        <f>J516</f>
        <v/>
      </c>
      <c r="K517" s="2282">
        <f>$D$27</f>
        <v/>
      </c>
      <c r="L517" s="2038">
        <f>ROUNDUP(J517*K517,0)</f>
        <v/>
      </c>
      <c r="M517" s="43" t="n"/>
      <c r="N517" s="1" t="n"/>
      <c r="Q517" s="25" t="inlineStr">
        <is>
          <t>MATERIAL - Patch</t>
        </is>
      </c>
      <c r="R517" s="90" t="inlineStr">
        <is>
          <t>Quantity</t>
        </is>
      </c>
      <c r="S517" s="90" t="inlineStr">
        <is>
          <t>Cost</t>
        </is>
      </c>
      <c r="T517" s="91" t="inlineStr">
        <is>
          <t>Total</t>
        </is>
      </c>
      <c r="U517" s="2380" t="n">
        <v>250</v>
      </c>
      <c r="V517" s="82" t="inlineStr">
        <is>
          <t>SF</t>
        </is>
      </c>
    </row>
    <row r="518">
      <c r="B518" s="6" t="inlineStr">
        <is>
          <t>Foreman - Fuel</t>
        </is>
      </c>
      <c r="C518" s="37">
        <f>(E511/8)/D507</f>
        <v/>
      </c>
      <c r="D518" s="2282">
        <f>$D$28</f>
        <v/>
      </c>
      <c r="E518" s="2038">
        <f>ROUNDUP(C518*D518,0)</f>
        <v/>
      </c>
      <c r="F518" s="43" t="n"/>
      <c r="G518" s="1" t="n"/>
      <c r="H518" s="1" t="n"/>
      <c r="I518" s="6" t="inlineStr">
        <is>
          <t>Foreman - Fuel</t>
        </is>
      </c>
      <c r="J518" s="37">
        <f>(L511/8)/K507</f>
        <v/>
      </c>
      <c r="K518" s="2282">
        <f>$D$28</f>
        <v/>
      </c>
      <c r="L518" s="2038">
        <f>ROUNDUP(J518*K518,0)</f>
        <v/>
      </c>
      <c r="M518" s="43" t="n"/>
      <c r="N518" s="1" t="n"/>
      <c r="Q518" s="47" t="inlineStr">
        <is>
          <t>WB</t>
        </is>
      </c>
      <c r="R518" s="2377" t="n">
        <v>2</v>
      </c>
      <c r="S518" s="2416">
        <f>51.36+V518</f>
        <v/>
      </c>
      <c r="T518" s="2308">
        <f>R518*S518</f>
        <v/>
      </c>
      <c r="U518" s="301">
        <f>(8/1600)*U517</f>
        <v/>
      </c>
      <c r="V518" s="2410">
        <f>51.36*W493</f>
        <v/>
      </c>
    </row>
    <row r="519">
      <c r="B519" s="6" t="inlineStr">
        <is>
          <t>Generator Fuel</t>
        </is>
      </c>
      <c r="C519" s="37" t="n"/>
      <c r="D519" s="2282" t="n">
        <v>0.04</v>
      </c>
      <c r="E519" s="2038">
        <f>ROUNDUP(C519*D519,0)</f>
        <v/>
      </c>
      <c r="F519" s="1" t="n"/>
      <c r="G519" s="1" t="n"/>
      <c r="H519" s="1" t="n"/>
      <c r="I519" s="6" t="inlineStr">
        <is>
          <t>Generator Fuel</t>
        </is>
      </c>
      <c r="J519" s="37" t="n"/>
      <c r="K519" s="2282" t="n">
        <v>0.04</v>
      </c>
      <c r="L519" s="2038">
        <f>ROUNDUP(J519*K519,0)</f>
        <v/>
      </c>
      <c r="M519" s="1" t="n"/>
      <c r="N519" s="1" t="n"/>
      <c r="Q519" s="69" t="inlineStr">
        <is>
          <t>Accelera EXT BrghtYw (Small)</t>
        </is>
      </c>
      <c r="R519" s="2377" t="n">
        <v>3</v>
      </c>
      <c r="S519" s="2416">
        <f>164+V519</f>
        <v/>
      </c>
      <c r="T519" s="2308">
        <f>R519*S519</f>
        <v/>
      </c>
      <c r="U519" s="301">
        <f>U517/120</f>
        <v/>
      </c>
      <c r="V519" s="2410">
        <f>164*W493</f>
        <v/>
      </c>
    </row>
    <row r="520">
      <c r="B520" s="6" t="inlineStr">
        <is>
          <t>Plastic</t>
        </is>
      </c>
      <c r="C520" s="37" t="n"/>
      <c r="D520" s="2282" t="n"/>
      <c r="E520" s="2038">
        <f>ROUNDUP(C520*D520,0)</f>
        <v/>
      </c>
      <c r="F520" s="1" t="n"/>
      <c r="G520" s="1" t="n"/>
      <c r="H520" s="1" t="n"/>
      <c r="I520" s="6" t="inlineStr">
        <is>
          <t>Plastic</t>
        </is>
      </c>
      <c r="J520" s="37" t="n"/>
      <c r="K520" s="2282" t="n"/>
      <c r="L520" s="2038">
        <f>ROUNDUP(J520*K520,0)</f>
        <v/>
      </c>
      <c r="M520" s="1" t="n"/>
      <c r="N520" s="1" t="n"/>
      <c r="Q520" s="25" t="n"/>
      <c r="R520" s="2377" t="n"/>
      <c r="S520" s="2312" t="n"/>
      <c r="T520" s="2308">
        <f>R520*S520</f>
        <v/>
      </c>
      <c r="U520" s="301" t="n"/>
      <c r="V520" s="1547" t="inlineStr">
        <is>
          <t>DAF 2025 6% increase</t>
        </is>
      </c>
    </row>
    <row r="521">
      <c r="B521" s="10" t="inlineStr">
        <is>
          <t>Other Costs Total</t>
        </is>
      </c>
      <c r="C521" s="36" t="n"/>
      <c r="D521" s="2339" t="n"/>
      <c r="E521" s="2340">
        <f>SUM(E514:E520)</f>
        <v/>
      </c>
      <c r="F521" s="1" t="n"/>
      <c r="G521" s="1" t="n"/>
      <c r="H521" s="1" t="n"/>
      <c r="I521" s="10" t="inlineStr">
        <is>
          <t>Other Costs Total</t>
        </is>
      </c>
      <c r="J521" s="36" t="n"/>
      <c r="K521" s="2339" t="n"/>
      <c r="L521" s="2340">
        <f>SUM(L514:L520)</f>
        <v/>
      </c>
      <c r="M521" s="1" t="n"/>
      <c r="N521" s="1" t="n"/>
      <c r="Q521" s="47" t="n"/>
      <c r="R521" s="2377" t="n"/>
      <c r="S521" s="2282" t="n"/>
      <c r="T521" s="2038">
        <f>R521*S521</f>
        <v/>
      </c>
    </row>
    <row r="522">
      <c r="B522" s="1" t="n"/>
      <c r="C522" s="1892" t="n"/>
      <c r="D522" s="2282" t="n"/>
      <c r="E522" s="2282" t="n"/>
      <c r="F522" s="1" t="n"/>
      <c r="G522" s="1" t="n"/>
      <c r="H522" s="1" t="n"/>
      <c r="I522" s="1" t="n"/>
      <c r="J522" s="1892" t="n"/>
      <c r="K522" s="2282" t="n"/>
      <c r="L522" s="2282" t="n"/>
      <c r="M522" s="1" t="n"/>
      <c r="N522" s="1" t="n"/>
      <c r="Q522" s="10" t="inlineStr">
        <is>
          <t>Material Total</t>
        </is>
      </c>
      <c r="R522" s="36" t="n"/>
      <c r="S522" s="2339" t="n"/>
      <c r="T522" s="2340">
        <f>SUM(T518:T521)</f>
        <v/>
      </c>
    </row>
    <row r="523">
      <c r="B523" s="1" t="n"/>
      <c r="C523" s="1892" t="n"/>
      <c r="D523" s="2282" t="n"/>
      <c r="E523" s="2282" t="n"/>
      <c r="F523" s="1" t="n"/>
      <c r="G523" s="1" t="n"/>
      <c r="H523" s="1" t="n"/>
      <c r="I523" s="1" t="n"/>
      <c r="J523" s="1892" t="n"/>
      <c r="K523" s="2282" t="n"/>
      <c r="L523" s="2282" t="n"/>
      <c r="M523" s="1" t="n"/>
      <c r="N523" s="1" t="n"/>
    </row>
    <row r="524">
      <c r="B524" s="280" t="inlineStr">
        <is>
          <t>SUB-TOTAL COSTS</t>
        </is>
      </c>
      <c r="C524" s="281" t="n"/>
      <c r="D524" s="2393" t="n"/>
      <c r="E524" s="2394">
        <f>SUM(E503,E511,E521)</f>
        <v/>
      </c>
      <c r="F524" s="1" t="n"/>
      <c r="G524" s="1" t="n"/>
      <c r="H524" s="1" t="n"/>
      <c r="I524" s="280" t="inlineStr">
        <is>
          <t>SUB-TOTAL COSTS</t>
        </is>
      </c>
      <c r="J524" s="281" t="n"/>
      <c r="K524" s="2393" t="n"/>
      <c r="L524" s="2394">
        <f>SUM(L503,L511,L521)</f>
        <v/>
      </c>
      <c r="M524" s="1" t="n"/>
      <c r="N524" s="1" t="n"/>
    </row>
    <row r="525">
      <c r="B525" s="1" t="n"/>
      <c r="C525" s="1892" t="n"/>
      <c r="D525" s="2282" t="n"/>
      <c r="E525" s="2282" t="n"/>
      <c r="F525" s="1" t="n"/>
      <c r="G525" s="1" t="n"/>
      <c r="H525" s="1" t="n"/>
      <c r="I525" s="1" t="n"/>
      <c r="J525" s="1892" t="n"/>
      <c r="K525" s="2282" t="n"/>
      <c r="L525" s="2282" t="n"/>
      <c r="M525" s="1" t="n"/>
      <c r="N525" s="1" t="n"/>
    </row>
    <row r="526">
      <c r="B526" s="5" t="inlineStr">
        <is>
          <t>MARKUP</t>
        </is>
      </c>
      <c r="C526" s="30" t="inlineStr">
        <is>
          <t>%</t>
        </is>
      </c>
      <c r="D526" s="2395" t="n"/>
      <c r="E526" s="2019" t="n"/>
      <c r="F526" s="1" t="n"/>
      <c r="G526" s="1" t="n"/>
      <c r="H526" s="1" t="n"/>
      <c r="I526" s="5" t="inlineStr">
        <is>
          <t>MARKUP</t>
        </is>
      </c>
      <c r="J526" s="30" t="inlineStr">
        <is>
          <t>%</t>
        </is>
      </c>
      <c r="K526" s="2395" t="n"/>
      <c r="L526" s="2019" t="n"/>
      <c r="M526" s="1" t="n"/>
      <c r="N526" s="1" t="n"/>
    </row>
    <row r="527">
      <c r="B527" s="6" t="inlineStr">
        <is>
          <t>Sales Tax</t>
        </is>
      </c>
      <c r="C527" s="2396">
        <f>$C$37</f>
        <v/>
      </c>
      <c r="D527" s="2397" t="n"/>
      <c r="E527" s="2038">
        <f>ROUNDUP(SUM(E503:E503)*C527,0)</f>
        <v/>
      </c>
      <c r="F527" s="1" t="n"/>
      <c r="G527" s="1" t="n"/>
      <c r="H527" s="1" t="n"/>
      <c r="I527" s="6" t="inlineStr">
        <is>
          <t>Sales Tax</t>
        </is>
      </c>
      <c r="J527" s="2396">
        <f>$C$37</f>
        <v/>
      </c>
      <c r="K527" s="2397" t="n"/>
      <c r="L527" s="2038">
        <f>ROUNDUP(SUM(L503:L503)*J527,0)</f>
        <v/>
      </c>
      <c r="M527" s="1" t="n"/>
      <c r="N527" s="1" t="n"/>
    </row>
    <row r="528">
      <c r="B528" s="6" t="inlineStr">
        <is>
          <t>Insurance</t>
        </is>
      </c>
      <c r="C528" s="241" t="n">
        <v>0.08</v>
      </c>
      <c r="D528" s="2397" t="n"/>
      <c r="E528" s="2038">
        <f>ROUNDUP(SUM(E511)*C528,0)</f>
        <v/>
      </c>
      <c r="F528" s="1" t="n"/>
      <c r="G528" s="1" t="n"/>
      <c r="H528" s="1" t="n"/>
      <c r="I528" s="6" t="inlineStr">
        <is>
          <t>Insurance</t>
        </is>
      </c>
      <c r="J528" s="241" t="n">
        <v>0.08</v>
      </c>
      <c r="K528" s="2397" t="n"/>
      <c r="L528" s="2038">
        <f>ROUNDUP(SUM(L511)*J528,0)</f>
        <v/>
      </c>
      <c r="M528" s="1" t="n"/>
      <c r="N528" s="1" t="n"/>
    </row>
    <row r="529">
      <c r="B529" s="6" t="inlineStr">
        <is>
          <t>Material Contingency</t>
        </is>
      </c>
      <c r="C529" s="122">
        <f>IF(E503&lt;=5000,0.1,0.05)</f>
        <v/>
      </c>
      <c r="D529" s="2282" t="n"/>
      <c r="E529" s="2038">
        <f>ROUNDUP(E503*C529,0)</f>
        <v/>
      </c>
      <c r="F529" s="1" t="n"/>
      <c r="G529" s="1" t="n"/>
      <c r="H529" s="1" t="n"/>
      <c r="I529" s="6" t="inlineStr">
        <is>
          <t>Material Contingency</t>
        </is>
      </c>
      <c r="J529" s="122">
        <f>IF(L503&lt;=5000,0.1,0.05)</f>
        <v/>
      </c>
      <c r="K529" s="2282" t="n"/>
      <c r="L529" s="2038">
        <f>ROUNDUP(L503*J529,0)</f>
        <v/>
      </c>
      <c r="M529" s="1" t="n"/>
      <c r="N529" s="1" t="n"/>
    </row>
    <row r="530">
      <c r="B530" s="6" t="inlineStr">
        <is>
          <t>Labor Contingency</t>
        </is>
      </c>
      <c r="C530" s="122" t="n">
        <v>0.2</v>
      </c>
      <c r="D530" s="2282" t="n"/>
      <c r="E530" s="2038">
        <f>ROUNDUP(E511*C530,0)</f>
        <v/>
      </c>
      <c r="F530" s="1" t="n"/>
      <c r="G530" s="1" t="n"/>
      <c r="H530" s="1" t="n"/>
      <c r="I530" s="6" t="inlineStr">
        <is>
          <t>Labor Contingency</t>
        </is>
      </c>
      <c r="J530" s="122" t="n">
        <v>0.3</v>
      </c>
      <c r="K530" s="2282" t="n"/>
      <c r="L530" s="2038">
        <f>ROUNDUP(L511*J530,0)</f>
        <v/>
      </c>
      <c r="M530" s="1" t="n"/>
      <c r="N530" s="1" t="n"/>
    </row>
    <row r="531">
      <c r="B531" s="6" t="inlineStr">
        <is>
          <t>Mark Up</t>
        </is>
      </c>
      <c r="C531" s="122" t="n">
        <v>0.4</v>
      </c>
      <c r="D531" s="2282" t="n"/>
      <c r="E531" s="2038">
        <f>ROUNDUP(SUM(E524:E530)*C531,0)</f>
        <v/>
      </c>
      <c r="F531" s="1" t="n"/>
      <c r="G531" s="1" t="n"/>
      <c r="H531" s="1" t="n"/>
      <c r="I531" s="6" t="inlineStr">
        <is>
          <t>Mark Up</t>
        </is>
      </c>
      <c r="J531" s="122" t="n">
        <v>0.4</v>
      </c>
      <c r="K531" s="2282" t="n"/>
      <c r="L531" s="2038">
        <f>ROUNDUP(SUM(L524:L530)*J531,0)</f>
        <v/>
      </c>
      <c r="M531" s="1" t="n"/>
      <c r="N531" s="1" t="n"/>
    </row>
    <row r="532">
      <c r="B532" s="284">
        <f>$B$42</f>
        <v/>
      </c>
      <c r="C532" s="241">
        <f>$C$42</f>
        <v/>
      </c>
      <c r="D532" s="2282" t="n"/>
      <c r="E532" s="2038">
        <f>ROUNDUP(SUM(E511,E528:E531)*C532,0)</f>
        <v/>
      </c>
      <c r="F532" s="1" t="n"/>
      <c r="G532" s="1" t="n"/>
      <c r="H532" s="1" t="n"/>
      <c r="I532" s="284">
        <f>$B$42</f>
        <v/>
      </c>
      <c r="J532" s="241">
        <f>$C$42</f>
        <v/>
      </c>
      <c r="K532" s="2282" t="n"/>
      <c r="L532" s="2038">
        <f>ROUNDUP(SUM(L511,L528:L531)*J532,0)</f>
        <v/>
      </c>
      <c r="M532" s="1" t="n"/>
      <c r="N532" s="1" t="n"/>
    </row>
    <row r="533">
      <c r="B533" s="403" t="inlineStr">
        <is>
          <t>Warranty &amp; Extra Soft Cost</t>
        </is>
      </c>
      <c r="C533" s="241">
        <f>$C$43</f>
        <v/>
      </c>
      <c r="D533" s="2282" t="n"/>
      <c r="E533" s="2038">
        <f>ROUNDUP(C533*SUM(E524:E532),0)</f>
        <v/>
      </c>
      <c r="F533" s="1" t="n"/>
      <c r="G533" s="1" t="n"/>
      <c r="H533" s="1" t="n"/>
      <c r="I533" s="403" t="inlineStr">
        <is>
          <t>Warranty &amp; Extra Soft Cost</t>
        </is>
      </c>
      <c r="J533" s="241">
        <f>$C$43</f>
        <v/>
      </c>
      <c r="K533" s="2282" t="n"/>
      <c r="L533" s="2038">
        <f>ROUNDUP(J533*SUM(L524:L532),0)</f>
        <v/>
      </c>
      <c r="M533" s="1" t="n"/>
      <c r="N533" s="1" t="n"/>
    </row>
    <row r="534">
      <c r="B534" s="45" t="inlineStr">
        <is>
          <t>Bond</t>
        </is>
      </c>
      <c r="C534" s="46">
        <f>$C$44</f>
        <v/>
      </c>
      <c r="D534" s="2314" t="n"/>
      <c r="E534" s="2400">
        <f>ROUNDUP(SUM(E524:E533)*C534,0)</f>
        <v/>
      </c>
      <c r="F534" s="1" t="n"/>
      <c r="G534" s="1" t="n"/>
      <c r="H534" s="1" t="n"/>
      <c r="I534" s="45" t="inlineStr">
        <is>
          <t>Bond</t>
        </is>
      </c>
      <c r="J534" s="46">
        <f>$C$44</f>
        <v/>
      </c>
      <c r="K534" s="2314" t="n"/>
      <c r="L534" s="2400">
        <f>ROUNDUP(SUM(L524:L533)*J534,0)</f>
        <v/>
      </c>
      <c r="M534" s="1" t="n"/>
      <c r="N534" s="1" t="n"/>
    </row>
    <row r="535">
      <c r="B535" s="1" t="n"/>
      <c r="C535" s="8" t="n"/>
      <c r="D535" s="2282" t="n"/>
      <c r="E535" s="2282" t="n"/>
      <c r="F535" s="1" t="n"/>
      <c r="G535" s="286" t="inlineStr">
        <is>
          <t>Mark Up + Conting.</t>
        </is>
      </c>
      <c r="H535" s="1892" t="n"/>
      <c r="I535" s="1" t="n"/>
      <c r="J535" s="8" t="n"/>
      <c r="K535" s="2282" t="n"/>
      <c r="L535" s="2282" t="n"/>
      <c r="M535" s="1" t="n"/>
      <c r="N535" s="286" t="inlineStr">
        <is>
          <t>Mark Up + Conting.</t>
        </is>
      </c>
    </row>
    <row r="536" ht="16.2" customHeight="1" thickBot="1">
      <c r="B536" s="1" t="n"/>
      <c r="C536" s="287" t="inlineStr">
        <is>
          <t>LF:</t>
        </is>
      </c>
      <c r="D536" s="2405">
        <f>E505</f>
        <v/>
      </c>
      <c r="E536" s="2282" t="n"/>
      <c r="F536" s="38" t="inlineStr">
        <is>
          <t>Less Sales Tax</t>
        </is>
      </c>
      <c r="G536" s="2402">
        <f>SUM(E529:E531)</f>
        <v/>
      </c>
      <c r="H536" s="2282" t="n"/>
      <c r="I536" s="1" t="n"/>
      <c r="J536" s="287" t="inlineStr">
        <is>
          <t>LF:</t>
        </is>
      </c>
      <c r="K536" s="2405">
        <f>L505</f>
        <v/>
      </c>
      <c r="L536" s="2282" t="n"/>
      <c r="M536" s="38" t="inlineStr">
        <is>
          <t>Less Sales Tax</t>
        </is>
      </c>
      <c r="N536" s="2402">
        <f>SUM(L529:L531)</f>
        <v/>
      </c>
    </row>
    <row r="537" ht="16.2" customHeight="1" thickBot="1">
      <c r="B537" s="289" t="inlineStr">
        <is>
          <t>TOTAL</t>
        </is>
      </c>
      <c r="C537" s="290" t="n"/>
      <c r="D537" s="2412">
        <f>E537/E505</f>
        <v/>
      </c>
      <c r="E537" s="2404">
        <f>SUM(E524:E534)</f>
        <v/>
      </c>
      <c r="F537" s="2282">
        <f>E537-E527-E532</f>
        <v/>
      </c>
      <c r="G537" s="293">
        <f>G536/E537</f>
        <v/>
      </c>
      <c r="H537" s="294" t="n"/>
      <c r="I537" s="289" t="inlineStr">
        <is>
          <t>TOTAL</t>
        </is>
      </c>
      <c r="J537" s="290" t="n"/>
      <c r="K537" s="2412">
        <f>L537/L505</f>
        <v/>
      </c>
      <c r="L537" s="2404">
        <f>SUM(L524:L534)</f>
        <v/>
      </c>
      <c r="M537" s="2282">
        <f>L537-L527-L532</f>
        <v/>
      </c>
      <c r="N537" s="293">
        <f>N536/L537</f>
        <v/>
      </c>
    </row>
    <row r="538">
      <c r="B538" s="1" t="n"/>
      <c r="C538" s="1" t="inlineStr">
        <is>
          <t xml:space="preserve"> </t>
        </is>
      </c>
      <c r="D538" s="2282">
        <f>E538/E505</f>
        <v/>
      </c>
      <c r="E538" s="2282">
        <f>E537-E532</f>
        <v/>
      </c>
      <c r="F538" t="inlineStr">
        <is>
          <t xml:space="preserve">less ks remodel, if applicable </t>
        </is>
      </c>
      <c r="G538" s="295">
        <f>IF(G537&lt;=0.25,"OWNER APPROVAL REQUIRED","GP % Okay")</f>
        <v/>
      </c>
      <c r="H538" s="1891" t="n"/>
      <c r="I538" s="1" t="n"/>
      <c r="J538" s="1" t="inlineStr">
        <is>
          <t xml:space="preserve"> </t>
        </is>
      </c>
      <c r="K538" s="2282">
        <f>L538/L505</f>
        <v/>
      </c>
      <c r="L538" s="2282">
        <f>L537-L532</f>
        <v/>
      </c>
      <c r="M538" t="inlineStr">
        <is>
          <t xml:space="preserve">less ks remodel, if applicable </t>
        </is>
      </c>
      <c r="N538" s="295">
        <f>IF(N537&lt;=0.25,"OWNER APPROVAL REQUIRED","GP % Okay")</f>
        <v/>
      </c>
    </row>
    <row r="542">
      <c r="B542" s="2374" t="inlineStr">
        <is>
          <t>Dumpster (&lt;= 1,000 sf)</t>
        </is>
      </c>
      <c r="C542" s="2350" t="n"/>
      <c r="D542" s="2350" t="n"/>
      <c r="E542" s="237" t="n"/>
      <c r="F542" s="2375">
        <f>E587</f>
        <v/>
      </c>
      <c r="G542" s="263" t="inlineStr">
        <is>
          <t>Total</t>
        </is>
      </c>
      <c r="I542" s="2374" t="inlineStr">
        <is>
          <t>Dumpster (~1,500 sf)</t>
        </is>
      </c>
      <c r="J542" s="2350" t="n"/>
      <c r="K542" s="2350" t="n"/>
      <c r="L542" s="237" t="n"/>
      <c r="M542" s="2375">
        <f>L587</f>
        <v/>
      </c>
      <c r="N542" s="263" t="inlineStr">
        <is>
          <t>Total</t>
        </is>
      </c>
      <c r="P542" s="2374" t="inlineStr">
        <is>
          <t>Dumpster (~2,000 sf)    **may need multiple**</t>
        </is>
      </c>
      <c r="Q542" s="2350" t="n"/>
      <c r="R542" s="2350" t="n"/>
      <c r="S542" s="237" t="n"/>
      <c r="T542" s="2375">
        <f>S587</f>
        <v/>
      </c>
      <c r="U542" s="263" t="inlineStr">
        <is>
          <t>Total</t>
        </is>
      </c>
      <c r="W542" s="2374" t="inlineStr">
        <is>
          <t>Dumpster (~2,500 sf)    **may need multiple**</t>
        </is>
      </c>
      <c r="X542" s="2350" t="n"/>
      <c r="Y542" s="2350" t="n"/>
      <c r="Z542" s="237" t="n"/>
      <c r="AA542" s="2375">
        <f>Z587</f>
        <v/>
      </c>
      <c r="AB542" s="263" t="inlineStr">
        <is>
          <t>Total</t>
        </is>
      </c>
    </row>
    <row r="543">
      <c r="B543" s="25" t="inlineStr">
        <is>
          <t>MATERIAL - Patch</t>
        </is>
      </c>
      <c r="C543" s="90" t="inlineStr">
        <is>
          <t>Quantity</t>
        </is>
      </c>
      <c r="D543" s="90" t="inlineStr">
        <is>
          <t>Cost</t>
        </is>
      </c>
      <c r="E543" s="91" t="inlineStr">
        <is>
          <t>Total</t>
        </is>
      </c>
      <c r="F543" s="23" t="n"/>
      <c r="G543" s="89" t="n"/>
      <c r="H543" s="264" t="n"/>
      <c r="I543" s="25" t="inlineStr">
        <is>
          <t>MATERIAL - Patch</t>
        </is>
      </c>
      <c r="J543" s="90" t="inlineStr">
        <is>
          <t>Quantity</t>
        </is>
      </c>
      <c r="K543" s="90" t="inlineStr">
        <is>
          <t>Cost</t>
        </is>
      </c>
      <c r="L543" s="91" t="inlineStr">
        <is>
          <t>Total</t>
        </is>
      </c>
      <c r="M543" s="23" t="n"/>
      <c r="N543" s="89" t="n"/>
      <c r="P543" s="25" t="inlineStr">
        <is>
          <t>MATERIAL - Patch</t>
        </is>
      </c>
      <c r="Q543" s="90" t="inlineStr">
        <is>
          <t>Quantity</t>
        </is>
      </c>
      <c r="R543" s="90" t="inlineStr">
        <is>
          <t>Cost</t>
        </is>
      </c>
      <c r="S543" s="91" t="inlineStr">
        <is>
          <t>Total</t>
        </is>
      </c>
      <c r="T543" s="23" t="n"/>
      <c r="U543" s="89" t="n"/>
      <c r="W543" s="25" t="inlineStr">
        <is>
          <t>MATERIAL - Patch</t>
        </is>
      </c>
      <c r="X543" s="90" t="inlineStr">
        <is>
          <t>Quantity</t>
        </is>
      </c>
      <c r="Y543" s="90" t="inlineStr">
        <is>
          <t>Cost</t>
        </is>
      </c>
      <c r="Z543" s="91" t="inlineStr">
        <is>
          <t>Total</t>
        </is>
      </c>
      <c r="AA543" s="23" t="n"/>
      <c r="AB543" s="89" t="n"/>
    </row>
    <row r="544">
      <c r="B544" s="44" t="n"/>
      <c r="C544" s="2377" t="n"/>
      <c r="D544" s="2312" t="n"/>
      <c r="E544" s="2308">
        <f>C544*D544</f>
        <v/>
      </c>
      <c r="F544" s="1" t="n"/>
      <c r="G544" s="1" t="n"/>
      <c r="H544" s="1" t="n"/>
      <c r="I544" s="44" t="n"/>
      <c r="J544" s="2377" t="n"/>
      <c r="K544" s="2312" t="n"/>
      <c r="L544" s="2308">
        <f>J544*K544</f>
        <v/>
      </c>
      <c r="M544" s="1" t="n"/>
      <c r="N544" s="1" t="n"/>
      <c r="P544" s="44" t="n"/>
      <c r="Q544" s="2377" t="n"/>
      <c r="R544" s="2312" t="n"/>
      <c r="S544" s="2308">
        <f>Q544*R544</f>
        <v/>
      </c>
      <c r="T544" s="1" t="n"/>
      <c r="U544" s="1" t="n"/>
      <c r="W544" s="44" t="n"/>
      <c r="X544" s="2377" t="n"/>
      <c r="Y544" s="2312" t="n"/>
      <c r="Z544" s="2308">
        <f>X544*Y544</f>
        <v/>
      </c>
      <c r="AA544" s="1" t="n"/>
      <c r="AB544" s="1" t="n"/>
    </row>
    <row r="545">
      <c r="B545" s="44" t="n"/>
      <c r="C545" s="2377" t="n"/>
      <c r="D545" s="2312" t="n"/>
      <c r="E545" s="2308">
        <f>C545*D545</f>
        <v/>
      </c>
      <c r="F545" s="1" t="n"/>
      <c r="G545" s="1" t="n"/>
      <c r="H545" s="1" t="n"/>
      <c r="I545" s="44" t="n"/>
      <c r="J545" s="2377" t="n"/>
      <c r="K545" s="2312" t="n"/>
      <c r="L545" s="2308">
        <f>J545*K545</f>
        <v/>
      </c>
      <c r="M545" s="1" t="n"/>
      <c r="N545" s="1" t="n"/>
      <c r="P545" s="44" t="n"/>
      <c r="Q545" s="2377" t="n"/>
      <c r="R545" s="2312" t="n"/>
      <c r="S545" s="2308">
        <f>Q545*R545</f>
        <v/>
      </c>
      <c r="T545" s="1" t="n"/>
      <c r="U545" s="1" t="n"/>
      <c r="W545" s="44" t="n"/>
      <c r="X545" s="2377" t="n"/>
      <c r="Y545" s="2312" t="n"/>
      <c r="Z545" s="2308">
        <f>X545*Y545</f>
        <v/>
      </c>
      <c r="AA545" s="1" t="n"/>
      <c r="AB545" s="1" t="n"/>
    </row>
    <row r="546">
      <c r="B546" s="25" t="inlineStr">
        <is>
          <t>MATERIAL - Floor</t>
        </is>
      </c>
      <c r="C546" s="2379" t="n"/>
      <c r="D546" s="23" t="n"/>
      <c r="E546" s="29" t="n"/>
      <c r="F546" s="2380" t="n">
        <v>1000</v>
      </c>
      <c r="G546" s="82" t="inlineStr">
        <is>
          <t>SF</t>
        </is>
      </c>
      <c r="H546" s="1" t="n"/>
      <c r="I546" s="25" t="inlineStr">
        <is>
          <t>MATERIAL - Floor</t>
        </is>
      </c>
      <c r="J546" s="2379" t="n"/>
      <c r="K546" s="23" t="n"/>
      <c r="L546" s="29" t="n"/>
      <c r="M546" s="2380" t="n">
        <v>1500</v>
      </c>
      <c r="N546" s="82" t="inlineStr">
        <is>
          <t>SF</t>
        </is>
      </c>
      <c r="P546" s="25" t="inlineStr">
        <is>
          <t>MATERIAL - Floor</t>
        </is>
      </c>
      <c r="Q546" s="2379" t="n"/>
      <c r="R546" s="23" t="n"/>
      <c r="S546" s="29" t="n"/>
      <c r="T546" s="2380" t="n">
        <v>2000</v>
      </c>
      <c r="U546" s="82" t="inlineStr">
        <is>
          <t>SF</t>
        </is>
      </c>
      <c r="W546" s="25" t="inlineStr">
        <is>
          <t>MATERIAL - Floor</t>
        </is>
      </c>
      <c r="X546" s="2379" t="n"/>
      <c r="Y546" s="23" t="n"/>
      <c r="Z546" s="29" t="n"/>
      <c r="AA546" s="2380" t="n">
        <v>2500</v>
      </c>
      <c r="AB546" s="82" t="inlineStr">
        <is>
          <t>SF</t>
        </is>
      </c>
    </row>
    <row r="547">
      <c r="B547" s="47" t="n"/>
      <c r="C547" s="2377" t="n"/>
      <c r="D547" s="2282" t="n"/>
      <c r="E547" s="2038">
        <f>C547*D547</f>
        <v/>
      </c>
      <c r="F547" s="1" t="n"/>
      <c r="G547" s="1" t="n"/>
      <c r="H547" s="1" t="n"/>
      <c r="I547" s="47" t="n"/>
      <c r="J547" s="2377" t="n"/>
      <c r="K547" s="2282" t="n"/>
      <c r="L547" s="2038">
        <f>J547*K547</f>
        <v/>
      </c>
      <c r="M547" s="1" t="n"/>
      <c r="N547" s="1" t="n"/>
      <c r="P547" s="47" t="n"/>
      <c r="Q547" s="2377" t="n"/>
      <c r="R547" s="2282" t="n"/>
      <c r="S547" s="2038">
        <f>Q547*R547</f>
        <v/>
      </c>
      <c r="T547" s="1" t="n"/>
      <c r="U547" s="1" t="n"/>
      <c r="W547" s="47" t="n"/>
      <c r="X547" s="2377" t="n"/>
      <c r="Y547" s="2282" t="n"/>
      <c r="Z547" s="2038">
        <f>X547*Y547</f>
        <v/>
      </c>
      <c r="AA547" s="1" t="n"/>
      <c r="AB547" s="1" t="n"/>
    </row>
    <row r="548">
      <c r="B548" s="47" t="n"/>
      <c r="C548" s="2377" t="n"/>
      <c r="D548" s="2282" t="n"/>
      <c r="E548" s="2038">
        <f>C548*D548</f>
        <v/>
      </c>
      <c r="F548" s="1" t="n"/>
      <c r="G548" s="1" t="n"/>
      <c r="H548" s="1" t="n"/>
      <c r="I548" s="47" t="n"/>
      <c r="J548" s="2377" t="n"/>
      <c r="K548" s="2282" t="n"/>
      <c r="L548" s="2038">
        <f>J548*K548</f>
        <v/>
      </c>
      <c r="M548" s="1" t="n"/>
      <c r="N548" s="1" t="n"/>
      <c r="P548" s="47" t="n"/>
      <c r="Q548" s="2377" t="n"/>
      <c r="R548" s="2282" t="n"/>
      <c r="S548" s="2038">
        <f>Q548*R548</f>
        <v/>
      </c>
      <c r="T548" s="1" t="n"/>
      <c r="U548" s="1" t="n"/>
      <c r="W548" s="47" t="n"/>
      <c r="X548" s="2377" t="n"/>
      <c r="Y548" s="2282" t="n"/>
      <c r="Z548" s="2038">
        <f>X548*Y548</f>
        <v/>
      </c>
      <c r="AA548" s="1" t="n"/>
      <c r="AB548" s="1" t="n"/>
    </row>
    <row r="549">
      <c r="B549" s="48" t="n"/>
      <c r="C549" s="2381" t="n"/>
      <c r="D549" s="2332" t="n"/>
      <c r="E549" s="2333">
        <f>C549*D549</f>
        <v/>
      </c>
      <c r="F549" s="1" t="n"/>
      <c r="G549" s="1" t="n"/>
      <c r="H549" s="1" t="n"/>
      <c r="I549" s="48" t="n"/>
      <c r="J549" s="2381" t="n"/>
      <c r="K549" s="2332" t="n"/>
      <c r="L549" s="2333">
        <f>J549*K549</f>
        <v/>
      </c>
      <c r="M549" s="1" t="n"/>
      <c r="N549" s="1" t="n"/>
      <c r="P549" s="48" t="n"/>
      <c r="Q549" s="2381" t="n"/>
      <c r="R549" s="2332" t="n"/>
      <c r="S549" s="2333">
        <f>Q549*R549</f>
        <v/>
      </c>
      <c r="T549" s="1" t="n"/>
      <c r="U549" s="1" t="n"/>
      <c r="W549" s="48" t="n"/>
      <c r="X549" s="2381" t="n"/>
      <c r="Y549" s="2332" t="n"/>
      <c r="Z549" s="2333">
        <f>X549*Y549</f>
        <v/>
      </c>
      <c r="AA549" s="1" t="n"/>
      <c r="AB549" s="1" t="n"/>
    </row>
    <row r="550">
      <c r="B550" s="17" t="inlineStr">
        <is>
          <t>Material Sub Total</t>
        </is>
      </c>
      <c r="C550" s="35" t="n"/>
      <c r="D550" s="2382" t="n"/>
      <c r="E550" s="2335">
        <f>ROUNDUP(SUM(E544:E549),0)</f>
        <v/>
      </c>
      <c r="F550" s="1" t="n"/>
      <c r="G550" s="1" t="n"/>
      <c r="H550" s="1" t="n"/>
      <c r="I550" s="17" t="inlineStr">
        <is>
          <t>Material Sub Total</t>
        </is>
      </c>
      <c r="J550" s="35" t="n"/>
      <c r="K550" s="2382" t="n"/>
      <c r="L550" s="2335">
        <f>ROUNDUP(SUM(L544:L549),0)</f>
        <v/>
      </c>
      <c r="M550" s="1" t="n"/>
      <c r="N550" s="1" t="n"/>
      <c r="P550" s="17" t="inlineStr">
        <is>
          <t>Material Sub Total</t>
        </is>
      </c>
      <c r="Q550" s="35" t="n"/>
      <c r="R550" s="2382" t="n"/>
      <c r="S550" s="2335">
        <f>ROUNDUP(SUM(S544:S549),0)</f>
        <v/>
      </c>
      <c r="T550" s="1" t="n"/>
      <c r="U550" s="1" t="n"/>
      <c r="W550" s="17" t="inlineStr">
        <is>
          <t>Material Sub Total</t>
        </is>
      </c>
      <c r="X550" s="35" t="n"/>
      <c r="Y550" s="2382" t="n"/>
      <c r="Z550" s="2335">
        <f>ROUNDUP(SUM(Z544:Z549),0)</f>
        <v/>
      </c>
      <c r="AA550" s="1" t="n"/>
      <c r="AB550" s="1" t="n"/>
    </row>
    <row r="551">
      <c r="B551" s="20" t="inlineStr">
        <is>
          <t>Discount</t>
        </is>
      </c>
      <c r="C551" s="270" t="n">
        <v>0</v>
      </c>
      <c r="D551" s="2283" t="n"/>
      <c r="E551" s="2383">
        <f>ROUNDUP(SUM(E547)*C551,0)</f>
        <v/>
      </c>
      <c r="F551" s="1" t="n"/>
      <c r="G551" s="1" t="n"/>
      <c r="H551" s="1" t="n"/>
      <c r="I551" s="20" t="inlineStr">
        <is>
          <t>Discount</t>
        </is>
      </c>
      <c r="J551" s="270" t="n">
        <v>0</v>
      </c>
      <c r="K551" s="2283" t="n"/>
      <c r="L551" s="2383">
        <f>ROUNDUP(SUM(L547)*J551,0)</f>
        <v/>
      </c>
      <c r="M551" s="1" t="n"/>
      <c r="N551" s="1" t="n"/>
      <c r="P551" s="20" t="inlineStr">
        <is>
          <t>Discount</t>
        </is>
      </c>
      <c r="Q551" s="270" t="n">
        <v>0</v>
      </c>
      <c r="R551" s="2283" t="n"/>
      <c r="S551" s="2383">
        <f>ROUNDUP(SUM(S547)*Q551,0)</f>
        <v/>
      </c>
      <c r="T551" s="1" t="n"/>
      <c r="U551" s="1" t="n"/>
      <c r="W551" s="20" t="inlineStr">
        <is>
          <t>Discount</t>
        </is>
      </c>
      <c r="X551" s="270" t="n">
        <v>0</v>
      </c>
      <c r="Y551" s="2283" t="n"/>
      <c r="Z551" s="2383">
        <f>ROUNDUP(SUM(Z547)*X551,0)</f>
        <v/>
      </c>
      <c r="AA551" s="1" t="n"/>
      <c r="AB551" s="1" t="n"/>
    </row>
    <row r="552">
      <c r="B552" s="39" t="inlineStr">
        <is>
          <t>Shipping</t>
        </is>
      </c>
      <c r="C552" s="40">
        <f>IF(E550&lt;=5000,0.1,IF(E550&lt;=10000,0.06,0.04))</f>
        <v/>
      </c>
      <c r="D552" s="2384" t="n"/>
      <c r="E552" s="2338">
        <f>ROUNDUP(E550*C552,0)</f>
        <v/>
      </c>
      <c r="F552" s="1" t="n"/>
      <c r="I552" s="39" t="inlineStr">
        <is>
          <t>Shipping</t>
        </is>
      </c>
      <c r="J552" s="40">
        <f>IF(L550&lt;=5000,0.1,IF(L550&lt;=10000,0.06,0.04))</f>
        <v/>
      </c>
      <c r="K552" s="2384" t="n"/>
      <c r="L552" s="2338">
        <f>ROUNDUP(L550*J552,0)</f>
        <v/>
      </c>
      <c r="M552" s="1" t="n"/>
      <c r="P552" s="39" t="inlineStr">
        <is>
          <t>Shipping</t>
        </is>
      </c>
      <c r="Q552" s="40">
        <f>IF(S550&lt;=5000,0.1,IF(S550&lt;=10000,0.06,0.04))</f>
        <v/>
      </c>
      <c r="R552" s="2384" t="n"/>
      <c r="S552" s="2338">
        <f>ROUNDUP(S550*Q552,0)</f>
        <v/>
      </c>
      <c r="T552" s="1" t="n"/>
      <c r="W552" s="39" t="inlineStr">
        <is>
          <t>Shipping</t>
        </is>
      </c>
      <c r="X552" s="40">
        <f>IF(Z550&lt;=5000,0.1,IF(Z550&lt;=10000,0.06,0.04))</f>
        <v/>
      </c>
      <c r="Y552" s="2384" t="n"/>
      <c r="Z552" s="2338">
        <f>ROUNDUP(Z550*X552,0)</f>
        <v/>
      </c>
      <c r="AA552" s="1" t="n"/>
    </row>
    <row r="553">
      <c r="B553" s="10" t="inlineStr">
        <is>
          <t>Material Total</t>
        </is>
      </c>
      <c r="C553" s="36" t="n"/>
      <c r="D553" s="2339" t="n"/>
      <c r="E553" s="2339">
        <f>SUM(E550:E552)</f>
        <v/>
      </c>
      <c r="F553" s="123">
        <f>E553/F546</f>
        <v/>
      </c>
      <c r="G553" s="124" t="inlineStr">
        <is>
          <t>Material $/SF</t>
        </is>
      </c>
      <c r="H553" s="1" t="n"/>
      <c r="I553" s="10" t="inlineStr">
        <is>
          <t>Material Total</t>
        </is>
      </c>
      <c r="J553" s="36" t="n"/>
      <c r="K553" s="2339" t="n"/>
      <c r="L553" s="2339">
        <f>SUM(L550:L552)</f>
        <v/>
      </c>
      <c r="M553" s="123">
        <f>L553/M546</f>
        <v/>
      </c>
      <c r="N553" s="124" t="inlineStr">
        <is>
          <t>Material $/SF</t>
        </is>
      </c>
      <c r="P553" s="10" t="inlineStr">
        <is>
          <t>Material Total</t>
        </is>
      </c>
      <c r="Q553" s="36" t="n"/>
      <c r="R553" s="2339" t="n"/>
      <c r="S553" s="2339">
        <f>SUM(S550:S552)</f>
        <v/>
      </c>
      <c r="T553" s="123">
        <f>S553/T546</f>
        <v/>
      </c>
      <c r="U553" s="124" t="inlineStr">
        <is>
          <t>Material $/SF</t>
        </is>
      </c>
      <c r="W553" s="10" t="inlineStr">
        <is>
          <t>Material Total</t>
        </is>
      </c>
      <c r="X553" s="36" t="n"/>
      <c r="Y553" s="2339" t="n"/>
      <c r="Z553" s="2339">
        <f>SUM(Z550:Z552)</f>
        <v/>
      </c>
      <c r="AA553" s="123">
        <f>Z553/AA546</f>
        <v/>
      </c>
      <c r="AB553" s="124" t="inlineStr">
        <is>
          <t>Material $/SF</t>
        </is>
      </c>
    </row>
    <row r="554">
      <c r="B554" s="1" t="n"/>
      <c r="C554" s="1892" t="n"/>
      <c r="D554" s="2282" t="n"/>
      <c r="E554" s="2282" t="n"/>
      <c r="F554" s="1" t="n"/>
      <c r="I554" s="1" t="n"/>
      <c r="J554" s="1892" t="n"/>
      <c r="K554" s="2282" t="n"/>
      <c r="L554" s="2282" t="n"/>
      <c r="M554" s="1" t="n"/>
      <c r="P554" s="1" t="n"/>
      <c r="Q554" s="1892" t="n"/>
      <c r="R554" s="2282" t="n"/>
      <c r="S554" s="2282" t="n"/>
      <c r="T554" s="1" t="n"/>
      <c r="W554" s="1" t="n"/>
      <c r="X554" s="1892" t="n"/>
      <c r="Y554" s="2282" t="n"/>
      <c r="Z554" s="2282" t="n"/>
      <c r="AA554" s="1" t="n"/>
    </row>
    <row r="555">
      <c r="B555" s="75" t="inlineStr">
        <is>
          <t>Square Footage:</t>
        </is>
      </c>
      <c r="C555" s="2385">
        <f>F546</f>
        <v/>
      </c>
      <c r="D555" s="75" t="inlineStr">
        <is>
          <t>Linear Footage:</t>
        </is>
      </c>
      <c r="E555" s="2386" t="n">
        <v>0</v>
      </c>
      <c r="F555" s="1" t="n"/>
      <c r="G555" s="273">
        <f>E555/C555</f>
        <v/>
      </c>
      <c r="I555" s="75" t="inlineStr">
        <is>
          <t>Square Footage:</t>
        </is>
      </c>
      <c r="J555" s="2385">
        <f>M546</f>
        <v/>
      </c>
      <c r="K555" s="75" t="inlineStr">
        <is>
          <t>Linear Footage:</t>
        </is>
      </c>
      <c r="L555" s="2386" t="n">
        <v>0</v>
      </c>
      <c r="M555" s="1" t="n"/>
      <c r="N555" s="273">
        <f>L555/J555</f>
        <v/>
      </c>
      <c r="P555" s="75" t="inlineStr">
        <is>
          <t>Square Footage:</t>
        </is>
      </c>
      <c r="Q555" s="2385">
        <f>T546</f>
        <v/>
      </c>
      <c r="R555" s="75" t="inlineStr">
        <is>
          <t>Linear Footage:</t>
        </is>
      </c>
      <c r="S555" s="2386" t="n">
        <v>0</v>
      </c>
      <c r="T555" s="1" t="n"/>
      <c r="U555" s="273">
        <f>S555/Q555</f>
        <v/>
      </c>
      <c r="W555" s="75" t="inlineStr">
        <is>
          <t>Square Footage:</t>
        </is>
      </c>
      <c r="X555" s="2385">
        <f>AA546</f>
        <v/>
      </c>
      <c r="Y555" s="75" t="inlineStr">
        <is>
          <t>Linear Footage:</t>
        </is>
      </c>
      <c r="Z555" s="2386" t="n">
        <v>0</v>
      </c>
      <c r="AA555" s="1" t="n"/>
      <c r="AB555" s="273">
        <f>Z555/X555</f>
        <v/>
      </c>
    </row>
    <row r="556">
      <c r="B556" s="85" t="inlineStr">
        <is>
          <t>Labor:              Guys</t>
        </is>
      </c>
      <c r="C556" s="68" t="inlineStr">
        <is>
          <t>Days</t>
        </is>
      </c>
      <c r="D556" s="68" t="inlineStr">
        <is>
          <t>Rate (PW?)</t>
        </is>
      </c>
      <c r="E556" s="87" t="inlineStr">
        <is>
          <t>Totals</t>
        </is>
      </c>
      <c r="F556" s="76" t="inlineStr">
        <is>
          <t>8hour days</t>
        </is>
      </c>
      <c r="G556" s="156" t="inlineStr">
        <is>
          <t>Estimated SF/MH</t>
        </is>
      </c>
      <c r="H556" s="274" t="n"/>
      <c r="I556" s="85" t="inlineStr">
        <is>
          <t>Labor:              Guys</t>
        </is>
      </c>
      <c r="J556" s="68" t="inlineStr">
        <is>
          <t>Days</t>
        </is>
      </c>
      <c r="K556" s="68" t="inlineStr">
        <is>
          <t>Rate (PW?)</t>
        </is>
      </c>
      <c r="L556" s="87" t="inlineStr">
        <is>
          <t>Totals</t>
        </is>
      </c>
      <c r="M556" s="76" t="inlineStr">
        <is>
          <t>8hour days</t>
        </is>
      </c>
      <c r="N556" s="156" t="inlineStr">
        <is>
          <t>Estimated SF/MH</t>
        </is>
      </c>
      <c r="P556" s="85" t="inlineStr">
        <is>
          <t>Labor:              Guys</t>
        </is>
      </c>
      <c r="Q556" s="68" t="inlineStr">
        <is>
          <t>Days</t>
        </is>
      </c>
      <c r="R556" s="68" t="inlineStr">
        <is>
          <t>Rate (PW?)</t>
        </is>
      </c>
      <c r="S556" s="87" t="inlineStr">
        <is>
          <t>Totals</t>
        </is>
      </c>
      <c r="T556" s="76" t="inlineStr">
        <is>
          <t>8hour days</t>
        </is>
      </c>
      <c r="U556" s="156" t="inlineStr">
        <is>
          <t>Estimated SF/MH</t>
        </is>
      </c>
      <c r="W556" s="85" t="inlineStr">
        <is>
          <t>Labor:              Guys</t>
        </is>
      </c>
      <c r="X556" s="68" t="inlineStr">
        <is>
          <t>Days</t>
        </is>
      </c>
      <c r="Y556" s="68" t="inlineStr">
        <is>
          <t>Rate (PW?)</t>
        </is>
      </c>
      <c r="Z556" s="87" t="inlineStr">
        <is>
          <t>Totals</t>
        </is>
      </c>
      <c r="AA556" s="76" t="inlineStr">
        <is>
          <t>8hour days</t>
        </is>
      </c>
      <c r="AB556" s="156" t="inlineStr">
        <is>
          <t>Estimated SF/MH</t>
        </is>
      </c>
    </row>
    <row r="557">
      <c r="B557" s="69" t="n"/>
      <c r="C557" s="1" t="n"/>
      <c r="D557" s="2388">
        <f>$D$17</f>
        <v/>
      </c>
      <c r="E557" s="70">
        <f>B557*C557*D557*8</f>
        <v/>
      </c>
      <c r="F557" s="76" t="n"/>
      <c r="G557" s="157">
        <f>F546/(E557/D557)</f>
        <v/>
      </c>
      <c r="H557" s="154" t="n"/>
      <c r="I557" s="69" t="n"/>
      <c r="J557" s="1" t="n"/>
      <c r="K557" s="2388">
        <f>$D$17</f>
        <v/>
      </c>
      <c r="L557" s="70">
        <f>I557*J557*K557*8</f>
        <v/>
      </c>
      <c r="M557" s="76" t="n"/>
      <c r="N557" s="157">
        <f>M546/(L557/K557)</f>
        <v/>
      </c>
      <c r="P557" s="69" t="n"/>
      <c r="Q557" s="1" t="n"/>
      <c r="R557" s="2388">
        <f>$D$17</f>
        <v/>
      </c>
      <c r="S557" s="70">
        <f>P557*Q557*R557*8</f>
        <v/>
      </c>
      <c r="T557" s="76" t="n"/>
      <c r="U557" s="157">
        <f>T546/(S557/R557)</f>
        <v/>
      </c>
      <c r="W557" s="69" t="n"/>
      <c r="X557" s="1" t="n"/>
      <c r="Y557" s="2388">
        <f>$D$17</f>
        <v/>
      </c>
      <c r="Z557" s="70">
        <f>W557*X557*Y557*8</f>
        <v/>
      </c>
      <c r="AA557" s="76" t="n"/>
      <c r="AB557" s="157">
        <f>AA546/(Z557/Y557)</f>
        <v/>
      </c>
    </row>
    <row r="558">
      <c r="B558" s="69" t="n"/>
      <c r="C558" s="1" t="n"/>
      <c r="D558" s="2388">
        <f>$D$17</f>
        <v/>
      </c>
      <c r="E558" s="70">
        <f>B558*C558*D558*8</f>
        <v/>
      </c>
      <c r="F558" s="76" t="n"/>
      <c r="G558" s="275">
        <f>F548/(E558/D558)</f>
        <v/>
      </c>
      <c r="H558" s="154" t="n"/>
      <c r="I558" s="69" t="n"/>
      <c r="J558" s="1" t="n"/>
      <c r="K558" s="2388">
        <f>$D$17</f>
        <v/>
      </c>
      <c r="L558" s="70">
        <f>I558*J558*K558*8</f>
        <v/>
      </c>
      <c r="M558" s="76" t="n"/>
      <c r="N558" s="275">
        <f>M548/(L558/K558)</f>
        <v/>
      </c>
      <c r="P558" s="69" t="n"/>
      <c r="Q558" s="1" t="n"/>
      <c r="R558" s="2388">
        <f>$D$17</f>
        <v/>
      </c>
      <c r="S558" s="70">
        <f>P558*Q558*R558*8</f>
        <v/>
      </c>
      <c r="T558" s="76" t="n"/>
      <c r="U558" s="275">
        <f>T548/(S558/R558)</f>
        <v/>
      </c>
      <c r="W558" s="69" t="n"/>
      <c r="X558" s="1" t="n"/>
      <c r="Y558" s="2388">
        <f>$D$17</f>
        <v/>
      </c>
      <c r="Z558" s="70">
        <f>W558*X558*Y558*8</f>
        <v/>
      </c>
      <c r="AA558" s="76" t="n"/>
      <c r="AB558" s="275">
        <f>AA548/(Z558/Y558)</f>
        <v/>
      </c>
    </row>
    <row r="559">
      <c r="B559" s="86" t="inlineStr">
        <is>
          <t>Travel:             Guys</t>
        </is>
      </c>
      <c r="C559" s="67" t="inlineStr">
        <is>
          <t>Hours</t>
        </is>
      </c>
      <c r="D559" s="67" t="inlineStr">
        <is>
          <t>Rate</t>
        </is>
      </c>
      <c r="E559" s="71" t="n"/>
      <c r="F559" s="1" t="n"/>
      <c r="I559" s="86" t="inlineStr">
        <is>
          <t>Travel:             Guys</t>
        </is>
      </c>
      <c r="J559" s="67" t="inlineStr">
        <is>
          <t>Hours</t>
        </is>
      </c>
      <c r="K559" s="67" t="inlineStr">
        <is>
          <t>Rate</t>
        </is>
      </c>
      <c r="L559" s="71" t="n"/>
      <c r="M559" s="1" t="n"/>
      <c r="P559" s="86" t="inlineStr">
        <is>
          <t>Travel:             Guys</t>
        </is>
      </c>
      <c r="Q559" s="67" t="inlineStr">
        <is>
          <t>Hours</t>
        </is>
      </c>
      <c r="R559" s="276" t="inlineStr">
        <is>
          <t>Rate</t>
        </is>
      </c>
      <c r="S559" s="71" t="n"/>
      <c r="T559" s="1" t="n"/>
      <c r="W559" s="86" t="inlineStr">
        <is>
          <t>Travel:             Guys</t>
        </is>
      </c>
      <c r="X559" s="67" t="inlineStr">
        <is>
          <t>Hours</t>
        </is>
      </c>
      <c r="Y559" s="276" t="inlineStr">
        <is>
          <t>Rate</t>
        </is>
      </c>
      <c r="Z559" s="71" t="n"/>
      <c r="AA559" s="1" t="n"/>
    </row>
    <row r="560">
      <c r="B560" s="69" t="n"/>
      <c r="C560" s="1" t="n"/>
      <c r="D560" s="2388">
        <f>$D$20</f>
        <v/>
      </c>
      <c r="E560" s="70">
        <f>B560*C560*D560</f>
        <v/>
      </c>
      <c r="F560" s="76" t="n"/>
      <c r="I560" s="69" t="n"/>
      <c r="J560" s="1" t="n"/>
      <c r="K560" s="2388">
        <f>$D$20</f>
        <v/>
      </c>
      <c r="L560" s="70">
        <f>I560*J560*K560</f>
        <v/>
      </c>
      <c r="M560" s="76" t="n"/>
      <c r="P560" s="69" t="n"/>
      <c r="Q560" s="1" t="n"/>
      <c r="R560" s="2388">
        <f>$D$20</f>
        <v/>
      </c>
      <c r="S560" s="70">
        <f>P560*Q560*R560</f>
        <v/>
      </c>
      <c r="T560" s="76" t="n"/>
      <c r="W560" s="69" t="n"/>
      <c r="X560" s="1" t="n"/>
      <c r="Y560" s="2388">
        <f>$D$20</f>
        <v/>
      </c>
      <c r="Z560" s="70">
        <f>W560*X560*Y560</f>
        <v/>
      </c>
      <c r="AA560" s="76" t="n"/>
    </row>
    <row r="561">
      <c r="B561" s="277" t="inlineStr">
        <is>
          <t>Labor Total</t>
        </is>
      </c>
      <c r="C561" s="278" t="n"/>
      <c r="D561" s="278" t="n"/>
      <c r="E561" s="2390">
        <f>ROUNDUP(SUM(E557:E560),0)</f>
        <v/>
      </c>
      <c r="F561" s="123">
        <f>E561/C555</f>
        <v/>
      </c>
      <c r="G561" s="124" t="inlineStr">
        <is>
          <t>Labor $/SF</t>
        </is>
      </c>
      <c r="H561" s="1" t="n"/>
      <c r="I561" s="277" t="inlineStr">
        <is>
          <t>Labor Total</t>
        </is>
      </c>
      <c r="J561" s="278" t="n"/>
      <c r="K561" s="278" t="n"/>
      <c r="L561" s="2390">
        <f>ROUNDUP(SUM(L557:L560),0)</f>
        <v/>
      </c>
      <c r="M561" s="123">
        <f>L561/J555</f>
        <v/>
      </c>
      <c r="N561" s="124" t="inlineStr">
        <is>
          <t>Labor $/SF</t>
        </is>
      </c>
      <c r="P561" s="277" t="inlineStr">
        <is>
          <t>Labor Total</t>
        </is>
      </c>
      <c r="Q561" s="278" t="n"/>
      <c r="R561" s="278" t="n"/>
      <c r="S561" s="2390">
        <f>ROUNDUP(SUM(S557:S560),0)</f>
        <v/>
      </c>
      <c r="T561" s="123">
        <f>S561/Q555</f>
        <v/>
      </c>
      <c r="U561" s="124" t="inlineStr">
        <is>
          <t>Labor $/SF</t>
        </is>
      </c>
      <c r="W561" s="277" t="inlineStr">
        <is>
          <t>Labor Total</t>
        </is>
      </c>
      <c r="X561" s="278" t="n"/>
      <c r="Y561" s="278" t="n"/>
      <c r="Z561" s="2390">
        <f>ROUNDUP(SUM(Z557:Z560),0)</f>
        <v/>
      </c>
      <c r="AA561" s="123">
        <f>Z561/X555</f>
        <v/>
      </c>
      <c r="AB561" s="124" t="inlineStr">
        <is>
          <t>Labor $/SF</t>
        </is>
      </c>
    </row>
    <row r="562">
      <c r="B562" s="1" t="n"/>
      <c r="C562" s="1892" t="n"/>
      <c r="D562" s="2282" t="n"/>
      <c r="E562" s="2282" t="n"/>
      <c r="F562" s="2282" t="n"/>
      <c r="G562" s="1" t="n"/>
      <c r="H562" s="1" t="n"/>
      <c r="I562" s="1" t="n"/>
      <c r="J562" s="1892" t="n"/>
      <c r="K562" s="2282" t="n"/>
      <c r="L562" s="2282" t="n"/>
      <c r="M562" s="2282" t="n"/>
      <c r="N562" s="1" t="n"/>
      <c r="P562" s="1" t="n"/>
      <c r="Q562" s="1892" t="n"/>
      <c r="R562" s="2282" t="n"/>
      <c r="S562" s="2282" t="n"/>
      <c r="T562" s="2282" t="n"/>
      <c r="U562" s="1" t="n"/>
      <c r="W562" s="1" t="n"/>
      <c r="X562" s="1892" t="n"/>
      <c r="Y562" s="2282" t="n"/>
      <c r="Z562" s="2282" t="n"/>
      <c r="AA562" s="2282" t="n"/>
      <c r="AB562" s="1" t="n"/>
    </row>
    <row r="563">
      <c r="B563" s="5" t="inlineStr">
        <is>
          <t>OTHER COSTS</t>
        </is>
      </c>
      <c r="C563" s="30" t="inlineStr">
        <is>
          <t>Quantity</t>
        </is>
      </c>
      <c r="D563" s="11" t="inlineStr">
        <is>
          <t>Cost</t>
        </is>
      </c>
      <c r="E563" s="2019" t="inlineStr">
        <is>
          <t>Total</t>
        </is>
      </c>
      <c r="F563" s="1" t="n"/>
      <c r="G563" s="1" t="n"/>
      <c r="H563" s="1" t="n"/>
      <c r="I563" s="5" t="inlineStr">
        <is>
          <t>OTHER COSTS</t>
        </is>
      </c>
      <c r="J563" s="30" t="inlineStr">
        <is>
          <t>Quantity</t>
        </is>
      </c>
      <c r="K563" s="11" t="inlineStr">
        <is>
          <t>Cost</t>
        </is>
      </c>
      <c r="L563" s="2019" t="inlineStr">
        <is>
          <t>Total</t>
        </is>
      </c>
      <c r="M563" s="1" t="n"/>
      <c r="N563" s="1" t="n"/>
      <c r="P563" s="5" t="inlineStr">
        <is>
          <t>OTHER COSTS</t>
        </is>
      </c>
      <c r="Q563" s="30" t="inlineStr">
        <is>
          <t>Quantity</t>
        </is>
      </c>
      <c r="R563" s="11" t="inlineStr">
        <is>
          <t>Cost</t>
        </is>
      </c>
      <c r="S563" s="2019" t="inlineStr">
        <is>
          <t>Total</t>
        </is>
      </c>
      <c r="T563" s="1" t="n"/>
      <c r="U563" s="1" t="n"/>
      <c r="W563" s="5" t="inlineStr">
        <is>
          <t>OTHER COSTS</t>
        </is>
      </c>
      <c r="X563" s="30" t="inlineStr">
        <is>
          <t>Quantity</t>
        </is>
      </c>
      <c r="Y563" s="11" t="inlineStr">
        <is>
          <t>Cost</t>
        </is>
      </c>
      <c r="Z563" s="2019" t="inlineStr">
        <is>
          <t>Total</t>
        </is>
      </c>
      <c r="AA563" s="1" t="n"/>
      <c r="AB563" s="1" t="n"/>
    </row>
    <row r="564">
      <c r="B564" s="6" t="inlineStr">
        <is>
          <t>Moisture Test</t>
        </is>
      </c>
      <c r="C564" s="37" t="n"/>
      <c r="D564" s="2282" t="n">
        <v>35</v>
      </c>
      <c r="E564" s="2038">
        <f>ROUNDUP(C564*D564,0)</f>
        <v/>
      </c>
      <c r="F564" s="1" t="n"/>
      <c r="G564" s="1" t="n"/>
      <c r="H564" s="1" t="n"/>
      <c r="I564" s="6" t="inlineStr">
        <is>
          <t>Moisture Test</t>
        </is>
      </c>
      <c r="J564" s="37" t="n"/>
      <c r="K564" s="2282" t="n">
        <v>35</v>
      </c>
      <c r="L564" s="2038">
        <f>ROUNDUP(J564*K564,0)</f>
        <v/>
      </c>
      <c r="M564" s="1" t="n"/>
      <c r="N564" s="1" t="n"/>
      <c r="P564" s="6" t="inlineStr">
        <is>
          <t>Moisture Test</t>
        </is>
      </c>
      <c r="Q564" s="37" t="n"/>
      <c r="R564" s="2282" t="n">
        <v>35</v>
      </c>
      <c r="S564" s="2038">
        <f>ROUNDUP(Q564*R564,0)</f>
        <v/>
      </c>
      <c r="T564" s="1" t="n"/>
      <c r="U564" s="1" t="n"/>
      <c r="W564" s="6" t="inlineStr">
        <is>
          <t>Moisture Test</t>
        </is>
      </c>
      <c r="X564" s="37" t="n"/>
      <c r="Y564" s="2282" t="n">
        <v>35</v>
      </c>
      <c r="Z564" s="2038">
        <f>ROUNDUP(X564*Y564,0)</f>
        <v/>
      </c>
      <c r="AA564" s="1" t="n"/>
      <c r="AB564" s="1" t="n"/>
    </row>
    <row r="565">
      <c r="B565" s="6" t="inlineStr">
        <is>
          <t>Tooling &amp; Consumables</t>
        </is>
      </c>
      <c r="C565" s="37" t="n"/>
      <c r="D565" s="2282" t="n">
        <v>0.33</v>
      </c>
      <c r="E565" s="2038">
        <f>ROUNDUP(C565*D565,0)</f>
        <v/>
      </c>
      <c r="F565" s="1" t="n"/>
      <c r="G565" s="1" t="n"/>
      <c r="H565" s="1" t="n"/>
      <c r="I565" s="6" t="inlineStr">
        <is>
          <t>Tooling &amp; Consumables</t>
        </is>
      </c>
      <c r="J565" s="37" t="n"/>
      <c r="K565" s="2282" t="n">
        <v>0.33</v>
      </c>
      <c r="L565" s="2038">
        <f>ROUNDUP(J565*K565,0)</f>
        <v/>
      </c>
      <c r="M565" s="1" t="n"/>
      <c r="N565" s="1" t="n"/>
      <c r="P565" s="6" t="inlineStr">
        <is>
          <t>Tooling &amp; Consumables</t>
        </is>
      </c>
      <c r="Q565" s="37" t="n"/>
      <c r="R565" s="2282" t="n">
        <v>0.33</v>
      </c>
      <c r="S565" s="2038">
        <f>ROUNDUP(Q565*R565,0)</f>
        <v/>
      </c>
      <c r="T565" s="1" t="n"/>
      <c r="U565" s="1" t="n"/>
      <c r="W565" s="6" t="inlineStr">
        <is>
          <t>Tooling &amp; Consumables</t>
        </is>
      </c>
      <c r="X565" s="37" t="n"/>
      <c r="Y565" s="2282" t="n">
        <v>0.33</v>
      </c>
      <c r="Z565" s="2038">
        <f>ROUNDUP(X565*Y565,0)</f>
        <v/>
      </c>
      <c r="AA565" s="1" t="n"/>
      <c r="AB565" s="1" t="n"/>
    </row>
    <row r="566">
      <c r="B566" s="6" t="inlineStr">
        <is>
          <t>Travel - Lodging</t>
        </is>
      </c>
      <c r="C566" s="37" t="n">
        <v>0</v>
      </c>
      <c r="D566" s="2282">
        <f>$D$26</f>
        <v/>
      </c>
      <c r="E566" s="2038">
        <f>ROUNDUP(C566*D566,0)</f>
        <v/>
      </c>
      <c r="F566" s="1" t="n"/>
      <c r="G566" s="1" t="n"/>
      <c r="H566" s="1" t="n"/>
      <c r="I566" s="6" t="inlineStr">
        <is>
          <t>Travel - Lodging</t>
        </is>
      </c>
      <c r="J566" s="37">
        <f>(L561/8)/K557</f>
        <v/>
      </c>
      <c r="K566" s="2282">
        <f>$D$26</f>
        <v/>
      </c>
      <c r="L566" s="2038">
        <f>ROUNDUP(J566*K566,0)</f>
        <v/>
      </c>
      <c r="M566" s="1" t="n"/>
      <c r="N566" s="1" t="n"/>
      <c r="P566" s="6" t="inlineStr">
        <is>
          <t>Travel - Lodging</t>
        </is>
      </c>
      <c r="Q566" s="37">
        <f>(S561/8)/R557</f>
        <v/>
      </c>
      <c r="R566" s="2282">
        <f>$D$26</f>
        <v/>
      </c>
      <c r="S566" s="2038">
        <f>ROUNDUP(Q566*R566,0)</f>
        <v/>
      </c>
      <c r="T566" s="1" t="n"/>
      <c r="U566" s="1" t="n"/>
      <c r="W566" s="6" t="inlineStr">
        <is>
          <t>Travel - Lodging</t>
        </is>
      </c>
      <c r="X566" s="37">
        <f>(Z561/8)/Y557</f>
        <v/>
      </c>
      <c r="Y566" s="2282">
        <f>$D$26</f>
        <v/>
      </c>
      <c r="Z566" s="2038">
        <f>ROUNDUP(X566*Y566,0)</f>
        <v/>
      </c>
      <c r="AA566" s="1" t="n"/>
      <c r="AB566" s="1" t="n"/>
    </row>
    <row r="567">
      <c r="B567" s="6" t="inlineStr">
        <is>
          <t>Travel - Food</t>
        </is>
      </c>
      <c r="C567" s="37">
        <f>C566</f>
        <v/>
      </c>
      <c r="D567" s="2282">
        <f>$D$27</f>
        <v/>
      </c>
      <c r="E567" s="2038">
        <f>ROUNDUP(C567*D567,0)</f>
        <v/>
      </c>
      <c r="F567" s="43" t="n"/>
      <c r="G567" s="1" t="n"/>
      <c r="H567" s="1" t="n"/>
      <c r="I567" s="6" t="inlineStr">
        <is>
          <t>Travel - Food</t>
        </is>
      </c>
      <c r="J567" s="37">
        <f>J566</f>
        <v/>
      </c>
      <c r="K567" s="2282">
        <f>$D$27</f>
        <v/>
      </c>
      <c r="L567" s="2038">
        <f>ROUNDUP(J567*K567,0)</f>
        <v/>
      </c>
      <c r="M567" s="43" t="n"/>
      <c r="N567" s="1" t="n"/>
      <c r="P567" s="6" t="inlineStr">
        <is>
          <t>Travel - Food</t>
        </is>
      </c>
      <c r="Q567" s="37">
        <f>Q566</f>
        <v/>
      </c>
      <c r="R567" s="2282">
        <f>$D$27</f>
        <v/>
      </c>
      <c r="S567" s="2038">
        <f>ROUNDUP(Q567*R567,0)</f>
        <v/>
      </c>
      <c r="T567" s="43" t="n"/>
      <c r="U567" s="1" t="n"/>
      <c r="W567" s="6" t="inlineStr">
        <is>
          <t>Travel - Food</t>
        </is>
      </c>
      <c r="X567" s="37">
        <f>X566</f>
        <v/>
      </c>
      <c r="Y567" s="2282">
        <f>$D$27</f>
        <v/>
      </c>
      <c r="Z567" s="2038">
        <f>ROUNDUP(X567*Y567,0)</f>
        <v/>
      </c>
      <c r="AA567" s="43" t="n"/>
      <c r="AB567" s="1" t="n"/>
    </row>
    <row r="568">
      <c r="B568" s="6" t="inlineStr">
        <is>
          <t>Foreman - Fuel</t>
        </is>
      </c>
      <c r="C568" s="37">
        <f>(E561/8)/D557</f>
        <v/>
      </c>
      <c r="D568" s="2282">
        <f>$D$28</f>
        <v/>
      </c>
      <c r="E568" s="2038">
        <f>ROUNDUP(C568*D568,0)</f>
        <v/>
      </c>
      <c r="F568" s="43" t="n"/>
      <c r="G568" s="1" t="n"/>
      <c r="H568" s="1" t="n"/>
      <c r="I568" s="6" t="inlineStr">
        <is>
          <t>Foreman - Fuel</t>
        </is>
      </c>
      <c r="J568" s="37">
        <f>(L561/8)/K557</f>
        <v/>
      </c>
      <c r="K568" s="2282">
        <f>$D$28</f>
        <v/>
      </c>
      <c r="L568" s="2038">
        <f>ROUNDUP(J568*K568,0)</f>
        <v/>
      </c>
      <c r="M568" s="43" t="n"/>
      <c r="N568" s="1" t="n"/>
      <c r="P568" s="6" t="inlineStr">
        <is>
          <t>Foreman - Fuel</t>
        </is>
      </c>
      <c r="Q568" s="37">
        <f>(S561/8)/R557</f>
        <v/>
      </c>
      <c r="R568" s="2282">
        <f>$D$28</f>
        <v/>
      </c>
      <c r="S568" s="2038">
        <f>ROUNDUP(Q568*R568,0)</f>
        <v/>
      </c>
      <c r="T568" s="43" t="n"/>
      <c r="U568" s="1" t="n"/>
      <c r="W568" s="6" t="inlineStr">
        <is>
          <t>Foreman - Fuel</t>
        </is>
      </c>
      <c r="X568" s="37">
        <f>(Z561/8)/Y557</f>
        <v/>
      </c>
      <c r="Y568" s="2282">
        <f>$D$28</f>
        <v/>
      </c>
      <c r="Z568" s="2038">
        <f>ROUNDUP(X568*Y568,0)</f>
        <v/>
      </c>
      <c r="AA568" s="43" t="n"/>
      <c r="AB568" s="1" t="n"/>
    </row>
    <row r="569">
      <c r="B569" s="308" t="inlineStr">
        <is>
          <t>Dumpster (10 Yard)</t>
        </is>
      </c>
      <c r="C569" s="309" t="n">
        <v>1</v>
      </c>
      <c r="D569" s="2441" t="n">
        <v>250</v>
      </c>
      <c r="E569" s="2442">
        <f>ROUNDUP(C569*D569,0)</f>
        <v/>
      </c>
      <c r="F569" s="1" t="n"/>
      <c r="G569" s="1" t="n"/>
      <c r="H569" s="1" t="n"/>
      <c r="I569" s="308" t="inlineStr">
        <is>
          <t>Dumpster (20 Yard)</t>
        </is>
      </c>
      <c r="J569" s="309" t="n">
        <v>1</v>
      </c>
      <c r="K569" s="2441" t="n">
        <v>300</v>
      </c>
      <c r="L569" s="2442">
        <f>ROUNDUP(J569*K569,0)</f>
        <v/>
      </c>
      <c r="M569" s="1" t="n"/>
      <c r="N569" s="1" t="n"/>
      <c r="P569" s="312" t="inlineStr">
        <is>
          <t>Dumpster (30 Yard)</t>
        </is>
      </c>
      <c r="Q569" s="313" t="n">
        <v>1</v>
      </c>
      <c r="R569" s="2441" t="n">
        <v>350</v>
      </c>
      <c r="S569" s="2442">
        <f>ROUNDUP(Q569*R569,0)</f>
        <v/>
      </c>
      <c r="T569" s="1" t="n"/>
      <c r="U569" s="1" t="n"/>
      <c r="W569" s="312" t="inlineStr">
        <is>
          <t>Dumpster (40 Yard)</t>
        </is>
      </c>
      <c r="X569" s="313" t="n">
        <v>1</v>
      </c>
      <c r="Y569" s="2441" t="n">
        <v>400</v>
      </c>
      <c r="Z569" s="2442">
        <f>ROUNDUP(X569*Y569,0)</f>
        <v/>
      </c>
      <c r="AA569" s="1" t="n"/>
      <c r="AB569" s="1" t="n"/>
    </row>
    <row r="570">
      <c r="B570" s="6" t="inlineStr">
        <is>
          <t>Plastic</t>
        </is>
      </c>
      <c r="C570" s="37" t="n"/>
      <c r="D570" s="2282" t="n"/>
      <c r="E570" s="2038">
        <f>ROUNDUP(C570*D570,0)</f>
        <v/>
      </c>
      <c r="F570" s="1" t="n"/>
      <c r="G570" s="1" t="n"/>
      <c r="H570" s="1" t="n"/>
      <c r="I570" s="6" t="inlineStr">
        <is>
          <t>Plastic</t>
        </is>
      </c>
      <c r="J570" s="37" t="n"/>
      <c r="K570" s="2282" t="n"/>
      <c r="L570" s="2038">
        <f>ROUNDUP(J570*K570,0)</f>
        <v/>
      </c>
      <c r="M570" s="1" t="n"/>
      <c r="N570" s="1" t="n"/>
      <c r="P570" s="6" t="inlineStr">
        <is>
          <t>Plastic</t>
        </is>
      </c>
      <c r="Q570" s="37" t="n"/>
      <c r="R570" s="2282" t="n"/>
      <c r="S570" s="2038">
        <f>ROUNDUP(Q570*R570,0)</f>
        <v/>
      </c>
      <c r="T570" s="1" t="n"/>
      <c r="U570" s="1" t="n"/>
      <c r="W570" s="6" t="inlineStr">
        <is>
          <t>Plastic</t>
        </is>
      </c>
      <c r="X570" s="37" t="n"/>
      <c r="Y570" s="2282" t="n"/>
      <c r="Z570" s="2038">
        <f>ROUNDUP(X570*Y570,0)</f>
        <v/>
      </c>
      <c r="AA570" s="1" t="n"/>
      <c r="AB570" s="1" t="n"/>
    </row>
    <row r="571">
      <c r="B571" s="10" t="inlineStr">
        <is>
          <t>Other Costs Total</t>
        </is>
      </c>
      <c r="C571" s="36" t="n"/>
      <c r="D571" s="2339" t="n"/>
      <c r="E571" s="2340">
        <f>SUM(E564:E570)</f>
        <v/>
      </c>
      <c r="F571" s="1" t="n"/>
      <c r="G571" s="1" t="n"/>
      <c r="H571" s="1" t="n"/>
      <c r="I571" s="10" t="inlineStr">
        <is>
          <t>Other Costs Total</t>
        </is>
      </c>
      <c r="J571" s="36" t="n"/>
      <c r="K571" s="2339" t="n"/>
      <c r="L571" s="2340">
        <f>SUM(L564:L570)</f>
        <v/>
      </c>
      <c r="M571" s="1" t="n"/>
      <c r="N571" s="1" t="n"/>
      <c r="P571" s="10" t="inlineStr">
        <is>
          <t>Other Costs Total</t>
        </is>
      </c>
      <c r="Q571" s="36" t="n"/>
      <c r="R571" s="2339" t="n"/>
      <c r="S571" s="2340">
        <f>SUM(S564:S570)</f>
        <v/>
      </c>
      <c r="T571" s="1" t="n"/>
      <c r="U571" s="1" t="n"/>
      <c r="W571" s="10" t="inlineStr">
        <is>
          <t>Other Costs Total</t>
        </is>
      </c>
      <c r="X571" s="36" t="n"/>
      <c r="Y571" s="2339" t="n"/>
      <c r="Z571" s="2340">
        <f>SUM(Z564:Z570)</f>
        <v/>
      </c>
      <c r="AA571" s="1" t="n"/>
      <c r="AB571" s="1" t="n"/>
    </row>
    <row r="572">
      <c r="B572" s="1" t="n"/>
      <c r="C572" s="1892" t="n"/>
      <c r="D572" s="2282" t="n"/>
      <c r="E572" s="2282" t="n"/>
      <c r="F572" s="1" t="n"/>
      <c r="G572" s="1" t="n"/>
      <c r="H572" s="1" t="n"/>
      <c r="I572" s="1" t="n"/>
      <c r="J572" s="1892" t="n"/>
      <c r="K572" s="2282" t="n"/>
      <c r="L572" s="2282" t="n"/>
      <c r="M572" s="1" t="n"/>
      <c r="N572" s="1" t="n"/>
      <c r="P572" s="1" t="n"/>
      <c r="Q572" s="1892" t="n"/>
      <c r="R572" s="2282" t="n"/>
      <c r="S572" s="2282" t="n"/>
      <c r="T572" s="1" t="n"/>
      <c r="U572" s="1" t="n"/>
      <c r="W572" s="1" t="n"/>
      <c r="X572" s="1892" t="n"/>
      <c r="Y572" s="2282" t="n"/>
      <c r="Z572" s="2282" t="n"/>
      <c r="AA572" s="1" t="n"/>
      <c r="AB572" s="1" t="n"/>
    </row>
    <row r="573">
      <c r="B573" s="1" t="n"/>
      <c r="C573" s="1892" t="n"/>
      <c r="D573" s="2282" t="n"/>
      <c r="E573" s="2282" t="n"/>
      <c r="F573" s="1" t="n"/>
      <c r="G573" s="1" t="n"/>
      <c r="H573" s="1" t="n"/>
      <c r="I573" s="1" t="n"/>
      <c r="J573" s="1892" t="n"/>
      <c r="K573" s="2282" t="n"/>
      <c r="L573" s="2282" t="n"/>
      <c r="M573" s="1" t="n"/>
      <c r="N573" s="1" t="n"/>
      <c r="P573" s="1" t="n"/>
      <c r="Q573" s="1892" t="n"/>
      <c r="R573" s="2282" t="n"/>
      <c r="S573" s="2282" t="n"/>
      <c r="T573" s="1" t="n"/>
      <c r="U573" s="1" t="n"/>
      <c r="W573" s="1" t="n"/>
      <c r="X573" s="1892" t="n"/>
      <c r="Y573" s="2282" t="n"/>
      <c r="Z573" s="2282" t="n"/>
      <c r="AA573" s="1" t="n"/>
      <c r="AB573" s="1" t="n"/>
    </row>
    <row r="574">
      <c r="B574" s="280" t="inlineStr">
        <is>
          <t>SUB-TOTAL COSTS</t>
        </is>
      </c>
      <c r="C574" s="281" t="n"/>
      <c r="D574" s="2393" t="n"/>
      <c r="E574" s="2394">
        <f>SUM(E553,E561,E571)</f>
        <v/>
      </c>
      <c r="F574" s="1" t="n"/>
      <c r="G574" s="1" t="n"/>
      <c r="H574" s="1" t="n"/>
      <c r="I574" s="280" t="inlineStr">
        <is>
          <t>SUB-TOTAL COSTS</t>
        </is>
      </c>
      <c r="J574" s="281" t="n"/>
      <c r="K574" s="2393" t="n"/>
      <c r="L574" s="2394">
        <f>SUM(L553,L561,L571)</f>
        <v/>
      </c>
      <c r="M574" s="1" t="n"/>
      <c r="N574" s="1" t="n"/>
      <c r="P574" s="280" t="inlineStr">
        <is>
          <t>SUB-TOTAL COSTS</t>
        </is>
      </c>
      <c r="Q574" s="281" t="n"/>
      <c r="R574" s="2393" t="n"/>
      <c r="S574" s="2394">
        <f>SUM(S553,S561,S571)</f>
        <v/>
      </c>
      <c r="T574" s="1" t="n"/>
      <c r="U574" s="1" t="n"/>
      <c r="W574" s="280" t="inlineStr">
        <is>
          <t>SUB-TOTAL COSTS</t>
        </is>
      </c>
      <c r="X574" s="281" t="n"/>
      <c r="Y574" s="2393" t="n"/>
      <c r="Z574" s="2394">
        <f>SUM(Z553,Z561,Z571)</f>
        <v/>
      </c>
      <c r="AA574" s="1" t="n"/>
      <c r="AB574" s="1" t="n"/>
    </row>
    <row r="575">
      <c r="B575" s="1" t="n"/>
      <c r="C575" s="1892" t="n"/>
      <c r="D575" s="2282" t="n"/>
      <c r="E575" s="2282" t="n"/>
      <c r="F575" s="1" t="n"/>
      <c r="G575" s="1" t="n"/>
      <c r="H575" s="1" t="n"/>
      <c r="I575" s="1" t="n"/>
      <c r="J575" s="1892" t="n"/>
      <c r="K575" s="2282" t="n"/>
      <c r="L575" s="2282" t="n"/>
      <c r="M575" s="1" t="n"/>
      <c r="N575" s="1" t="n"/>
      <c r="P575" s="1" t="n"/>
      <c r="Q575" s="1892" t="n"/>
      <c r="R575" s="2282" t="n"/>
      <c r="S575" s="2282" t="n"/>
      <c r="T575" s="1" t="n"/>
      <c r="U575" s="1" t="n"/>
      <c r="W575" s="1" t="n"/>
      <c r="X575" s="1892" t="n"/>
      <c r="Y575" s="2282" t="n"/>
      <c r="Z575" s="2282" t="n"/>
      <c r="AA575" s="1" t="n"/>
      <c r="AB575" s="1" t="n"/>
    </row>
    <row r="576">
      <c r="B576" s="5" t="inlineStr">
        <is>
          <t>MARKUP</t>
        </is>
      </c>
      <c r="C576" s="30" t="inlineStr">
        <is>
          <t>%</t>
        </is>
      </c>
      <c r="D576" s="2395" t="n"/>
      <c r="E576" s="2019" t="n"/>
      <c r="F576" s="1" t="n"/>
      <c r="G576" s="1" t="n"/>
      <c r="H576" s="1" t="n"/>
      <c r="I576" s="5" t="inlineStr">
        <is>
          <t>MARKUP</t>
        </is>
      </c>
      <c r="J576" s="30" t="inlineStr">
        <is>
          <t>%</t>
        </is>
      </c>
      <c r="K576" s="2395" t="n"/>
      <c r="L576" s="2019" t="n"/>
      <c r="M576" s="1" t="n"/>
      <c r="N576" s="1" t="n"/>
      <c r="P576" s="5" t="inlineStr">
        <is>
          <t>MARKUP</t>
        </is>
      </c>
      <c r="Q576" s="30" t="inlineStr">
        <is>
          <t>%</t>
        </is>
      </c>
      <c r="R576" s="2395" t="n"/>
      <c r="S576" s="2019" t="n"/>
      <c r="T576" s="1" t="n"/>
      <c r="U576" s="1" t="n"/>
      <c r="W576" s="5" t="inlineStr">
        <is>
          <t>MARKUP</t>
        </is>
      </c>
      <c r="X576" s="30" t="inlineStr">
        <is>
          <t>%</t>
        </is>
      </c>
      <c r="Y576" s="2395" t="n"/>
      <c r="Z576" s="2019" t="n"/>
      <c r="AA576" s="1" t="n"/>
      <c r="AB576" s="1" t="n"/>
    </row>
    <row r="577">
      <c r="B577" s="6" t="inlineStr">
        <is>
          <t>Sales Tax</t>
        </is>
      </c>
      <c r="C577" s="2396">
        <f>$C$37</f>
        <v/>
      </c>
      <c r="D577" s="2397" t="n"/>
      <c r="E577" s="2038">
        <f>ROUNDUP(SUM(E574)*C577,0)</f>
        <v/>
      </c>
      <c r="F577" s="74" t="inlineStr">
        <is>
          <t>tax on ALL "Sub-Total Costs"</t>
        </is>
      </c>
      <c r="G577" s="1" t="n"/>
      <c r="H577" s="1" t="n"/>
      <c r="I577" s="6" t="inlineStr">
        <is>
          <t>Sales Tax</t>
        </is>
      </c>
      <c r="J577" s="2396">
        <f>$C$37</f>
        <v/>
      </c>
      <c r="K577" s="2397" t="n"/>
      <c r="L577" s="2038">
        <f>ROUNDUP(SUM(L574)*J577,0)</f>
        <v/>
      </c>
      <c r="M577" s="74" t="inlineStr">
        <is>
          <t>tax on ALL "Sub-Total Costs"</t>
        </is>
      </c>
      <c r="N577" s="1" t="n"/>
      <c r="P577" s="6" t="inlineStr">
        <is>
          <t>Sales Tax</t>
        </is>
      </c>
      <c r="Q577" s="2396">
        <f>$C$37</f>
        <v/>
      </c>
      <c r="R577" s="2397" t="n"/>
      <c r="S577" s="2038">
        <f>ROUNDUP(SUM(S574)*Q577,0)</f>
        <v/>
      </c>
      <c r="T577" s="74" t="inlineStr">
        <is>
          <t>tax on ALL "Sub-Total Costs"</t>
        </is>
      </c>
      <c r="U577" s="1" t="n"/>
      <c r="W577" s="6" t="inlineStr">
        <is>
          <t>Sales Tax</t>
        </is>
      </c>
      <c r="X577" s="2396">
        <f>$C$37</f>
        <v/>
      </c>
      <c r="Y577" s="2397" t="n"/>
      <c r="Z577" s="2038">
        <f>ROUNDUP(SUM(Z553:Z553)*X577,0)</f>
        <v/>
      </c>
      <c r="AA577" s="1" t="n"/>
      <c r="AB577" s="1" t="n"/>
    </row>
    <row r="578">
      <c r="B578" s="6" t="inlineStr">
        <is>
          <t>Insurance</t>
        </is>
      </c>
      <c r="C578" s="241" t="n">
        <v>0.08</v>
      </c>
      <c r="D578" s="2397" t="n"/>
      <c r="E578" s="2038">
        <f>ROUNDUP(SUM(E561)*C578,0)</f>
        <v/>
      </c>
      <c r="F578" s="1" t="n"/>
      <c r="G578" s="1" t="n"/>
      <c r="H578" s="1" t="n"/>
      <c r="I578" s="6" t="inlineStr">
        <is>
          <t>Insurance</t>
        </is>
      </c>
      <c r="J578" s="241" t="n">
        <v>0.08</v>
      </c>
      <c r="K578" s="2397" t="n"/>
      <c r="L578" s="2038">
        <f>ROUNDUP(SUM(L561)*J578,0)</f>
        <v/>
      </c>
      <c r="M578" s="1" t="n"/>
      <c r="N578" s="1" t="n"/>
      <c r="P578" s="6" t="inlineStr">
        <is>
          <t>Insurance</t>
        </is>
      </c>
      <c r="Q578" s="241" t="n">
        <v>0.08</v>
      </c>
      <c r="R578" s="2397" t="n"/>
      <c r="S578" s="2038">
        <f>ROUNDUP(SUM(S561)*Q578,0)</f>
        <v/>
      </c>
      <c r="T578" s="1" t="n"/>
      <c r="U578" s="1" t="n"/>
      <c r="W578" s="6" t="inlineStr">
        <is>
          <t>Insurance</t>
        </is>
      </c>
      <c r="X578" s="241" t="n">
        <v>0.08</v>
      </c>
      <c r="Y578" s="2397" t="n"/>
      <c r="Z578" s="2038">
        <f>ROUNDUP(SUM(Z561)*X578,0)</f>
        <v/>
      </c>
      <c r="AA578" s="1" t="n"/>
      <c r="AB578" s="1" t="n"/>
    </row>
    <row r="579">
      <c r="B579" s="6" t="inlineStr">
        <is>
          <t>Material Contingency</t>
        </is>
      </c>
      <c r="C579" s="122">
        <f>IF(E553&lt;=5000,0.1,0.05)</f>
        <v/>
      </c>
      <c r="D579" s="2282" t="n"/>
      <c r="E579" s="2038">
        <f>ROUNDUP(E553*C579,0)</f>
        <v/>
      </c>
      <c r="F579" s="1" t="n"/>
      <c r="G579" s="1" t="n"/>
      <c r="H579" s="1" t="n"/>
      <c r="I579" s="6" t="inlineStr">
        <is>
          <t>Material Contingency</t>
        </is>
      </c>
      <c r="J579" s="122">
        <f>IF(L553&lt;=5000,0.1,0.05)</f>
        <v/>
      </c>
      <c r="K579" s="2282" t="n"/>
      <c r="L579" s="2038">
        <f>ROUNDUP(L553*J579,0)</f>
        <v/>
      </c>
      <c r="M579" s="1" t="n"/>
      <c r="N579" s="1" t="n"/>
      <c r="P579" s="6" t="inlineStr">
        <is>
          <t>Material Contingency</t>
        </is>
      </c>
      <c r="Q579" s="122">
        <f>IF(S553&lt;=5000,0.1,0.05)</f>
        <v/>
      </c>
      <c r="R579" s="2282" t="n"/>
      <c r="S579" s="2038">
        <f>ROUNDUP(S553*Q579,0)</f>
        <v/>
      </c>
      <c r="T579" s="1" t="n"/>
      <c r="U579" s="1" t="n"/>
      <c r="W579" s="6" t="inlineStr">
        <is>
          <t>Material Contingency</t>
        </is>
      </c>
      <c r="X579" s="122">
        <f>IF(Z553&lt;=5000,0.1,0.05)</f>
        <v/>
      </c>
      <c r="Y579" s="2282" t="n"/>
      <c r="Z579" s="2038">
        <f>ROUNDUP(Z553*X579,0)</f>
        <v/>
      </c>
      <c r="AA579" s="1" t="n"/>
      <c r="AB579" s="1" t="n"/>
    </row>
    <row r="580">
      <c r="B580" s="6" t="inlineStr">
        <is>
          <t>Labor Contingency</t>
        </is>
      </c>
      <c r="C580" s="122">
        <f>IF(E561&lt;=2000,0.35,IF(E561&lt;=3000,0.3,IF(E561&lt;=4000,0.25,IF(E561&lt;=7000,0.2,0.15))))</f>
        <v/>
      </c>
      <c r="D580" s="2282" t="n"/>
      <c r="E580" s="2038">
        <f>ROUNDUP(E561*C580,0)</f>
        <v/>
      </c>
      <c r="F580" s="1" t="n"/>
      <c r="G580" s="1" t="n"/>
      <c r="H580" s="1" t="n"/>
      <c r="I580" s="6" t="inlineStr">
        <is>
          <t>Labor Contingency</t>
        </is>
      </c>
      <c r="J580" s="122">
        <f>IF(L561&lt;=2000,0.35,IF(L561&lt;=3000,0.3,IF(L561&lt;=4000,0.25,IF(L561&lt;=7000,0.2,0.15))))</f>
        <v/>
      </c>
      <c r="K580" s="2282" t="n"/>
      <c r="L580" s="2038">
        <f>ROUNDUP(L561*J580,0)</f>
        <v/>
      </c>
      <c r="M580" s="1" t="n"/>
      <c r="N580" s="1" t="n"/>
      <c r="P580" s="6" t="inlineStr">
        <is>
          <t>Labor Contingency</t>
        </is>
      </c>
      <c r="Q580" s="122">
        <f>IF(S561&lt;=2000,0.35,IF(S561&lt;=3000,0.3,IF(S561&lt;=4000,0.25,IF(S561&lt;=7000,0.2,0.15))))</f>
        <v/>
      </c>
      <c r="R580" s="2282" t="n"/>
      <c r="S580" s="2038">
        <f>ROUNDUP(S561*Q580,0)</f>
        <v/>
      </c>
      <c r="T580" s="1" t="n"/>
      <c r="U580" s="1" t="n"/>
      <c r="W580" s="6" t="inlineStr">
        <is>
          <t>Labor Contingency</t>
        </is>
      </c>
      <c r="X580" s="122">
        <f>IF(Z561&lt;=2000,0.35,IF(Z561&lt;=3000,0.3,IF(Z561&lt;=4000,0.25,IF(Z561&lt;=7000,0.2,0.15))))</f>
        <v/>
      </c>
      <c r="Y580" s="2282" t="n"/>
      <c r="Z580" s="2038">
        <f>ROUNDUP(Z561*X580,0)</f>
        <v/>
      </c>
      <c r="AA580" s="1" t="n"/>
      <c r="AB580" s="1" t="n"/>
    </row>
    <row r="581">
      <c r="B581" s="6" t="inlineStr">
        <is>
          <t>Mark Up</t>
        </is>
      </c>
      <c r="C581" s="122" t="n">
        <v>0.75</v>
      </c>
      <c r="D581" s="2282" t="n"/>
      <c r="E581" s="2038">
        <f>ROUNDUP(SUM(E574:E580)*C581,0)</f>
        <v/>
      </c>
      <c r="F581" s="1" t="n"/>
      <c r="G581" s="1" t="n"/>
      <c r="H581" s="1" t="n"/>
      <c r="I581" s="6" t="inlineStr">
        <is>
          <t>Mark Up</t>
        </is>
      </c>
      <c r="J581" s="122" t="n">
        <v>0.75</v>
      </c>
      <c r="K581" s="2282" t="n"/>
      <c r="L581" s="2038">
        <f>ROUNDUP(SUM(L574:L580)*J581,0)</f>
        <v/>
      </c>
      <c r="M581" s="1" t="n"/>
      <c r="N581" s="1" t="n"/>
      <c r="P581" s="6" t="inlineStr">
        <is>
          <t>Mark Up</t>
        </is>
      </c>
      <c r="Q581" s="122" t="n">
        <v>0.75</v>
      </c>
      <c r="R581" s="2282" t="n"/>
      <c r="S581" s="2038">
        <f>ROUNDUP(SUM(S574:S580)*Q581,0)</f>
        <v/>
      </c>
      <c r="T581" s="1" t="n"/>
      <c r="U581" s="1" t="n"/>
      <c r="W581" s="6" t="inlineStr">
        <is>
          <t>Mark Up</t>
        </is>
      </c>
      <c r="X581" s="122" t="n">
        <v>0.75</v>
      </c>
      <c r="Y581" s="2282" t="n"/>
      <c r="Z581" s="2038">
        <f>ROUNDUP(SUM(Z574:Z580)*X581,0)</f>
        <v/>
      </c>
      <c r="AA581" s="1" t="n"/>
      <c r="AB581" s="1" t="n"/>
    </row>
    <row r="582">
      <c r="B582" s="284">
        <f>$B$42</f>
        <v/>
      </c>
      <c r="C582" s="241">
        <f>$C$42</f>
        <v/>
      </c>
      <c r="D582" s="2282" t="n"/>
      <c r="E582" s="2038">
        <f>ROUNDUP(SUM(E561,E578:E581)*C582,0)</f>
        <v/>
      </c>
      <c r="F582" s="1" t="n"/>
      <c r="G582" s="1" t="n"/>
      <c r="H582" s="1" t="n"/>
      <c r="I582" s="284">
        <f>$B$42</f>
        <v/>
      </c>
      <c r="J582" s="241">
        <f>$C$42</f>
        <v/>
      </c>
      <c r="K582" s="2282" t="n"/>
      <c r="L582" s="2038">
        <f>ROUNDUP(SUM(L561,L578:L581)*J582,0)</f>
        <v/>
      </c>
      <c r="M582" s="1" t="n"/>
      <c r="N582" s="1" t="n"/>
      <c r="P582" s="284">
        <f>$B$42</f>
        <v/>
      </c>
      <c r="Q582" s="241">
        <f>$C$42</f>
        <v/>
      </c>
      <c r="R582" s="2282" t="n"/>
      <c r="S582" s="2038">
        <f>ROUNDUP(SUM(S561,S578:S581)*Q582,0)</f>
        <v/>
      </c>
      <c r="T582" s="1" t="n"/>
      <c r="U582" s="1" t="n"/>
      <c r="W582" s="284">
        <f>$B$42</f>
        <v/>
      </c>
      <c r="X582" s="241">
        <f>$C$42</f>
        <v/>
      </c>
      <c r="Y582" s="2282" t="n"/>
      <c r="Z582" s="2038">
        <f>ROUNDUP(SUM(Z561,Z578:Z581)*X582,0)</f>
        <v/>
      </c>
      <c r="AA582" s="1" t="n"/>
      <c r="AB582" s="1" t="n"/>
    </row>
    <row r="583">
      <c r="B583" s="403" t="inlineStr">
        <is>
          <t>Warranty &amp; Extra Soft Cost</t>
        </is>
      </c>
      <c r="C583" s="241">
        <f>$C$43</f>
        <v/>
      </c>
      <c r="D583" s="2282" t="n"/>
      <c r="E583" s="2038">
        <f>ROUNDUP(C583*SUM(E574:E582),0)</f>
        <v/>
      </c>
      <c r="F583" s="1" t="n"/>
      <c r="G583" s="1" t="n"/>
      <c r="H583" s="1" t="n"/>
      <c r="I583" s="403" t="inlineStr">
        <is>
          <t>Warranty &amp; Extra Soft Cost</t>
        </is>
      </c>
      <c r="J583" s="241">
        <f>$C$43</f>
        <v/>
      </c>
      <c r="K583" s="2282" t="n"/>
      <c r="L583" s="2038">
        <f>ROUNDUP(J583*SUM(L574:L582),0)</f>
        <v/>
      </c>
      <c r="M583" s="1" t="n"/>
      <c r="N583" s="1" t="n"/>
      <c r="P583" s="403" t="inlineStr">
        <is>
          <t>Warranty &amp; Extra Soft Cost</t>
        </is>
      </c>
      <c r="Q583" s="241">
        <f>$C$43</f>
        <v/>
      </c>
      <c r="R583" s="2282" t="n"/>
      <c r="S583" s="2038">
        <f>ROUNDUP(Q583*SUM(S574:S582),0)</f>
        <v/>
      </c>
      <c r="T583" s="1" t="n"/>
      <c r="U583" s="1" t="n"/>
      <c r="W583" s="403" t="inlineStr">
        <is>
          <t>Warranty &amp; Extra Soft Cost</t>
        </is>
      </c>
      <c r="X583" s="241">
        <f>$C$43</f>
        <v/>
      </c>
      <c r="Y583" s="2282" t="n"/>
      <c r="Z583" s="2038">
        <f>ROUNDUP(X583*SUM(Z574:Z582),0)</f>
        <v/>
      </c>
      <c r="AA583" s="1" t="n"/>
      <c r="AB583" s="1" t="n"/>
    </row>
    <row r="584">
      <c r="B584" s="45" t="inlineStr">
        <is>
          <t>Bond</t>
        </is>
      </c>
      <c r="C584" s="46">
        <f>$C$44</f>
        <v/>
      </c>
      <c r="D584" s="2314" t="n"/>
      <c r="E584" s="2400">
        <f>ROUNDUP(SUM(E574:E583)*C584,0)</f>
        <v/>
      </c>
      <c r="F584" s="1" t="n"/>
      <c r="G584" s="1" t="n"/>
      <c r="H584" s="1" t="n"/>
      <c r="I584" s="45" t="inlineStr">
        <is>
          <t>Bond</t>
        </is>
      </c>
      <c r="J584" s="46">
        <f>$C$44</f>
        <v/>
      </c>
      <c r="K584" s="2314" t="n"/>
      <c r="L584" s="2400">
        <f>ROUNDUP(SUM(L574:L583)*J584,0)</f>
        <v/>
      </c>
      <c r="M584" s="1" t="n"/>
      <c r="N584" s="1" t="n"/>
      <c r="P584" s="45" t="inlineStr">
        <is>
          <t>Bond</t>
        </is>
      </c>
      <c r="Q584" s="46">
        <f>$C$44</f>
        <v/>
      </c>
      <c r="R584" s="2314" t="n"/>
      <c r="S584" s="2400">
        <f>ROUNDUP(SUM(S574:S583)*Q584,0)</f>
        <v/>
      </c>
      <c r="T584" s="1" t="n"/>
      <c r="U584" s="1" t="n"/>
      <c r="W584" s="45" t="inlineStr">
        <is>
          <t>Bond</t>
        </is>
      </c>
      <c r="X584" s="46">
        <f>$C$44</f>
        <v/>
      </c>
      <c r="Y584" s="2314" t="n"/>
      <c r="Z584" s="2400">
        <f>ROUNDUP(SUM(Z574:Z583)*X584,0)</f>
        <v/>
      </c>
      <c r="AA584" s="1" t="n"/>
      <c r="AB584" s="1" t="n"/>
    </row>
    <row r="585">
      <c r="B585" s="1" t="n"/>
      <c r="C585" s="8" t="n"/>
      <c r="D585" s="2282" t="n"/>
      <c r="E585" s="2282" t="n"/>
      <c r="F585" s="1" t="n"/>
      <c r="G585" s="286" t="inlineStr">
        <is>
          <t>Mark Up + Conting.</t>
        </is>
      </c>
      <c r="H585" s="1892" t="n"/>
      <c r="I585" s="1" t="n"/>
      <c r="J585" s="8" t="n"/>
      <c r="K585" s="2282" t="n"/>
      <c r="L585" s="2282" t="n"/>
      <c r="M585" s="1" t="n"/>
      <c r="N585" s="286" t="inlineStr">
        <is>
          <t>Mark Up + Conting.</t>
        </is>
      </c>
      <c r="P585" s="1" t="n"/>
      <c r="Q585" s="8" t="n"/>
      <c r="R585" s="2282" t="n"/>
      <c r="S585" s="2282" t="n"/>
      <c r="T585" s="1" t="n"/>
      <c r="U585" s="286" t="inlineStr">
        <is>
          <t>Mark Up + Conting.</t>
        </is>
      </c>
      <c r="W585" s="1" t="n"/>
      <c r="X585" s="8" t="n"/>
      <c r="Y585" s="2282" t="n"/>
      <c r="Z585" s="2282" t="n"/>
      <c r="AA585" s="1" t="n"/>
      <c r="AB585" s="286" t="inlineStr">
        <is>
          <t>Mark Up + Conting.</t>
        </is>
      </c>
    </row>
    <row r="586" ht="16.2" customHeight="1" thickBot="1">
      <c r="B586" s="1" t="n"/>
      <c r="C586" s="287" t="inlineStr">
        <is>
          <t>SF:</t>
        </is>
      </c>
      <c r="D586" s="2405">
        <f>C555</f>
        <v/>
      </c>
      <c r="E586" s="2282" t="n"/>
      <c r="F586" s="38" t="inlineStr">
        <is>
          <t>Less Sales Tax</t>
        </is>
      </c>
      <c r="G586" s="2402">
        <f>SUM(E579:E581)</f>
        <v/>
      </c>
      <c r="H586" s="2282" t="n"/>
      <c r="I586" s="1" t="n"/>
      <c r="J586" s="287" t="inlineStr">
        <is>
          <t>SF:</t>
        </is>
      </c>
      <c r="K586" s="2405">
        <f>J555</f>
        <v/>
      </c>
      <c r="L586" s="2282" t="n"/>
      <c r="M586" s="38" t="inlineStr">
        <is>
          <t>Less Sales Tax</t>
        </is>
      </c>
      <c r="N586" s="2402">
        <f>SUM(L579:L581)</f>
        <v/>
      </c>
      <c r="P586" s="1" t="n"/>
      <c r="Q586" s="287" t="inlineStr">
        <is>
          <t>SF:</t>
        </is>
      </c>
      <c r="R586" s="2405">
        <f>Q555</f>
        <v/>
      </c>
      <c r="S586" s="2282" t="n"/>
      <c r="T586" s="38" t="inlineStr">
        <is>
          <t>Less Sales Tax</t>
        </is>
      </c>
      <c r="U586" s="2402">
        <f>SUM(S579:S581)</f>
        <v/>
      </c>
      <c r="W586" s="1" t="n"/>
      <c r="X586" s="287" t="inlineStr">
        <is>
          <t>SF:</t>
        </is>
      </c>
      <c r="Y586" s="2405">
        <f>X555</f>
        <v/>
      </c>
      <c r="Z586" s="2282" t="n"/>
      <c r="AA586" s="38" t="inlineStr">
        <is>
          <t>Less Sales Tax</t>
        </is>
      </c>
      <c r="AB586" s="2402">
        <f>SUM(Z579:Z581)</f>
        <v/>
      </c>
    </row>
    <row r="587" ht="16.2" customHeight="1" thickBot="1">
      <c r="B587" s="289" t="inlineStr">
        <is>
          <t>TOTAL</t>
        </is>
      </c>
      <c r="C587" s="290" t="n"/>
      <c r="D587" s="2412">
        <f>E587/C555</f>
        <v/>
      </c>
      <c r="E587" s="2404">
        <f>SUM(E574:E584)</f>
        <v/>
      </c>
      <c r="F587" s="2282">
        <f>E587-E577-E582</f>
        <v/>
      </c>
      <c r="G587" s="293">
        <f>G586/E587</f>
        <v/>
      </c>
      <c r="H587" s="294" t="n"/>
      <c r="I587" s="289" t="inlineStr">
        <is>
          <t>TOTAL</t>
        </is>
      </c>
      <c r="J587" s="290" t="n"/>
      <c r="K587" s="2412">
        <f>L587/J555</f>
        <v/>
      </c>
      <c r="L587" s="2404">
        <f>SUM(L574:L584)</f>
        <v/>
      </c>
      <c r="M587" s="2282">
        <f>L587-L577-L582</f>
        <v/>
      </c>
      <c r="N587" s="293">
        <f>N586/L587</f>
        <v/>
      </c>
      <c r="P587" s="289" t="inlineStr">
        <is>
          <t>TOTAL</t>
        </is>
      </c>
      <c r="Q587" s="290" t="n"/>
      <c r="R587" s="2412">
        <f>S587/Q555</f>
        <v/>
      </c>
      <c r="S587" s="2404">
        <f>SUM(S574:S584)</f>
        <v/>
      </c>
      <c r="T587" s="2282">
        <f>S587-S577-S582</f>
        <v/>
      </c>
      <c r="U587" s="293">
        <f>U586/S587</f>
        <v/>
      </c>
      <c r="W587" s="289" t="inlineStr">
        <is>
          <t>TOTAL</t>
        </is>
      </c>
      <c r="X587" s="290" t="n"/>
      <c r="Y587" s="2412">
        <f>Z587/X555</f>
        <v/>
      </c>
      <c r="Z587" s="2404">
        <f>SUM(Z574:Z584)</f>
        <v/>
      </c>
      <c r="AA587" s="2282">
        <f>Z587-Z577-Z582</f>
        <v/>
      </c>
      <c r="AB587" s="293">
        <f>AB586/Z587</f>
        <v/>
      </c>
    </row>
    <row r="588">
      <c r="B588" s="1" t="n"/>
      <c r="C588" s="1" t="inlineStr">
        <is>
          <t xml:space="preserve"> </t>
        </is>
      </c>
      <c r="D588" s="2282">
        <f>E588/C555</f>
        <v/>
      </c>
      <c r="E588" s="2282">
        <f>E587-E582</f>
        <v/>
      </c>
      <c r="F588" t="inlineStr">
        <is>
          <t xml:space="preserve">less ks remodel, if applicable </t>
        </is>
      </c>
      <c r="G588" s="295">
        <f>IF(G587&lt;=0.25,"OWNER APPROVAL REQUIRED","GP % Okay")</f>
        <v/>
      </c>
      <c r="H588" s="1891" t="n"/>
      <c r="I588" s="1" t="n"/>
      <c r="J588" s="1" t="inlineStr">
        <is>
          <t xml:space="preserve"> </t>
        </is>
      </c>
      <c r="K588" s="2282">
        <f>L588/J555</f>
        <v/>
      </c>
      <c r="L588" s="2282">
        <f>L587-L582</f>
        <v/>
      </c>
      <c r="M588" t="inlineStr">
        <is>
          <t xml:space="preserve">less ks remodel, if applicable </t>
        </is>
      </c>
      <c r="N588" s="295">
        <f>IF(N587&lt;=0.25,"OWNER APPROVAL REQUIRED","GP % Okay")</f>
        <v/>
      </c>
      <c r="P588" s="1" t="n"/>
      <c r="Q588" s="1" t="inlineStr">
        <is>
          <t xml:space="preserve"> </t>
        </is>
      </c>
      <c r="R588" s="2282">
        <f>S588/Q555</f>
        <v/>
      </c>
      <c r="S588" s="2282">
        <f>S587-S582</f>
        <v/>
      </c>
      <c r="T588" t="inlineStr">
        <is>
          <t xml:space="preserve">less ks remodel, if applicable </t>
        </is>
      </c>
      <c r="U588" s="295">
        <f>IF(U587&lt;=0.25,"OWNER APPROVAL REQUIRED","GP % Okay")</f>
        <v/>
      </c>
      <c r="W588" s="1" t="n"/>
      <c r="X588" s="1" t="inlineStr">
        <is>
          <t xml:space="preserve"> </t>
        </is>
      </c>
      <c r="Y588" s="2282">
        <f>Z588/X555</f>
        <v/>
      </c>
      <c r="Z588" s="2282">
        <f>Z587-Z582</f>
        <v/>
      </c>
      <c r="AA588" t="inlineStr">
        <is>
          <t xml:space="preserve">less ks remodel, if applicable </t>
        </is>
      </c>
      <c r="AB588" s="295">
        <f>IF(AB587&lt;=0.25,"OWNER APPROVAL REQUIRED","GP % Okay")</f>
        <v/>
      </c>
    </row>
    <row r="592">
      <c r="B592" s="2374" t="inlineStr">
        <is>
          <t>Generator / Day</t>
        </is>
      </c>
      <c r="C592" s="2350" t="n"/>
      <c r="D592" s="2350" t="n"/>
      <c r="E592" s="237" t="n"/>
      <c r="F592" s="2375">
        <f>E637</f>
        <v/>
      </c>
      <c r="G592" s="263" t="inlineStr">
        <is>
          <t>Total</t>
        </is>
      </c>
      <c r="I592" s="2374" t="inlineStr">
        <is>
          <t>Generator / Week</t>
        </is>
      </c>
      <c r="J592" s="2350" t="n"/>
      <c r="K592" s="2350" t="n"/>
      <c r="L592" s="237" t="n"/>
      <c r="M592" s="2375">
        <f>L637</f>
        <v/>
      </c>
      <c r="N592" s="263" t="inlineStr">
        <is>
          <t>Total</t>
        </is>
      </c>
    </row>
    <row r="593">
      <c r="B593" s="25" t="inlineStr">
        <is>
          <t>MATERIAL - Patch</t>
        </is>
      </c>
      <c r="C593" s="90" t="inlineStr">
        <is>
          <t>Quantity</t>
        </is>
      </c>
      <c r="D593" s="90" t="inlineStr">
        <is>
          <t>Cost</t>
        </is>
      </c>
      <c r="E593" s="91" t="inlineStr">
        <is>
          <t>Total</t>
        </is>
      </c>
      <c r="F593" s="23" t="n"/>
      <c r="G593" s="89" t="n"/>
      <c r="H593" s="264" t="n"/>
      <c r="I593" s="25" t="inlineStr">
        <is>
          <t>MATERIAL - Patch</t>
        </is>
      </c>
      <c r="J593" s="90" t="inlineStr">
        <is>
          <t>Quantity</t>
        </is>
      </c>
      <c r="K593" s="90" t="inlineStr">
        <is>
          <t>Cost</t>
        </is>
      </c>
      <c r="L593" s="91" t="inlineStr">
        <is>
          <t>Total</t>
        </is>
      </c>
      <c r="M593" s="23" t="n"/>
      <c r="N593" s="89" t="n"/>
    </row>
    <row r="594">
      <c r="B594" s="44" t="n"/>
      <c r="C594" s="2377" t="n"/>
      <c r="D594" s="2312" t="n"/>
      <c r="E594" s="2308">
        <f>C594*D594</f>
        <v/>
      </c>
      <c r="F594" s="1" t="n"/>
      <c r="G594" s="1" t="n"/>
      <c r="H594" s="1" t="n"/>
      <c r="I594" s="44" t="n"/>
      <c r="J594" s="2377" t="n"/>
      <c r="K594" s="2312" t="n"/>
      <c r="L594" s="2308">
        <f>J594*K594</f>
        <v/>
      </c>
      <c r="M594" s="1" t="n"/>
      <c r="N594" s="1" t="n"/>
    </row>
    <row r="595">
      <c r="B595" s="44" t="n"/>
      <c r="C595" s="2377" t="n"/>
      <c r="D595" s="2312" t="n"/>
      <c r="E595" s="2308">
        <f>C595*D595</f>
        <v/>
      </c>
      <c r="F595" s="1" t="n"/>
      <c r="G595" s="1" t="n"/>
      <c r="H595" s="1" t="n"/>
      <c r="I595" s="44" t="n"/>
      <c r="J595" s="2377" t="n"/>
      <c r="K595" s="2312" t="n"/>
      <c r="L595" s="2308">
        <f>J595*K595</f>
        <v/>
      </c>
      <c r="M595" s="1" t="n"/>
      <c r="N595" s="1" t="n"/>
    </row>
    <row r="596">
      <c r="B596" s="25" t="inlineStr">
        <is>
          <t>MATERIAL - Floor</t>
        </is>
      </c>
      <c r="C596" s="2379" t="n"/>
      <c r="D596" s="23" t="n"/>
      <c r="E596" s="29" t="n"/>
      <c r="F596" s="2380" t="n">
        <v>0</v>
      </c>
      <c r="G596" s="82" t="inlineStr">
        <is>
          <t>SF</t>
        </is>
      </c>
      <c r="H596" s="1" t="n"/>
      <c r="I596" s="25" t="inlineStr">
        <is>
          <t>MATERIAL - Floor</t>
        </is>
      </c>
      <c r="J596" s="2379" t="n"/>
      <c r="K596" s="23" t="n"/>
      <c r="L596" s="29" t="n"/>
      <c r="M596" s="2380" t="n">
        <v>0</v>
      </c>
      <c r="N596" s="82" t="inlineStr">
        <is>
          <t>SF</t>
        </is>
      </c>
    </row>
    <row r="597">
      <c r="B597" s="47" t="n"/>
      <c r="C597" s="2377" t="n"/>
      <c r="D597" s="2282" t="n"/>
      <c r="E597" s="2038">
        <f>C597*D597</f>
        <v/>
      </c>
      <c r="F597" s="1" t="n"/>
      <c r="G597" s="1" t="n"/>
      <c r="H597" s="1" t="n"/>
      <c r="I597" s="47" t="n"/>
      <c r="J597" s="2377" t="n"/>
      <c r="K597" s="2282" t="n"/>
      <c r="L597" s="2038">
        <f>J597*K597</f>
        <v/>
      </c>
      <c r="M597" s="1" t="n"/>
      <c r="N597" s="1" t="n"/>
    </row>
    <row r="598">
      <c r="B598" s="47" t="n"/>
      <c r="C598" s="2377" t="n"/>
      <c r="D598" s="2282" t="n"/>
      <c r="E598" s="2038">
        <f>C598*D598</f>
        <v/>
      </c>
      <c r="F598" s="1" t="n"/>
      <c r="G598" s="1" t="n"/>
      <c r="H598" s="1" t="n"/>
      <c r="I598" s="47" t="n"/>
      <c r="J598" s="2377" t="n"/>
      <c r="K598" s="2282" t="n"/>
      <c r="L598" s="2038">
        <f>J598*K598</f>
        <v/>
      </c>
      <c r="M598" s="1" t="n"/>
      <c r="N598" s="1" t="n"/>
    </row>
    <row r="599">
      <c r="B599" s="48" t="n"/>
      <c r="C599" s="2381" t="n"/>
      <c r="D599" s="2332" t="n"/>
      <c r="E599" s="2333">
        <f>C599*D599</f>
        <v/>
      </c>
      <c r="F599" s="1" t="n"/>
      <c r="G599" s="1" t="n"/>
      <c r="H599" s="1" t="n"/>
      <c r="I599" s="48" t="n"/>
      <c r="J599" s="2381" t="n"/>
      <c r="K599" s="2332" t="n"/>
      <c r="L599" s="2333">
        <f>J599*K599</f>
        <v/>
      </c>
      <c r="M599" s="1" t="n"/>
      <c r="N599" s="1" t="n"/>
    </row>
    <row r="600">
      <c r="B600" s="17" t="inlineStr">
        <is>
          <t>Material Sub Total</t>
        </is>
      </c>
      <c r="C600" s="35" t="n"/>
      <c r="D600" s="2382" t="n"/>
      <c r="E600" s="2335">
        <f>ROUNDUP(SUM(E594:E599),0)</f>
        <v/>
      </c>
      <c r="F600" s="1" t="n"/>
      <c r="G600" s="1" t="n"/>
      <c r="H600" s="1" t="n"/>
      <c r="I600" s="17" t="inlineStr">
        <is>
          <t>Material Sub Total</t>
        </is>
      </c>
      <c r="J600" s="35" t="n"/>
      <c r="K600" s="2382" t="n"/>
      <c r="L600" s="2335">
        <f>ROUNDUP(SUM(L594:L599),0)</f>
        <v/>
      </c>
      <c r="M600" s="1" t="n"/>
      <c r="N600" s="1" t="n"/>
    </row>
    <row r="601">
      <c r="B601" s="20" t="inlineStr">
        <is>
          <t>Discount</t>
        </is>
      </c>
      <c r="C601" s="270" t="n">
        <v>0</v>
      </c>
      <c r="D601" s="2283" t="n"/>
      <c r="E601" s="2383">
        <f>ROUNDUP(SUM(E597)*C601,0)</f>
        <v/>
      </c>
      <c r="F601" s="1" t="n"/>
      <c r="G601" s="1" t="n"/>
      <c r="H601" s="1" t="n"/>
      <c r="I601" s="20" t="inlineStr">
        <is>
          <t>Discount</t>
        </is>
      </c>
      <c r="J601" s="270" t="n">
        <v>0</v>
      </c>
      <c r="K601" s="2283" t="n"/>
      <c r="L601" s="2383">
        <f>ROUNDUP(SUM(L597)*J601,0)</f>
        <v/>
      </c>
      <c r="M601" s="1" t="n"/>
      <c r="N601" s="1" t="n"/>
    </row>
    <row r="602">
      <c r="B602" s="39" t="inlineStr">
        <is>
          <t>Shipping</t>
        </is>
      </c>
      <c r="C602" s="40">
        <f>IF(E600&lt;=5000,0.1,IF(E600&lt;=10000,0.06,0.04))</f>
        <v/>
      </c>
      <c r="D602" s="2384" t="n"/>
      <c r="E602" s="2338">
        <f>ROUNDUP(E600*C602,0)</f>
        <v/>
      </c>
      <c r="F602" s="1" t="n"/>
      <c r="I602" s="39" t="inlineStr">
        <is>
          <t>Shipping</t>
        </is>
      </c>
      <c r="J602" s="40">
        <f>IF(L600&lt;=5000,0.1,IF(L600&lt;=10000,0.06,0.04))</f>
        <v/>
      </c>
      <c r="K602" s="2384" t="n"/>
      <c r="L602" s="2338">
        <f>ROUNDUP(L600*J602,0)</f>
        <v/>
      </c>
      <c r="M602" s="1" t="n"/>
    </row>
    <row r="603">
      <c r="B603" s="10" t="inlineStr">
        <is>
          <t>Material Total</t>
        </is>
      </c>
      <c r="C603" s="36" t="n"/>
      <c r="D603" s="2339" t="n"/>
      <c r="E603" s="2339">
        <f>SUM(E600:E602)</f>
        <v/>
      </c>
      <c r="F603" s="123">
        <f>E603/F596</f>
        <v/>
      </c>
      <c r="G603" s="124" t="inlineStr">
        <is>
          <t>Material $/SF</t>
        </is>
      </c>
      <c r="H603" s="1" t="n"/>
      <c r="I603" s="10" t="inlineStr">
        <is>
          <t>Material Total</t>
        </is>
      </c>
      <c r="J603" s="36" t="n"/>
      <c r="K603" s="2339" t="n"/>
      <c r="L603" s="2339">
        <f>SUM(L600:L602)</f>
        <v/>
      </c>
      <c r="M603" s="123">
        <f>L603/M596</f>
        <v/>
      </c>
      <c r="N603" s="124" t="inlineStr">
        <is>
          <t>Material $/SF</t>
        </is>
      </c>
    </row>
    <row r="604">
      <c r="B604" s="1" t="n"/>
      <c r="C604" s="1892" t="n"/>
      <c r="D604" s="2282" t="n"/>
      <c r="E604" s="2282" t="n"/>
      <c r="F604" s="1" t="n"/>
      <c r="I604" s="1" t="n"/>
      <c r="J604" s="1892" t="n"/>
      <c r="K604" s="2282" t="n"/>
      <c r="L604" s="2282" t="n"/>
      <c r="M604" s="1" t="n"/>
    </row>
    <row r="605">
      <c r="B605" s="75" t="inlineStr">
        <is>
          <t>Square Footage:</t>
        </is>
      </c>
      <c r="C605" s="2385">
        <f>F596</f>
        <v/>
      </c>
      <c r="D605" s="75" t="inlineStr">
        <is>
          <t>Linear Footage:</t>
        </is>
      </c>
      <c r="E605" s="2386" t="n">
        <v>0</v>
      </c>
      <c r="F605" s="1" t="n"/>
      <c r="G605" s="273">
        <f>E605/C605</f>
        <v/>
      </c>
      <c r="I605" s="75" t="inlineStr">
        <is>
          <t>Square Footage:</t>
        </is>
      </c>
      <c r="J605" s="2385">
        <f>M596</f>
        <v/>
      </c>
      <c r="K605" s="75" t="inlineStr">
        <is>
          <t>Linear Footage:</t>
        </is>
      </c>
      <c r="L605" s="2386" t="n">
        <v>0</v>
      </c>
      <c r="M605" s="1" t="n"/>
      <c r="N605" s="273">
        <f>L605/J605</f>
        <v/>
      </c>
    </row>
    <row r="606">
      <c r="B606" s="85" t="inlineStr">
        <is>
          <t>Labor:              Guys</t>
        </is>
      </c>
      <c r="C606" s="68" t="inlineStr">
        <is>
          <t>Days</t>
        </is>
      </c>
      <c r="D606" s="68" t="inlineStr">
        <is>
          <t>Rate (PW?)</t>
        </is>
      </c>
      <c r="E606" s="87" t="inlineStr">
        <is>
          <t>Totals</t>
        </is>
      </c>
      <c r="F606" s="76" t="inlineStr">
        <is>
          <t>8hour days</t>
        </is>
      </c>
      <c r="G606" s="156" t="inlineStr">
        <is>
          <t>Estimated SF/MH</t>
        </is>
      </c>
      <c r="H606" s="274" t="n"/>
      <c r="I606" s="85" t="inlineStr">
        <is>
          <t>Labor:              Guys</t>
        </is>
      </c>
      <c r="J606" s="68" t="inlineStr">
        <is>
          <t>Days</t>
        </is>
      </c>
      <c r="K606" s="68" t="inlineStr">
        <is>
          <t>Rate (PW?)</t>
        </is>
      </c>
      <c r="L606" s="87" t="inlineStr">
        <is>
          <t>Totals</t>
        </is>
      </c>
      <c r="M606" s="76" t="inlineStr">
        <is>
          <t>8hour days</t>
        </is>
      </c>
      <c r="N606" s="156" t="inlineStr">
        <is>
          <t>Estimated SF/MH</t>
        </is>
      </c>
    </row>
    <row r="607">
      <c r="B607" s="69" t="n">
        <v>0</v>
      </c>
      <c r="C607" s="1" t="n">
        <v>0</v>
      </c>
      <c r="D607" s="2388">
        <f>$D$17</f>
        <v/>
      </c>
      <c r="E607" s="70">
        <f>B607*C607*D607*8</f>
        <v/>
      </c>
      <c r="F607" s="76" t="n"/>
      <c r="G607" s="157">
        <f>F596/(E607/D607)</f>
        <v/>
      </c>
      <c r="H607" s="154" t="n"/>
      <c r="I607" s="69" t="n">
        <v>0</v>
      </c>
      <c r="J607" s="1" t="n">
        <v>0</v>
      </c>
      <c r="K607" s="2388">
        <f>$D$17</f>
        <v/>
      </c>
      <c r="L607" s="70">
        <f>I607*J607*K607*8</f>
        <v/>
      </c>
      <c r="M607" s="76" t="n"/>
      <c r="N607" s="157">
        <f>M596/(L607/K607)</f>
        <v/>
      </c>
    </row>
    <row r="608">
      <c r="B608" s="69" t="n"/>
      <c r="C608" s="1" t="n"/>
      <c r="D608" s="2388">
        <f>$D$17</f>
        <v/>
      </c>
      <c r="E608" s="70">
        <f>B608*C608*D608*8</f>
        <v/>
      </c>
      <c r="F608" s="76" t="n"/>
      <c r="G608" s="275">
        <f>F598/(E608/D608)</f>
        <v/>
      </c>
      <c r="H608" s="154" t="n"/>
      <c r="I608" s="69" t="n"/>
      <c r="J608" s="1" t="n"/>
      <c r="K608" s="2388">
        <f>$D$17</f>
        <v/>
      </c>
      <c r="L608" s="70">
        <f>I608*J608*K608*8</f>
        <v/>
      </c>
      <c r="M608" s="76" t="n"/>
      <c r="N608" s="275">
        <f>M598/(L608/K608)</f>
        <v/>
      </c>
    </row>
    <row r="609">
      <c r="B609" s="86" t="inlineStr">
        <is>
          <t>Travel:             Guys</t>
        </is>
      </c>
      <c r="C609" s="67" t="inlineStr">
        <is>
          <t>Hours</t>
        </is>
      </c>
      <c r="D609" s="276" t="inlineStr">
        <is>
          <t>Rate</t>
        </is>
      </c>
      <c r="E609" s="71" t="n"/>
      <c r="F609" s="1" t="n"/>
      <c r="I609" s="86" t="inlineStr">
        <is>
          <t>Travel:             Guys</t>
        </is>
      </c>
      <c r="J609" s="67" t="inlineStr">
        <is>
          <t>Hours</t>
        </is>
      </c>
      <c r="K609" s="276" t="inlineStr">
        <is>
          <t>Rate</t>
        </is>
      </c>
      <c r="L609" s="71" t="n"/>
      <c r="M609" s="1" t="n"/>
    </row>
    <row r="610">
      <c r="B610" s="69" t="n">
        <v>0</v>
      </c>
      <c r="C610" s="1" t="n">
        <v>0</v>
      </c>
      <c r="D610" s="2388">
        <f>$D$20</f>
        <v/>
      </c>
      <c r="E610" s="70">
        <f>B610*C610*D610</f>
        <v/>
      </c>
      <c r="F610" s="76" t="n"/>
      <c r="I610" s="69" t="n">
        <v>0</v>
      </c>
      <c r="J610" s="1" t="n">
        <v>0</v>
      </c>
      <c r="K610" s="2388">
        <f>$D$20</f>
        <v/>
      </c>
      <c r="L610" s="70">
        <f>I610*J610*K610</f>
        <v/>
      </c>
      <c r="M610" s="76" t="n"/>
    </row>
    <row r="611">
      <c r="B611" s="277" t="inlineStr">
        <is>
          <t>Labor Total</t>
        </is>
      </c>
      <c r="C611" s="278" t="n"/>
      <c r="D611" s="278" t="n"/>
      <c r="E611" s="2390">
        <f>ROUNDUP(SUM(E607:E610),0)</f>
        <v/>
      </c>
      <c r="F611" s="123">
        <f>E611/C605</f>
        <v/>
      </c>
      <c r="G611" s="124" t="inlineStr">
        <is>
          <t>Labor $/SF</t>
        </is>
      </c>
      <c r="H611" s="1" t="n"/>
      <c r="I611" s="277" t="inlineStr">
        <is>
          <t>Labor Total</t>
        </is>
      </c>
      <c r="J611" s="278" t="n"/>
      <c r="K611" s="278" t="n"/>
      <c r="L611" s="2390">
        <f>ROUNDUP(SUM(L607:L610),0)</f>
        <v/>
      </c>
      <c r="M611" s="123">
        <f>L611/J605</f>
        <v/>
      </c>
      <c r="N611" s="124" t="inlineStr">
        <is>
          <t>Labor $/SF</t>
        </is>
      </c>
    </row>
    <row r="612">
      <c r="B612" s="1" t="n"/>
      <c r="C612" s="1892" t="n"/>
      <c r="D612" s="2282" t="n"/>
      <c r="E612" s="2282" t="n"/>
      <c r="F612" s="2282" t="n"/>
      <c r="G612" s="1" t="n"/>
      <c r="H612" s="1" t="n"/>
      <c r="I612" s="1" t="n"/>
      <c r="J612" s="1892" t="n"/>
      <c r="K612" s="2282" t="n"/>
      <c r="L612" s="2282" t="n"/>
      <c r="M612" s="2282" t="n"/>
      <c r="N612" s="1" t="n"/>
    </row>
    <row r="613">
      <c r="B613" s="5" t="inlineStr">
        <is>
          <t>OTHER COSTS</t>
        </is>
      </c>
      <c r="C613" s="30" t="inlineStr">
        <is>
          <t>Quantity</t>
        </is>
      </c>
      <c r="D613" s="11" t="inlineStr">
        <is>
          <t>Cost</t>
        </is>
      </c>
      <c r="E613" s="2019" t="inlineStr">
        <is>
          <t>Total</t>
        </is>
      </c>
      <c r="F613" s="1" t="n"/>
      <c r="G613" s="1" t="n"/>
      <c r="H613" s="1" t="n"/>
      <c r="I613" s="5" t="inlineStr">
        <is>
          <t>OTHER COSTS</t>
        </is>
      </c>
      <c r="J613" s="30" t="inlineStr">
        <is>
          <t>Quantity</t>
        </is>
      </c>
      <c r="K613" s="11" t="inlineStr">
        <is>
          <t>Cost</t>
        </is>
      </c>
      <c r="L613" s="2019" t="inlineStr">
        <is>
          <t>Total</t>
        </is>
      </c>
      <c r="M613" s="1" t="n"/>
      <c r="N613" s="1" t="n"/>
    </row>
    <row r="614">
      <c r="B614" s="6" t="inlineStr">
        <is>
          <t>Moisture Test</t>
        </is>
      </c>
      <c r="C614" s="37" t="n"/>
      <c r="D614" s="2282" t="n">
        <v>35</v>
      </c>
      <c r="E614" s="2038">
        <f>ROUNDUP(C614*D614,0)</f>
        <v/>
      </c>
      <c r="F614" s="1" t="n"/>
      <c r="G614" s="1" t="n"/>
      <c r="H614" s="1" t="n"/>
      <c r="I614" s="6" t="inlineStr">
        <is>
          <t>Moisture Test</t>
        </is>
      </c>
      <c r="J614" s="37" t="n"/>
      <c r="K614" s="2282" t="n">
        <v>35</v>
      </c>
      <c r="L614" s="2038">
        <f>ROUNDUP(J614*K614,0)</f>
        <v/>
      </c>
      <c r="M614" s="1" t="n"/>
      <c r="N614" s="1" t="n"/>
    </row>
    <row r="615">
      <c r="B615" s="6" t="inlineStr">
        <is>
          <t>Tooling &amp; Consumables</t>
        </is>
      </c>
      <c r="C615" s="37" t="n"/>
      <c r="D615" s="2282" t="n">
        <v>0.33</v>
      </c>
      <c r="E615" s="2038">
        <f>ROUNDUP(C615*D615,0)</f>
        <v/>
      </c>
      <c r="F615" s="1" t="n"/>
      <c r="G615" s="1" t="n"/>
      <c r="H615" s="1" t="n"/>
      <c r="I615" s="6" t="inlineStr">
        <is>
          <t>Tooling &amp; Consumables</t>
        </is>
      </c>
      <c r="J615" s="37" t="n"/>
      <c r="K615" s="2282" t="n">
        <v>0.33</v>
      </c>
      <c r="L615" s="2038">
        <f>ROUNDUP(J615*K615,0)</f>
        <v/>
      </c>
      <c r="M615" s="1" t="n"/>
      <c r="N615" s="1" t="n"/>
    </row>
    <row r="616">
      <c r="B616" s="6" t="inlineStr">
        <is>
          <t>Travel - Lodging</t>
        </is>
      </c>
      <c r="C616" s="37" t="n">
        <v>0</v>
      </c>
      <c r="D616" s="2282">
        <f>$D$26</f>
        <v/>
      </c>
      <c r="E616" s="2038">
        <f>ROUNDUP(C616*D616,0)</f>
        <v/>
      </c>
      <c r="F616" s="1" t="n"/>
      <c r="G616" s="1" t="n"/>
      <c r="H616" s="1" t="n"/>
      <c r="I616" s="6" t="inlineStr">
        <is>
          <t>Travel - Lodging</t>
        </is>
      </c>
      <c r="J616" s="37" t="n">
        <v>0</v>
      </c>
      <c r="K616" s="2282">
        <f>$D$26</f>
        <v/>
      </c>
      <c r="L616" s="2038">
        <f>ROUNDUP(J616*K616,0)</f>
        <v/>
      </c>
      <c r="M616" s="1" t="n"/>
      <c r="N616" s="1" t="n"/>
    </row>
    <row r="617">
      <c r="B617" s="6" t="inlineStr">
        <is>
          <t>Travel - Food</t>
        </is>
      </c>
      <c r="C617" s="37">
        <f>C616</f>
        <v/>
      </c>
      <c r="D617" s="2282">
        <f>$D$27</f>
        <v/>
      </c>
      <c r="E617" s="2038">
        <f>ROUNDUP(C617*D617,0)</f>
        <v/>
      </c>
      <c r="F617" s="43" t="n"/>
      <c r="G617" s="1" t="n"/>
      <c r="H617" s="1" t="n"/>
      <c r="I617" s="6" t="inlineStr">
        <is>
          <t>Travel - Food</t>
        </is>
      </c>
      <c r="J617" s="37">
        <f>J616</f>
        <v/>
      </c>
      <c r="K617" s="2282">
        <f>$D$27</f>
        <v/>
      </c>
      <c r="L617" s="2038">
        <f>ROUNDUP(J617*K617,0)</f>
        <v/>
      </c>
      <c r="M617" s="43" t="n"/>
      <c r="N617" s="1" t="n"/>
    </row>
    <row r="618">
      <c r="B618" s="6" t="inlineStr">
        <is>
          <t>Foreman - Fuel</t>
        </is>
      </c>
      <c r="C618" s="37">
        <f>(E611/8)/D607</f>
        <v/>
      </c>
      <c r="D618" s="2282">
        <f>$D$28</f>
        <v/>
      </c>
      <c r="E618" s="2038">
        <f>ROUNDUP(C618*D618,0)</f>
        <v/>
      </c>
      <c r="F618" s="43" t="n"/>
      <c r="G618" s="1" t="n"/>
      <c r="H618" s="1" t="n"/>
      <c r="I618" s="6" t="inlineStr">
        <is>
          <t>Foreman - Fuel</t>
        </is>
      </c>
      <c r="J618" s="37">
        <f>(L611/8)/K607</f>
        <v/>
      </c>
      <c r="K618" s="2282">
        <f>$D$28</f>
        <v/>
      </c>
      <c r="L618" s="2038">
        <f>ROUNDUP(J618*K618,0)</f>
        <v/>
      </c>
      <c r="M618" s="43" t="n"/>
      <c r="N618" s="1" t="n"/>
    </row>
    <row r="619">
      <c r="B619" s="308" t="inlineStr">
        <is>
          <t>Generator Fuel</t>
        </is>
      </c>
      <c r="C619" s="309" t="n">
        <v>1</v>
      </c>
      <c r="D619" s="2441" t="n">
        <v>50</v>
      </c>
      <c r="E619" s="2038">
        <f>ROUNDUP(C619*D619,0)</f>
        <v/>
      </c>
      <c r="F619" s="1" t="n"/>
      <c r="G619" s="1" t="n"/>
      <c r="H619" s="1" t="n"/>
      <c r="I619" s="308" t="inlineStr">
        <is>
          <t>Generator Fuel</t>
        </is>
      </c>
      <c r="J619" s="309" t="n">
        <v>5</v>
      </c>
      <c r="K619" s="2441" t="n">
        <v>50</v>
      </c>
      <c r="L619" s="2442">
        <f>ROUNDUP(J619*K619,0)</f>
        <v/>
      </c>
      <c r="M619" s="1" t="n"/>
      <c r="N619" s="1" t="n"/>
    </row>
    <row r="620">
      <c r="B620" s="308" t="inlineStr">
        <is>
          <t>Generator Usage</t>
        </is>
      </c>
      <c r="C620" s="309">
        <f>C619</f>
        <v/>
      </c>
      <c r="D620" s="2441" t="n">
        <v>100</v>
      </c>
      <c r="E620" s="2038">
        <f>ROUNDUP(C620*D620,0)</f>
        <v/>
      </c>
      <c r="F620" s="1" t="n"/>
      <c r="G620" s="1" t="n"/>
      <c r="H620" s="1" t="n"/>
      <c r="I620" s="308" t="inlineStr">
        <is>
          <t>Generator Usage</t>
        </is>
      </c>
      <c r="J620" s="309">
        <f>J619</f>
        <v/>
      </c>
      <c r="K620" s="2441" t="n">
        <v>100</v>
      </c>
      <c r="L620" s="2442">
        <f>ROUNDUP(J620*K620,0)</f>
        <v/>
      </c>
      <c r="M620" s="1" t="n"/>
      <c r="N620" s="1" t="n"/>
    </row>
    <row r="621">
      <c r="B621" s="10" t="inlineStr">
        <is>
          <t>Other Costs Total</t>
        </is>
      </c>
      <c r="C621" s="36" t="n"/>
      <c r="D621" s="2339" t="n"/>
      <c r="E621" s="2340">
        <f>SUM(E614:E620)</f>
        <v/>
      </c>
      <c r="F621" s="1" t="n"/>
      <c r="G621" s="1" t="n"/>
      <c r="H621" s="1" t="n"/>
      <c r="I621" s="10" t="inlineStr">
        <is>
          <t>Other Costs Total</t>
        </is>
      </c>
      <c r="J621" s="36" t="n"/>
      <c r="K621" s="2339" t="n"/>
      <c r="L621" s="2340">
        <f>SUM(L614:L620)</f>
        <v/>
      </c>
      <c r="M621" s="1" t="n"/>
      <c r="N621" s="1" t="n"/>
    </row>
    <row r="622">
      <c r="B622" s="1" t="n"/>
      <c r="C622" s="1892" t="n"/>
      <c r="D622" s="2282" t="n"/>
      <c r="E622" s="2282" t="n"/>
      <c r="F622" s="1" t="n"/>
      <c r="G622" s="1" t="n"/>
      <c r="H622" s="1" t="n"/>
      <c r="I622" s="1" t="n"/>
      <c r="J622" s="1892" t="n"/>
      <c r="K622" s="2282" t="n"/>
      <c r="L622" s="2282" t="n"/>
      <c r="M622" s="1" t="n"/>
      <c r="N622" s="1" t="n"/>
    </row>
    <row r="623">
      <c r="B623" s="1" t="n"/>
      <c r="C623" s="1892" t="n"/>
      <c r="D623" s="2282" t="n"/>
      <c r="E623" s="2282" t="n"/>
      <c r="F623" s="1" t="n"/>
      <c r="G623" s="1" t="n"/>
      <c r="H623" s="1" t="n"/>
      <c r="I623" s="1" t="n"/>
      <c r="J623" s="1892" t="n"/>
      <c r="K623" s="2282" t="n"/>
      <c r="L623" s="2282" t="n"/>
      <c r="M623" s="1" t="n"/>
      <c r="N623" s="1" t="n"/>
    </row>
    <row r="624">
      <c r="B624" s="280" t="inlineStr">
        <is>
          <t>SUB-TOTAL COSTS</t>
        </is>
      </c>
      <c r="C624" s="281" t="n"/>
      <c r="D624" s="2393" t="n"/>
      <c r="E624" s="2394">
        <f>SUM(E603,E611,E621)</f>
        <v/>
      </c>
      <c r="F624" s="1" t="n"/>
      <c r="G624" s="1" t="n"/>
      <c r="H624" s="1" t="n"/>
      <c r="I624" s="280" t="inlineStr">
        <is>
          <t>SUB-TOTAL COSTS</t>
        </is>
      </c>
      <c r="J624" s="281" t="n"/>
      <c r="K624" s="2393" t="n"/>
      <c r="L624" s="2394">
        <f>SUM(L603,L611,L621)</f>
        <v/>
      </c>
      <c r="M624" s="1" t="n"/>
      <c r="N624" s="1" t="n"/>
    </row>
    <row r="625">
      <c r="B625" s="1" t="n"/>
      <c r="C625" s="1892" t="n"/>
      <c r="D625" s="2282" t="n"/>
      <c r="E625" s="2282" t="n"/>
      <c r="F625" s="1" t="n"/>
      <c r="G625" s="1" t="n"/>
      <c r="H625" s="1" t="n"/>
      <c r="I625" s="1" t="n"/>
      <c r="J625" s="1892" t="n"/>
      <c r="K625" s="2282" t="n"/>
      <c r="L625" s="2282" t="n"/>
      <c r="M625" s="1" t="n"/>
      <c r="N625" s="1" t="n"/>
    </row>
    <row r="626">
      <c r="B626" s="5" t="inlineStr">
        <is>
          <t>MARKUP</t>
        </is>
      </c>
      <c r="C626" s="30" t="inlineStr">
        <is>
          <t>%</t>
        </is>
      </c>
      <c r="D626" s="2395" t="n"/>
      <c r="E626" s="2019" t="n"/>
      <c r="F626" s="1" t="n"/>
      <c r="G626" s="1" t="n"/>
      <c r="H626" s="1" t="n"/>
      <c r="I626" s="5" t="inlineStr">
        <is>
          <t>MARKUP</t>
        </is>
      </c>
      <c r="J626" s="30" t="inlineStr">
        <is>
          <t>%</t>
        </is>
      </c>
      <c r="K626" s="2395" t="n"/>
      <c r="L626" s="2019" t="n"/>
      <c r="M626" s="1" t="n"/>
      <c r="N626" s="1" t="n"/>
    </row>
    <row r="627">
      <c r="B627" s="6" t="inlineStr">
        <is>
          <t>Sales Tax</t>
        </is>
      </c>
      <c r="C627" s="2396">
        <f>$C$37</f>
        <v/>
      </c>
      <c r="D627" s="2397" t="n"/>
      <c r="E627" s="2038">
        <f>ROUNDUP(SUM(E624)*C627,0)</f>
        <v/>
      </c>
      <c r="F627" s="410" t="inlineStr">
        <is>
          <t>tax on ALL "Sub-Total Costs"</t>
        </is>
      </c>
      <c r="G627" s="1" t="n"/>
      <c r="H627" s="1" t="n"/>
      <c r="I627" s="6" t="inlineStr">
        <is>
          <t>Sales Tax</t>
        </is>
      </c>
      <c r="J627" s="2396">
        <f>$C$37</f>
        <v/>
      </c>
      <c r="K627" s="2397" t="n"/>
      <c r="L627" s="2038">
        <f>ROUNDUP(SUM(L624)*J627,0)</f>
        <v/>
      </c>
      <c r="M627" s="410" t="inlineStr">
        <is>
          <t>tax on ALL "Sub-Total Costs"</t>
        </is>
      </c>
      <c r="N627" s="1" t="n"/>
    </row>
    <row r="628">
      <c r="B628" s="6" t="inlineStr">
        <is>
          <t>Insurance</t>
        </is>
      </c>
      <c r="C628" s="241" t="n">
        <v>0.08</v>
      </c>
      <c r="D628" s="2397" t="n"/>
      <c r="E628" s="2038">
        <f>ROUNDUP(SUM(E611)*C628,0)</f>
        <v/>
      </c>
      <c r="F628" s="1" t="n"/>
      <c r="G628" s="1" t="n"/>
      <c r="H628" s="1" t="n"/>
      <c r="I628" s="6" t="inlineStr">
        <is>
          <t>Insurance</t>
        </is>
      </c>
      <c r="J628" s="241" t="n">
        <v>0.08</v>
      </c>
      <c r="K628" s="2397" t="n"/>
      <c r="L628" s="2038">
        <f>ROUNDUP(SUM(L611)*J628,0)</f>
        <v/>
      </c>
      <c r="M628" s="1" t="n"/>
      <c r="N628" s="1" t="n"/>
    </row>
    <row r="629">
      <c r="B629" s="6" t="inlineStr">
        <is>
          <t>Material Contingency</t>
        </is>
      </c>
      <c r="C629" s="122">
        <f>IF(E603&lt;=5000,0.1,0.05)</f>
        <v/>
      </c>
      <c r="D629" s="2282" t="n"/>
      <c r="E629" s="2038">
        <f>ROUNDUP(E603*C629,0)</f>
        <v/>
      </c>
      <c r="F629" s="1" t="n"/>
      <c r="G629" s="1" t="n"/>
      <c r="H629" s="1" t="n"/>
      <c r="I629" s="6" t="inlineStr">
        <is>
          <t>Material Contingency</t>
        </is>
      </c>
      <c r="J629" s="122">
        <f>IF(L603&lt;=5000,0.1,0.05)</f>
        <v/>
      </c>
      <c r="K629" s="2282" t="n"/>
      <c r="L629" s="2038">
        <f>ROUNDUP(L603*J629,0)</f>
        <v/>
      </c>
      <c r="M629" s="1" t="n"/>
      <c r="N629" s="1" t="n"/>
    </row>
    <row r="630">
      <c r="B630" s="6" t="inlineStr">
        <is>
          <t>Labor Contingency</t>
        </is>
      </c>
      <c r="C630" s="122">
        <f>IF(E611&lt;=2000,0.35,IF(E611&lt;=3000,0.3,IF(E611&lt;=4000,0.25,IF(E611&lt;=7000,0.2,0.15))))</f>
        <v/>
      </c>
      <c r="D630" s="2282" t="n"/>
      <c r="E630" s="2038">
        <f>ROUNDUP(E611*C630,0)</f>
        <v/>
      </c>
      <c r="F630" s="1" t="n"/>
      <c r="G630" s="1" t="n"/>
      <c r="H630" s="1" t="n"/>
      <c r="I630" s="6" t="inlineStr">
        <is>
          <t>Labor Contingency</t>
        </is>
      </c>
      <c r="J630" s="122">
        <f>IF(L611&lt;=2000,0.35,IF(L611&lt;=3000,0.3,IF(L611&lt;=4000,0.25,IF(L611&lt;=7000,0.2,0.15))))</f>
        <v/>
      </c>
      <c r="K630" s="2282" t="n"/>
      <c r="L630" s="2038">
        <f>ROUNDUP(L611*J630,0)</f>
        <v/>
      </c>
      <c r="M630" s="1" t="n"/>
      <c r="N630" s="1" t="n"/>
    </row>
    <row r="631">
      <c r="B631" s="6" t="inlineStr">
        <is>
          <t>Mark Up</t>
        </is>
      </c>
      <c r="C631" s="122" t="n">
        <v>1.33</v>
      </c>
      <c r="D631" s="2282" t="n"/>
      <c r="E631" s="2038">
        <f>ROUNDUP(SUM(E624:E630)*C631,0)</f>
        <v/>
      </c>
      <c r="F631" s="1" t="n"/>
      <c r="G631" s="1" t="n"/>
      <c r="H631" s="1" t="n"/>
      <c r="I631" s="6" t="inlineStr">
        <is>
          <t>Mark Up</t>
        </is>
      </c>
      <c r="J631" s="122" t="n">
        <v>1</v>
      </c>
      <c r="K631" s="2282" t="n"/>
      <c r="L631" s="2038">
        <f>ROUNDUP(SUM(L624:L630)*J631,0)</f>
        <v/>
      </c>
      <c r="M631" s="1" t="n"/>
      <c r="N631" s="1" t="n"/>
    </row>
    <row r="632">
      <c r="B632" s="284">
        <f>$B$42</f>
        <v/>
      </c>
      <c r="C632" s="241">
        <f>$C$42</f>
        <v/>
      </c>
      <c r="D632" s="2282" t="n"/>
      <c r="E632" s="2038">
        <f>ROUNDUP(SUM(E611,E628:E631)*C632,0)</f>
        <v/>
      </c>
      <c r="F632" s="1" t="n"/>
      <c r="G632" s="1" t="n"/>
      <c r="H632" s="1" t="n"/>
      <c r="I632" s="284">
        <f>$B$42</f>
        <v/>
      </c>
      <c r="J632" s="241">
        <f>$C$42</f>
        <v/>
      </c>
      <c r="K632" s="2282" t="n"/>
      <c r="L632" s="2038">
        <f>ROUNDUP(SUM(L611,L628:L631)*J632,0)</f>
        <v/>
      </c>
      <c r="M632" s="1" t="n"/>
      <c r="N632" s="1" t="n"/>
    </row>
    <row r="633">
      <c r="B633" s="403" t="inlineStr">
        <is>
          <t>Warranty &amp; Extra Soft Cost</t>
        </is>
      </c>
      <c r="C633" s="241">
        <f>$C$43</f>
        <v/>
      </c>
      <c r="D633" s="2282" t="n"/>
      <c r="E633" s="2038">
        <f>ROUNDUP(C633*SUM(E624:E632),0)</f>
        <v/>
      </c>
      <c r="F633" s="1" t="n"/>
      <c r="G633" s="1" t="n"/>
      <c r="H633" s="1" t="n"/>
      <c r="I633" s="403" t="inlineStr">
        <is>
          <t>Warranty &amp; Extra Soft Cost</t>
        </is>
      </c>
      <c r="J633" s="241">
        <f>$C$43</f>
        <v/>
      </c>
      <c r="K633" s="2282" t="n"/>
      <c r="L633" s="2038">
        <f>ROUNDUP(J633*SUM(L624:L632),0)</f>
        <v/>
      </c>
      <c r="M633" s="1" t="n"/>
      <c r="N633" s="1" t="n"/>
    </row>
    <row r="634">
      <c r="B634" s="45" t="inlineStr">
        <is>
          <t>Bond</t>
        </is>
      </c>
      <c r="C634" s="46">
        <f>$C$44</f>
        <v/>
      </c>
      <c r="D634" s="2314" t="n"/>
      <c r="E634" s="2400">
        <f>ROUNDUP(SUM(E624:E633)*C634,0)-5</f>
        <v/>
      </c>
      <c r="F634" s="1" t="n"/>
      <c r="G634" s="1" t="n"/>
      <c r="H634" s="1" t="n"/>
      <c r="I634" s="45" t="inlineStr">
        <is>
          <t>Bond</t>
        </is>
      </c>
      <c r="J634" s="46">
        <f>$C$44</f>
        <v/>
      </c>
      <c r="K634" s="2314" t="n"/>
      <c r="L634" s="2400">
        <f>ROUNDUP(SUM(L624:L633)*J634,0)-27</f>
        <v/>
      </c>
      <c r="M634" s="1" t="n"/>
      <c r="N634" s="1" t="n"/>
    </row>
    <row r="635">
      <c r="B635" s="1" t="n"/>
      <c r="C635" s="8" t="n"/>
      <c r="D635" s="2282" t="n"/>
      <c r="E635" s="2282" t="n"/>
      <c r="F635" s="1" t="n"/>
      <c r="G635" s="286" t="inlineStr">
        <is>
          <t>Mark Up + Conting.</t>
        </is>
      </c>
      <c r="H635" s="1892" t="n"/>
      <c r="I635" s="1" t="n"/>
      <c r="J635" s="8" t="n"/>
      <c r="K635" s="2282" t="n"/>
      <c r="L635" s="2282" t="n"/>
      <c r="M635" s="1" t="n"/>
      <c r="N635" s="286" t="inlineStr">
        <is>
          <t>Mark Up + Conting.</t>
        </is>
      </c>
    </row>
    <row r="636" ht="16.2" customHeight="1" thickBot="1">
      <c r="B636" s="1" t="n"/>
      <c r="C636" s="287" t="inlineStr">
        <is>
          <t>SF:</t>
        </is>
      </c>
      <c r="D636" s="2405">
        <f>C605</f>
        <v/>
      </c>
      <c r="E636" s="2282" t="n"/>
      <c r="F636" s="38" t="inlineStr">
        <is>
          <t>Less Sales Tax</t>
        </is>
      </c>
      <c r="G636" s="2402">
        <f>SUM(E629:E631)</f>
        <v/>
      </c>
      <c r="H636" s="2282" t="n"/>
      <c r="I636" s="1" t="n"/>
      <c r="J636" s="287" t="inlineStr">
        <is>
          <t>SF:</t>
        </is>
      </c>
      <c r="K636" s="2405">
        <f>J605</f>
        <v/>
      </c>
      <c r="L636" s="2282" t="n"/>
      <c r="M636" s="38" t="inlineStr">
        <is>
          <t>Less Sales Tax</t>
        </is>
      </c>
      <c r="N636" s="2402">
        <f>SUM(L629:L631)</f>
        <v/>
      </c>
    </row>
    <row r="637" ht="16.2" customHeight="1" thickBot="1">
      <c r="B637" s="289" t="inlineStr">
        <is>
          <t>TOTAL</t>
        </is>
      </c>
      <c r="C637" s="290" t="n"/>
      <c r="D637" s="2412">
        <f>E637/C605</f>
        <v/>
      </c>
      <c r="E637" s="2404">
        <f>SUM(E624:E634)</f>
        <v/>
      </c>
      <c r="F637" s="2282">
        <f>E637-E627-E632</f>
        <v/>
      </c>
      <c r="G637" s="293">
        <f>G636/E637</f>
        <v/>
      </c>
      <c r="H637" s="294" t="n"/>
      <c r="I637" s="289" t="inlineStr">
        <is>
          <t>TOTAL</t>
        </is>
      </c>
      <c r="J637" s="290" t="n"/>
      <c r="K637" s="2412">
        <f>L637/J605</f>
        <v/>
      </c>
      <c r="L637" s="2404">
        <f>SUM(L624:L634)</f>
        <v/>
      </c>
      <c r="M637" s="2282">
        <f>L637-L627-L632</f>
        <v/>
      </c>
      <c r="N637" s="293">
        <f>N636/L637</f>
        <v/>
      </c>
    </row>
    <row r="638">
      <c r="B638" s="1" t="n"/>
      <c r="C638" s="1" t="inlineStr">
        <is>
          <t xml:space="preserve"> </t>
        </is>
      </c>
      <c r="D638" s="2282">
        <f>E638/C605</f>
        <v/>
      </c>
      <c r="E638" s="2282">
        <f>E637-E632</f>
        <v/>
      </c>
      <c r="F638" t="inlineStr">
        <is>
          <t xml:space="preserve">less ks remodel, if applicable </t>
        </is>
      </c>
      <c r="G638" s="295">
        <f>IF(G637&lt;=0.25,"OWNER APPROVAL REQUIRED","GP % Okay")</f>
        <v/>
      </c>
      <c r="H638" s="1891" t="n"/>
      <c r="I638" s="1" t="n"/>
      <c r="J638" s="1" t="inlineStr">
        <is>
          <t xml:space="preserve"> </t>
        </is>
      </c>
      <c r="K638" s="2282">
        <f>L638/J605</f>
        <v/>
      </c>
      <c r="L638" s="2282">
        <f>L637-L632</f>
        <v/>
      </c>
      <c r="M638" t="inlineStr">
        <is>
          <t xml:space="preserve">less ks remodel, if applicable </t>
        </is>
      </c>
      <c r="N638" s="295">
        <f>IF(N637&lt;=0.25,"OWNER APPROVAL REQUIRED","GP % Okay")</f>
        <v/>
      </c>
    </row>
    <row r="639">
      <c r="K639" s="484" t="inlineStr">
        <is>
          <t>Daily x5:</t>
        </is>
      </c>
      <c r="L639" s="2443">
        <f>E637*5</f>
        <v/>
      </c>
    </row>
    <row r="644" ht="32.4" customFormat="1" customHeight="1" s="315">
      <c r="B644" s="314" t="inlineStr">
        <is>
          <t>***Original Standard Alternates Below (OUTDATED)***</t>
        </is>
      </c>
    </row>
    <row r="651">
      <c r="B651" s="2374" t="inlineStr">
        <is>
          <t>Altenate  - Ram Board 5,000 sf</t>
        </is>
      </c>
      <c r="C651" s="2350" t="n"/>
      <c r="D651" s="2350" t="n"/>
      <c r="E651" s="237" t="n"/>
      <c r="I651" s="2444" t="inlineStr">
        <is>
          <t>Altenate  - Ram Board 1,000 sf</t>
        </is>
      </c>
      <c r="J651" s="2350" t="n"/>
      <c r="K651" s="2350" t="n"/>
      <c r="L651" s="2445" t="n"/>
    </row>
    <row r="652">
      <c r="B652" s="5" t="inlineStr">
        <is>
          <t xml:space="preserve">MATERIAL - </t>
        </is>
      </c>
      <c r="C652" s="30" t="inlineStr">
        <is>
          <t>Quantity</t>
        </is>
      </c>
      <c r="D652" s="30" t="inlineStr">
        <is>
          <t>Cost</t>
        </is>
      </c>
      <c r="E652" s="31" t="inlineStr">
        <is>
          <t>Total</t>
        </is>
      </c>
      <c r="I652" s="316" t="inlineStr">
        <is>
          <t xml:space="preserve">MATERIAL - </t>
        </is>
      </c>
      <c r="J652" s="317" t="inlineStr">
        <is>
          <t>Quantity</t>
        </is>
      </c>
      <c r="K652" s="317" t="inlineStr">
        <is>
          <t>Cost</t>
        </is>
      </c>
      <c r="L652" s="318" t="inlineStr">
        <is>
          <t>Total</t>
        </is>
      </c>
    </row>
    <row r="653">
      <c r="B653" s="1892" t="inlineStr">
        <is>
          <t>Ram Board</t>
        </is>
      </c>
      <c r="C653" s="1892" t="n">
        <v>5000</v>
      </c>
      <c r="D653" s="2312" t="n">
        <v>0.18</v>
      </c>
      <c r="E653" s="2308">
        <f>C653*D653</f>
        <v/>
      </c>
      <c r="I653" s="319" t="inlineStr">
        <is>
          <t>Ram Board</t>
        </is>
      </c>
      <c r="J653" s="320" t="n">
        <v>1000</v>
      </c>
      <c r="K653" s="2439" t="n">
        <v>0.25</v>
      </c>
      <c r="L653" s="2446">
        <f>J653*K653</f>
        <v/>
      </c>
    </row>
    <row r="654">
      <c r="B654" s="1892" t="n"/>
      <c r="C654" s="1892" t="n"/>
      <c r="D654" s="2312" t="n"/>
      <c r="E654" s="2308">
        <f>C654*D654</f>
        <v/>
      </c>
      <c r="I654" s="319" t="n"/>
      <c r="J654" s="320" t="n"/>
      <c r="K654" s="2439" t="n"/>
      <c r="L654" s="2446">
        <f>J654*K654</f>
        <v/>
      </c>
    </row>
    <row r="655">
      <c r="B655" s="1892" t="n"/>
      <c r="C655" s="1892" t="n"/>
      <c r="D655" s="2312" t="n"/>
      <c r="E655" s="2308">
        <f>C655*D655</f>
        <v/>
      </c>
      <c r="I655" s="319" t="n"/>
      <c r="J655" s="320" t="n"/>
      <c r="K655" s="2439" t="n"/>
      <c r="L655" s="2446">
        <f>J655*K655</f>
        <v/>
      </c>
    </row>
    <row r="656">
      <c r="B656" s="322" t="n"/>
      <c r="C656" s="323" t="n"/>
      <c r="D656" s="2332" t="n"/>
      <c r="E656" s="2333">
        <f>C656*D656</f>
        <v/>
      </c>
      <c r="I656" s="324" t="n"/>
      <c r="J656" s="325" t="n"/>
      <c r="K656" s="2447" t="n"/>
      <c r="L656" s="2448">
        <f>J656*K656</f>
        <v/>
      </c>
    </row>
    <row r="657">
      <c r="B657" s="17" t="inlineStr">
        <is>
          <t>Material Sub Total</t>
        </is>
      </c>
      <c r="C657" s="35" t="n"/>
      <c r="D657" s="2382" t="n"/>
      <c r="E657" s="2335">
        <f>ROUNDUP(SUM(E653:E656),0)</f>
        <v/>
      </c>
      <c r="I657" s="328" t="inlineStr">
        <is>
          <t>Material Sub Total</t>
        </is>
      </c>
      <c r="J657" s="329" t="n"/>
      <c r="K657" s="2449" t="n"/>
      <c r="L657" s="2450">
        <f>ROUNDUP(SUM(L653:L656),0)</f>
        <v/>
      </c>
    </row>
    <row r="658">
      <c r="B658" s="20" t="inlineStr">
        <is>
          <t>Material Overage</t>
        </is>
      </c>
      <c r="C658" s="270" t="n">
        <v>0</v>
      </c>
      <c r="D658" s="2283" t="n"/>
      <c r="E658" s="2383">
        <f>ROUNDUP(E657*C658,0)</f>
        <v/>
      </c>
      <c r="I658" s="332" t="inlineStr">
        <is>
          <t>Material Overage</t>
        </is>
      </c>
      <c r="J658" s="333" t="n">
        <v>0.15</v>
      </c>
      <c r="K658" s="2451" t="n"/>
      <c r="L658" s="2452">
        <f>ROUNDUP(L657*J658,0)</f>
        <v/>
      </c>
    </row>
    <row r="659">
      <c r="B659" s="10" t="inlineStr">
        <is>
          <t>Material Total</t>
        </is>
      </c>
      <c r="C659" s="36" t="n"/>
      <c r="D659" s="2339" t="n"/>
      <c r="E659" s="2340">
        <f>SUM(E657:E658)</f>
        <v/>
      </c>
      <c r="I659" s="336" t="inlineStr">
        <is>
          <t>Material Total</t>
        </is>
      </c>
      <c r="J659" s="337" t="n"/>
      <c r="K659" s="2453" t="n"/>
      <c r="L659" s="2454">
        <f>SUM(L657:L658)</f>
        <v/>
      </c>
    </row>
    <row r="660">
      <c r="B660" s="39" t="inlineStr">
        <is>
          <t>Shipping</t>
        </is>
      </c>
      <c r="C660" s="40" t="n">
        <v>0</v>
      </c>
      <c r="D660" s="2384" t="n"/>
      <c r="E660" s="2338">
        <f>ROUNDUP(E657*C660,0)</f>
        <v/>
      </c>
      <c r="I660" s="340" t="inlineStr">
        <is>
          <t>Shipping</t>
        </is>
      </c>
      <c r="J660" s="341" t="n">
        <v>0</v>
      </c>
      <c r="K660" s="2455" t="n"/>
      <c r="L660" s="2456">
        <f>ROUNDUP(L657*J660,0)</f>
        <v/>
      </c>
    </row>
    <row r="661">
      <c r="B661" s="1" t="n"/>
      <c r="C661" s="1892" t="n"/>
      <c r="D661" s="2282" t="n"/>
      <c r="E661" s="2282" t="n"/>
      <c r="I661" s="43" t="n"/>
      <c r="J661" s="320" t="n"/>
      <c r="K661" s="2420" t="n"/>
      <c r="L661" s="2420" t="n"/>
    </row>
    <row r="662">
      <c r="B662" s="5" t="inlineStr">
        <is>
          <t>LABOR</t>
        </is>
      </c>
      <c r="C662" s="30" t="inlineStr">
        <is>
          <t>Quantity</t>
        </is>
      </c>
      <c r="D662" s="11" t="inlineStr">
        <is>
          <t>Cost</t>
        </is>
      </c>
      <c r="E662" s="2457" t="inlineStr">
        <is>
          <t>Total</t>
        </is>
      </c>
      <c r="I662" s="345" t="inlineStr">
        <is>
          <t>LABOR</t>
        </is>
      </c>
      <c r="J662" s="346" t="inlineStr">
        <is>
          <t>Quantity</t>
        </is>
      </c>
      <c r="K662" s="347" t="inlineStr">
        <is>
          <t>Cost</t>
        </is>
      </c>
      <c r="L662" s="2458" t="inlineStr">
        <is>
          <t>Total</t>
        </is>
      </c>
    </row>
    <row r="663">
      <c r="B663" s="349" t="inlineStr">
        <is>
          <t>Ram Board SF</t>
        </is>
      </c>
      <c r="C663" s="37" t="n">
        <v>5000</v>
      </c>
      <c r="D663" s="350" t="n">
        <v>0.144</v>
      </c>
      <c r="E663" s="2038" t="n"/>
      <c r="I663" s="349" t="inlineStr">
        <is>
          <t>Ram Board SF</t>
        </is>
      </c>
      <c r="J663" s="351" t="n">
        <v>1000</v>
      </c>
      <c r="K663" s="352" t="n">
        <v>0.36</v>
      </c>
      <c r="L663" s="2459" t="n"/>
    </row>
    <row r="664">
      <c r="B664" s="354" t="inlineStr">
        <is>
          <t>Guys</t>
        </is>
      </c>
      <c r="C664" s="355" t="inlineStr">
        <is>
          <t>Days</t>
        </is>
      </c>
      <c r="D664" s="2460" t="inlineStr">
        <is>
          <t>Rate</t>
        </is>
      </c>
      <c r="E664" s="2461" t="n"/>
      <c r="I664" s="354" t="inlineStr">
        <is>
          <t>Guys</t>
        </is>
      </c>
      <c r="J664" s="355" t="inlineStr">
        <is>
          <t>Days</t>
        </is>
      </c>
      <c r="K664" s="2460" t="inlineStr">
        <is>
          <t>Rate</t>
        </is>
      </c>
      <c r="L664" s="2461" t="n"/>
    </row>
    <row r="665">
      <c r="B665" s="44" t="n">
        <v>4</v>
      </c>
      <c r="C665" s="154" t="n">
        <v>0.75</v>
      </c>
      <c r="D665" s="2282" t="n">
        <v>30</v>
      </c>
      <c r="E665" s="2038">
        <f>ROUNDUP(B665*C665*D665,0)*8</f>
        <v/>
      </c>
      <c r="I665" s="44" t="n">
        <v>2</v>
      </c>
      <c r="J665" s="154" t="n">
        <v>0.75</v>
      </c>
      <c r="K665" s="2282" t="n">
        <v>30</v>
      </c>
      <c r="L665" s="2038">
        <f>ROUNDUP(I665*J665*K665,0)*8</f>
        <v/>
      </c>
    </row>
    <row r="666">
      <c r="B666" s="6" t="n"/>
      <c r="C666" s="37" t="n"/>
      <c r="D666" s="2282" t="n"/>
      <c r="E666" s="2038">
        <f>ROUNDUP(B666*C666*D666,0)*8</f>
        <v/>
      </c>
      <c r="I666" s="349" t="n"/>
      <c r="J666" s="351" t="n"/>
      <c r="K666" s="2420" t="n"/>
      <c r="L666" s="2038">
        <f>ROUNDUP(I666*J666*K666,0)*8</f>
        <v/>
      </c>
    </row>
    <row r="667">
      <c r="B667" s="10" t="inlineStr">
        <is>
          <t>Labor Total</t>
        </is>
      </c>
      <c r="C667" s="36" t="n"/>
      <c r="D667" s="2339" t="n"/>
      <c r="E667" s="2340">
        <f>SUM(E663:E666)</f>
        <v/>
      </c>
      <c r="I667" s="336" t="inlineStr">
        <is>
          <t>Labor Total</t>
        </is>
      </c>
      <c r="J667" s="337" t="n"/>
      <c r="K667" s="2453" t="n"/>
      <c r="L667" s="2454">
        <f>SUM(L663:L666)</f>
        <v/>
      </c>
    </row>
    <row r="668">
      <c r="B668" s="1" t="n"/>
      <c r="C668" s="1892" t="n"/>
      <c r="D668" s="2282" t="n"/>
      <c r="E668" s="2282" t="n"/>
      <c r="I668" s="43" t="n"/>
      <c r="J668" s="320" t="n"/>
      <c r="K668" s="2420" t="n"/>
      <c r="L668" s="2420" t="n"/>
    </row>
    <row r="669">
      <c r="B669" s="1" t="n"/>
      <c r="C669" s="1892" t="n"/>
      <c r="D669" s="2282" t="n"/>
      <c r="E669" s="2282" t="n"/>
      <c r="I669" s="43" t="n"/>
      <c r="J669" s="320" t="n"/>
      <c r="K669" s="2420" t="n"/>
      <c r="L669" s="2420" t="n"/>
    </row>
    <row r="670">
      <c r="B670" s="280" t="inlineStr">
        <is>
          <t>SUB-TOTAL COSTS</t>
        </is>
      </c>
      <c r="C670" s="281" t="n"/>
      <c r="D670" s="2393" t="n"/>
      <c r="E670" s="2394">
        <f>SUM(E659,E667,E660)</f>
        <v/>
      </c>
      <c r="I670" s="358" t="inlineStr">
        <is>
          <t>SUB-TOTAL COSTS</t>
        </is>
      </c>
      <c r="J670" s="359" t="n"/>
      <c r="K670" s="2462" t="n"/>
      <c r="L670" s="2463">
        <f>SUM(L659,L667,L660)</f>
        <v/>
      </c>
    </row>
    <row r="671">
      <c r="B671" s="1" t="n"/>
      <c r="C671" s="1892" t="n"/>
      <c r="D671" s="2282" t="n"/>
      <c r="E671" s="2282" t="n"/>
      <c r="I671" s="43" t="n"/>
      <c r="J671" s="320" t="n"/>
      <c r="K671" s="2420" t="n"/>
      <c r="L671" s="2420" t="n"/>
    </row>
    <row r="672">
      <c r="B672" s="5" t="inlineStr">
        <is>
          <t>MARKUP</t>
        </is>
      </c>
      <c r="C672" s="30" t="inlineStr">
        <is>
          <t>%</t>
        </is>
      </c>
      <c r="D672" s="2395" t="n"/>
      <c r="E672" s="2019" t="n"/>
      <c r="I672" s="345" t="inlineStr">
        <is>
          <t>MARKUP</t>
        </is>
      </c>
      <c r="J672" s="346" t="inlineStr">
        <is>
          <t>%</t>
        </is>
      </c>
      <c r="K672" s="2464" t="n"/>
      <c r="L672" s="2465" t="n"/>
    </row>
    <row r="673">
      <c r="B673" s="6" t="inlineStr">
        <is>
          <t>Sales Tax</t>
        </is>
      </c>
      <c r="C673" s="241" t="n">
        <v>0.091</v>
      </c>
      <c r="D673" s="2397" t="n"/>
      <c r="E673" s="2038">
        <f>ROUNDUP((SUM(E659:E660)*C673),0)</f>
        <v/>
      </c>
      <c r="I673" s="349" t="inlineStr">
        <is>
          <t>Sales Tax</t>
        </is>
      </c>
      <c r="J673" s="241" t="n">
        <v>0.091</v>
      </c>
      <c r="K673" s="2466" t="n"/>
      <c r="L673" s="2459">
        <f>ROUNDUP((SUM(L659:L660)*J673),0)</f>
        <v/>
      </c>
    </row>
    <row r="674">
      <c r="B674" s="349" t="inlineStr">
        <is>
          <t>TW Insurance</t>
        </is>
      </c>
      <c r="C674" s="365" t="n">
        <v>0.08</v>
      </c>
      <c r="D674" s="2397" t="n"/>
      <c r="E674" s="2038">
        <f>ROUNDUP(SUM(E667)*C674,0)</f>
        <v/>
      </c>
      <c r="I674" s="349" t="inlineStr">
        <is>
          <t>TW Insurance</t>
        </is>
      </c>
      <c r="J674" s="365" t="n">
        <v>0.08</v>
      </c>
      <c r="K674" s="2466" t="n"/>
      <c r="L674" s="2459">
        <f>ROUNDUP(SUM(L667)*J674,0)</f>
        <v/>
      </c>
    </row>
    <row r="675">
      <c r="B675" s="6" t="inlineStr">
        <is>
          <t>Fee</t>
        </is>
      </c>
      <c r="C675" s="122" t="n">
        <v>0.4</v>
      </c>
      <c r="D675" s="2282" t="n"/>
      <c r="E675" s="2038">
        <f>ROUNDUP(SUM(E670:E674)*C675,0)</f>
        <v/>
      </c>
      <c r="I675" s="349" t="inlineStr">
        <is>
          <t>Fee</t>
        </is>
      </c>
      <c r="J675" s="366" t="n">
        <v>0.4</v>
      </c>
      <c r="K675" s="2420" t="n"/>
      <c r="L675" s="2459">
        <f>ROUNDUP(SUM(L670:L674)*J675,0)</f>
        <v/>
      </c>
    </row>
    <row r="676">
      <c r="B676" s="6" t="inlineStr">
        <is>
          <t>Contingency</t>
        </is>
      </c>
      <c r="C676" s="122" t="n">
        <v>0</v>
      </c>
      <c r="D676" s="2282" t="n"/>
      <c r="E676" s="2038">
        <f>ROUNDUP(SUM(E670:E675)*C676,0)</f>
        <v/>
      </c>
      <c r="I676" s="349" t="inlineStr">
        <is>
          <t>Contingency</t>
        </is>
      </c>
      <c r="J676" s="366" t="n">
        <v>0.1</v>
      </c>
      <c r="K676" s="2420" t="n"/>
      <c r="L676" s="2459">
        <f>ROUNDUP(SUM(L670:L675)*J676,0)</f>
        <v/>
      </c>
    </row>
    <row r="677">
      <c r="B677" s="6" t="inlineStr">
        <is>
          <t>Kansas Remodel Tax</t>
        </is>
      </c>
      <c r="C677" s="241" t="n"/>
      <c r="D677" s="2282" t="n"/>
      <c r="E677" s="2038">
        <f>ROUNDUP(SUM(E667,E675:E676)*C677,0)</f>
        <v/>
      </c>
      <c r="I677" s="349" t="inlineStr">
        <is>
          <t>Kansas Remodel Tax</t>
        </is>
      </c>
      <c r="J677" s="43" t="n"/>
      <c r="K677" s="2420" t="n"/>
      <c r="L677" s="2459">
        <f>ROUNDUP(SUM(L667,L675:L676)*J677,0)</f>
        <v/>
      </c>
    </row>
    <row r="678">
      <c r="B678" s="6" t="inlineStr">
        <is>
          <t>Warranty Work</t>
        </is>
      </c>
      <c r="C678" s="241" t="n">
        <v>0.01</v>
      </c>
      <c r="D678" s="2282" t="n"/>
      <c r="E678" s="2038">
        <f>ROUNDUP(C678*SUM(E670:E677),0)</f>
        <v/>
      </c>
      <c r="I678" s="349" t="inlineStr">
        <is>
          <t>Warranty Work</t>
        </is>
      </c>
      <c r="J678" s="365" t="n">
        <v>0.01</v>
      </c>
      <c r="K678" s="2420" t="n"/>
      <c r="L678" s="2459">
        <f>ROUNDUP(J678*SUM(L670:L677),0)</f>
        <v/>
      </c>
    </row>
    <row r="679">
      <c r="B679" s="45" t="inlineStr">
        <is>
          <t>Bond</t>
        </is>
      </c>
      <c r="C679" s="46" t="n"/>
      <c r="D679" s="2314" t="n"/>
      <c r="E679" s="2400">
        <f>ROUNDUP(SUM(E670:E678)*C679,0)</f>
        <v/>
      </c>
      <c r="I679" s="324" t="inlineStr">
        <is>
          <t>Bond</t>
        </is>
      </c>
      <c r="J679" s="367" t="n"/>
      <c r="K679" s="2467" t="n"/>
      <c r="L679" s="2468">
        <f>ROUNDUP(SUM(L670:L678)*J679,0)</f>
        <v/>
      </c>
    </row>
    <row r="680">
      <c r="B680" s="1" t="n"/>
      <c r="C680" s="8" t="n"/>
      <c r="D680" s="2282" t="n"/>
      <c r="E680" s="2282" t="n"/>
      <c r="I680" s="43" t="n"/>
      <c r="J680" s="370" t="n"/>
      <c r="K680" s="2420" t="n"/>
      <c r="L680" s="2420" t="n"/>
    </row>
    <row r="681" ht="16.2" customHeight="1" thickBot="1">
      <c r="B681" s="1" t="n"/>
      <c r="C681" s="1" t="n"/>
      <c r="D681" s="2282" t="n"/>
      <c r="E681" s="2282" t="n"/>
      <c r="F681" s="51" t="inlineStr">
        <is>
          <t>per sf</t>
        </is>
      </c>
      <c r="I681" s="43" t="n"/>
      <c r="J681" s="43" t="n"/>
      <c r="K681" s="2420" t="n"/>
      <c r="L681" s="2420" t="n"/>
      <c r="M681" s="51" t="inlineStr">
        <is>
          <t>per sf</t>
        </is>
      </c>
      <c r="N681" s="51" t="n"/>
      <c r="O681" s="51" t="n"/>
      <c r="P681" s="51" t="n"/>
      <c r="Q681" s="51" t="n"/>
      <c r="R681" s="51" t="n"/>
      <c r="S681" s="51" t="n"/>
    </row>
    <row r="682" ht="16.2" customHeight="1" thickBot="1">
      <c r="B682" s="289" t="inlineStr">
        <is>
          <t>TOTAL</t>
        </is>
      </c>
      <c r="C682" s="290" t="n"/>
      <c r="D682" s="2412" t="n"/>
      <c r="E682" s="2404">
        <f>SUM(E670:E679)</f>
        <v/>
      </c>
      <c r="F682" s="2469">
        <f>E682/C663</f>
        <v/>
      </c>
      <c r="I682" s="372" t="inlineStr">
        <is>
          <t>TOTAL</t>
        </is>
      </c>
      <c r="J682" s="373" t="n"/>
      <c r="K682" s="2470" t="n"/>
      <c r="L682" s="2471">
        <f>SUM(L670:L679)</f>
        <v/>
      </c>
      <c r="M682" s="2469">
        <f>L682/J663</f>
        <v/>
      </c>
      <c r="N682" s="2469" t="n"/>
      <c r="O682" s="2469" t="n"/>
      <c r="P682" s="2469" t="n"/>
      <c r="Q682" s="2469" t="n"/>
      <c r="R682" s="2469" t="n"/>
      <c r="S682" s="2469" t="n"/>
    </row>
    <row r="686">
      <c r="B686" s="2374" t="inlineStr">
        <is>
          <t>Altenate  - Joint Filler 5,000 sf</t>
        </is>
      </c>
      <c r="C686" s="2350" t="n"/>
      <c r="D686" s="2350" t="n"/>
      <c r="E686" s="237" t="n"/>
      <c r="I686" s="2374" t="inlineStr">
        <is>
          <t>Altenate  - Joint Filler 1,000 sf</t>
        </is>
      </c>
      <c r="J686" s="2350" t="n"/>
      <c r="K686" s="2350" t="n"/>
      <c r="L686" s="237" t="n"/>
    </row>
    <row r="687">
      <c r="B687" s="5" t="inlineStr">
        <is>
          <t xml:space="preserve">MATERIAL - </t>
        </is>
      </c>
      <c r="C687" s="30" t="inlineStr">
        <is>
          <t>Quantity</t>
        </is>
      </c>
      <c r="D687" s="30" t="inlineStr">
        <is>
          <t>Cost</t>
        </is>
      </c>
      <c r="E687" s="31" t="inlineStr">
        <is>
          <t>Total</t>
        </is>
      </c>
      <c r="I687" s="5" t="inlineStr">
        <is>
          <t xml:space="preserve">MATERIAL - </t>
        </is>
      </c>
      <c r="J687" s="30" t="inlineStr">
        <is>
          <t>Quantity</t>
        </is>
      </c>
      <c r="K687" s="30" t="inlineStr">
        <is>
          <t>Cost</t>
        </is>
      </c>
      <c r="L687" s="31" t="inlineStr">
        <is>
          <t>Total</t>
        </is>
      </c>
    </row>
    <row r="688">
      <c r="B688" s="1892" t="inlineStr">
        <is>
          <t>Joint Filler</t>
        </is>
      </c>
      <c r="C688" s="1892">
        <f>0.145*5000</f>
        <v/>
      </c>
      <c r="D688" s="2312" t="n">
        <v>1.15</v>
      </c>
      <c r="E688" s="2308">
        <f>C688*D688</f>
        <v/>
      </c>
      <c r="F688" t="inlineStr">
        <is>
          <t>**14.5% of SF</t>
        </is>
      </c>
      <c r="I688" s="44" t="inlineStr">
        <is>
          <t>Joint Filler</t>
        </is>
      </c>
      <c r="J688" s="1892">
        <f>0.2*1000</f>
        <v/>
      </c>
      <c r="K688" s="2312" t="n">
        <v>1.15</v>
      </c>
      <c r="L688" s="2308">
        <f>J688*K688</f>
        <v/>
      </c>
      <c r="M688" t="inlineStr">
        <is>
          <t>**20% of SF</t>
        </is>
      </c>
    </row>
    <row r="689">
      <c r="B689" s="1892" t="n"/>
      <c r="C689" s="1892" t="n"/>
      <c r="D689" s="2312" t="n"/>
      <c r="E689" s="2308">
        <f>C689*D689</f>
        <v/>
      </c>
      <c r="I689" s="44" t="n"/>
      <c r="J689" s="1892" t="n"/>
      <c r="K689" s="2312" t="n"/>
      <c r="L689" s="2308">
        <f>J689*K689</f>
        <v/>
      </c>
    </row>
    <row r="690">
      <c r="B690" s="1892" t="n"/>
      <c r="C690" s="1892" t="n"/>
      <c r="D690" s="2312" t="n"/>
      <c r="E690" s="2308">
        <f>C690*D690</f>
        <v/>
      </c>
      <c r="I690" s="44" t="n"/>
      <c r="J690" s="1892" t="n"/>
      <c r="K690" s="2312" t="n"/>
      <c r="L690" s="2308">
        <f>J690*K690</f>
        <v/>
      </c>
    </row>
    <row r="691">
      <c r="B691" s="322" t="n"/>
      <c r="C691" s="323" t="n"/>
      <c r="D691" s="2332" t="n"/>
      <c r="E691" s="2333">
        <f>C691*D691</f>
        <v/>
      </c>
      <c r="I691" s="45" t="n"/>
      <c r="J691" s="323" t="n"/>
      <c r="K691" s="2332" t="n"/>
      <c r="L691" s="2333">
        <f>J691*K691</f>
        <v/>
      </c>
    </row>
    <row r="692">
      <c r="B692" s="17" t="inlineStr">
        <is>
          <t>Material Sub Total</t>
        </is>
      </c>
      <c r="C692" s="35" t="n"/>
      <c r="D692" s="2382" t="n"/>
      <c r="E692" s="2335">
        <f>ROUNDUP(SUM(E688:E691),0)</f>
        <v/>
      </c>
      <c r="I692" s="17" t="inlineStr">
        <is>
          <t>Material Sub Total</t>
        </is>
      </c>
      <c r="J692" s="35" t="n"/>
      <c r="K692" s="2382" t="n"/>
      <c r="L692" s="2335">
        <f>ROUNDUP(SUM(L688:L691),0)</f>
        <v/>
      </c>
    </row>
    <row r="693">
      <c r="B693" s="20" t="inlineStr">
        <is>
          <t>Material Overage</t>
        </is>
      </c>
      <c r="C693" s="270" t="n">
        <v>0.1</v>
      </c>
      <c r="D693" s="2283" t="n"/>
      <c r="E693" s="2383">
        <f>ROUNDUP(E692*C693,0)</f>
        <v/>
      </c>
      <c r="I693" s="20" t="inlineStr">
        <is>
          <t>Material Overage</t>
        </is>
      </c>
      <c r="J693" s="270" t="n">
        <v>0.15</v>
      </c>
      <c r="K693" s="2283" t="n"/>
      <c r="L693" s="2383">
        <f>ROUNDUP(L692*J693,0)</f>
        <v/>
      </c>
    </row>
    <row r="694">
      <c r="B694" s="10" t="inlineStr">
        <is>
          <t>Material Total</t>
        </is>
      </c>
      <c r="C694" s="36" t="n"/>
      <c r="D694" s="2339" t="n"/>
      <c r="E694" s="2340">
        <f>SUM(E692:E693)</f>
        <v/>
      </c>
      <c r="I694" s="10" t="inlineStr">
        <is>
          <t>Material Total</t>
        </is>
      </c>
      <c r="J694" s="36" t="n"/>
      <c r="K694" s="2339" t="n"/>
      <c r="L694" s="2340">
        <f>SUM(L692:L693)</f>
        <v/>
      </c>
    </row>
    <row r="695">
      <c r="B695" s="39" t="inlineStr">
        <is>
          <t>Shipping</t>
        </is>
      </c>
      <c r="C695" s="40" t="n">
        <v>0</v>
      </c>
      <c r="D695" s="2384" t="n"/>
      <c r="E695" s="2338">
        <f>ROUNDUP(E692*C695,0)</f>
        <v/>
      </c>
      <c r="I695" s="39" t="inlineStr">
        <is>
          <t>Shipping</t>
        </is>
      </c>
      <c r="J695" s="40" t="n">
        <v>0</v>
      </c>
      <c r="K695" s="2384" t="n"/>
      <c r="L695" s="2338">
        <f>ROUNDUP(L692*J695,0)</f>
        <v/>
      </c>
    </row>
    <row r="696">
      <c r="B696" s="1" t="n"/>
      <c r="C696" s="1892" t="n"/>
      <c r="D696" s="2282" t="n"/>
      <c r="E696" s="2282" t="n"/>
      <c r="I696" s="1" t="n"/>
      <c r="J696" s="1892" t="n"/>
      <c r="K696" s="2282" t="n"/>
      <c r="L696" s="2282" t="n"/>
    </row>
    <row r="697">
      <c r="B697" s="5" t="inlineStr">
        <is>
          <t>LABOR</t>
        </is>
      </c>
      <c r="C697" s="30" t="inlineStr">
        <is>
          <t>Quantity</t>
        </is>
      </c>
      <c r="D697" s="11" t="inlineStr">
        <is>
          <t>Cost</t>
        </is>
      </c>
      <c r="E697" s="2457" t="inlineStr">
        <is>
          <t>Total</t>
        </is>
      </c>
      <c r="I697" s="5" t="inlineStr">
        <is>
          <t>LABOR</t>
        </is>
      </c>
      <c r="J697" s="30" t="inlineStr">
        <is>
          <t>Quantity</t>
        </is>
      </c>
      <c r="K697" s="11" t="inlineStr">
        <is>
          <t>Cost</t>
        </is>
      </c>
      <c r="L697" s="2457" t="inlineStr">
        <is>
          <t>Total</t>
        </is>
      </c>
    </row>
    <row r="698">
      <c r="B698" s="6" t="inlineStr">
        <is>
          <t>Joint Filler LF</t>
        </is>
      </c>
      <c r="C698" s="37">
        <f>C688</f>
        <v/>
      </c>
      <c r="D698" s="350" t="n">
        <v>0.994</v>
      </c>
      <c r="E698" s="2038" t="n"/>
      <c r="I698" s="6" t="inlineStr">
        <is>
          <t>Joint Filler LF</t>
        </is>
      </c>
      <c r="J698" s="37" t="n">
        <v>200</v>
      </c>
      <c r="K698" s="2282" t="n">
        <v>1.2</v>
      </c>
      <c r="L698" s="2038" t="n"/>
    </row>
    <row r="699">
      <c r="B699" s="354" t="inlineStr">
        <is>
          <t>Guys</t>
        </is>
      </c>
      <c r="C699" s="355" t="inlineStr">
        <is>
          <t>Days</t>
        </is>
      </c>
      <c r="D699" s="2460" t="inlineStr">
        <is>
          <t>Rate</t>
        </is>
      </c>
      <c r="E699" s="2461" t="n"/>
      <c r="I699" s="354" t="inlineStr">
        <is>
          <t>Guys</t>
        </is>
      </c>
      <c r="J699" s="355" t="inlineStr">
        <is>
          <t>Days</t>
        </is>
      </c>
      <c r="K699" s="2460" t="inlineStr">
        <is>
          <t>Rate</t>
        </is>
      </c>
      <c r="L699" s="2461" t="n"/>
    </row>
    <row r="700">
      <c r="B700" s="44" t="n">
        <v>4</v>
      </c>
      <c r="C700" s="154" t="n">
        <v>0.75</v>
      </c>
      <c r="D700" s="2282" t="n">
        <v>30</v>
      </c>
      <c r="E700" s="2038">
        <f>ROUNDUP(B700*C700*D700,0)*8</f>
        <v/>
      </c>
      <c r="I700" s="44" t="n">
        <v>2</v>
      </c>
      <c r="J700" s="154" t="n">
        <v>0.5</v>
      </c>
      <c r="K700" s="2282" t="n">
        <v>30</v>
      </c>
      <c r="L700" s="2038">
        <f>ROUNDUP(I700*J700*K700,0)*8</f>
        <v/>
      </c>
    </row>
    <row r="701">
      <c r="B701" s="6" t="n"/>
      <c r="C701" s="37" t="n"/>
      <c r="D701" s="2282" t="n"/>
      <c r="E701" s="2038">
        <f>ROUNDUP(B701*C701*D701,0)*8</f>
        <v/>
      </c>
      <c r="I701" s="6" t="n"/>
      <c r="J701" s="37" t="n"/>
      <c r="K701" s="2282" t="n"/>
      <c r="L701" s="2038">
        <f>ROUNDUP(I701*J701*K701,0)*8</f>
        <v/>
      </c>
    </row>
    <row r="702">
      <c r="B702" s="10" t="inlineStr">
        <is>
          <t>Labor Total</t>
        </is>
      </c>
      <c r="C702" s="36" t="n"/>
      <c r="D702" s="2339" t="n"/>
      <c r="E702" s="2340">
        <f>SUM(E698:E701)</f>
        <v/>
      </c>
      <c r="I702" s="10" t="inlineStr">
        <is>
          <t>Labor Total</t>
        </is>
      </c>
      <c r="J702" s="36" t="n"/>
      <c r="K702" s="2339" t="n"/>
      <c r="L702" s="2340">
        <f>SUM(L698:L701)</f>
        <v/>
      </c>
    </row>
    <row r="703">
      <c r="B703" s="1" t="n"/>
      <c r="C703" s="1892" t="n"/>
      <c r="D703" s="2282" t="n"/>
      <c r="E703" s="2282" t="n"/>
      <c r="I703" s="1" t="n"/>
      <c r="J703" s="1892" t="n"/>
      <c r="K703" s="2282" t="n"/>
      <c r="L703" s="2282" t="n"/>
    </row>
    <row r="704">
      <c r="B704" s="1" t="n"/>
      <c r="C704" s="1892" t="n"/>
      <c r="D704" s="2282" t="n"/>
      <c r="E704" s="2282" t="n"/>
      <c r="I704" s="1" t="n"/>
      <c r="J704" s="1892" t="n"/>
      <c r="K704" s="2282" t="n"/>
      <c r="L704" s="2282" t="n"/>
    </row>
    <row r="705">
      <c r="B705" s="280" t="inlineStr">
        <is>
          <t>SUB-TOTAL COSTS</t>
        </is>
      </c>
      <c r="C705" s="281" t="n"/>
      <c r="D705" s="2393" t="n"/>
      <c r="E705" s="2394">
        <f>SUM(E694,E702,E695)</f>
        <v/>
      </c>
      <c r="I705" s="280" t="inlineStr">
        <is>
          <t>SUB-TOTAL COSTS</t>
        </is>
      </c>
      <c r="J705" s="281" t="n"/>
      <c r="K705" s="2393" t="n"/>
      <c r="L705" s="2394">
        <f>SUM(L694,L702,L695)</f>
        <v/>
      </c>
    </row>
    <row r="706">
      <c r="B706" s="1" t="n"/>
      <c r="C706" s="1892" t="n"/>
      <c r="D706" s="2282" t="n"/>
      <c r="E706" s="2282" t="n"/>
      <c r="I706" s="1" t="n"/>
      <c r="J706" s="1892" t="n"/>
      <c r="K706" s="2282" t="n"/>
      <c r="L706" s="2282" t="n"/>
    </row>
    <row r="707">
      <c r="B707" s="5" t="inlineStr">
        <is>
          <t>MARKUP</t>
        </is>
      </c>
      <c r="C707" s="30" t="inlineStr">
        <is>
          <t>%</t>
        </is>
      </c>
      <c r="D707" s="2395" t="n"/>
      <c r="E707" s="2019" t="n"/>
      <c r="I707" s="5" t="inlineStr">
        <is>
          <t>MARKUP</t>
        </is>
      </c>
      <c r="J707" s="30" t="inlineStr">
        <is>
          <t>%</t>
        </is>
      </c>
      <c r="K707" s="2395" t="n"/>
      <c r="L707" s="2019" t="n"/>
    </row>
    <row r="708">
      <c r="B708" s="6" t="inlineStr">
        <is>
          <t>Sales Tax</t>
        </is>
      </c>
      <c r="C708" s="241" t="n">
        <v>0.091</v>
      </c>
      <c r="D708" s="2397" t="n"/>
      <c r="E708" s="2038">
        <f>ROUNDUP((SUM(E694:E695)*C708),0)</f>
        <v/>
      </c>
      <c r="I708" s="6" t="inlineStr">
        <is>
          <t>Sales Tax</t>
        </is>
      </c>
      <c r="J708" s="241" t="n">
        <v>0.091</v>
      </c>
      <c r="K708" s="2397" t="n"/>
      <c r="L708" s="2038">
        <f>ROUNDUP((SUM(L694:L695)*J708),0)</f>
        <v/>
      </c>
    </row>
    <row r="709">
      <c r="B709" s="349" t="inlineStr">
        <is>
          <t>TW Insurance</t>
        </is>
      </c>
      <c r="C709" s="365" t="n">
        <v>0.08</v>
      </c>
      <c r="D709" s="2397" t="n"/>
      <c r="E709" s="2038">
        <f>ROUNDUP(SUM(E702)*C709,0)</f>
        <v/>
      </c>
      <c r="I709" s="349" t="inlineStr">
        <is>
          <t>TW Insurance</t>
        </is>
      </c>
      <c r="J709" s="365" t="n">
        <v>0.08</v>
      </c>
      <c r="K709" s="2397" t="n"/>
      <c r="L709" s="2038">
        <f>ROUNDUP(SUM(L702)*J709,0)</f>
        <v/>
      </c>
    </row>
    <row r="710">
      <c r="B710" s="6" t="inlineStr">
        <is>
          <t>Fee</t>
        </is>
      </c>
      <c r="C710" s="122" t="n">
        <v>0.4</v>
      </c>
      <c r="D710" s="2282" t="n"/>
      <c r="E710" s="2038">
        <f>ROUNDUP(SUM(E705:E709)*C710,0)</f>
        <v/>
      </c>
      <c r="I710" s="6" t="inlineStr">
        <is>
          <t>Fee</t>
        </is>
      </c>
      <c r="J710" s="122" t="n">
        <v>0.4</v>
      </c>
      <c r="K710" s="2282" t="n"/>
      <c r="L710" s="2038">
        <f>ROUNDUP(SUM(L705:L709)*J710,0)</f>
        <v/>
      </c>
    </row>
    <row r="711">
      <c r="B711" s="6" t="inlineStr">
        <is>
          <t>Contingency</t>
        </is>
      </c>
      <c r="C711" s="122" t="n">
        <v>0</v>
      </c>
      <c r="D711" s="2282" t="n"/>
      <c r="E711" s="2038">
        <f>ROUNDUP(SUM(E705:E710)*C711,0)</f>
        <v/>
      </c>
      <c r="I711" s="6" t="inlineStr">
        <is>
          <t>Contingency</t>
        </is>
      </c>
      <c r="J711" s="122" t="n">
        <v>0</v>
      </c>
      <c r="K711" s="2282" t="n"/>
      <c r="L711" s="2038">
        <f>ROUNDUP(SUM(L705:L710)*J711,0)</f>
        <v/>
      </c>
    </row>
    <row r="712">
      <c r="B712" s="6" t="inlineStr">
        <is>
          <t>Kansas Remodel Tax</t>
        </is>
      </c>
      <c r="C712" s="241" t="n"/>
      <c r="D712" s="2282" t="n"/>
      <c r="E712" s="2038">
        <f>ROUNDUP(SUM(E702,E710:E711)*C712,0)</f>
        <v/>
      </c>
      <c r="I712" s="6" t="inlineStr">
        <is>
          <t>Kansas Remodel Tax</t>
        </is>
      </c>
      <c r="J712" s="241" t="n"/>
      <c r="K712" s="2282" t="n"/>
      <c r="L712" s="2038">
        <f>ROUNDUP(SUM(L702,L710:L711)*J712,0)</f>
        <v/>
      </c>
    </row>
    <row r="713">
      <c r="B713" s="6" t="inlineStr">
        <is>
          <t>Warranty Work</t>
        </is>
      </c>
      <c r="C713" s="241" t="n">
        <v>0.01</v>
      </c>
      <c r="D713" s="2282" t="n"/>
      <c r="E713" s="2038">
        <f>ROUNDUP(C713*SUM(E705:E712),0)</f>
        <v/>
      </c>
      <c r="I713" s="6" t="inlineStr">
        <is>
          <t>Warranty Work</t>
        </is>
      </c>
      <c r="J713" s="241" t="n">
        <v>0.01</v>
      </c>
      <c r="K713" s="2282" t="n"/>
      <c r="L713" s="2038">
        <f>ROUNDUP(J713*SUM(L705:L712),0)</f>
        <v/>
      </c>
    </row>
    <row r="714">
      <c r="B714" s="45" t="inlineStr">
        <is>
          <t>Bond</t>
        </is>
      </c>
      <c r="C714" s="46" t="n"/>
      <c r="D714" s="2314" t="n"/>
      <c r="E714" s="2400">
        <f>ROUNDUP(SUM(E705:E713)*C714,0)</f>
        <v/>
      </c>
      <c r="F714" s="51" t="inlineStr">
        <is>
          <t>per sf</t>
        </is>
      </c>
      <c r="I714" s="45" t="inlineStr">
        <is>
          <t>Bond</t>
        </is>
      </c>
      <c r="J714" s="46" t="n"/>
      <c r="K714" s="2314" t="n"/>
      <c r="L714" s="2400">
        <f>ROUNDUP(SUM(L705:L713)*J714,0)</f>
        <v/>
      </c>
      <c r="M714" s="51" t="inlineStr">
        <is>
          <t>per sf</t>
        </is>
      </c>
    </row>
    <row r="715">
      <c r="B715" s="1" t="n"/>
      <c r="C715" s="8" t="n"/>
      <c r="D715" s="2282" t="n"/>
      <c r="E715" s="2282" t="n"/>
      <c r="F715" s="2469">
        <f>E717/5000</f>
        <v/>
      </c>
      <c r="I715" s="1" t="n"/>
      <c r="J715" s="8" t="n"/>
      <c r="K715" s="2282" t="n"/>
      <c r="L715" s="2282" t="n"/>
      <c r="M715" s="2469">
        <f>L717/1000</f>
        <v/>
      </c>
    </row>
    <row r="716" ht="16.2" customHeight="1" thickBot="1">
      <c r="B716" s="1" t="n"/>
      <c r="C716" s="1" t="n"/>
      <c r="D716" s="2282" t="n"/>
      <c r="E716" s="2282" t="n"/>
      <c r="F716" s="51" t="inlineStr">
        <is>
          <t>per lf</t>
        </is>
      </c>
      <c r="I716" s="1" t="n"/>
      <c r="J716" s="1" t="n"/>
      <c r="K716" s="2282" t="n"/>
      <c r="L716" s="2282" t="n"/>
      <c r="M716" s="51" t="inlineStr">
        <is>
          <t>per lf</t>
        </is>
      </c>
    </row>
    <row r="717" ht="16.2" customHeight="1" thickBot="1">
      <c r="B717" s="289" t="inlineStr">
        <is>
          <t>TOTAL</t>
        </is>
      </c>
      <c r="C717" s="290" t="n"/>
      <c r="D717" s="2412" t="n"/>
      <c r="E717" s="2404">
        <f>SUM(E705:E714)</f>
        <v/>
      </c>
      <c r="F717" s="2469">
        <f>E717/C698</f>
        <v/>
      </c>
      <c r="I717" s="289" t="inlineStr">
        <is>
          <t>TOTAL</t>
        </is>
      </c>
      <c r="J717" s="290" t="n"/>
      <c r="K717" s="2412" t="n"/>
      <c r="L717" s="2404">
        <f>SUM(L705:L714)</f>
        <v/>
      </c>
      <c r="M717" s="2469">
        <f>L717/J698</f>
        <v/>
      </c>
    </row>
    <row r="720">
      <c r="B720" s="2374" t="inlineStr">
        <is>
          <t>Mobilization In Town</t>
        </is>
      </c>
      <c r="C720" s="2350" t="n"/>
      <c r="D720" s="2350" t="n"/>
      <c r="E720" s="237" t="n"/>
      <c r="I720" s="2374" t="inlineStr">
        <is>
          <t>Mobilization - 120 miles</t>
        </is>
      </c>
      <c r="J720" s="2350" t="n"/>
      <c r="K720" s="2350" t="n"/>
      <c r="L720" s="237" t="n"/>
      <c r="O720" s="2374" t="inlineStr">
        <is>
          <t>Mobilization - 200 miles</t>
        </is>
      </c>
      <c r="P720" s="2350" t="n"/>
      <c r="Q720" s="2350" t="n"/>
      <c r="R720" s="237" t="n"/>
    </row>
    <row r="721">
      <c r="B721" s="5" t="inlineStr">
        <is>
          <t xml:space="preserve">MATERIAL - </t>
        </is>
      </c>
      <c r="C721" s="30" t="inlineStr">
        <is>
          <t>Quantity</t>
        </is>
      </c>
      <c r="D721" s="30" t="inlineStr">
        <is>
          <t>Cost</t>
        </is>
      </c>
      <c r="E721" s="31" t="inlineStr">
        <is>
          <t>Total</t>
        </is>
      </c>
      <c r="I721" s="5" t="inlineStr">
        <is>
          <t xml:space="preserve">MATERIAL - </t>
        </is>
      </c>
      <c r="J721" s="30" t="inlineStr">
        <is>
          <t>Quantity</t>
        </is>
      </c>
      <c r="K721" s="30" t="inlineStr">
        <is>
          <t>Cost</t>
        </is>
      </c>
      <c r="L721" s="31" t="inlineStr">
        <is>
          <t>Total</t>
        </is>
      </c>
      <c r="O721" s="5" t="inlineStr">
        <is>
          <t xml:space="preserve">MATERIAL - </t>
        </is>
      </c>
      <c r="P721" s="30" t="inlineStr">
        <is>
          <t>Quantity</t>
        </is>
      </c>
      <c r="Q721" s="30" t="inlineStr">
        <is>
          <t>Cost</t>
        </is>
      </c>
      <c r="R721" s="31" t="inlineStr">
        <is>
          <t>Total</t>
        </is>
      </c>
    </row>
    <row r="722">
      <c r="B722" s="1892" t="n"/>
      <c r="C722" s="1892" t="n"/>
      <c r="D722" s="2312" t="n"/>
      <c r="E722" s="2308">
        <f>C722*D722</f>
        <v/>
      </c>
      <c r="I722" s="44" t="inlineStr">
        <is>
          <t>JM Mileage</t>
        </is>
      </c>
      <c r="J722" s="1892" t="n">
        <v>240</v>
      </c>
      <c r="K722" s="2312" t="n">
        <v>0.6</v>
      </c>
      <c r="L722" s="2308">
        <f>J722*K722</f>
        <v/>
      </c>
      <c r="O722" s="44" t="inlineStr">
        <is>
          <t>JM Mileage</t>
        </is>
      </c>
      <c r="P722" s="1892" t="n">
        <v>400</v>
      </c>
      <c r="Q722" s="2312" t="n">
        <v>0.6</v>
      </c>
      <c r="R722" s="2308">
        <f>P722*Q722</f>
        <v/>
      </c>
    </row>
    <row r="723">
      <c r="B723" s="1892" t="n"/>
      <c r="C723" s="1892" t="n"/>
      <c r="D723" s="2312" t="n"/>
      <c r="E723" s="2308">
        <f>C723*D723</f>
        <v/>
      </c>
      <c r="I723" s="44" t="inlineStr">
        <is>
          <t>Hotel</t>
        </is>
      </c>
      <c r="J723" s="1892" t="n">
        <v>1</v>
      </c>
      <c r="K723" s="2312" t="n">
        <v>1000</v>
      </c>
      <c r="L723" s="2308">
        <f>J723*K723</f>
        <v/>
      </c>
      <c r="O723" s="44" t="inlineStr">
        <is>
          <t>Hotel</t>
        </is>
      </c>
      <c r="P723" s="1892" t="n">
        <v>1</v>
      </c>
      <c r="Q723" s="2312" t="n">
        <v>1000</v>
      </c>
      <c r="R723" s="2308">
        <f>P723*Q723</f>
        <v/>
      </c>
    </row>
    <row r="724">
      <c r="B724" s="1892" t="n"/>
      <c r="C724" s="1892" t="n"/>
      <c r="D724" s="2312" t="n"/>
      <c r="E724" s="2308">
        <f>C724*D724</f>
        <v/>
      </c>
      <c r="I724" s="44" t="n"/>
      <c r="J724" s="1892" t="n"/>
      <c r="K724" s="2312" t="n"/>
      <c r="L724" s="2308">
        <f>J724*K724</f>
        <v/>
      </c>
      <c r="O724" s="44" t="n"/>
      <c r="P724" s="1892" t="n"/>
      <c r="Q724" s="2312" t="n"/>
      <c r="R724" s="2308">
        <f>P724*Q724</f>
        <v/>
      </c>
    </row>
    <row r="725">
      <c r="B725" s="322" t="n"/>
      <c r="C725" s="323" t="n"/>
      <c r="D725" s="2332" t="n"/>
      <c r="E725" s="2333">
        <f>C725*D725</f>
        <v/>
      </c>
      <c r="I725" s="322" t="n"/>
      <c r="J725" s="323" t="n"/>
      <c r="K725" s="2332" t="n"/>
      <c r="L725" s="2333">
        <f>J725*K725</f>
        <v/>
      </c>
      <c r="O725" s="322" t="n"/>
      <c r="P725" s="323" t="n"/>
      <c r="Q725" s="2332" t="n"/>
      <c r="R725" s="2333">
        <f>P725*Q725</f>
        <v/>
      </c>
    </row>
    <row r="726">
      <c r="B726" s="17" t="inlineStr">
        <is>
          <t>Material Sub Total</t>
        </is>
      </c>
      <c r="C726" s="35" t="n"/>
      <c r="D726" s="2382" t="n"/>
      <c r="E726" s="2335">
        <f>ROUNDUP(SUM(E722:E725),0)</f>
        <v/>
      </c>
      <c r="I726" s="17" t="inlineStr">
        <is>
          <t>Material Sub Total</t>
        </is>
      </c>
      <c r="J726" s="35" t="n"/>
      <c r="K726" s="2382" t="n"/>
      <c r="L726" s="2335">
        <f>ROUNDUP(SUM(L722:L725),0)</f>
        <v/>
      </c>
      <c r="O726" s="17" t="inlineStr">
        <is>
          <t>Material Sub Total</t>
        </is>
      </c>
      <c r="P726" s="35" t="n"/>
      <c r="Q726" s="2382" t="n"/>
      <c r="R726" s="2335">
        <f>ROUNDUP(SUM(R722:R725),0)</f>
        <v/>
      </c>
    </row>
    <row r="727">
      <c r="B727" s="20" t="inlineStr">
        <is>
          <t>Material Overage</t>
        </is>
      </c>
      <c r="C727" s="270" t="n">
        <v>0</v>
      </c>
      <c r="D727" s="2283" t="n"/>
      <c r="E727" s="2383">
        <f>ROUNDUP(E726*C727,0)</f>
        <v/>
      </c>
      <c r="I727" s="20" t="inlineStr">
        <is>
          <t>Material Overage</t>
        </is>
      </c>
      <c r="J727" s="270" t="n">
        <v>0</v>
      </c>
      <c r="K727" s="2283" t="n"/>
      <c r="L727" s="2383">
        <f>ROUNDUP(L726*J727,0)</f>
        <v/>
      </c>
      <c r="O727" s="20" t="inlineStr">
        <is>
          <t>Material Overage</t>
        </is>
      </c>
      <c r="P727" s="270" t="n">
        <v>0</v>
      </c>
      <c r="Q727" s="2283" t="n"/>
      <c r="R727" s="2383">
        <f>ROUNDUP(R726*P727,0)</f>
        <v/>
      </c>
    </row>
    <row r="728">
      <c r="B728" s="10" t="inlineStr">
        <is>
          <t>Material Total</t>
        </is>
      </c>
      <c r="C728" s="36" t="n"/>
      <c r="D728" s="2339" t="n"/>
      <c r="E728" s="2340">
        <f>SUM(E726:E727)</f>
        <v/>
      </c>
      <c r="I728" s="10" t="inlineStr">
        <is>
          <t>Material Total</t>
        </is>
      </c>
      <c r="J728" s="36" t="n"/>
      <c r="K728" s="2339" t="n"/>
      <c r="L728" s="2340">
        <f>SUM(L726:L727)</f>
        <v/>
      </c>
      <c r="O728" s="10" t="inlineStr">
        <is>
          <t>Material Total</t>
        </is>
      </c>
      <c r="P728" s="36" t="n"/>
      <c r="Q728" s="2339" t="n"/>
      <c r="R728" s="2340">
        <f>SUM(R726:R727)</f>
        <v/>
      </c>
    </row>
    <row r="729">
      <c r="B729" s="39" t="inlineStr">
        <is>
          <t>Shipping</t>
        </is>
      </c>
      <c r="C729" s="40" t="n">
        <v>0.1</v>
      </c>
      <c r="D729" s="2384" t="n"/>
      <c r="E729" s="2338">
        <f>ROUNDUP(E726*C729,0)</f>
        <v/>
      </c>
      <c r="I729" s="39" t="inlineStr">
        <is>
          <t>Shipping</t>
        </is>
      </c>
      <c r="J729" s="40" t="n">
        <v>0</v>
      </c>
      <c r="K729" s="2384" t="n"/>
      <c r="L729" s="2338">
        <f>ROUNDUP(L726*J729,0)</f>
        <v/>
      </c>
      <c r="O729" s="39" t="inlineStr">
        <is>
          <t>Shipping</t>
        </is>
      </c>
      <c r="P729" s="40" t="n">
        <v>0</v>
      </c>
      <c r="Q729" s="2384" t="n"/>
      <c r="R729" s="2338">
        <f>ROUNDUP(R726*P729,0)</f>
        <v/>
      </c>
    </row>
    <row r="730">
      <c r="B730" s="1" t="n"/>
      <c r="C730" s="1892" t="n"/>
      <c r="D730" s="2282" t="n"/>
      <c r="E730" s="2282" t="n"/>
      <c r="I730" s="1" t="n"/>
      <c r="J730" s="1892" t="n"/>
      <c r="K730" s="2282" t="n"/>
      <c r="L730" s="2282" t="n"/>
      <c r="O730" s="1" t="n"/>
      <c r="P730" s="1892" t="n"/>
      <c r="Q730" s="2282" t="n"/>
      <c r="R730" s="2282" t="n"/>
    </row>
    <row r="731">
      <c r="B731" s="5" t="inlineStr">
        <is>
          <t>LABOR</t>
        </is>
      </c>
      <c r="C731" s="30" t="inlineStr">
        <is>
          <t>Quantity</t>
        </is>
      </c>
      <c r="D731" s="11" t="inlineStr">
        <is>
          <t>Cost</t>
        </is>
      </c>
      <c r="E731" s="2457" t="inlineStr">
        <is>
          <t>Total</t>
        </is>
      </c>
      <c r="I731" s="5" t="inlineStr">
        <is>
          <t>LABOR</t>
        </is>
      </c>
      <c r="J731" s="30" t="inlineStr">
        <is>
          <t>Quantity</t>
        </is>
      </c>
      <c r="K731" s="11" t="inlineStr">
        <is>
          <t>Cost</t>
        </is>
      </c>
      <c r="L731" s="2457" t="inlineStr">
        <is>
          <t>Total</t>
        </is>
      </c>
      <c r="O731" s="5" t="inlineStr">
        <is>
          <t>LABOR</t>
        </is>
      </c>
      <c r="P731" s="30" t="inlineStr">
        <is>
          <t>Quantity</t>
        </is>
      </c>
      <c r="Q731" s="11" t="inlineStr">
        <is>
          <t>Cost</t>
        </is>
      </c>
      <c r="R731" s="2457" t="inlineStr">
        <is>
          <t>Total</t>
        </is>
      </c>
    </row>
    <row r="732">
      <c r="B732" s="6" t="inlineStr">
        <is>
          <t>Crew Time - 0.75 day</t>
        </is>
      </c>
      <c r="C732" s="37">
        <f>3*6</f>
        <v/>
      </c>
      <c r="D732" s="2282" t="n">
        <v>30</v>
      </c>
      <c r="E732" s="2038">
        <f>ROUNDUP(C732*D732,0)</f>
        <v/>
      </c>
      <c r="I732" s="6" t="inlineStr">
        <is>
          <t>Crew Time - 1 day</t>
        </is>
      </c>
      <c r="J732" s="37">
        <f>3*8</f>
        <v/>
      </c>
      <c r="K732" s="2282" t="n">
        <v>30</v>
      </c>
      <c r="L732" s="2038">
        <f>ROUNDUP(J732*K732,0)</f>
        <v/>
      </c>
      <c r="O732" s="6" t="inlineStr">
        <is>
          <t>Crew Time - 2 days</t>
        </is>
      </c>
      <c r="P732" s="37">
        <f>3*16</f>
        <v/>
      </c>
      <c r="Q732" s="2282" t="n">
        <v>30</v>
      </c>
      <c r="R732" s="2038">
        <f>ROUNDUP(P732*Q732,0)</f>
        <v/>
      </c>
    </row>
    <row r="733">
      <c r="B733" s="6" t="inlineStr">
        <is>
          <t>Install Time</t>
        </is>
      </c>
      <c r="C733" s="37">
        <f>3*3</f>
        <v/>
      </c>
      <c r="D733" s="2282" t="n">
        <v>30</v>
      </c>
      <c r="E733" s="2038">
        <f>ROUNDUP(C733*D733*8,0)</f>
        <v/>
      </c>
      <c r="I733" s="6" t="inlineStr">
        <is>
          <t>Install Time</t>
        </is>
      </c>
      <c r="J733" s="37">
        <f>3*5</f>
        <v/>
      </c>
      <c r="K733" s="2282" t="n">
        <v>30</v>
      </c>
      <c r="L733" s="2038">
        <f>ROUNDUP(J733*K733*8,0)</f>
        <v/>
      </c>
      <c r="O733" s="6" t="inlineStr">
        <is>
          <t>Install Time</t>
        </is>
      </c>
      <c r="P733" s="37">
        <f>3*5</f>
        <v/>
      </c>
      <c r="Q733" s="2282" t="n">
        <v>30</v>
      </c>
      <c r="R733" s="2038">
        <f>ROUNDUP(P733*Q733*8,0)</f>
        <v/>
      </c>
    </row>
    <row r="734">
      <c r="B734" s="376" t="inlineStr">
        <is>
          <t>Any additional for phasing?</t>
        </is>
      </c>
      <c r="C734" s="377" t="n"/>
      <c r="D734" s="2282" t="n"/>
      <c r="E734" s="2038">
        <f>ROUNDUP(C734*D734,0)</f>
        <v/>
      </c>
      <c r="I734" s="376" t="inlineStr">
        <is>
          <t>Any additional for phasing?</t>
        </is>
      </c>
      <c r="J734" s="377" t="n"/>
      <c r="K734" s="2282" t="n"/>
      <c r="L734" s="2038">
        <f>ROUNDUP(J734*K734,0)</f>
        <v/>
      </c>
      <c r="O734" s="376" t="inlineStr">
        <is>
          <t>Any additional for phasing?</t>
        </is>
      </c>
      <c r="P734" s="377" t="n"/>
      <c r="Q734" s="2282" t="n"/>
      <c r="R734" s="2038">
        <f>ROUNDUP(P734*Q734,0)</f>
        <v/>
      </c>
    </row>
    <row r="735">
      <c r="B735" s="6" t="n"/>
      <c r="C735" s="37" t="n"/>
      <c r="D735" s="2282" t="n"/>
      <c r="E735" s="2038">
        <f>ROUNDUP(C735*D735,0)</f>
        <v/>
      </c>
      <c r="I735" s="6" t="n"/>
      <c r="J735" s="37" t="n"/>
      <c r="K735" s="2282" t="n"/>
      <c r="L735" s="2038">
        <f>ROUNDUP(J735*K735,0)</f>
        <v/>
      </c>
      <c r="O735" s="6" t="n"/>
      <c r="P735" s="37" t="n"/>
      <c r="Q735" s="2282" t="n"/>
      <c r="R735" s="2038">
        <f>ROUNDUP(P735*Q735,0)</f>
        <v/>
      </c>
    </row>
    <row r="736">
      <c r="B736" s="10" t="inlineStr">
        <is>
          <t>Labor Total</t>
        </is>
      </c>
      <c r="C736" s="36" t="n"/>
      <c r="D736" s="2339" t="n"/>
      <c r="E736" s="2340">
        <f>SUM(E732:E735)</f>
        <v/>
      </c>
      <c r="I736" s="10" t="inlineStr">
        <is>
          <t>Labor Total</t>
        </is>
      </c>
      <c r="J736" s="36" t="n"/>
      <c r="K736" s="2339" t="n"/>
      <c r="L736" s="2340">
        <f>SUM(L732:L735)</f>
        <v/>
      </c>
      <c r="O736" s="10" t="inlineStr">
        <is>
          <t>Labor Total</t>
        </is>
      </c>
      <c r="P736" s="36" t="n"/>
      <c r="Q736" s="2339" t="n"/>
      <c r="R736" s="2340">
        <f>SUM(R732:R735)</f>
        <v/>
      </c>
    </row>
    <row r="737">
      <c r="B737" s="1" t="n"/>
      <c r="C737" s="1892" t="n"/>
      <c r="D737" s="2282" t="n"/>
      <c r="E737" s="2282" t="n"/>
      <c r="I737" s="1" t="n"/>
      <c r="J737" s="1892" t="n"/>
      <c r="K737" s="2282" t="n"/>
      <c r="L737" s="2282" t="n"/>
      <c r="O737" s="1" t="n"/>
      <c r="P737" s="1892" t="n"/>
      <c r="Q737" s="2282" t="n"/>
      <c r="R737" s="2282" t="n"/>
    </row>
    <row r="738">
      <c r="B738" s="1" t="n"/>
      <c r="C738" s="1892" t="n"/>
      <c r="D738" s="2282" t="n"/>
      <c r="E738" s="2282" t="n"/>
      <c r="I738" s="1" t="n"/>
      <c r="J738" s="1892" t="n"/>
      <c r="K738" s="2282" t="n"/>
      <c r="L738" s="2282" t="n"/>
      <c r="O738" s="1" t="n"/>
      <c r="P738" s="1892" t="n"/>
      <c r="Q738" s="2282" t="n"/>
      <c r="R738" s="2282" t="n"/>
    </row>
    <row r="739">
      <c r="B739" s="280" t="inlineStr">
        <is>
          <t>SUB-TOTAL COSTS</t>
        </is>
      </c>
      <c r="C739" s="281" t="n"/>
      <c r="D739" s="2393" t="n"/>
      <c r="E739" s="2394">
        <f>SUM(E728,E736,E729)</f>
        <v/>
      </c>
      <c r="I739" s="280" t="inlineStr">
        <is>
          <t>SUB-TOTAL COSTS</t>
        </is>
      </c>
      <c r="J739" s="281" t="n"/>
      <c r="K739" s="2393" t="n"/>
      <c r="L739" s="2394">
        <f>SUM(L728,L736,L729)</f>
        <v/>
      </c>
      <c r="O739" s="280" t="inlineStr">
        <is>
          <t>SUB-TOTAL COSTS</t>
        </is>
      </c>
      <c r="P739" s="281" t="n"/>
      <c r="Q739" s="2393" t="n"/>
      <c r="R739" s="2394">
        <f>SUM(R728,R736,R729)</f>
        <v/>
      </c>
    </row>
    <row r="740">
      <c r="B740" s="1" t="n"/>
      <c r="C740" s="1892" t="n"/>
      <c r="D740" s="2282" t="n"/>
      <c r="E740" s="2282" t="n"/>
      <c r="I740" s="1" t="n"/>
      <c r="J740" s="1892" t="n"/>
      <c r="K740" s="2282" t="n"/>
      <c r="L740" s="2282" t="n"/>
      <c r="O740" s="1" t="n"/>
      <c r="P740" s="1892" t="n"/>
      <c r="Q740" s="2282" t="n"/>
      <c r="R740" s="2282" t="n"/>
    </row>
    <row r="741">
      <c r="B741" s="5" t="inlineStr">
        <is>
          <t>MARKUP</t>
        </is>
      </c>
      <c r="C741" s="30" t="inlineStr">
        <is>
          <t>%</t>
        </is>
      </c>
      <c r="D741" s="2395" t="n"/>
      <c r="E741" s="2019" t="n"/>
      <c r="I741" s="5" t="inlineStr">
        <is>
          <t>MARKUP</t>
        </is>
      </c>
      <c r="J741" s="30" t="inlineStr">
        <is>
          <t>%</t>
        </is>
      </c>
      <c r="K741" s="2395" t="n"/>
      <c r="L741" s="2019" t="n"/>
      <c r="O741" s="5" t="inlineStr">
        <is>
          <t>MARKUP</t>
        </is>
      </c>
      <c r="P741" s="30" t="inlineStr">
        <is>
          <t>%</t>
        </is>
      </c>
      <c r="Q741" s="2395" t="n"/>
      <c r="R741" s="2019" t="n"/>
    </row>
    <row r="742">
      <c r="B742" s="6" t="inlineStr">
        <is>
          <t>Sales Tax</t>
        </is>
      </c>
      <c r="C742" s="241" t="n">
        <v>0.091</v>
      </c>
      <c r="D742" s="2397" t="n"/>
      <c r="E742" s="2038">
        <f>ROUNDUP((SUM(E728:E729)*C742),0)</f>
        <v/>
      </c>
      <c r="I742" s="6" t="inlineStr">
        <is>
          <t>Sales Tax</t>
        </is>
      </c>
      <c r="J742" s="241" t="n">
        <v>0.091</v>
      </c>
      <c r="K742" s="2397" t="n"/>
      <c r="L742" s="2038">
        <f>ROUNDUP((SUM(L728:L729)*J742),0)</f>
        <v/>
      </c>
      <c r="O742" s="6" t="inlineStr">
        <is>
          <t>Sales Tax</t>
        </is>
      </c>
      <c r="P742" s="241" t="n">
        <v>0.091</v>
      </c>
      <c r="Q742" s="2397" t="n"/>
      <c r="R742" s="2038">
        <f>ROUNDUP((SUM(R728:R729)*P742),0)</f>
        <v/>
      </c>
    </row>
    <row r="743">
      <c r="B743" s="6" t="inlineStr">
        <is>
          <t>TW Insurance</t>
        </is>
      </c>
      <c r="C743" s="241" t="n">
        <v>0.08</v>
      </c>
      <c r="D743" s="2397" t="n"/>
      <c r="E743" s="2038">
        <f>ROUNDUP(SUM(E736)*C743,0)</f>
        <v/>
      </c>
      <c r="I743" s="6" t="inlineStr">
        <is>
          <t>TW Insurance</t>
        </is>
      </c>
      <c r="J743" s="241" t="n">
        <v>0.08</v>
      </c>
      <c r="K743" s="2397" t="n"/>
      <c r="L743" s="2038">
        <f>ROUNDUP(SUM(L736)*J743,0)</f>
        <v/>
      </c>
      <c r="O743" s="6" t="inlineStr">
        <is>
          <t>TW Insurance</t>
        </is>
      </c>
      <c r="P743" s="241" t="n">
        <v>0.08</v>
      </c>
      <c r="Q743" s="2397" t="n"/>
      <c r="R743" s="2038">
        <f>ROUNDUP(SUM(R736)*P743,0)</f>
        <v/>
      </c>
    </row>
    <row r="744">
      <c r="B744" s="6" t="inlineStr">
        <is>
          <t>Fee</t>
        </is>
      </c>
      <c r="C744" s="122" t="n">
        <v>0.35</v>
      </c>
      <c r="D744" s="2282" t="n"/>
      <c r="E744" s="2038">
        <f>ROUNDUP(SUM(E739:E743)*C744,0)</f>
        <v/>
      </c>
      <c r="I744" s="6" t="inlineStr">
        <is>
          <t>Fee</t>
        </is>
      </c>
      <c r="J744" s="378" t="n">
        <v>0.35</v>
      </c>
      <c r="K744" s="2282" t="n"/>
      <c r="L744" s="2038">
        <f>ROUNDUP(SUM(L739:L743)*J744,0)</f>
        <v/>
      </c>
      <c r="O744" s="6" t="inlineStr">
        <is>
          <t>Fee</t>
        </is>
      </c>
      <c r="P744" s="378" t="n">
        <v>0.35</v>
      </c>
      <c r="Q744" s="2282" t="n"/>
      <c r="R744" s="2038">
        <f>ROUNDUP(SUM(R739:R743)*P744,0)</f>
        <v/>
      </c>
    </row>
    <row r="745">
      <c r="B745" s="6" t="inlineStr">
        <is>
          <t>Contingency</t>
        </is>
      </c>
      <c r="C745" s="122" t="n">
        <v>0</v>
      </c>
      <c r="D745" s="2282" t="n"/>
      <c r="E745" s="2038">
        <f>ROUNDUP(SUM(E740:E744)*C745,0)</f>
        <v/>
      </c>
      <c r="I745" s="6" t="inlineStr">
        <is>
          <t>Contingency</t>
        </is>
      </c>
      <c r="J745" s="122" t="n">
        <v>0</v>
      </c>
      <c r="K745" s="2282" t="n"/>
      <c r="L745" s="2038">
        <f>ROUNDUP(SUM(L739:L744)*J745,0)</f>
        <v/>
      </c>
      <c r="O745" s="6" t="inlineStr">
        <is>
          <t>Contingency</t>
        </is>
      </c>
      <c r="P745" s="122" t="n">
        <v>0</v>
      </c>
      <c r="Q745" s="2282" t="n"/>
      <c r="R745" s="2038">
        <f>ROUNDUP(SUM(R739:R744)*P745,0)</f>
        <v/>
      </c>
    </row>
    <row r="746">
      <c r="B746" s="6" t="inlineStr">
        <is>
          <t>Kansas Remodel Tax</t>
        </is>
      </c>
      <c r="C746" s="241" t="n"/>
      <c r="D746" s="2282" t="n"/>
      <c r="E746" s="2038">
        <f>ROUNDUP(SUM(E736,E744:E745)*C746,0)</f>
        <v/>
      </c>
      <c r="I746" s="6" t="inlineStr">
        <is>
          <t>Kansas Remodel Tax</t>
        </is>
      </c>
      <c r="J746" s="241" t="n"/>
      <c r="K746" s="2282" t="n"/>
      <c r="L746" s="2038">
        <f>ROUNDUP(SUM(L736,L744:L745)*J746,0)</f>
        <v/>
      </c>
      <c r="O746" s="6" t="inlineStr">
        <is>
          <t>Kansas Remodel Tax</t>
        </is>
      </c>
      <c r="P746" s="241" t="n"/>
      <c r="Q746" s="2282" t="n"/>
      <c r="R746" s="2038">
        <f>ROUNDUP(SUM(R736,R744:R745)*P746,0)</f>
        <v/>
      </c>
    </row>
    <row r="747">
      <c r="B747" s="6" t="inlineStr">
        <is>
          <t>Warranty Work</t>
        </is>
      </c>
      <c r="C747" s="241" t="n">
        <v>0.01</v>
      </c>
      <c r="D747" s="2282" t="n"/>
      <c r="E747" s="2038" t="n">
        <v>9</v>
      </c>
      <c r="I747" s="6" t="inlineStr">
        <is>
          <t>Warranty Work</t>
        </is>
      </c>
      <c r="J747" s="241" t="n">
        <v>0.01</v>
      </c>
      <c r="K747" s="2282" t="n"/>
      <c r="L747" s="2038">
        <f>ROUNDUP(J747*SUM(L739:L746),0)</f>
        <v/>
      </c>
      <c r="O747" s="6" t="inlineStr">
        <is>
          <t>Warranty Work</t>
        </is>
      </c>
      <c r="P747" s="241" t="n">
        <v>0.01</v>
      </c>
      <c r="Q747" s="2282" t="n"/>
      <c r="R747" s="2038">
        <f>ROUNDUP(P747*SUM(R739:R746),0)</f>
        <v/>
      </c>
    </row>
    <row r="748">
      <c r="B748" s="45" t="inlineStr">
        <is>
          <t>Bond</t>
        </is>
      </c>
      <c r="C748" s="46" t="n"/>
      <c r="D748" s="2314" t="n"/>
      <c r="E748" s="2400">
        <f>ROUNDUP(SUM(E739:E747)*C748,0)</f>
        <v/>
      </c>
      <c r="I748" s="45" t="inlineStr">
        <is>
          <t>Bond</t>
        </is>
      </c>
      <c r="J748" s="46" t="n"/>
      <c r="K748" s="2314" t="n"/>
      <c r="L748" s="2400">
        <f>ROUNDUP(SUM(L739:L747)*J748,0)</f>
        <v/>
      </c>
      <c r="O748" s="45" t="inlineStr">
        <is>
          <t>Bond</t>
        </is>
      </c>
      <c r="P748" s="46" t="n"/>
      <c r="Q748" s="2314" t="n"/>
      <c r="R748" s="2400">
        <f>ROUNDUP(SUM(R739:R747)*P748,0)</f>
        <v/>
      </c>
    </row>
    <row r="749">
      <c r="B749" s="1" t="n"/>
      <c r="C749" s="8" t="n"/>
      <c r="D749" s="2282" t="n"/>
      <c r="E749" s="2282" t="n"/>
      <c r="I749" s="1" t="n"/>
      <c r="J749" s="8" t="n"/>
      <c r="K749" s="2282" t="n"/>
      <c r="L749" s="2282" t="n"/>
      <c r="O749" s="1" t="n"/>
      <c r="P749" s="8" t="n"/>
      <c r="Q749" s="2282" t="n"/>
      <c r="R749" s="2282" t="n"/>
    </row>
    <row r="750" ht="16.2" customHeight="1" thickBot="1">
      <c r="B750" s="1" t="n"/>
      <c r="C750" s="1" t="n"/>
      <c r="D750" s="2282" t="n"/>
      <c r="E750" s="2282" t="n"/>
      <c r="F750" s="51" t="n"/>
      <c r="I750" s="1" t="n"/>
      <c r="J750" s="1" t="n"/>
      <c r="K750" s="2282" t="n"/>
      <c r="L750" s="2282" t="n"/>
      <c r="O750" s="1" t="n"/>
      <c r="P750" s="1" t="n"/>
      <c r="Q750" s="2282" t="n"/>
      <c r="R750" s="2282" t="n"/>
    </row>
    <row r="751" ht="16.2" customHeight="1" thickBot="1">
      <c r="B751" s="289" t="inlineStr">
        <is>
          <t>TOTAL</t>
        </is>
      </c>
      <c r="C751" s="290" t="n"/>
      <c r="D751" s="2412" t="n"/>
      <c r="E751" s="2404">
        <f>SUM(E739:E748)</f>
        <v/>
      </c>
      <c r="F751" s="2469" t="n"/>
      <c r="I751" s="289" t="inlineStr">
        <is>
          <t>TOTAL</t>
        </is>
      </c>
      <c r="J751" s="290" t="n"/>
      <c r="K751" s="2412" t="n"/>
      <c r="L751" s="2404">
        <f>SUM(L739:L748)</f>
        <v/>
      </c>
      <c r="O751" s="289" t="inlineStr">
        <is>
          <t>TOTAL</t>
        </is>
      </c>
      <c r="P751" s="290" t="n"/>
      <c r="Q751" s="2412" t="n"/>
      <c r="R751" s="2404">
        <f>SUM(R739:R748)</f>
        <v/>
      </c>
    </row>
    <row r="754">
      <c r="B754" s="2374" t="inlineStr">
        <is>
          <t>Mock Up In Town</t>
        </is>
      </c>
      <c r="C754" s="2350" t="n"/>
      <c r="D754" s="2350" t="n"/>
      <c r="E754" s="237" t="n"/>
      <c r="I754" s="2374" t="inlineStr">
        <is>
          <t>Mock Up  - 120 miles</t>
        </is>
      </c>
      <c r="J754" s="2350" t="n"/>
      <c r="K754" s="2350" t="n"/>
      <c r="L754" s="237" t="n"/>
      <c r="O754" s="2374" t="inlineStr">
        <is>
          <t>Mock Up  - 200 miles</t>
        </is>
      </c>
      <c r="P754" s="2350" t="n"/>
      <c r="Q754" s="2350" t="n"/>
      <c r="R754" s="237" t="n"/>
    </row>
    <row r="755">
      <c r="B755" s="5" t="inlineStr">
        <is>
          <t xml:space="preserve">MATERIAL - </t>
        </is>
      </c>
      <c r="C755" s="30" t="inlineStr">
        <is>
          <t>Quantity</t>
        </is>
      </c>
      <c r="D755" s="30" t="inlineStr">
        <is>
          <t>Cost</t>
        </is>
      </c>
      <c r="E755" s="31" t="inlineStr">
        <is>
          <t>Total</t>
        </is>
      </c>
      <c r="I755" s="5" t="inlineStr">
        <is>
          <t xml:space="preserve">MATERIAL - </t>
        </is>
      </c>
      <c r="J755" s="30" t="inlineStr">
        <is>
          <t>Quantity</t>
        </is>
      </c>
      <c r="K755" s="30" t="inlineStr">
        <is>
          <t>Cost</t>
        </is>
      </c>
      <c r="L755" s="31" t="inlineStr">
        <is>
          <t>Total</t>
        </is>
      </c>
      <c r="O755" s="5" t="inlineStr">
        <is>
          <t xml:space="preserve">MATERIAL - </t>
        </is>
      </c>
      <c r="P755" s="30" t="inlineStr">
        <is>
          <t>Quantity</t>
        </is>
      </c>
      <c r="Q755" s="30" t="inlineStr">
        <is>
          <t>Cost</t>
        </is>
      </c>
      <c r="R755" s="31" t="inlineStr">
        <is>
          <t>Total</t>
        </is>
      </c>
    </row>
    <row r="756">
      <c r="B756" s="1892" t="inlineStr">
        <is>
          <t>Material</t>
        </is>
      </c>
      <c r="C756" s="1892" t="n">
        <v>1</v>
      </c>
      <c r="D756" s="2312" t="n">
        <v>200</v>
      </c>
      <c r="E756" s="2308">
        <f>C756*D756</f>
        <v/>
      </c>
      <c r="I756" s="44" t="inlineStr">
        <is>
          <t>JM Mileage</t>
        </is>
      </c>
      <c r="J756" s="1892" t="n">
        <v>240</v>
      </c>
      <c r="K756" s="2312" t="n">
        <v>0.6</v>
      </c>
      <c r="L756" s="2308">
        <f>J756*K756</f>
        <v/>
      </c>
      <c r="O756" s="44" t="inlineStr">
        <is>
          <t>JM Mileage</t>
        </is>
      </c>
      <c r="P756" s="1892" t="n">
        <v>400</v>
      </c>
      <c r="Q756" s="2312" t="n">
        <v>0.6</v>
      </c>
      <c r="R756" s="2308">
        <f>P756*Q756</f>
        <v/>
      </c>
    </row>
    <row r="757">
      <c r="B757" s="1892" t="n"/>
      <c r="C757" s="1892" t="n"/>
      <c r="D757" s="2312" t="n"/>
      <c r="E757" s="2308">
        <f>C757*D757</f>
        <v/>
      </c>
      <c r="I757" s="44" t="inlineStr">
        <is>
          <t>Material</t>
        </is>
      </c>
      <c r="J757" s="1892" t="n">
        <v>1</v>
      </c>
      <c r="K757" s="2312" t="n">
        <v>200</v>
      </c>
      <c r="L757" s="2308">
        <f>J757*K757</f>
        <v/>
      </c>
      <c r="O757" s="44" t="inlineStr">
        <is>
          <t>Material</t>
        </is>
      </c>
      <c r="P757" s="1892" t="n">
        <v>1</v>
      </c>
      <c r="Q757" s="2312" t="n">
        <v>200</v>
      </c>
      <c r="R757" s="2308">
        <f>P757*Q757</f>
        <v/>
      </c>
    </row>
    <row r="758">
      <c r="B758" s="1892" t="n"/>
      <c r="C758" s="1892" t="n"/>
      <c r="D758" s="2312" t="n"/>
      <c r="E758" s="2308">
        <f>C758*D758</f>
        <v/>
      </c>
      <c r="I758" s="44" t="n"/>
      <c r="J758" s="1892" t="n"/>
      <c r="K758" s="2312" t="n"/>
      <c r="L758" s="2308">
        <f>J758*K758</f>
        <v/>
      </c>
      <c r="O758" s="44" t="n"/>
      <c r="P758" s="1892" t="n"/>
      <c r="Q758" s="2312" t="n"/>
      <c r="R758" s="2308">
        <f>P758*Q758</f>
        <v/>
      </c>
    </row>
    <row r="759">
      <c r="B759" s="322" t="n"/>
      <c r="C759" s="323" t="n"/>
      <c r="D759" s="2332" t="n"/>
      <c r="E759" s="2333">
        <f>C759*D759</f>
        <v/>
      </c>
      <c r="I759" s="322" t="n"/>
      <c r="J759" s="323" t="n"/>
      <c r="K759" s="2332" t="n"/>
      <c r="L759" s="2333">
        <f>J759*K759</f>
        <v/>
      </c>
      <c r="O759" s="322" t="n"/>
      <c r="P759" s="323" t="n"/>
      <c r="Q759" s="2332" t="n"/>
      <c r="R759" s="2333">
        <f>P759*Q759</f>
        <v/>
      </c>
    </row>
    <row r="760">
      <c r="B760" s="17" t="inlineStr">
        <is>
          <t>Material Sub Total</t>
        </is>
      </c>
      <c r="C760" s="35" t="n"/>
      <c r="D760" s="2382" t="n"/>
      <c r="E760" s="2335">
        <f>ROUNDUP(SUM(E756:E759),0)</f>
        <v/>
      </c>
      <c r="I760" s="17" t="inlineStr">
        <is>
          <t>Material Sub Total</t>
        </is>
      </c>
      <c r="J760" s="35" t="n"/>
      <c r="K760" s="2382" t="n"/>
      <c r="L760" s="2335">
        <f>ROUNDUP(SUM(L756:L759),0)</f>
        <v/>
      </c>
      <c r="O760" s="17" t="inlineStr">
        <is>
          <t>Material Sub Total</t>
        </is>
      </c>
      <c r="P760" s="35" t="n"/>
      <c r="Q760" s="2382" t="n"/>
      <c r="R760" s="2335">
        <f>ROUNDUP(SUM(R756:R759),0)</f>
        <v/>
      </c>
    </row>
    <row r="761">
      <c r="B761" s="20" t="inlineStr">
        <is>
          <t>Material Overage</t>
        </is>
      </c>
      <c r="C761" s="270" t="n">
        <v>0</v>
      </c>
      <c r="D761" s="2283" t="n"/>
      <c r="E761" s="2383">
        <f>ROUNDUP(E760*C761,0)</f>
        <v/>
      </c>
      <c r="I761" s="20" t="inlineStr">
        <is>
          <t>Material Overage</t>
        </is>
      </c>
      <c r="J761" s="270" t="n">
        <v>0</v>
      </c>
      <c r="K761" s="2283" t="n"/>
      <c r="L761" s="2383">
        <f>ROUNDUP(L760*J761,0)</f>
        <v/>
      </c>
      <c r="O761" s="20" t="inlineStr">
        <is>
          <t>Material Overage</t>
        </is>
      </c>
      <c r="P761" s="270" t="n">
        <v>0</v>
      </c>
      <c r="Q761" s="2283" t="n"/>
      <c r="R761" s="2383">
        <f>ROUNDUP(R760*P761,0)</f>
        <v/>
      </c>
    </row>
    <row r="762">
      <c r="B762" s="10" t="inlineStr">
        <is>
          <t>Material Total</t>
        </is>
      </c>
      <c r="C762" s="36" t="n"/>
      <c r="D762" s="2339" t="n"/>
      <c r="E762" s="2340">
        <f>SUM(E760:E761)</f>
        <v/>
      </c>
      <c r="I762" s="10" t="inlineStr">
        <is>
          <t>Material Total</t>
        </is>
      </c>
      <c r="J762" s="36" t="n"/>
      <c r="K762" s="2339" t="n"/>
      <c r="L762" s="2340">
        <f>SUM(L760:L761)</f>
        <v/>
      </c>
      <c r="O762" s="10" t="inlineStr">
        <is>
          <t>Material Total</t>
        </is>
      </c>
      <c r="P762" s="36" t="n"/>
      <c r="Q762" s="2339" t="n"/>
      <c r="R762" s="2340">
        <f>SUM(R760:R761)</f>
        <v/>
      </c>
    </row>
    <row r="763">
      <c r="B763" s="39" t="inlineStr">
        <is>
          <t>Shipping</t>
        </is>
      </c>
      <c r="C763" s="40" t="n">
        <v>0.1</v>
      </c>
      <c r="D763" s="2384" t="n"/>
      <c r="E763" s="2338">
        <f>ROUNDUP(E760*C763,0)</f>
        <v/>
      </c>
      <c r="I763" s="39" t="inlineStr">
        <is>
          <t>Shipping</t>
        </is>
      </c>
      <c r="J763" s="40" t="n">
        <v>0</v>
      </c>
      <c r="K763" s="2384" t="n"/>
      <c r="L763" s="2338">
        <f>ROUNDUP(L760*J763,0)</f>
        <v/>
      </c>
      <c r="O763" s="39" t="inlineStr">
        <is>
          <t>Shipping</t>
        </is>
      </c>
      <c r="P763" s="40" t="n">
        <v>0</v>
      </c>
      <c r="Q763" s="2384" t="n"/>
      <c r="R763" s="2338">
        <f>ROUNDUP(R760*P763,0)</f>
        <v/>
      </c>
    </row>
    <row r="764">
      <c r="B764" s="1" t="n"/>
      <c r="C764" s="1892" t="n"/>
      <c r="D764" s="2282" t="n"/>
      <c r="E764" s="2282" t="n"/>
      <c r="I764" s="1" t="n"/>
      <c r="J764" s="1892" t="n"/>
      <c r="K764" s="2282" t="n"/>
      <c r="L764" s="2282" t="n"/>
      <c r="O764" s="1" t="n"/>
      <c r="P764" s="1892" t="n"/>
      <c r="Q764" s="2282" t="n"/>
      <c r="R764" s="2282" t="n"/>
    </row>
    <row r="765">
      <c r="B765" s="5" t="inlineStr">
        <is>
          <t>LABOR</t>
        </is>
      </c>
      <c r="C765" s="30" t="inlineStr">
        <is>
          <t>Quantity</t>
        </is>
      </c>
      <c r="D765" s="11" t="inlineStr">
        <is>
          <t>Cost</t>
        </is>
      </c>
      <c r="E765" s="2457" t="inlineStr">
        <is>
          <t>Total</t>
        </is>
      </c>
      <c r="I765" s="5" t="inlineStr">
        <is>
          <t>LABOR</t>
        </is>
      </c>
      <c r="J765" s="30" t="inlineStr">
        <is>
          <t>Quantity</t>
        </is>
      </c>
      <c r="K765" s="11" t="inlineStr">
        <is>
          <t>Cost</t>
        </is>
      </c>
      <c r="L765" s="2457" t="inlineStr">
        <is>
          <t>Total</t>
        </is>
      </c>
      <c r="O765" s="5" t="inlineStr">
        <is>
          <t>LABOR</t>
        </is>
      </c>
      <c r="P765" s="30" t="inlineStr">
        <is>
          <t>Quantity</t>
        </is>
      </c>
      <c r="Q765" s="11" t="inlineStr">
        <is>
          <t>Cost</t>
        </is>
      </c>
      <c r="R765" s="2457" t="inlineStr">
        <is>
          <t>Total</t>
        </is>
      </c>
    </row>
    <row r="766">
      <c r="B766" s="6" t="inlineStr">
        <is>
          <t>Crew Time - 0.75 day</t>
        </is>
      </c>
      <c r="C766" s="37">
        <f>1.5*6</f>
        <v/>
      </c>
      <c r="D766" s="2282" t="n">
        <v>25</v>
      </c>
      <c r="E766" s="2038">
        <f>ROUNDUP(C766*D766,0)</f>
        <v/>
      </c>
      <c r="I766" s="6" t="inlineStr">
        <is>
          <t>Crew Time - 1 day</t>
        </is>
      </c>
      <c r="J766" s="37">
        <f>1.5*10</f>
        <v/>
      </c>
      <c r="K766" s="2282" t="n">
        <v>30</v>
      </c>
      <c r="L766" s="2038">
        <f>ROUNDUP(J766*K766,0)</f>
        <v/>
      </c>
      <c r="O766" s="6" t="inlineStr">
        <is>
          <t>Crew Time - 2 days</t>
        </is>
      </c>
      <c r="P766" s="37">
        <f>1.5*20</f>
        <v/>
      </c>
      <c r="Q766" s="2282" t="n">
        <v>30</v>
      </c>
      <c r="R766" s="2038">
        <f>ROUNDUP(P766*Q766,0)</f>
        <v/>
      </c>
    </row>
    <row r="767">
      <c r="B767" s="379" t="n"/>
      <c r="C767" s="380" t="n"/>
      <c r="D767" s="2282" t="n"/>
      <c r="E767" s="2038">
        <f>ROUNDUP(C767*D767,0)</f>
        <v/>
      </c>
      <c r="I767" s="379" t="n"/>
      <c r="J767" s="380" t="n"/>
      <c r="K767" s="2282" t="n"/>
      <c r="L767" s="2038">
        <f>ROUNDUP(J767*K767,0)</f>
        <v/>
      </c>
      <c r="O767" s="379" t="n"/>
      <c r="P767" s="380" t="n"/>
      <c r="Q767" s="2282" t="n"/>
      <c r="R767" s="2038">
        <f>ROUNDUP(P767*Q767,0)</f>
        <v/>
      </c>
    </row>
    <row r="768">
      <c r="B768" s="6" t="n"/>
      <c r="C768" s="37" t="n"/>
      <c r="D768" s="2282" t="n"/>
      <c r="E768" s="2038">
        <f>ROUNDUP(C768*D768,0)</f>
        <v/>
      </c>
      <c r="I768" s="6" t="n"/>
      <c r="J768" s="37" t="n"/>
      <c r="K768" s="2282" t="n"/>
      <c r="L768" s="2038">
        <f>ROUNDUP(J768*K768,0)</f>
        <v/>
      </c>
      <c r="O768" s="6" t="n"/>
      <c r="P768" s="37" t="n"/>
      <c r="Q768" s="2282" t="n"/>
      <c r="R768" s="2038">
        <f>ROUNDUP(P768*Q768,0)</f>
        <v/>
      </c>
    </row>
    <row r="769">
      <c r="B769" s="10" t="inlineStr">
        <is>
          <t>Labor Total</t>
        </is>
      </c>
      <c r="C769" s="36" t="n"/>
      <c r="D769" s="2339" t="n"/>
      <c r="E769" s="2340">
        <f>SUM(E766:E768)</f>
        <v/>
      </c>
      <c r="I769" s="10" t="inlineStr">
        <is>
          <t>Labor Total</t>
        </is>
      </c>
      <c r="J769" s="36" t="n"/>
      <c r="K769" s="2339" t="n"/>
      <c r="L769" s="2340">
        <f>SUM(L766:L768)</f>
        <v/>
      </c>
      <c r="O769" s="10" t="inlineStr">
        <is>
          <t>Labor Total</t>
        </is>
      </c>
      <c r="P769" s="36" t="n"/>
      <c r="Q769" s="2339" t="n"/>
      <c r="R769" s="2340">
        <f>SUM(R766:R768)</f>
        <v/>
      </c>
    </row>
    <row r="770">
      <c r="B770" s="1" t="n"/>
      <c r="C770" s="1892" t="n"/>
      <c r="D770" s="2282" t="n"/>
      <c r="E770" s="2282" t="n"/>
      <c r="I770" s="1" t="n"/>
      <c r="J770" s="1892" t="n"/>
      <c r="K770" s="2282" t="n"/>
      <c r="L770" s="2282" t="n"/>
      <c r="O770" s="1" t="n"/>
      <c r="P770" s="1892" t="n"/>
      <c r="Q770" s="2282" t="n"/>
      <c r="R770" s="2282" t="n"/>
    </row>
    <row r="771">
      <c r="B771" s="1" t="n"/>
      <c r="C771" s="1892" t="n"/>
      <c r="D771" s="2282" t="n"/>
      <c r="E771" s="2282" t="n"/>
      <c r="I771" s="1" t="n"/>
      <c r="J771" s="1892" t="n"/>
      <c r="K771" s="2282" t="n"/>
      <c r="L771" s="2282" t="n"/>
      <c r="O771" s="1" t="n"/>
      <c r="P771" s="1892" t="n"/>
      <c r="Q771" s="2282" t="n"/>
      <c r="R771" s="2282" t="n"/>
    </row>
    <row r="772">
      <c r="B772" s="280" t="inlineStr">
        <is>
          <t>SUB-TOTAL COSTS</t>
        </is>
      </c>
      <c r="C772" s="281" t="n"/>
      <c r="D772" s="2393" t="n"/>
      <c r="E772" s="2394">
        <f>SUM(E762,E769,E763)</f>
        <v/>
      </c>
      <c r="I772" s="280" t="inlineStr">
        <is>
          <t>SUB-TOTAL COSTS</t>
        </is>
      </c>
      <c r="J772" s="281" t="n"/>
      <c r="K772" s="2393" t="n"/>
      <c r="L772" s="2394">
        <f>SUM(L762,L769,L763)</f>
        <v/>
      </c>
      <c r="O772" s="280" t="inlineStr">
        <is>
          <t>SUB-TOTAL COSTS</t>
        </is>
      </c>
      <c r="P772" s="281" t="n"/>
      <c r="Q772" s="2393" t="n"/>
      <c r="R772" s="2394">
        <f>SUM(R762,R769,R763)</f>
        <v/>
      </c>
    </row>
    <row r="773">
      <c r="B773" s="1" t="n"/>
      <c r="C773" s="1892" t="n"/>
      <c r="D773" s="2282" t="n"/>
      <c r="E773" s="2282" t="n"/>
      <c r="I773" s="1" t="n"/>
      <c r="J773" s="1892" t="n"/>
      <c r="K773" s="2282" t="n"/>
      <c r="L773" s="2282" t="n"/>
      <c r="O773" s="1" t="n"/>
      <c r="P773" s="1892" t="n"/>
      <c r="Q773" s="2282" t="n"/>
      <c r="R773" s="2282" t="n"/>
    </row>
    <row r="774">
      <c r="B774" s="5" t="inlineStr">
        <is>
          <t>MARKUP</t>
        </is>
      </c>
      <c r="C774" s="30" t="inlineStr">
        <is>
          <t>%</t>
        </is>
      </c>
      <c r="D774" s="2395" t="n"/>
      <c r="E774" s="2019" t="n"/>
      <c r="I774" s="5" t="inlineStr">
        <is>
          <t>MARKUP</t>
        </is>
      </c>
      <c r="J774" s="30" t="inlineStr">
        <is>
          <t>%</t>
        </is>
      </c>
      <c r="K774" s="2395" t="n"/>
      <c r="L774" s="2019" t="n"/>
      <c r="O774" s="5" t="inlineStr">
        <is>
          <t>MARKUP</t>
        </is>
      </c>
      <c r="P774" s="30" t="inlineStr">
        <is>
          <t>%</t>
        </is>
      </c>
      <c r="Q774" s="2395" t="n"/>
      <c r="R774" s="2019" t="n"/>
    </row>
    <row r="775">
      <c r="B775" s="6" t="inlineStr">
        <is>
          <t>Sales Tax</t>
        </is>
      </c>
      <c r="C775" s="241" t="n">
        <v>0.091</v>
      </c>
      <c r="D775" s="2397" t="n"/>
      <c r="E775" s="2038">
        <f>ROUNDUP((SUM(E762:E763)*C775),0)</f>
        <v/>
      </c>
      <c r="I775" s="6" t="inlineStr">
        <is>
          <t>Sales Tax</t>
        </is>
      </c>
      <c r="J775" s="241" t="n">
        <v>0.091</v>
      </c>
      <c r="K775" s="2397" t="n"/>
      <c r="L775" s="2038">
        <f>ROUNDUP((SUM(L762:L763)*J775),0)</f>
        <v/>
      </c>
      <c r="O775" s="6" t="inlineStr">
        <is>
          <t>Sales Tax</t>
        </is>
      </c>
      <c r="P775" s="241" t="n">
        <v>0.091</v>
      </c>
      <c r="Q775" s="2397" t="n"/>
      <c r="R775" s="2038">
        <f>ROUNDUP((SUM(R762:R763)*P775),0)</f>
        <v/>
      </c>
    </row>
    <row r="776">
      <c r="B776" s="349" t="inlineStr">
        <is>
          <t>TW Insurance</t>
        </is>
      </c>
      <c r="C776" s="365" t="n">
        <v>0.08</v>
      </c>
      <c r="D776" s="2397" t="n"/>
      <c r="E776" s="2038">
        <f>ROUNDUP(SUM(E769)*C776,0)</f>
        <v/>
      </c>
      <c r="I776" s="349" t="inlineStr">
        <is>
          <t>TW Insurance</t>
        </is>
      </c>
      <c r="J776" s="365" t="n">
        <v>0.08</v>
      </c>
      <c r="K776" s="2397" t="n"/>
      <c r="L776" s="2038">
        <f>ROUNDUP(SUM(L769)*J776,0)</f>
        <v/>
      </c>
      <c r="O776" s="349" t="inlineStr">
        <is>
          <t>TW Insurance</t>
        </is>
      </c>
      <c r="P776" s="365" t="n">
        <v>0.08</v>
      </c>
      <c r="Q776" s="2397" t="n"/>
      <c r="R776" s="2038">
        <f>ROUNDUP(SUM(R769)*P776,0)</f>
        <v/>
      </c>
    </row>
    <row r="777">
      <c r="B777" s="6" t="inlineStr">
        <is>
          <t>Fee</t>
        </is>
      </c>
      <c r="C777" s="122" t="n">
        <v>1</v>
      </c>
      <c r="D777" s="2282" t="n"/>
      <c r="E777" s="2038">
        <f>ROUNDUP(SUM(E772:E776)*C777,0)</f>
        <v/>
      </c>
      <c r="I777" s="6" t="inlineStr">
        <is>
          <t>Fee</t>
        </is>
      </c>
      <c r="J777" s="122" t="n">
        <v>1</v>
      </c>
      <c r="K777" s="2282" t="n"/>
      <c r="L777" s="2038">
        <f>ROUNDUP(SUM(L772:L776)*J777,0)</f>
        <v/>
      </c>
      <c r="O777" s="6" t="inlineStr">
        <is>
          <t>Fee</t>
        </is>
      </c>
      <c r="P777" s="122" t="n">
        <v>1</v>
      </c>
      <c r="Q777" s="2282" t="n"/>
      <c r="R777" s="2038">
        <f>ROUNDUP(SUM(R772:R776)*P777,0)</f>
        <v/>
      </c>
    </row>
    <row r="778">
      <c r="B778" s="6" t="inlineStr">
        <is>
          <t>Contingency</t>
        </is>
      </c>
      <c r="C778" s="122" t="n">
        <v>0</v>
      </c>
      <c r="D778" s="2282" t="n"/>
      <c r="E778" s="2038" t="n">
        <v>0</v>
      </c>
      <c r="I778" s="6" t="inlineStr">
        <is>
          <t>Contingency</t>
        </is>
      </c>
      <c r="J778" s="122" t="n">
        <v>0</v>
      </c>
      <c r="K778" s="2282" t="n"/>
      <c r="L778" s="2038">
        <f>ROUNDUP(SUM(L772:L777)*J778,0)</f>
        <v/>
      </c>
      <c r="O778" s="6" t="inlineStr">
        <is>
          <t>Contingency</t>
        </is>
      </c>
      <c r="P778" s="122" t="n">
        <v>0</v>
      </c>
      <c r="Q778" s="2282" t="n"/>
      <c r="R778" s="2038">
        <f>ROUNDUP(SUM(R772:R777)*P778,0)</f>
        <v/>
      </c>
    </row>
    <row r="779">
      <c r="B779" s="6" t="inlineStr">
        <is>
          <t>Kansas Remodel Tax</t>
        </is>
      </c>
      <c r="C779" s="241" t="n"/>
      <c r="D779" s="2282" t="n"/>
      <c r="E779" s="2038">
        <f>ROUNDUP(SUM(E769,E777:E778)*C779,0)</f>
        <v/>
      </c>
      <c r="I779" s="6" t="inlineStr">
        <is>
          <t>Kansas Remodel Tax</t>
        </is>
      </c>
      <c r="J779" s="241" t="n"/>
      <c r="K779" s="2282" t="n"/>
      <c r="L779" s="2038">
        <f>ROUNDUP(SUM(L769,L777:L778)*J779,0)</f>
        <v/>
      </c>
      <c r="O779" s="6" t="inlineStr">
        <is>
          <t>Kansas Remodel Tax</t>
        </is>
      </c>
      <c r="P779" s="241" t="n"/>
      <c r="Q779" s="2282" t="n"/>
      <c r="R779" s="2038">
        <f>ROUNDUP(SUM(R769,R777:R778)*P779,0)</f>
        <v/>
      </c>
    </row>
    <row r="780">
      <c r="B780" s="6" t="inlineStr">
        <is>
          <t>Warranty Work</t>
        </is>
      </c>
      <c r="C780" s="241" t="n">
        <v>0.01</v>
      </c>
      <c r="D780" s="2282" t="n"/>
      <c r="E780" s="2038" t="n">
        <v>9</v>
      </c>
      <c r="I780" s="6" t="inlineStr">
        <is>
          <t>Warranty Work</t>
        </is>
      </c>
      <c r="J780" s="241" t="n">
        <v>0.01</v>
      </c>
      <c r="K780" s="2282" t="n"/>
      <c r="L780" s="2038">
        <f>ROUNDUP(J780*SUM(L772:L779),0)</f>
        <v/>
      </c>
      <c r="O780" s="6" t="inlineStr">
        <is>
          <t>Warranty Work</t>
        </is>
      </c>
      <c r="P780" s="241" t="n">
        <v>0.01</v>
      </c>
      <c r="Q780" s="2282" t="n"/>
      <c r="R780" s="2038">
        <f>ROUNDUP(P780*SUM(R772:R779),0)</f>
        <v/>
      </c>
    </row>
    <row r="781">
      <c r="B781" s="45" t="inlineStr">
        <is>
          <t>Bond</t>
        </is>
      </c>
      <c r="C781" s="46" t="n"/>
      <c r="D781" s="2314" t="n"/>
      <c r="E781" s="2400">
        <f>ROUNDUP(SUM(E772:E780)*C781,0)</f>
        <v/>
      </c>
      <c r="I781" s="45" t="inlineStr">
        <is>
          <t>Bond</t>
        </is>
      </c>
      <c r="J781" s="46" t="n"/>
      <c r="K781" s="2314" t="n"/>
      <c r="L781" s="2400">
        <f>ROUNDUP(SUM(L772:L780)*J781,0)</f>
        <v/>
      </c>
      <c r="O781" s="45" t="inlineStr">
        <is>
          <t>Bond</t>
        </is>
      </c>
      <c r="P781" s="46" t="n"/>
      <c r="Q781" s="2314" t="n"/>
      <c r="R781" s="2400">
        <f>ROUNDUP(SUM(R772:R780)*P781,0)</f>
        <v/>
      </c>
    </row>
    <row r="782">
      <c r="B782" s="1" t="n"/>
      <c r="C782" s="8" t="n"/>
      <c r="D782" s="2282" t="n"/>
      <c r="E782" s="2282" t="n"/>
      <c r="I782" s="1" t="n"/>
      <c r="J782" s="8" t="n"/>
      <c r="K782" s="2282" t="n"/>
      <c r="L782" s="2282" t="n"/>
      <c r="O782" s="1" t="n"/>
      <c r="P782" s="8" t="n"/>
      <c r="Q782" s="2282" t="n"/>
      <c r="R782" s="2282" t="n"/>
    </row>
    <row r="783" ht="16.2" customHeight="1" thickBot="1">
      <c r="B783" s="1" t="n"/>
      <c r="C783" s="1" t="n"/>
      <c r="D783" s="2282" t="n"/>
      <c r="E783" s="2282" t="n"/>
      <c r="F783" s="51" t="n"/>
      <c r="I783" s="1" t="n"/>
      <c r="J783" s="1" t="n"/>
      <c r="K783" s="2282" t="n"/>
      <c r="L783" s="2282" t="n"/>
      <c r="O783" s="1" t="n"/>
      <c r="P783" s="1" t="n"/>
      <c r="Q783" s="2282" t="n"/>
      <c r="R783" s="2282" t="n"/>
    </row>
    <row r="784" ht="16.2" customHeight="1" thickBot="1">
      <c r="B784" s="289" t="inlineStr">
        <is>
          <t>TOTAL</t>
        </is>
      </c>
      <c r="C784" s="290" t="n"/>
      <c r="D784" s="2412" t="n"/>
      <c r="E784" s="2404">
        <f>SUM(E772:E781)</f>
        <v/>
      </c>
      <c r="F784" s="2469" t="n"/>
      <c r="I784" s="289" t="inlineStr">
        <is>
          <t>TOTAL</t>
        </is>
      </c>
      <c r="J784" s="290" t="n"/>
      <c r="K784" s="2412" t="n"/>
      <c r="L784" s="2404">
        <f>SUM(L772:L781)</f>
        <v/>
      </c>
      <c r="O784" s="289" t="inlineStr">
        <is>
          <t>TOTAL</t>
        </is>
      </c>
      <c r="P784" s="290" t="n"/>
      <c r="Q784" s="2412" t="n"/>
      <c r="R784" s="2404">
        <f>SUM(R772:R781)</f>
        <v/>
      </c>
    </row>
    <row r="787">
      <c r="B787" s="2374" t="inlineStr">
        <is>
          <t>Altenate  - Polish 5,000 sf 800 grit</t>
        </is>
      </c>
      <c r="C787" s="2350" t="n"/>
      <c r="D787" s="2350" t="n"/>
      <c r="E787" s="237" t="n"/>
      <c r="I787" s="2374" t="inlineStr">
        <is>
          <t>Altenate  - Polish Edges 1,000 sf</t>
        </is>
      </c>
      <c r="J787" s="2350" t="n"/>
      <c r="K787" s="2350" t="n"/>
      <c r="L787" s="237" t="n"/>
      <c r="O787" s="2374" t="inlineStr">
        <is>
          <t>Altenate  - Polish 5,000 with Edges</t>
        </is>
      </c>
      <c r="P787" s="2350" t="n"/>
      <c r="Q787" s="2350" t="n"/>
      <c r="R787" s="237" t="n"/>
      <c r="U787" s="2374" t="inlineStr">
        <is>
          <t xml:space="preserve">Altenate  - Grind+Seal 5,000 sf </t>
        </is>
      </c>
      <c r="V787" s="2350" t="n"/>
      <c r="W787" s="2350" t="n"/>
      <c r="X787" s="237" t="n"/>
      <c r="AA787" s="2374" t="inlineStr">
        <is>
          <t xml:space="preserve">Altenate  - Stain+Seal 5,000 sf </t>
        </is>
      </c>
      <c r="AB787" s="2350" t="n"/>
      <c r="AC787" s="2350" t="n"/>
      <c r="AD787" s="237" t="n"/>
    </row>
    <row r="788">
      <c r="B788" s="5" t="inlineStr">
        <is>
          <t xml:space="preserve">MATERIAL - </t>
        </is>
      </c>
      <c r="C788" s="30" t="inlineStr">
        <is>
          <t>Quantity</t>
        </is>
      </c>
      <c r="D788" s="30" t="inlineStr">
        <is>
          <t>Cost</t>
        </is>
      </c>
      <c r="E788" s="31" t="inlineStr">
        <is>
          <t>Total</t>
        </is>
      </c>
      <c r="I788" s="5" t="inlineStr">
        <is>
          <t xml:space="preserve">MATERIAL - </t>
        </is>
      </c>
      <c r="J788" s="30" t="inlineStr">
        <is>
          <t>Quantity</t>
        </is>
      </c>
      <c r="K788" s="30" t="inlineStr">
        <is>
          <t>Cost</t>
        </is>
      </c>
      <c r="L788" s="31" t="inlineStr">
        <is>
          <t>Total</t>
        </is>
      </c>
      <c r="O788" s="5" t="inlineStr">
        <is>
          <t xml:space="preserve">MATERIAL - </t>
        </is>
      </c>
      <c r="P788" s="30" t="inlineStr">
        <is>
          <t>Quantity</t>
        </is>
      </c>
      <c r="Q788" s="30" t="inlineStr">
        <is>
          <t>Cost</t>
        </is>
      </c>
      <c r="R788" s="31" t="inlineStr">
        <is>
          <t>Total</t>
        </is>
      </c>
      <c r="U788" s="5" t="inlineStr">
        <is>
          <t xml:space="preserve">MATERIAL - </t>
        </is>
      </c>
      <c r="V788" s="30" t="inlineStr">
        <is>
          <t>Quantity</t>
        </is>
      </c>
      <c r="W788" s="30" t="inlineStr">
        <is>
          <t>Cost</t>
        </is>
      </c>
      <c r="X788" s="31" t="inlineStr">
        <is>
          <t>Total</t>
        </is>
      </c>
      <c r="AA788" s="5" t="inlineStr">
        <is>
          <t xml:space="preserve">MATERIAL - </t>
        </is>
      </c>
      <c r="AB788" s="30" t="inlineStr">
        <is>
          <t>Quantity</t>
        </is>
      </c>
      <c r="AC788" s="30" t="inlineStr">
        <is>
          <t>Cost</t>
        </is>
      </c>
      <c r="AD788" s="31" t="inlineStr">
        <is>
          <t>Total</t>
        </is>
      </c>
    </row>
    <row r="789">
      <c r="B789" s="1892" t="inlineStr">
        <is>
          <t>Densifier</t>
        </is>
      </c>
      <c r="C789" s="1892" t="n">
        <v>5000</v>
      </c>
      <c r="D789" s="2312" t="n">
        <v>0.1</v>
      </c>
      <c r="E789" s="2308">
        <f>C789*D789</f>
        <v/>
      </c>
      <c r="I789" s="44" t="n"/>
      <c r="J789" s="1892" t="n"/>
      <c r="K789" s="2312" t="n"/>
      <c r="L789" s="2308">
        <f>J789*K789</f>
        <v/>
      </c>
      <c r="O789" s="44" t="inlineStr">
        <is>
          <t>Densifier</t>
        </is>
      </c>
      <c r="P789" s="1892" t="n">
        <v>5000</v>
      </c>
      <c r="Q789" s="2312" t="n">
        <v>0.1</v>
      </c>
      <c r="R789" s="2308">
        <f>P789*Q789</f>
        <v/>
      </c>
      <c r="U789" s="1892" t="n"/>
      <c r="V789" s="1892" t="n"/>
      <c r="W789" s="2312" t="n"/>
      <c r="X789" s="2308">
        <f>V789*W789</f>
        <v/>
      </c>
      <c r="AA789" s="1892" t="n"/>
      <c r="AB789" s="1892" t="n"/>
      <c r="AC789" s="2312" t="n"/>
      <c r="AD789" s="2308">
        <f>AB789*AC789</f>
        <v/>
      </c>
    </row>
    <row r="790">
      <c r="B790" s="1892" t="inlineStr">
        <is>
          <t>Sealer</t>
        </is>
      </c>
      <c r="C790" s="1892" t="n">
        <v>5000</v>
      </c>
      <c r="D790" s="2312" t="n">
        <v>0.2</v>
      </c>
      <c r="E790" s="2308">
        <f>C790*D790</f>
        <v/>
      </c>
      <c r="I790" s="44" t="n"/>
      <c r="J790" s="1892" t="n"/>
      <c r="K790" s="2312" t="n"/>
      <c r="L790" s="2308">
        <f>J790*K790</f>
        <v/>
      </c>
      <c r="O790" s="44" t="inlineStr">
        <is>
          <t>Sealer</t>
        </is>
      </c>
      <c r="P790" s="1892" t="n">
        <v>5000</v>
      </c>
      <c r="Q790" s="2312" t="n">
        <v>0.2</v>
      </c>
      <c r="R790" s="2308">
        <f>P790*Q790</f>
        <v/>
      </c>
      <c r="U790" s="1892" t="inlineStr">
        <is>
          <t>Sealer</t>
        </is>
      </c>
      <c r="V790" s="1892" t="n">
        <v>5000</v>
      </c>
      <c r="W790" s="2312" t="n">
        <v>0.26</v>
      </c>
      <c r="X790" s="2308">
        <f>V790*W790</f>
        <v/>
      </c>
      <c r="AA790" s="1892" t="inlineStr">
        <is>
          <t>Sealer</t>
        </is>
      </c>
      <c r="AB790" s="1892" t="n">
        <v>5000</v>
      </c>
      <c r="AC790" s="2312" t="n">
        <v>0.26</v>
      </c>
      <c r="AD790" s="2308">
        <f>AB790*AC790</f>
        <v/>
      </c>
    </row>
    <row r="791">
      <c r="B791" s="1892" t="n"/>
      <c r="C791" s="1892" t="n"/>
      <c r="D791" s="2312" t="n"/>
      <c r="E791" s="2308">
        <f>C791*D791</f>
        <v/>
      </c>
      <c r="I791" s="44" t="n"/>
      <c r="J791" s="1892" t="n"/>
      <c r="K791" s="2312" t="n"/>
      <c r="L791" s="2308">
        <f>J791*K791</f>
        <v/>
      </c>
      <c r="O791" s="44" t="n"/>
      <c r="P791" s="1892" t="n"/>
      <c r="Q791" s="2312" t="n"/>
      <c r="R791" s="2308">
        <f>P791*Q791</f>
        <v/>
      </c>
      <c r="U791" s="1892" t="n"/>
      <c r="V791" s="1892" t="n"/>
      <c r="W791" s="2312" t="n"/>
      <c r="X791" s="2308">
        <f>V791*W791</f>
        <v/>
      </c>
      <c r="AA791" s="1892" t="inlineStr">
        <is>
          <t>Stain</t>
        </is>
      </c>
      <c r="AB791" s="1892" t="n">
        <v>5000</v>
      </c>
      <c r="AC791" s="2312" t="n">
        <v>0.26</v>
      </c>
      <c r="AD791" s="2308">
        <f>AB791*AC791</f>
        <v/>
      </c>
    </row>
    <row r="792">
      <c r="B792" s="322" t="n"/>
      <c r="C792" s="323" t="n"/>
      <c r="D792" s="2332" t="n"/>
      <c r="E792" s="2333">
        <f>C792*D792</f>
        <v/>
      </c>
      <c r="I792" s="322" t="n"/>
      <c r="J792" s="323" t="n"/>
      <c r="K792" s="2332" t="n"/>
      <c r="L792" s="2333">
        <f>J792*K792</f>
        <v/>
      </c>
      <c r="O792" s="45" t="n"/>
      <c r="P792" s="323" t="n"/>
      <c r="Q792" s="2332" t="n"/>
      <c r="R792" s="2333">
        <f>P792*Q792</f>
        <v/>
      </c>
      <c r="U792" s="322" t="n"/>
      <c r="V792" s="323" t="n"/>
      <c r="W792" s="2332" t="n"/>
      <c r="X792" s="2333">
        <f>V792*W792</f>
        <v/>
      </c>
      <c r="AA792" s="322" t="n"/>
      <c r="AB792" s="323" t="n"/>
      <c r="AC792" s="2332" t="n"/>
      <c r="AD792" s="2333">
        <f>AB792*AC792</f>
        <v/>
      </c>
    </row>
    <row r="793">
      <c r="B793" s="17" t="inlineStr">
        <is>
          <t>Material Sub Total</t>
        </is>
      </c>
      <c r="C793" s="35" t="n"/>
      <c r="D793" s="2382" t="n"/>
      <c r="E793" s="2335">
        <f>ROUNDUP(SUM(E789:E792),0)</f>
        <v/>
      </c>
      <c r="I793" s="17" t="inlineStr">
        <is>
          <t>Material Sub Total</t>
        </is>
      </c>
      <c r="J793" s="35" t="n"/>
      <c r="K793" s="2382" t="n"/>
      <c r="L793" s="2335">
        <f>ROUNDUP(SUM(L789:L792),0)</f>
        <v/>
      </c>
      <c r="O793" s="17" t="inlineStr">
        <is>
          <t>Material Sub Total</t>
        </is>
      </c>
      <c r="P793" s="35" t="n"/>
      <c r="Q793" s="2382" t="n"/>
      <c r="R793" s="2335">
        <f>ROUNDUP(SUM(R789:R792),0)</f>
        <v/>
      </c>
      <c r="U793" s="17" t="inlineStr">
        <is>
          <t>Material Sub Total</t>
        </is>
      </c>
      <c r="V793" s="35" t="n"/>
      <c r="W793" s="2382" t="n"/>
      <c r="X793" s="2335">
        <f>ROUNDUP(SUM(X789:X792),0)</f>
        <v/>
      </c>
      <c r="AA793" s="17" t="inlineStr">
        <is>
          <t>Material Sub Total</t>
        </is>
      </c>
      <c r="AB793" s="35" t="n"/>
      <c r="AC793" s="2382" t="n"/>
      <c r="AD793" s="2335">
        <f>ROUNDUP(SUM(AD789:AD792),0)</f>
        <v/>
      </c>
    </row>
    <row r="794">
      <c r="B794" s="20" t="inlineStr">
        <is>
          <t>Material Overage</t>
        </is>
      </c>
      <c r="C794" s="270" t="n">
        <v>0.1</v>
      </c>
      <c r="D794" s="2283" t="n"/>
      <c r="E794" s="2383">
        <f>ROUNDUP(E793*C794,0)</f>
        <v/>
      </c>
      <c r="I794" s="20" t="inlineStr">
        <is>
          <t>Material Overage</t>
        </is>
      </c>
      <c r="J794" s="270" t="n">
        <v>0.1</v>
      </c>
      <c r="K794" s="2283" t="n"/>
      <c r="L794" s="2383">
        <f>ROUNDUP(L793*J794,0)</f>
        <v/>
      </c>
      <c r="O794" s="20" t="inlineStr">
        <is>
          <t>Material Overage</t>
        </is>
      </c>
      <c r="P794" s="270" t="n">
        <v>0.1</v>
      </c>
      <c r="Q794" s="2283" t="n"/>
      <c r="R794" s="2383">
        <f>ROUNDUP(R793*P794,0)</f>
        <v/>
      </c>
      <c r="U794" s="20" t="inlineStr">
        <is>
          <t>Material Overage</t>
        </is>
      </c>
      <c r="V794" s="270" t="n">
        <v>0.1</v>
      </c>
      <c r="W794" s="2283" t="n"/>
      <c r="X794" s="2383">
        <f>ROUNDUP(X793*V794,0)</f>
        <v/>
      </c>
      <c r="AA794" s="20" t="inlineStr">
        <is>
          <t>Material Overage</t>
        </is>
      </c>
      <c r="AB794" s="270" t="n">
        <v>0.1</v>
      </c>
      <c r="AC794" s="2283" t="n"/>
      <c r="AD794" s="2383">
        <f>ROUNDUP(AD793*AB794,0)</f>
        <v/>
      </c>
    </row>
    <row r="795">
      <c r="B795" s="10" t="inlineStr">
        <is>
          <t>Material Total</t>
        </is>
      </c>
      <c r="C795" s="36" t="n"/>
      <c r="D795" s="2339" t="n"/>
      <c r="E795" s="2340">
        <f>SUM(E793:E794)</f>
        <v/>
      </c>
      <c r="I795" s="10" t="inlineStr">
        <is>
          <t>Material Total</t>
        </is>
      </c>
      <c r="J795" s="36" t="n"/>
      <c r="K795" s="2339" t="n"/>
      <c r="L795" s="2340">
        <f>SUM(L793:L794)</f>
        <v/>
      </c>
      <c r="O795" s="10" t="inlineStr">
        <is>
          <t>Material Total</t>
        </is>
      </c>
      <c r="P795" s="36" t="n"/>
      <c r="Q795" s="2339" t="n"/>
      <c r="R795" s="2340">
        <f>SUM(R793:R794)</f>
        <v/>
      </c>
      <c r="U795" s="10" t="inlineStr">
        <is>
          <t>Material Total</t>
        </is>
      </c>
      <c r="V795" s="36" t="n"/>
      <c r="W795" s="2339" t="n"/>
      <c r="X795" s="2340">
        <f>SUM(X793:X794)</f>
        <v/>
      </c>
      <c r="AA795" s="10" t="inlineStr">
        <is>
          <t>Material Total</t>
        </is>
      </c>
      <c r="AB795" s="36" t="n"/>
      <c r="AC795" s="2339" t="n"/>
      <c r="AD795" s="2340">
        <f>SUM(AD793:AD794)</f>
        <v/>
      </c>
    </row>
    <row r="796">
      <c r="B796" s="39" t="inlineStr">
        <is>
          <t>Shipping</t>
        </is>
      </c>
      <c r="C796" s="40" t="n">
        <v>0</v>
      </c>
      <c r="D796" s="2384" t="n"/>
      <c r="E796" s="2338">
        <f>ROUNDUP(E793*C796,0)</f>
        <v/>
      </c>
      <c r="I796" s="39" t="inlineStr">
        <is>
          <t>Shipping</t>
        </is>
      </c>
      <c r="J796" s="40" t="n">
        <v>0</v>
      </c>
      <c r="K796" s="2384" t="n"/>
      <c r="L796" s="2338">
        <f>ROUNDUP(L793*J796,0)</f>
        <v/>
      </c>
      <c r="O796" s="39" t="inlineStr">
        <is>
          <t>Shipping</t>
        </is>
      </c>
      <c r="P796" s="40" t="n">
        <v>0</v>
      </c>
      <c r="Q796" s="2384" t="n"/>
      <c r="R796" s="2338">
        <f>ROUNDUP(R793*P796,0)</f>
        <v/>
      </c>
      <c r="U796" s="39" t="inlineStr">
        <is>
          <t>Shipping</t>
        </is>
      </c>
      <c r="V796" s="40" t="n">
        <v>0</v>
      </c>
      <c r="W796" s="2384" t="n"/>
      <c r="X796" s="2338">
        <f>ROUNDUP(X793*V796,0)</f>
        <v/>
      </c>
      <c r="AA796" s="39" t="inlineStr">
        <is>
          <t>Shipping</t>
        </is>
      </c>
      <c r="AB796" s="40" t="n">
        <v>0</v>
      </c>
      <c r="AC796" s="2384" t="n"/>
      <c r="AD796" s="2338">
        <f>ROUNDUP(AD793*AB796,0)</f>
        <v/>
      </c>
    </row>
    <row r="797">
      <c r="B797" s="1" t="n"/>
      <c r="C797" s="1892" t="n"/>
      <c r="D797" s="2282" t="n"/>
      <c r="E797" s="2282" t="n"/>
      <c r="I797" s="1" t="n"/>
      <c r="J797" s="1892" t="n"/>
      <c r="K797" s="2282" t="n"/>
      <c r="L797" s="2282" t="n"/>
      <c r="O797" s="1" t="n"/>
      <c r="P797" s="1892" t="n"/>
      <c r="Q797" s="2282" t="n"/>
      <c r="R797" s="2282" t="n"/>
      <c r="U797" s="1" t="n"/>
      <c r="V797" s="1892" t="n"/>
      <c r="W797" s="2282" t="n"/>
      <c r="X797" s="2282" t="n"/>
      <c r="AA797" s="1" t="n"/>
      <c r="AB797" s="1892" t="n"/>
      <c r="AC797" s="2282" t="n"/>
      <c r="AD797" s="2282" t="n"/>
    </row>
    <row r="798">
      <c r="B798" s="5" t="inlineStr">
        <is>
          <t>LABOR</t>
        </is>
      </c>
      <c r="C798" s="30" t="inlineStr">
        <is>
          <t>Quantity</t>
        </is>
      </c>
      <c r="D798" s="11" t="inlineStr">
        <is>
          <t>Cost</t>
        </is>
      </c>
      <c r="E798" s="2457" t="inlineStr">
        <is>
          <t>Total</t>
        </is>
      </c>
      <c r="I798" s="5" t="inlineStr">
        <is>
          <t>LABOR</t>
        </is>
      </c>
      <c r="J798" s="30" t="inlineStr">
        <is>
          <t>Quantity</t>
        </is>
      </c>
      <c r="K798" s="11" t="inlineStr">
        <is>
          <t>Cost</t>
        </is>
      </c>
      <c r="L798" s="2457" t="inlineStr">
        <is>
          <t>Total</t>
        </is>
      </c>
      <c r="O798" s="5" t="inlineStr">
        <is>
          <t>LABOR</t>
        </is>
      </c>
      <c r="P798" s="30" t="inlineStr">
        <is>
          <t>Quantity</t>
        </is>
      </c>
      <c r="Q798" s="11" t="inlineStr">
        <is>
          <t>Cost</t>
        </is>
      </c>
      <c r="R798" s="2457" t="inlineStr">
        <is>
          <t>Total</t>
        </is>
      </c>
      <c r="U798" s="5" t="inlineStr">
        <is>
          <t>LABOR</t>
        </is>
      </c>
      <c r="V798" s="30" t="inlineStr">
        <is>
          <t>Quantity</t>
        </is>
      </c>
      <c r="W798" s="11" t="inlineStr">
        <is>
          <t>Cost</t>
        </is>
      </c>
      <c r="X798" s="2457" t="inlineStr">
        <is>
          <t>Total</t>
        </is>
      </c>
      <c r="AA798" s="5" t="inlineStr">
        <is>
          <t>LABOR</t>
        </is>
      </c>
      <c r="AB798" s="30" t="inlineStr">
        <is>
          <t>Quantity</t>
        </is>
      </c>
      <c r="AC798" s="11" t="inlineStr">
        <is>
          <t>Cost</t>
        </is>
      </c>
      <c r="AD798" s="2457" t="inlineStr">
        <is>
          <t>Total</t>
        </is>
      </c>
    </row>
    <row r="799">
      <c r="B799" s="6" t="inlineStr">
        <is>
          <t>JM Polish (no edge)</t>
        </is>
      </c>
      <c r="C799" s="37" t="n">
        <v>5000</v>
      </c>
      <c r="D799" s="2282" t="n">
        <v>1.55</v>
      </c>
      <c r="E799" s="2038">
        <f>ROUNDUP(C799*D799,0)</f>
        <v/>
      </c>
      <c r="I799" s="6" t="inlineStr">
        <is>
          <t>JM Polish Edge</t>
        </is>
      </c>
      <c r="J799" s="37" t="n">
        <v>1000</v>
      </c>
      <c r="K799" s="2282" t="n">
        <v>1.85</v>
      </c>
      <c r="L799" s="2038">
        <f>ROUNDUP(J799*K799,0)</f>
        <v/>
      </c>
      <c r="O799" s="6" t="inlineStr">
        <is>
          <t>JM Polish (no edge)</t>
        </is>
      </c>
      <c r="P799" s="37" t="n">
        <v>5000</v>
      </c>
      <c r="Q799" s="2282" t="n">
        <v>1.55</v>
      </c>
      <c r="R799" s="2038">
        <f>ROUNDUP(P799*Q799,0)</f>
        <v/>
      </c>
      <c r="U799" s="6" t="inlineStr">
        <is>
          <t>JM Polish (no edge)</t>
        </is>
      </c>
      <c r="V799" s="37" t="n">
        <v>5000</v>
      </c>
      <c r="W799" s="2282" t="n">
        <v>0.75</v>
      </c>
      <c r="X799" s="2038">
        <f>ROUNDUP(V799*W799,0)</f>
        <v/>
      </c>
      <c r="AA799" s="6" t="inlineStr">
        <is>
          <t>JM Stain</t>
        </is>
      </c>
      <c r="AB799" s="37" t="n">
        <v>5000</v>
      </c>
      <c r="AC799" s="2282" t="n">
        <v>1</v>
      </c>
      <c r="AD799" s="2038">
        <f>ROUNDUP(AB799*AC799,0)</f>
        <v/>
      </c>
    </row>
    <row r="800">
      <c r="B800" s="6" t="n"/>
      <c r="C800" s="37" t="n"/>
      <c r="D800" s="2282" t="n"/>
      <c r="E800" s="2038">
        <f>ROUNDUP(C800*D800,0)</f>
        <v/>
      </c>
      <c r="I800" s="6" t="n"/>
      <c r="J800" s="37" t="n"/>
      <c r="K800" s="2282" t="n"/>
      <c r="L800" s="2038">
        <f>ROUNDUP(J800*K800,0)</f>
        <v/>
      </c>
      <c r="O800" s="6" t="inlineStr">
        <is>
          <t>JM Polish Edge</t>
        </is>
      </c>
      <c r="P800" s="37" t="n">
        <v>1000</v>
      </c>
      <c r="Q800" s="2282" t="n">
        <v>1.85</v>
      </c>
      <c r="R800" s="2038">
        <f>ROUNDUP(P800*Q800,0)</f>
        <v/>
      </c>
      <c r="U800" s="6" t="n"/>
      <c r="V800" s="37" t="n"/>
      <c r="W800" s="2282" t="n"/>
      <c r="X800" s="2038">
        <f>ROUNDUP(V800*W800,0)</f>
        <v/>
      </c>
      <c r="AA800" s="6" t="n"/>
      <c r="AB800" s="37" t="n"/>
      <c r="AC800" s="2282" t="n"/>
      <c r="AD800" s="2038">
        <f>ROUNDUP(AB800*AC800,0)</f>
        <v/>
      </c>
    </row>
    <row r="801">
      <c r="B801" s="6" t="n"/>
      <c r="C801" s="37" t="n"/>
      <c r="D801" s="2282" t="n"/>
      <c r="E801" s="2038">
        <f>ROUNDUP(C801*D801,0)</f>
        <v/>
      </c>
      <c r="I801" s="6" t="n"/>
      <c r="J801" s="37" t="n"/>
      <c r="K801" s="2282" t="n"/>
      <c r="L801" s="2038">
        <f>ROUNDUP(J801*K801,0)</f>
        <v/>
      </c>
      <c r="O801" s="6" t="n"/>
      <c r="P801" s="37" t="n"/>
      <c r="Q801" s="2282" t="n"/>
      <c r="R801" s="2038">
        <f>ROUNDUP(P801*Q801,0)</f>
        <v/>
      </c>
      <c r="U801" s="6" t="n"/>
      <c r="V801" s="37" t="n"/>
      <c r="W801" s="2282" t="n"/>
      <c r="X801" s="2038">
        <f>ROUNDUP(V801*W801,0)</f>
        <v/>
      </c>
      <c r="AA801" s="6" t="n"/>
      <c r="AB801" s="37" t="n"/>
      <c r="AC801" s="2282" t="n"/>
      <c r="AD801" s="2038">
        <f>ROUNDUP(AB801*AC801,0)</f>
        <v/>
      </c>
    </row>
    <row r="802">
      <c r="B802" s="10" t="inlineStr">
        <is>
          <t>Labor Total</t>
        </is>
      </c>
      <c r="C802" s="36" t="n"/>
      <c r="D802" s="2339" t="n"/>
      <c r="E802" s="2340">
        <f>SUM(E799:E801)</f>
        <v/>
      </c>
      <c r="I802" s="10" t="inlineStr">
        <is>
          <t>Labor Total</t>
        </is>
      </c>
      <c r="J802" s="36" t="n"/>
      <c r="K802" s="2339" t="n"/>
      <c r="L802" s="2340">
        <f>SUM(L799:L801)</f>
        <v/>
      </c>
      <c r="O802" s="10" t="inlineStr">
        <is>
          <t>Labor Total</t>
        </is>
      </c>
      <c r="P802" s="36" t="n"/>
      <c r="Q802" s="2339" t="n"/>
      <c r="R802" s="2340">
        <f>SUM(R799:R801)</f>
        <v/>
      </c>
      <c r="U802" s="10" t="inlineStr">
        <is>
          <t>Labor Total</t>
        </is>
      </c>
      <c r="V802" s="36" t="n"/>
      <c r="W802" s="2339" t="n"/>
      <c r="X802" s="2340">
        <f>SUM(X799:X801)</f>
        <v/>
      </c>
      <c r="AA802" s="10" t="inlineStr">
        <is>
          <t>Labor Total</t>
        </is>
      </c>
      <c r="AB802" s="36" t="n"/>
      <c r="AC802" s="2339" t="n"/>
      <c r="AD802" s="2340">
        <f>SUM(AD799:AD801)</f>
        <v/>
      </c>
    </row>
    <row r="803">
      <c r="B803" s="1" t="n"/>
      <c r="C803" s="1892" t="n"/>
      <c r="D803" s="2282" t="n"/>
      <c r="E803" s="2282" t="n"/>
      <c r="I803" s="1" t="n"/>
      <c r="J803" s="1892" t="n"/>
      <c r="K803" s="2282" t="n"/>
      <c r="L803" s="2282" t="n"/>
      <c r="O803" s="1" t="n"/>
      <c r="P803" s="1892" t="n"/>
      <c r="Q803" s="2282" t="n"/>
      <c r="R803" s="2282" t="n"/>
      <c r="U803" s="1" t="n"/>
      <c r="V803" s="1892" t="n"/>
      <c r="W803" s="2282" t="n"/>
      <c r="X803" s="2282" t="n"/>
      <c r="AA803" s="1" t="n"/>
      <c r="AB803" s="1892" t="n"/>
      <c r="AC803" s="2282" t="n"/>
      <c r="AD803" s="2282" t="n"/>
    </row>
    <row r="804">
      <c r="B804" s="1" t="n"/>
      <c r="C804" s="1892" t="n"/>
      <c r="D804" s="2282" t="n"/>
      <c r="E804" s="2282" t="n"/>
      <c r="I804" s="1" t="n"/>
      <c r="J804" s="1892" t="n"/>
      <c r="K804" s="2282" t="n"/>
      <c r="L804" s="2282" t="n"/>
      <c r="O804" s="1" t="n"/>
      <c r="P804" s="1892" t="n"/>
      <c r="Q804" s="2282" t="n"/>
      <c r="R804" s="2282" t="n"/>
      <c r="U804" s="1" t="n"/>
      <c r="V804" s="1892" t="n"/>
      <c r="W804" s="2282" t="n"/>
      <c r="X804" s="2282" t="n"/>
      <c r="AA804" s="1" t="n"/>
      <c r="AB804" s="1892" t="n"/>
      <c r="AC804" s="2282" t="n"/>
      <c r="AD804" s="2282" t="n"/>
    </row>
    <row r="805">
      <c r="B805" s="280" t="inlineStr">
        <is>
          <t>SUB-TOTAL COSTS</t>
        </is>
      </c>
      <c r="C805" s="281" t="n"/>
      <c r="D805" s="2393" t="n"/>
      <c r="E805" s="2394">
        <f>SUM(E795,E802,E796)</f>
        <v/>
      </c>
      <c r="I805" s="280" t="inlineStr">
        <is>
          <t>SUB-TOTAL COSTS</t>
        </is>
      </c>
      <c r="J805" s="281" t="n"/>
      <c r="K805" s="2393" t="n"/>
      <c r="L805" s="2394">
        <f>SUM(L795,L802,L796)</f>
        <v/>
      </c>
      <c r="O805" s="280" t="inlineStr">
        <is>
          <t>SUB-TOTAL COSTS</t>
        </is>
      </c>
      <c r="P805" s="281" t="n"/>
      <c r="Q805" s="2393" t="n"/>
      <c r="R805" s="2394">
        <f>SUM(R795,R802,R796)</f>
        <v/>
      </c>
      <c r="U805" s="280" t="inlineStr">
        <is>
          <t>SUB-TOTAL COSTS</t>
        </is>
      </c>
      <c r="V805" s="281" t="n"/>
      <c r="W805" s="2393" t="n"/>
      <c r="X805" s="2394">
        <f>SUM(X795,X802,X796)</f>
        <v/>
      </c>
      <c r="AA805" s="280" t="inlineStr">
        <is>
          <t>SUB-TOTAL COSTS</t>
        </is>
      </c>
      <c r="AB805" s="281" t="n"/>
      <c r="AC805" s="2393" t="n"/>
      <c r="AD805" s="2394">
        <f>SUM(AD795,AD802,AD796)</f>
        <v/>
      </c>
    </row>
    <row r="806">
      <c r="B806" s="1" t="n"/>
      <c r="C806" s="1892" t="n"/>
      <c r="D806" s="2282" t="n"/>
      <c r="E806" s="2282" t="n"/>
      <c r="I806" s="1" t="n"/>
      <c r="J806" s="1892" t="n"/>
      <c r="K806" s="2282" t="n"/>
      <c r="L806" s="2282" t="n"/>
      <c r="O806" s="1" t="n"/>
      <c r="P806" s="1892" t="n"/>
      <c r="Q806" s="2282" t="n"/>
      <c r="R806" s="2282" t="n"/>
      <c r="U806" s="1" t="n"/>
      <c r="V806" s="1892" t="n"/>
      <c r="W806" s="2282" t="n"/>
      <c r="X806" s="2282" t="n"/>
      <c r="AA806" s="1" t="n"/>
      <c r="AB806" s="1892" t="n"/>
      <c r="AC806" s="2282" t="n"/>
      <c r="AD806" s="2282" t="n"/>
    </row>
    <row r="807">
      <c r="B807" s="5" t="inlineStr">
        <is>
          <t>MARKUP</t>
        </is>
      </c>
      <c r="C807" s="30" t="inlineStr">
        <is>
          <t>%</t>
        </is>
      </c>
      <c r="D807" s="2395" t="n"/>
      <c r="E807" s="2019" t="n"/>
      <c r="I807" s="5" t="inlineStr">
        <is>
          <t>MARKUP</t>
        </is>
      </c>
      <c r="J807" s="30" t="inlineStr">
        <is>
          <t>%</t>
        </is>
      </c>
      <c r="K807" s="2395" t="n"/>
      <c r="L807" s="2019" t="n"/>
      <c r="O807" s="5" t="inlineStr">
        <is>
          <t>MARKUP</t>
        </is>
      </c>
      <c r="P807" s="30" t="inlineStr">
        <is>
          <t>%</t>
        </is>
      </c>
      <c r="Q807" s="2395" t="n"/>
      <c r="R807" s="2019" t="n"/>
      <c r="U807" s="5" t="inlineStr">
        <is>
          <t>MARKUP</t>
        </is>
      </c>
      <c r="V807" s="30" t="inlineStr">
        <is>
          <t>%</t>
        </is>
      </c>
      <c r="W807" s="2395" t="n"/>
      <c r="X807" s="2019" t="n"/>
      <c r="AA807" s="5" t="inlineStr">
        <is>
          <t>MARKUP</t>
        </is>
      </c>
      <c r="AB807" s="30" t="inlineStr">
        <is>
          <t>%</t>
        </is>
      </c>
      <c r="AC807" s="2395" t="n"/>
      <c r="AD807" s="2019" t="n"/>
    </row>
    <row r="808">
      <c r="B808" s="6" t="inlineStr">
        <is>
          <t>Sales Tax</t>
        </is>
      </c>
      <c r="C808" s="241" t="n">
        <v>0.091</v>
      </c>
      <c r="D808" s="2397" t="n"/>
      <c r="E808" s="2038">
        <f>ROUNDUP((SUM(E795:E796)*C808),0)</f>
        <v/>
      </c>
      <c r="I808" s="6" t="inlineStr">
        <is>
          <t>Sales Tax</t>
        </is>
      </c>
      <c r="J808" s="241" t="n">
        <v>0.091</v>
      </c>
      <c r="K808" s="2397" t="n"/>
      <c r="L808" s="2038">
        <f>ROUNDUP((SUM(L795:L796)*J808),0)</f>
        <v/>
      </c>
      <c r="O808" s="6" t="inlineStr">
        <is>
          <t>Sales Tax</t>
        </is>
      </c>
      <c r="P808" s="241" t="n">
        <v>0.091</v>
      </c>
      <c r="Q808" s="2397" t="n"/>
      <c r="R808" s="2038">
        <f>ROUNDUP((SUM(R795:R796)*P808),0)</f>
        <v/>
      </c>
      <c r="U808" s="6" t="inlineStr">
        <is>
          <t>Sales Tax</t>
        </is>
      </c>
      <c r="V808" s="241" t="n">
        <v>0.091</v>
      </c>
      <c r="W808" s="2397" t="n"/>
      <c r="X808" s="2038">
        <f>ROUNDUP((SUM(X795:X796)*V808),0)</f>
        <v/>
      </c>
      <c r="AA808" s="6" t="inlineStr">
        <is>
          <t>Sales Tax</t>
        </is>
      </c>
      <c r="AB808" s="241" t="n">
        <v>0.091</v>
      </c>
      <c r="AC808" s="2397" t="n"/>
      <c r="AD808" s="2038">
        <f>ROUNDUP((SUM(AD795:AD796)*AB808),0)</f>
        <v/>
      </c>
    </row>
    <row r="809">
      <c r="B809" s="6" t="inlineStr">
        <is>
          <t>JM Insurance</t>
        </is>
      </c>
      <c r="C809" s="241" t="n">
        <v>0.03</v>
      </c>
      <c r="D809" s="2397" t="n"/>
      <c r="E809" s="2038">
        <f>ROUNDUP(SUM(E802)*C809,0)</f>
        <v/>
      </c>
      <c r="I809" s="6" t="inlineStr">
        <is>
          <t>JM Insurance</t>
        </is>
      </c>
      <c r="J809" s="241" t="n">
        <v>0.03</v>
      </c>
      <c r="K809" s="2397" t="n"/>
      <c r="L809" s="2038">
        <f>ROUNDUP(SUM(L802)*J809,0)</f>
        <v/>
      </c>
      <c r="O809" s="6" t="inlineStr">
        <is>
          <t>JM Insurance</t>
        </is>
      </c>
      <c r="P809" s="241" t="n">
        <v>0.03</v>
      </c>
      <c r="Q809" s="2397" t="n"/>
      <c r="R809" s="2038">
        <f>ROUNDUP(SUM(R802)*P809,0)</f>
        <v/>
      </c>
      <c r="U809" s="6" t="inlineStr">
        <is>
          <t>JM Insurance</t>
        </is>
      </c>
      <c r="V809" s="241" t="n">
        <v>0.03</v>
      </c>
      <c r="W809" s="2397" t="n"/>
      <c r="X809" s="2038">
        <f>ROUNDUP(SUM(X802)*V809,0)</f>
        <v/>
      </c>
      <c r="AA809" s="6" t="inlineStr">
        <is>
          <t>JM Insurance</t>
        </is>
      </c>
      <c r="AB809" s="241" t="n">
        <v>0.03</v>
      </c>
      <c r="AC809" s="2397" t="n"/>
      <c r="AD809" s="2038">
        <f>ROUNDUP(SUM(AD802)*AB809,0)</f>
        <v/>
      </c>
    </row>
    <row r="810">
      <c r="B810" s="6" t="inlineStr">
        <is>
          <t>TW General Liability</t>
        </is>
      </c>
      <c r="C810" s="241" t="n">
        <v>0.01</v>
      </c>
      <c r="D810" s="2397" t="n"/>
      <c r="E810" s="2038">
        <f>ROUNDUP(SUM(E802)*C810,0)</f>
        <v/>
      </c>
      <c r="I810" s="6" t="inlineStr">
        <is>
          <t>TW General Liability</t>
        </is>
      </c>
      <c r="J810" s="241" t="n">
        <v>0.01</v>
      </c>
      <c r="K810" s="2397" t="n"/>
      <c r="L810" s="2038">
        <f>ROUNDUP(SUM(L802)*J810,0)</f>
        <v/>
      </c>
      <c r="O810" s="6" t="inlineStr">
        <is>
          <t>TW General Liability</t>
        </is>
      </c>
      <c r="P810" s="241" t="n">
        <v>0.01</v>
      </c>
      <c r="Q810" s="2397" t="n"/>
      <c r="R810" s="2038">
        <f>ROUNDUP(SUM(R802)*P810,0)</f>
        <v/>
      </c>
      <c r="U810" s="6" t="inlineStr">
        <is>
          <t>TW General Liability</t>
        </is>
      </c>
      <c r="V810" s="241" t="n">
        <v>0.01</v>
      </c>
      <c r="W810" s="2397" t="n"/>
      <c r="X810" s="2038">
        <f>ROUNDUP(SUM(X802)*V810,0)</f>
        <v/>
      </c>
      <c r="AA810" s="6" t="inlineStr">
        <is>
          <t>TW General Liability</t>
        </is>
      </c>
      <c r="AB810" s="241" t="n">
        <v>0.01</v>
      </c>
      <c r="AC810" s="2397" t="n"/>
      <c r="AD810" s="2038">
        <f>ROUNDUP(SUM(AD802)*AB810,0)</f>
        <v/>
      </c>
    </row>
    <row r="811">
      <c r="B811" s="6" t="inlineStr">
        <is>
          <t>TW WC</t>
        </is>
      </c>
      <c r="C811" s="241" t="n">
        <v>0.03</v>
      </c>
      <c r="D811" s="2397" t="n"/>
      <c r="E811" s="2038">
        <f>ROUNDUP(SUM(E802)*C811,0)</f>
        <v/>
      </c>
      <c r="I811" s="6" t="inlineStr">
        <is>
          <t>TW WC</t>
        </is>
      </c>
      <c r="J811" s="241" t="n">
        <v>0.03</v>
      </c>
      <c r="K811" s="2397" t="n"/>
      <c r="L811" s="2038">
        <f>ROUNDUP(SUM(L802)*J811,0)</f>
        <v/>
      </c>
      <c r="O811" s="6" t="inlineStr">
        <is>
          <t>TW WC</t>
        </is>
      </c>
      <c r="P811" s="241" t="n">
        <v>0.03</v>
      </c>
      <c r="Q811" s="2397" t="n"/>
      <c r="R811" s="2038">
        <f>ROUNDUP(SUM(R802)*P811,0)</f>
        <v/>
      </c>
      <c r="U811" s="6" t="inlineStr">
        <is>
          <t>TW WC</t>
        </is>
      </c>
      <c r="V811" s="241" t="n">
        <v>0.03</v>
      </c>
      <c r="W811" s="2397" t="n"/>
      <c r="X811" s="2038">
        <f>ROUNDUP(SUM(X802)*V811,0)</f>
        <v/>
      </c>
      <c r="AA811" s="6" t="inlineStr">
        <is>
          <t>TW WC</t>
        </is>
      </c>
      <c r="AB811" s="241" t="n">
        <v>0.03</v>
      </c>
      <c r="AC811" s="2397" t="n"/>
      <c r="AD811" s="2038">
        <f>ROUNDUP(SUM(AD802)*AB811,0)</f>
        <v/>
      </c>
    </row>
    <row r="812">
      <c r="B812" s="6" t="inlineStr">
        <is>
          <t>Fee</t>
        </is>
      </c>
      <c r="C812" s="122" t="n">
        <v>0.4</v>
      </c>
      <c r="D812" s="2282" t="n"/>
      <c r="E812" s="2038">
        <f>ROUNDUP(SUM(E805:E811)*C812,0)</f>
        <v/>
      </c>
      <c r="I812" s="6" t="inlineStr">
        <is>
          <t>Fee</t>
        </is>
      </c>
      <c r="J812" s="122" t="n">
        <v>0.4</v>
      </c>
      <c r="K812" s="2282" t="n"/>
      <c r="L812" s="2038">
        <f>ROUNDUP(SUM(L805:L811)*J812,0)</f>
        <v/>
      </c>
      <c r="O812" s="6" t="inlineStr">
        <is>
          <t>Fee</t>
        </is>
      </c>
      <c r="P812" s="122" t="n">
        <v>0.4</v>
      </c>
      <c r="Q812" s="2282" t="n"/>
      <c r="R812" s="2038">
        <f>ROUNDUP(SUM(R805:R811)*P812,0)</f>
        <v/>
      </c>
      <c r="U812" s="6" t="inlineStr">
        <is>
          <t>Fee</t>
        </is>
      </c>
      <c r="V812" s="122" t="n">
        <v>0.4</v>
      </c>
      <c r="W812" s="2282" t="n"/>
      <c r="X812" s="2038">
        <f>ROUNDUP(SUM(X805:X811)*V812,0)</f>
        <v/>
      </c>
      <c r="AA812" s="6" t="inlineStr">
        <is>
          <t>Fee</t>
        </is>
      </c>
      <c r="AB812" s="122" t="n">
        <v>0.4</v>
      </c>
      <c r="AC812" s="2282" t="n"/>
      <c r="AD812" s="2038">
        <f>ROUNDUP(SUM(AD805:AD811)*AB812,0)</f>
        <v/>
      </c>
    </row>
    <row r="813">
      <c r="B813" s="6" t="inlineStr">
        <is>
          <t>Contingency</t>
        </is>
      </c>
      <c r="C813" s="122" t="n">
        <v>0</v>
      </c>
      <c r="D813" s="2282" t="n"/>
      <c r="E813" s="2038">
        <f>ROUNDUP(SUM(E805:E812)*C813,0)</f>
        <v/>
      </c>
      <c r="I813" s="6" t="inlineStr">
        <is>
          <t>Contingency</t>
        </is>
      </c>
      <c r="J813" s="122" t="n">
        <v>0</v>
      </c>
      <c r="K813" s="2282" t="n"/>
      <c r="L813" s="2038">
        <f>ROUNDUP(SUM(L805:L812)*J813,0)</f>
        <v/>
      </c>
      <c r="O813" s="6" t="inlineStr">
        <is>
          <t>Contingency</t>
        </is>
      </c>
      <c r="P813" s="122" t="n">
        <v>0</v>
      </c>
      <c r="Q813" s="2282" t="n"/>
      <c r="R813" s="2038">
        <f>ROUNDUP(SUM(R805:R812)*P813,0)</f>
        <v/>
      </c>
      <c r="U813" s="6" t="inlineStr">
        <is>
          <t>Contingency</t>
        </is>
      </c>
      <c r="V813" s="122" t="n">
        <v>0.1</v>
      </c>
      <c r="W813" s="2282" t="n"/>
      <c r="X813" s="2038">
        <f>ROUNDUP(SUM(X805:X812)*V813,0)</f>
        <v/>
      </c>
      <c r="AA813" s="6" t="inlineStr">
        <is>
          <t>Contingency</t>
        </is>
      </c>
      <c r="AB813" s="122" t="n">
        <v>0.1</v>
      </c>
      <c r="AC813" s="2282" t="n"/>
      <c r="AD813" s="2038">
        <f>ROUNDUP(SUM(AD805:AD812)*AB813,0)</f>
        <v/>
      </c>
    </row>
    <row r="814">
      <c r="B814" s="6" t="inlineStr">
        <is>
          <t>Kansas Remodel Tax</t>
        </is>
      </c>
      <c r="C814" s="241" t="n"/>
      <c r="D814" s="2282" t="n"/>
      <c r="E814" s="2038">
        <f>ROUNDUP(SUM(E802,E810:E813)*C814,0)</f>
        <v/>
      </c>
      <c r="I814" s="6" t="inlineStr">
        <is>
          <t>Kansas Remodel Tax</t>
        </is>
      </c>
      <c r="J814" s="241" t="n"/>
      <c r="K814" s="2282" t="n"/>
      <c r="L814" s="2038">
        <f>ROUNDUP(SUM(L802,L810:L813)*J814,0)</f>
        <v/>
      </c>
      <c r="O814" s="6" t="inlineStr">
        <is>
          <t>Kansas Remodel Tax</t>
        </is>
      </c>
      <c r="P814" s="241" t="n"/>
      <c r="Q814" s="2282" t="n"/>
      <c r="R814" s="2038">
        <f>ROUNDUP(SUM(R802,R810:R813)*P814,0)</f>
        <v/>
      </c>
      <c r="U814" s="6" t="inlineStr">
        <is>
          <t>Kansas Remodel Tax</t>
        </is>
      </c>
      <c r="V814" s="241" t="n"/>
      <c r="W814" s="2282" t="n"/>
      <c r="X814" s="2038">
        <f>ROUNDUP(SUM(X802,X810:X813)*V814,0)</f>
        <v/>
      </c>
      <c r="AA814" s="6" t="inlineStr">
        <is>
          <t>Kansas Remodel Tax</t>
        </is>
      </c>
      <c r="AB814" s="241" t="n"/>
      <c r="AC814" s="2282" t="n"/>
      <c r="AD814" s="2038">
        <f>ROUNDUP(SUM(AD802,AD810:AD813)*AB814,0)</f>
        <v/>
      </c>
    </row>
    <row r="815">
      <c r="B815" s="6" t="inlineStr">
        <is>
          <t>Warranty Work</t>
        </is>
      </c>
      <c r="C815" s="241" t="n">
        <v>0.01</v>
      </c>
      <c r="D815" s="2282" t="n"/>
      <c r="E815" s="2038">
        <f>ROUNDUP(C815*SUM(E805:E814),0)</f>
        <v/>
      </c>
      <c r="I815" s="6" t="inlineStr">
        <is>
          <t>Warranty Work</t>
        </is>
      </c>
      <c r="J815" s="241" t="n">
        <v>0.01</v>
      </c>
      <c r="K815" s="2282" t="n"/>
      <c r="L815" s="2038">
        <f>ROUNDUP(J815*SUM(L805:L814),0)</f>
        <v/>
      </c>
      <c r="O815" s="6" t="inlineStr">
        <is>
          <t>Warranty Work</t>
        </is>
      </c>
      <c r="P815" s="241" t="n">
        <v>0.01</v>
      </c>
      <c r="Q815" s="2282" t="n"/>
      <c r="R815" s="2038">
        <f>ROUNDUP(P815*SUM(R805:R814),0)</f>
        <v/>
      </c>
      <c r="U815" s="6" t="inlineStr">
        <is>
          <t>Warranty Work</t>
        </is>
      </c>
      <c r="V815" s="241" t="n">
        <v>0.01</v>
      </c>
      <c r="W815" s="2282" t="n"/>
      <c r="X815" s="2038">
        <f>ROUNDUP(V815*SUM(X805:X814),0)</f>
        <v/>
      </c>
      <c r="AA815" s="6" t="inlineStr">
        <is>
          <t>Warranty Work</t>
        </is>
      </c>
      <c r="AB815" s="241" t="n">
        <v>0.01</v>
      </c>
      <c r="AC815" s="2282" t="n"/>
      <c r="AD815" s="2038">
        <f>ROUNDUP(AB815*SUM(AD805:AD814),0)</f>
        <v/>
      </c>
    </row>
    <row r="816">
      <c r="B816" s="45" t="inlineStr">
        <is>
          <t>Bond</t>
        </is>
      </c>
      <c r="C816" s="46" t="n"/>
      <c r="D816" s="2314" t="n"/>
      <c r="E816" s="2400">
        <f>ROUNDUP(SUM(E805:E815)*C816,0)</f>
        <v/>
      </c>
      <c r="I816" s="45" t="inlineStr">
        <is>
          <t>Bond</t>
        </is>
      </c>
      <c r="J816" s="46" t="n"/>
      <c r="K816" s="2314" t="n"/>
      <c r="L816" s="2400">
        <f>ROUNDUP(SUM(L805:L815)*J816,0)</f>
        <v/>
      </c>
      <c r="O816" s="45" t="inlineStr">
        <is>
          <t>Bond</t>
        </is>
      </c>
      <c r="P816" s="46" t="n"/>
      <c r="Q816" s="2314" t="n"/>
      <c r="R816" s="2400">
        <f>ROUNDUP(SUM(R805:R815)*P816,0)</f>
        <v/>
      </c>
      <c r="U816" s="45" t="inlineStr">
        <is>
          <t>Bond</t>
        </is>
      </c>
      <c r="V816" s="46" t="n"/>
      <c r="W816" s="2314" t="n"/>
      <c r="X816" s="2400">
        <f>ROUNDUP(SUM(X805:X815)*V816,0)</f>
        <v/>
      </c>
      <c r="AA816" s="45" t="inlineStr">
        <is>
          <t>Bond</t>
        </is>
      </c>
      <c r="AB816" s="46" t="n"/>
      <c r="AC816" s="2314" t="n"/>
      <c r="AD816" s="2400">
        <f>ROUNDUP(SUM(AD805:AD815)*AB816,0)</f>
        <v/>
      </c>
    </row>
    <row r="817">
      <c r="B817" s="1" t="n"/>
      <c r="C817" s="8" t="n"/>
      <c r="D817" s="2282" t="n"/>
      <c r="E817" s="2282" t="n"/>
      <c r="I817" s="1" t="n"/>
      <c r="J817" s="8" t="n"/>
      <c r="K817" s="2282" t="n"/>
      <c r="L817" s="2282" t="n"/>
      <c r="O817" s="1" t="n"/>
      <c r="P817" s="8" t="n"/>
      <c r="Q817" s="2282" t="n"/>
      <c r="R817" s="2282" t="n"/>
      <c r="U817" s="1" t="n"/>
      <c r="V817" s="8" t="n"/>
      <c r="W817" s="2282" t="n"/>
      <c r="X817" s="2282" t="n"/>
      <c r="AA817" s="1" t="n"/>
      <c r="AB817" s="8" t="n"/>
      <c r="AC817" s="2282" t="n"/>
      <c r="AD817" s="2282" t="n"/>
    </row>
    <row r="818" ht="16.2" customHeight="1" thickBot="1">
      <c r="B818" s="1" t="n"/>
      <c r="C818" s="1" t="n"/>
      <c r="D818" s="2282" t="n"/>
      <c r="E818" s="2282" t="n"/>
      <c r="F818" s="51" t="inlineStr">
        <is>
          <t>per lf</t>
        </is>
      </c>
      <c r="I818" s="1" t="n"/>
      <c r="J818" s="1" t="n"/>
      <c r="K818" s="2282" t="n"/>
      <c r="L818" s="2282" t="n"/>
      <c r="M818" s="51" t="inlineStr">
        <is>
          <t>per lf</t>
        </is>
      </c>
      <c r="N818" s="51" t="n"/>
      <c r="O818" s="1" t="n"/>
      <c r="P818" s="1" t="n"/>
      <c r="Q818" s="2282" t="n"/>
      <c r="R818" s="2282" t="n"/>
      <c r="S818" s="51" t="inlineStr">
        <is>
          <t>per sf</t>
        </is>
      </c>
      <c r="U818" s="1" t="n"/>
      <c r="V818" s="1" t="n"/>
      <c r="W818" s="2282" t="n"/>
      <c r="X818" s="2282" t="n"/>
      <c r="Y818" s="51" t="inlineStr">
        <is>
          <t>per sf</t>
        </is>
      </c>
      <c r="AA818" s="1" t="n"/>
      <c r="AB818" s="1" t="n"/>
      <c r="AC818" s="2282" t="n"/>
      <c r="AD818" s="2282" t="n"/>
      <c r="AE818" s="51" t="inlineStr">
        <is>
          <t>per sf</t>
        </is>
      </c>
    </row>
    <row r="819" ht="16.2" customHeight="1" thickBot="1">
      <c r="B819" s="289" t="inlineStr">
        <is>
          <t>TOTAL</t>
        </is>
      </c>
      <c r="C819" s="290" t="n"/>
      <c r="D819" s="2412" t="n"/>
      <c r="E819" s="2404">
        <f>SUM(E805:E816)</f>
        <v/>
      </c>
      <c r="F819" s="2469">
        <f>E819/C799</f>
        <v/>
      </c>
      <c r="I819" s="289" t="inlineStr">
        <is>
          <t>TOTAL</t>
        </is>
      </c>
      <c r="J819" s="290" t="n"/>
      <c r="K819" s="2412" t="n"/>
      <c r="L819" s="2404">
        <f>SUM(L805:L816)</f>
        <v/>
      </c>
      <c r="M819" s="2469">
        <f>L819/J799</f>
        <v/>
      </c>
      <c r="N819" s="2469" t="n"/>
      <c r="O819" s="289" t="inlineStr">
        <is>
          <t>TOTAL</t>
        </is>
      </c>
      <c r="P819" s="290" t="n"/>
      <c r="Q819" s="2412" t="n"/>
      <c r="R819" s="2404">
        <f>SUM(R805:R816)</f>
        <v/>
      </c>
      <c r="S819" s="2469">
        <f>R819/P799</f>
        <v/>
      </c>
      <c r="U819" s="289" t="inlineStr">
        <is>
          <t>TOTAL</t>
        </is>
      </c>
      <c r="V819" s="290" t="n"/>
      <c r="W819" s="2412" t="n"/>
      <c r="X819" s="2404">
        <f>SUM(X805:X816)</f>
        <v/>
      </c>
      <c r="Y819" s="2469">
        <f>X819/V799</f>
        <v/>
      </c>
      <c r="AA819" s="289" t="inlineStr">
        <is>
          <t>TOTAL</t>
        </is>
      </c>
      <c r="AB819" s="290" t="n"/>
      <c r="AC819" s="2412" t="n"/>
      <c r="AD819" s="2404">
        <f>SUM(AD805:AD816)</f>
        <v/>
      </c>
      <c r="AE819" s="2469">
        <f>AD819/AB799</f>
        <v/>
      </c>
    </row>
    <row r="821">
      <c r="K821" t="inlineStr">
        <is>
          <t>high (at 30 % of sf)</t>
        </is>
      </c>
      <c r="M821" t="inlineStr">
        <is>
          <t>low (at 15% of sf)</t>
        </is>
      </c>
    </row>
    <row r="822">
      <c r="L822" s="2281">
        <f>(L819/(J799/0.3))</f>
        <v/>
      </c>
      <c r="M822" s="2281">
        <f>(L819/(J799/0.15))</f>
        <v/>
      </c>
      <c r="N822" s="2281" t="n"/>
      <c r="O822" s="2281" t="n"/>
      <c r="P822" s="2281" t="n"/>
      <c r="Q822" s="2281" t="n"/>
      <c r="R822" s="2281" t="n"/>
      <c r="S822" s="2281" t="n"/>
    </row>
    <row r="825">
      <c r="B825" s="2374" t="inlineStr">
        <is>
          <t>Altenate  - Polish 1,000 sf 800 grit</t>
        </is>
      </c>
      <c r="C825" s="2350" t="n"/>
      <c r="D825" s="2350" t="n"/>
      <c r="E825" s="237" t="n"/>
      <c r="I825" s="2374" t="inlineStr">
        <is>
          <t>Altenate  - Polish Edges 200, sf</t>
        </is>
      </c>
      <c r="J825" s="2350" t="n"/>
      <c r="K825" s="2350" t="n"/>
      <c r="L825" s="237" t="n"/>
      <c r="O825" s="2374" t="inlineStr">
        <is>
          <t>Altenate  - Polish 1,000 with Edges</t>
        </is>
      </c>
      <c r="P825" s="2350" t="n"/>
      <c r="Q825" s="2350" t="n"/>
      <c r="R825" s="237" t="n"/>
      <c r="U825" s="2374" t="inlineStr">
        <is>
          <t xml:space="preserve">Altenate  - Grind+Seal 5,000 sf </t>
        </is>
      </c>
      <c r="V825" s="2350" t="n"/>
      <c r="W825" s="2350" t="n"/>
      <c r="X825" s="237" t="n"/>
      <c r="AA825" s="2374" t="inlineStr">
        <is>
          <t xml:space="preserve">Altenate  - Stain+Seal 5,000 sf </t>
        </is>
      </c>
      <c r="AB825" s="2350" t="n"/>
      <c r="AC825" s="2350" t="n"/>
      <c r="AD825" s="237" t="n"/>
    </row>
    <row r="826">
      <c r="B826" s="5" t="inlineStr">
        <is>
          <t xml:space="preserve">MATERIAL - </t>
        </is>
      </c>
      <c r="C826" s="30" t="inlineStr">
        <is>
          <t>Quantity</t>
        </is>
      </c>
      <c r="D826" s="30" t="inlineStr">
        <is>
          <t>Cost</t>
        </is>
      </c>
      <c r="E826" s="31" t="inlineStr">
        <is>
          <t>Total</t>
        </is>
      </c>
      <c r="I826" s="5" t="inlineStr">
        <is>
          <t xml:space="preserve">MATERIAL - </t>
        </is>
      </c>
      <c r="J826" s="30" t="inlineStr">
        <is>
          <t>Quantity</t>
        </is>
      </c>
      <c r="K826" s="30" t="inlineStr">
        <is>
          <t>Cost</t>
        </is>
      </c>
      <c r="L826" s="31" t="inlineStr">
        <is>
          <t>Total</t>
        </is>
      </c>
      <c r="O826" s="5" t="inlineStr">
        <is>
          <t xml:space="preserve">MATERIAL - </t>
        </is>
      </c>
      <c r="P826" s="30" t="inlineStr">
        <is>
          <t>Quantity</t>
        </is>
      </c>
      <c r="Q826" s="30" t="inlineStr">
        <is>
          <t>Cost</t>
        </is>
      </c>
      <c r="R826" s="31" t="inlineStr">
        <is>
          <t>Total</t>
        </is>
      </c>
      <c r="U826" s="5" t="inlineStr">
        <is>
          <t xml:space="preserve">MATERIAL - </t>
        </is>
      </c>
      <c r="V826" s="30" t="inlineStr">
        <is>
          <t>Quantity</t>
        </is>
      </c>
      <c r="W826" s="30" t="inlineStr">
        <is>
          <t>Cost</t>
        </is>
      </c>
      <c r="X826" s="31" t="inlineStr">
        <is>
          <t>Total</t>
        </is>
      </c>
      <c r="AA826" s="5" t="inlineStr">
        <is>
          <t xml:space="preserve">MATERIAL - </t>
        </is>
      </c>
      <c r="AB826" s="30" t="inlineStr">
        <is>
          <t>Quantity</t>
        </is>
      </c>
      <c r="AC826" s="30" t="inlineStr">
        <is>
          <t>Cost</t>
        </is>
      </c>
      <c r="AD826" s="31" t="inlineStr">
        <is>
          <t>Total</t>
        </is>
      </c>
    </row>
    <row r="827">
      <c r="B827" s="1892" t="inlineStr">
        <is>
          <t>Densifier</t>
        </is>
      </c>
      <c r="C827" s="1892" t="n">
        <v>1000</v>
      </c>
      <c r="D827" s="2312" t="n">
        <v>0.1</v>
      </c>
      <c r="E827" s="2308">
        <f>C827*D827</f>
        <v/>
      </c>
      <c r="I827" s="44" t="n"/>
      <c r="J827" s="1892" t="n"/>
      <c r="K827" s="2312" t="n"/>
      <c r="L827" s="2308">
        <f>J827*K827</f>
        <v/>
      </c>
      <c r="O827" s="44" t="inlineStr">
        <is>
          <t>Densifier</t>
        </is>
      </c>
      <c r="P827" s="1892" t="n">
        <v>1000</v>
      </c>
      <c r="Q827" s="2312" t="n">
        <v>0.1</v>
      </c>
      <c r="R827" s="2308">
        <f>P827*Q827</f>
        <v/>
      </c>
      <c r="U827" s="1892" t="n"/>
      <c r="V827" s="1892" t="n"/>
      <c r="W827" s="2312" t="n"/>
      <c r="X827" s="2308">
        <f>V827*W827</f>
        <v/>
      </c>
      <c r="AA827" s="1892" t="n"/>
      <c r="AB827" s="1892" t="n"/>
      <c r="AC827" s="2312" t="n"/>
      <c r="AD827" s="2308">
        <f>AB827*AC827</f>
        <v/>
      </c>
    </row>
    <row r="828">
      <c r="B828" s="1892" t="inlineStr">
        <is>
          <t>Sealer</t>
        </is>
      </c>
      <c r="C828" s="1892" t="n">
        <v>1000</v>
      </c>
      <c r="D828" s="2312" t="n">
        <v>0.2</v>
      </c>
      <c r="E828" s="2308">
        <f>C828*D828</f>
        <v/>
      </c>
      <c r="I828" s="44" t="n"/>
      <c r="J828" s="1892" t="n"/>
      <c r="K828" s="2312" t="n"/>
      <c r="L828" s="2308">
        <f>J828*K828</f>
        <v/>
      </c>
      <c r="O828" s="44" t="inlineStr">
        <is>
          <t>Sealer</t>
        </is>
      </c>
      <c r="P828" s="1892" t="n">
        <v>1000</v>
      </c>
      <c r="Q828" s="2312" t="n">
        <v>0.2</v>
      </c>
      <c r="R828" s="2308">
        <f>P828*Q828</f>
        <v/>
      </c>
      <c r="U828" s="1892" t="inlineStr">
        <is>
          <t>Sealer</t>
        </is>
      </c>
      <c r="V828" s="1892" t="n">
        <v>1000</v>
      </c>
      <c r="W828" s="2312" t="n">
        <v>0.26</v>
      </c>
      <c r="X828" s="2308">
        <f>V828*W828</f>
        <v/>
      </c>
      <c r="AA828" s="1892" t="inlineStr">
        <is>
          <t>Sealer</t>
        </is>
      </c>
      <c r="AB828" s="1892" t="n">
        <v>1000</v>
      </c>
      <c r="AC828" s="2312" t="n">
        <v>0.26</v>
      </c>
      <c r="AD828" s="2308">
        <f>AB828*AC828</f>
        <v/>
      </c>
    </row>
    <row r="829">
      <c r="B829" s="1892" t="n"/>
      <c r="C829" s="1892" t="n"/>
      <c r="D829" s="2312" t="n"/>
      <c r="E829" s="2308">
        <f>C829*D829</f>
        <v/>
      </c>
      <c r="I829" s="44" t="n"/>
      <c r="J829" s="1892" t="n"/>
      <c r="K829" s="2312" t="n"/>
      <c r="L829" s="2308">
        <f>J829*K829</f>
        <v/>
      </c>
      <c r="O829" s="44" t="n"/>
      <c r="P829" s="1892" t="n"/>
      <c r="Q829" s="2312" t="n"/>
      <c r="R829" s="2308">
        <f>P829*Q829</f>
        <v/>
      </c>
      <c r="U829" s="1892" t="n"/>
      <c r="V829" s="1892" t="n"/>
      <c r="W829" s="2312" t="n"/>
      <c r="X829" s="2308">
        <f>V829*W829</f>
        <v/>
      </c>
      <c r="AA829" s="1892" t="inlineStr">
        <is>
          <t>Stain</t>
        </is>
      </c>
      <c r="AB829" s="1892" t="n">
        <v>1000</v>
      </c>
      <c r="AC829" s="2312" t="n">
        <v>0.26</v>
      </c>
      <c r="AD829" s="2308">
        <f>AB829*AC829</f>
        <v/>
      </c>
    </row>
    <row r="830">
      <c r="B830" s="322" t="n"/>
      <c r="C830" s="323" t="n"/>
      <c r="D830" s="2332" t="n"/>
      <c r="E830" s="2333">
        <f>C830*D830</f>
        <v/>
      </c>
      <c r="I830" s="322" t="n"/>
      <c r="J830" s="323" t="n"/>
      <c r="K830" s="2332" t="n"/>
      <c r="L830" s="2333">
        <f>J830*K830</f>
        <v/>
      </c>
      <c r="O830" s="45" t="n"/>
      <c r="P830" s="323" t="n"/>
      <c r="Q830" s="2332" t="n"/>
      <c r="R830" s="2333">
        <f>P830*Q830</f>
        <v/>
      </c>
      <c r="U830" s="322" t="n"/>
      <c r="V830" s="323" t="n"/>
      <c r="W830" s="2332" t="n"/>
      <c r="X830" s="2333">
        <f>V830*W830</f>
        <v/>
      </c>
      <c r="AA830" s="322" t="n"/>
      <c r="AB830" s="323" t="n"/>
      <c r="AC830" s="2332" t="n"/>
      <c r="AD830" s="2333">
        <f>AB830*AC830</f>
        <v/>
      </c>
    </row>
    <row r="831">
      <c r="B831" s="17" t="inlineStr">
        <is>
          <t>Material Sub Total</t>
        </is>
      </c>
      <c r="C831" s="35" t="n"/>
      <c r="D831" s="2382" t="n"/>
      <c r="E831" s="2335">
        <f>ROUNDUP(SUM(E827:E830),0)</f>
        <v/>
      </c>
      <c r="I831" s="17" t="inlineStr">
        <is>
          <t>Material Sub Total</t>
        </is>
      </c>
      <c r="J831" s="35" t="n"/>
      <c r="K831" s="2382" t="n"/>
      <c r="L831" s="2335">
        <f>ROUNDUP(SUM(L827:L830),0)</f>
        <v/>
      </c>
      <c r="O831" s="17" t="inlineStr">
        <is>
          <t>Material Sub Total</t>
        </is>
      </c>
      <c r="P831" s="35" t="n"/>
      <c r="Q831" s="2382" t="n"/>
      <c r="R831" s="2335">
        <f>ROUNDUP(SUM(R827:R830),0)</f>
        <v/>
      </c>
      <c r="U831" s="17" t="inlineStr">
        <is>
          <t>Material Sub Total</t>
        </is>
      </c>
      <c r="V831" s="35" t="n"/>
      <c r="W831" s="2382" t="n"/>
      <c r="X831" s="2335">
        <f>ROUNDUP(SUM(X827:X830),0)</f>
        <v/>
      </c>
      <c r="AA831" s="17" t="inlineStr">
        <is>
          <t>Material Sub Total</t>
        </is>
      </c>
      <c r="AB831" s="35" t="n"/>
      <c r="AC831" s="2382" t="n"/>
      <c r="AD831" s="2335">
        <f>ROUNDUP(SUM(AD827:AD830),0)</f>
        <v/>
      </c>
    </row>
    <row r="832">
      <c r="B832" s="20" t="inlineStr">
        <is>
          <t>Material Overage</t>
        </is>
      </c>
      <c r="C832" s="270" t="n">
        <v>0.1</v>
      </c>
      <c r="D832" s="2283" t="n"/>
      <c r="E832" s="2383">
        <f>ROUNDUP(E831*C832,0)</f>
        <v/>
      </c>
      <c r="I832" s="20" t="inlineStr">
        <is>
          <t>Material Overage</t>
        </is>
      </c>
      <c r="J832" s="270" t="n">
        <v>0.1</v>
      </c>
      <c r="K832" s="2283" t="n"/>
      <c r="L832" s="2383">
        <f>ROUNDUP(L831*J832,0)</f>
        <v/>
      </c>
      <c r="O832" s="20" t="inlineStr">
        <is>
          <t>Material Overage</t>
        </is>
      </c>
      <c r="P832" s="270" t="n">
        <v>0.1</v>
      </c>
      <c r="Q832" s="2283" t="n"/>
      <c r="R832" s="2383">
        <f>ROUNDUP(R831*P832,0)</f>
        <v/>
      </c>
      <c r="U832" s="20" t="inlineStr">
        <is>
          <t>Material Overage</t>
        </is>
      </c>
      <c r="V832" s="270" t="n">
        <v>0.1</v>
      </c>
      <c r="W832" s="2283" t="n"/>
      <c r="X832" s="2383">
        <f>ROUNDUP(X831*V832,0)</f>
        <v/>
      </c>
      <c r="AA832" s="20" t="inlineStr">
        <is>
          <t>Material Overage</t>
        </is>
      </c>
      <c r="AB832" s="270" t="n">
        <v>0.1</v>
      </c>
      <c r="AC832" s="2283" t="n"/>
      <c r="AD832" s="2383">
        <f>ROUNDUP(AD831*AB832,0)</f>
        <v/>
      </c>
    </row>
    <row r="833">
      <c r="B833" s="10" t="inlineStr">
        <is>
          <t>Material Total</t>
        </is>
      </c>
      <c r="C833" s="36" t="n"/>
      <c r="D833" s="2339" t="n"/>
      <c r="E833" s="2340">
        <f>SUM(E831:E832)</f>
        <v/>
      </c>
      <c r="I833" s="10" t="inlineStr">
        <is>
          <t>Material Total</t>
        </is>
      </c>
      <c r="J833" s="36" t="n"/>
      <c r="K833" s="2339" t="n"/>
      <c r="L833" s="2340">
        <f>SUM(L831:L832)</f>
        <v/>
      </c>
      <c r="O833" s="10" t="inlineStr">
        <is>
          <t>Material Total</t>
        </is>
      </c>
      <c r="P833" s="36" t="n"/>
      <c r="Q833" s="2339" t="n"/>
      <c r="R833" s="2340">
        <f>SUM(R831:R832)</f>
        <v/>
      </c>
      <c r="U833" s="10" t="inlineStr">
        <is>
          <t>Material Total</t>
        </is>
      </c>
      <c r="V833" s="36" t="n"/>
      <c r="W833" s="2339" t="n"/>
      <c r="X833" s="2340">
        <f>SUM(X831:X832)</f>
        <v/>
      </c>
      <c r="AA833" s="10" t="inlineStr">
        <is>
          <t>Material Total</t>
        </is>
      </c>
      <c r="AB833" s="36" t="n"/>
      <c r="AC833" s="2339" t="n"/>
      <c r="AD833" s="2340">
        <f>SUM(AD831:AD832)</f>
        <v/>
      </c>
    </row>
    <row r="834">
      <c r="B834" s="39" t="inlineStr">
        <is>
          <t>Shipping</t>
        </is>
      </c>
      <c r="C834" s="40" t="n">
        <v>0</v>
      </c>
      <c r="D834" s="2384" t="n"/>
      <c r="E834" s="2338">
        <f>ROUNDUP(E831*C834,0)</f>
        <v/>
      </c>
      <c r="I834" s="39" t="inlineStr">
        <is>
          <t>Shipping</t>
        </is>
      </c>
      <c r="J834" s="40" t="n">
        <v>0</v>
      </c>
      <c r="K834" s="2384" t="n"/>
      <c r="L834" s="2338">
        <f>ROUNDUP(L831*J834,0)</f>
        <v/>
      </c>
      <c r="O834" s="39" t="inlineStr">
        <is>
          <t>Shipping</t>
        </is>
      </c>
      <c r="P834" s="40" t="n">
        <v>0</v>
      </c>
      <c r="Q834" s="2384" t="n"/>
      <c r="R834" s="2338">
        <f>ROUNDUP(R831*P834,0)</f>
        <v/>
      </c>
      <c r="U834" s="39" t="inlineStr">
        <is>
          <t>Shipping</t>
        </is>
      </c>
      <c r="V834" s="40" t="n">
        <v>0</v>
      </c>
      <c r="W834" s="2384" t="n"/>
      <c r="X834" s="2338">
        <f>ROUNDUP(X831*V834,0)</f>
        <v/>
      </c>
      <c r="AA834" s="39" t="inlineStr">
        <is>
          <t>Shipping</t>
        </is>
      </c>
      <c r="AB834" s="40" t="n">
        <v>0</v>
      </c>
      <c r="AC834" s="2384" t="n"/>
      <c r="AD834" s="2338">
        <f>ROUNDUP(AD831*AB834,0)</f>
        <v/>
      </c>
    </row>
    <row r="835">
      <c r="B835" s="1" t="n"/>
      <c r="C835" s="1892" t="n"/>
      <c r="D835" s="2282" t="n"/>
      <c r="E835" s="2282" t="n"/>
      <c r="I835" s="1" t="n"/>
      <c r="J835" s="1892" t="n"/>
      <c r="K835" s="2282" t="n"/>
      <c r="L835" s="2282" t="n"/>
      <c r="O835" s="1" t="n"/>
      <c r="P835" s="1892" t="n"/>
      <c r="Q835" s="2282" t="n"/>
      <c r="R835" s="2282" t="n"/>
      <c r="U835" s="1" t="n"/>
      <c r="V835" s="1892" t="n"/>
      <c r="W835" s="2282" t="n"/>
      <c r="X835" s="2282" t="n"/>
      <c r="AA835" s="1" t="n"/>
      <c r="AB835" s="1892" t="n"/>
      <c r="AC835" s="2282" t="n"/>
      <c r="AD835" s="2282" t="n"/>
    </row>
    <row r="836">
      <c r="B836" s="5" t="inlineStr">
        <is>
          <t>LABOR</t>
        </is>
      </c>
      <c r="C836" s="30" t="inlineStr">
        <is>
          <t>Quantity</t>
        </is>
      </c>
      <c r="D836" s="11" t="inlineStr">
        <is>
          <t>Cost</t>
        </is>
      </c>
      <c r="E836" s="2457" t="inlineStr">
        <is>
          <t>Total</t>
        </is>
      </c>
      <c r="I836" s="5" t="inlineStr">
        <is>
          <t>LABOR</t>
        </is>
      </c>
      <c r="J836" s="30" t="inlineStr">
        <is>
          <t>Quantity</t>
        </is>
      </c>
      <c r="K836" s="11" t="inlineStr">
        <is>
          <t>Cost</t>
        </is>
      </c>
      <c r="L836" s="2457" t="inlineStr">
        <is>
          <t>Total</t>
        </is>
      </c>
      <c r="O836" s="5" t="inlineStr">
        <is>
          <t>LABOR</t>
        </is>
      </c>
      <c r="P836" s="30" t="inlineStr">
        <is>
          <t>Quantity</t>
        </is>
      </c>
      <c r="Q836" s="11" t="inlineStr">
        <is>
          <t>Cost</t>
        </is>
      </c>
      <c r="R836" s="2457" t="inlineStr">
        <is>
          <t>Total</t>
        </is>
      </c>
      <c r="U836" s="5" t="inlineStr">
        <is>
          <t>LABOR</t>
        </is>
      </c>
      <c r="V836" s="30" t="inlineStr">
        <is>
          <t>Quantity</t>
        </is>
      </c>
      <c r="W836" s="11" t="inlineStr">
        <is>
          <t>Cost</t>
        </is>
      </c>
      <c r="X836" s="2457" t="inlineStr">
        <is>
          <t>Total</t>
        </is>
      </c>
      <c r="AA836" s="5" t="inlineStr">
        <is>
          <t>LABOR</t>
        </is>
      </c>
      <c r="AB836" s="30" t="inlineStr">
        <is>
          <t>Quantity</t>
        </is>
      </c>
      <c r="AC836" s="11" t="inlineStr">
        <is>
          <t>Cost</t>
        </is>
      </c>
      <c r="AD836" s="2457" t="inlineStr">
        <is>
          <t>Total</t>
        </is>
      </c>
    </row>
    <row r="837">
      <c r="B837" s="6" t="inlineStr">
        <is>
          <t>JM Polish (no edge)</t>
        </is>
      </c>
      <c r="C837" s="37" t="n">
        <v>1000</v>
      </c>
      <c r="D837" s="2282" t="n">
        <v>2.15</v>
      </c>
      <c r="E837" s="2038">
        <f>ROUNDUP(C837*D837,0)</f>
        <v/>
      </c>
      <c r="I837" s="6" t="inlineStr">
        <is>
          <t>JM Polish Edge</t>
        </is>
      </c>
      <c r="J837" s="37" t="n">
        <v>200</v>
      </c>
      <c r="K837" s="2282" t="n">
        <v>2.55</v>
      </c>
      <c r="L837" s="2038">
        <f>ROUNDUP(J837*K837,0)</f>
        <v/>
      </c>
      <c r="O837" s="6" t="inlineStr">
        <is>
          <t>JM Polish (no edge)</t>
        </is>
      </c>
      <c r="P837" s="37">
        <f>C837</f>
        <v/>
      </c>
      <c r="Q837" s="2282">
        <f>D837</f>
        <v/>
      </c>
      <c r="R837" s="2038">
        <f>ROUNDUP(P837*Q837,0)</f>
        <v/>
      </c>
      <c r="U837" s="6" t="inlineStr">
        <is>
          <t>JM Polish (no edge)</t>
        </is>
      </c>
      <c r="V837" s="37" t="n">
        <v>1000</v>
      </c>
      <c r="W837" s="2282" t="n">
        <v>1</v>
      </c>
      <c r="X837" s="2038">
        <f>ROUNDUP(V837*W837,0)</f>
        <v/>
      </c>
      <c r="AA837" s="6" t="inlineStr">
        <is>
          <t>JM Stain</t>
        </is>
      </c>
      <c r="AB837" s="37" t="n">
        <v>1000</v>
      </c>
      <c r="AC837" s="2282" t="n">
        <v>1.5</v>
      </c>
      <c r="AD837" s="2038">
        <f>ROUNDUP(AB837*AC837,0)</f>
        <v/>
      </c>
    </row>
    <row r="838">
      <c r="B838" s="6" t="n"/>
      <c r="C838" s="37" t="n"/>
      <c r="D838" s="2282" t="n"/>
      <c r="E838" s="2038">
        <f>ROUNDUP(C838*D838,0)</f>
        <v/>
      </c>
      <c r="I838" s="6" t="n"/>
      <c r="J838" s="37" t="n"/>
      <c r="K838" s="2282" t="n"/>
      <c r="L838" s="2038">
        <f>ROUNDUP(J838*K838,0)</f>
        <v/>
      </c>
      <c r="O838" s="6" t="inlineStr">
        <is>
          <t>JM Polish Edge</t>
        </is>
      </c>
      <c r="P838" s="37">
        <f>J837</f>
        <v/>
      </c>
      <c r="Q838" s="2282">
        <f>K837</f>
        <v/>
      </c>
      <c r="R838" s="2038">
        <f>ROUNDUP(P838*Q838,0)</f>
        <v/>
      </c>
      <c r="U838" s="6" t="n"/>
      <c r="V838" s="37" t="n"/>
      <c r="W838" s="2282" t="n"/>
      <c r="X838" s="2038">
        <f>ROUNDUP(V838*W838,0)</f>
        <v/>
      </c>
      <c r="AA838" s="6" t="n"/>
      <c r="AB838" s="37" t="n"/>
      <c r="AC838" s="2282" t="n"/>
      <c r="AD838" s="2038">
        <f>ROUNDUP(AB838*AC838,0)</f>
        <v/>
      </c>
    </row>
    <row r="839">
      <c r="B839" s="6" t="n"/>
      <c r="C839" s="37" t="n"/>
      <c r="D839" s="2282" t="n"/>
      <c r="E839" s="2038">
        <f>ROUNDUP(C839*D839,0)</f>
        <v/>
      </c>
      <c r="I839" s="6" t="n"/>
      <c r="J839" s="37" t="n"/>
      <c r="K839" s="2282" t="n"/>
      <c r="L839" s="2038">
        <f>ROUNDUP(J839*K839,0)</f>
        <v/>
      </c>
      <c r="O839" s="6" t="n"/>
      <c r="P839" s="37" t="n"/>
      <c r="Q839" s="2282" t="n"/>
      <c r="R839" s="2038">
        <f>ROUNDUP(P839*Q839,0)</f>
        <v/>
      </c>
      <c r="U839" s="6" t="n"/>
      <c r="V839" s="37" t="n"/>
      <c r="W839" s="2282" t="n"/>
      <c r="X839" s="2038">
        <f>ROUNDUP(V839*W839,0)</f>
        <v/>
      </c>
      <c r="AA839" s="6" t="n"/>
      <c r="AB839" s="37" t="n"/>
      <c r="AC839" s="2282" t="n"/>
      <c r="AD839" s="2038">
        <f>ROUNDUP(AB839*AC839,0)</f>
        <v/>
      </c>
    </row>
    <row r="840">
      <c r="B840" s="10" t="inlineStr">
        <is>
          <t>Labor Total</t>
        </is>
      </c>
      <c r="C840" s="36" t="n"/>
      <c r="D840" s="2339" t="n"/>
      <c r="E840" s="2340">
        <f>SUM(E837:E839)</f>
        <v/>
      </c>
      <c r="I840" s="10" t="inlineStr">
        <is>
          <t>Labor Total</t>
        </is>
      </c>
      <c r="J840" s="36" t="n"/>
      <c r="K840" s="2339" t="n"/>
      <c r="L840" s="2340">
        <f>SUM(L837:L839)</f>
        <v/>
      </c>
      <c r="O840" s="10" t="inlineStr">
        <is>
          <t>Labor Total</t>
        </is>
      </c>
      <c r="P840" s="36" t="n"/>
      <c r="Q840" s="2339" t="n"/>
      <c r="R840" s="2340">
        <f>SUM(R837:R839)</f>
        <v/>
      </c>
      <c r="U840" s="10" t="inlineStr">
        <is>
          <t>Labor Total</t>
        </is>
      </c>
      <c r="V840" s="36" t="n"/>
      <c r="W840" s="2339" t="n"/>
      <c r="X840" s="2340">
        <f>SUM(X837:X839)</f>
        <v/>
      </c>
      <c r="AA840" s="10" t="inlineStr">
        <is>
          <t>Labor Total</t>
        </is>
      </c>
      <c r="AB840" s="36" t="n"/>
      <c r="AC840" s="2339" t="n"/>
      <c r="AD840" s="2340">
        <f>SUM(AD837:AD839)</f>
        <v/>
      </c>
    </row>
    <row r="841">
      <c r="B841" s="1" t="n"/>
      <c r="C841" s="1892" t="n"/>
      <c r="D841" s="2282" t="n"/>
      <c r="E841" s="2282" t="n"/>
      <c r="I841" s="1" t="n"/>
      <c r="J841" s="1892" t="n"/>
      <c r="K841" s="2282" t="n"/>
      <c r="L841" s="2282" t="n"/>
      <c r="O841" s="1" t="n"/>
      <c r="P841" s="1892" t="n"/>
      <c r="Q841" s="2282" t="n"/>
      <c r="R841" s="2282" t="n"/>
      <c r="U841" s="1" t="n"/>
      <c r="V841" s="1892" t="n"/>
      <c r="W841" s="2282" t="n"/>
      <c r="X841" s="2282" t="n"/>
      <c r="AA841" s="1" t="n"/>
      <c r="AB841" s="1892" t="n"/>
      <c r="AC841" s="2282" t="n"/>
      <c r="AD841" s="2282" t="n"/>
    </row>
    <row r="842">
      <c r="B842" s="1" t="n"/>
      <c r="C842" s="1892" t="n"/>
      <c r="D842" s="2282" t="n"/>
      <c r="E842" s="2282" t="n"/>
      <c r="I842" s="1" t="n"/>
      <c r="J842" s="1892" t="n"/>
      <c r="K842" s="2282" t="n"/>
      <c r="L842" s="2282" t="n"/>
      <c r="O842" s="1" t="n"/>
      <c r="P842" s="1892" t="n"/>
      <c r="Q842" s="2282" t="n"/>
      <c r="R842" s="2282" t="n"/>
      <c r="U842" s="1" t="n"/>
      <c r="V842" s="1892" t="n"/>
      <c r="W842" s="2282" t="n"/>
      <c r="X842" s="2282" t="n"/>
      <c r="AA842" s="1" t="n"/>
      <c r="AB842" s="1892" t="n"/>
      <c r="AC842" s="2282" t="n"/>
      <c r="AD842" s="2282" t="n"/>
    </row>
    <row r="843">
      <c r="B843" s="280" t="inlineStr">
        <is>
          <t>SUB-TOTAL COSTS</t>
        </is>
      </c>
      <c r="C843" s="281" t="n"/>
      <c r="D843" s="2393" t="n"/>
      <c r="E843" s="2394">
        <f>SUM(E833,E840,E834)</f>
        <v/>
      </c>
      <c r="I843" s="280" t="inlineStr">
        <is>
          <t>SUB-TOTAL COSTS</t>
        </is>
      </c>
      <c r="J843" s="281" t="n"/>
      <c r="K843" s="2393" t="n"/>
      <c r="L843" s="2394">
        <f>SUM(L833,L840,L834)</f>
        <v/>
      </c>
      <c r="O843" s="280" t="inlineStr">
        <is>
          <t>SUB-TOTAL COSTS</t>
        </is>
      </c>
      <c r="P843" s="281" t="n"/>
      <c r="Q843" s="2393" t="n"/>
      <c r="R843" s="2394">
        <f>SUM(R833,R840,R834)</f>
        <v/>
      </c>
      <c r="U843" s="280" t="inlineStr">
        <is>
          <t>SUB-TOTAL COSTS</t>
        </is>
      </c>
      <c r="V843" s="281" t="n"/>
      <c r="W843" s="2393" t="n"/>
      <c r="X843" s="2394">
        <f>SUM(X833,X840,X834)</f>
        <v/>
      </c>
      <c r="AA843" s="280" t="inlineStr">
        <is>
          <t>SUB-TOTAL COSTS</t>
        </is>
      </c>
      <c r="AB843" s="281" t="n"/>
      <c r="AC843" s="2393" t="n"/>
      <c r="AD843" s="2394">
        <f>SUM(AD833,AD840,AD834)</f>
        <v/>
      </c>
    </row>
    <row r="844">
      <c r="B844" s="1" t="n"/>
      <c r="C844" s="1892" t="n"/>
      <c r="D844" s="2282" t="n"/>
      <c r="E844" s="2282" t="n"/>
      <c r="I844" s="1" t="n"/>
      <c r="J844" s="1892" t="n"/>
      <c r="K844" s="2282" t="n"/>
      <c r="L844" s="2282" t="n"/>
      <c r="O844" s="1" t="n"/>
      <c r="P844" s="1892" t="n"/>
      <c r="Q844" s="2282" t="n"/>
      <c r="R844" s="2282" t="n"/>
      <c r="U844" s="1" t="n"/>
      <c r="V844" s="1892" t="n"/>
      <c r="W844" s="2282" t="n"/>
      <c r="X844" s="2282" t="n"/>
      <c r="AA844" s="1" t="n"/>
      <c r="AB844" s="1892" t="n"/>
      <c r="AC844" s="2282" t="n"/>
      <c r="AD844" s="2282" t="n"/>
    </row>
    <row r="845">
      <c r="B845" s="5" t="inlineStr">
        <is>
          <t>MARKUP</t>
        </is>
      </c>
      <c r="C845" s="30" t="inlineStr">
        <is>
          <t>%</t>
        </is>
      </c>
      <c r="D845" s="2395" t="n"/>
      <c r="E845" s="2019" t="n"/>
      <c r="I845" s="5" t="inlineStr">
        <is>
          <t>MARKUP</t>
        </is>
      </c>
      <c r="J845" s="30" t="inlineStr">
        <is>
          <t>%</t>
        </is>
      </c>
      <c r="K845" s="2395" t="n"/>
      <c r="L845" s="2019" t="n"/>
      <c r="O845" s="5" t="inlineStr">
        <is>
          <t>MARKUP</t>
        </is>
      </c>
      <c r="P845" s="30" t="inlineStr">
        <is>
          <t>%</t>
        </is>
      </c>
      <c r="Q845" s="2395" t="n"/>
      <c r="R845" s="2019" t="n"/>
      <c r="U845" s="5" t="inlineStr">
        <is>
          <t>MARKUP</t>
        </is>
      </c>
      <c r="V845" s="30" t="inlineStr">
        <is>
          <t>%</t>
        </is>
      </c>
      <c r="W845" s="2395" t="n"/>
      <c r="X845" s="2019" t="n"/>
      <c r="AA845" s="5" t="inlineStr">
        <is>
          <t>MARKUP</t>
        </is>
      </c>
      <c r="AB845" s="30" t="inlineStr">
        <is>
          <t>%</t>
        </is>
      </c>
      <c r="AC845" s="2395" t="n"/>
      <c r="AD845" s="2019" t="n"/>
    </row>
    <row r="846">
      <c r="B846" s="6" t="inlineStr">
        <is>
          <t>Sales Tax</t>
        </is>
      </c>
      <c r="C846" s="241" t="n">
        <v>0.091</v>
      </c>
      <c r="D846" s="2397" t="n"/>
      <c r="E846" s="2038">
        <f>ROUNDUP((SUM(E833:E834)*C846),0)</f>
        <v/>
      </c>
      <c r="I846" s="6" t="inlineStr">
        <is>
          <t>Sales Tax</t>
        </is>
      </c>
      <c r="J846" s="241" t="n">
        <v>0.091</v>
      </c>
      <c r="K846" s="2397" t="n"/>
      <c r="L846" s="2038">
        <f>ROUNDUP((SUM(L833:L834)*J846),0)</f>
        <v/>
      </c>
      <c r="O846" s="6" t="inlineStr">
        <is>
          <t>Sales Tax</t>
        </is>
      </c>
      <c r="P846" s="241" t="n">
        <v>0.091</v>
      </c>
      <c r="Q846" s="2397" t="n"/>
      <c r="R846" s="2038">
        <f>ROUNDUP((SUM(R833:R834)*P846),0)</f>
        <v/>
      </c>
      <c r="U846" s="6" t="inlineStr">
        <is>
          <t>Sales Tax</t>
        </is>
      </c>
      <c r="V846" s="241" t="n">
        <v>0.091</v>
      </c>
      <c r="W846" s="2397" t="n"/>
      <c r="X846" s="2038">
        <f>ROUNDUP((SUM(X833:X834)*V846),0)</f>
        <v/>
      </c>
      <c r="AA846" s="6" t="inlineStr">
        <is>
          <t>Sales Tax</t>
        </is>
      </c>
      <c r="AB846" s="241" t="n">
        <v>0.091</v>
      </c>
      <c r="AC846" s="2397" t="n"/>
      <c r="AD846" s="2038">
        <f>ROUNDUP((SUM(AD833:AD834)*AB846),0)</f>
        <v/>
      </c>
    </row>
    <row r="847">
      <c r="B847" s="6" t="inlineStr">
        <is>
          <t>JM Insurance</t>
        </is>
      </c>
      <c r="C847" s="241" t="n">
        <v>0.03</v>
      </c>
      <c r="D847" s="2397" t="n"/>
      <c r="E847" s="2038">
        <f>ROUNDUP(SUM(E840)*C847,0)</f>
        <v/>
      </c>
      <c r="I847" s="6" t="inlineStr">
        <is>
          <t>JM Insurance</t>
        </is>
      </c>
      <c r="J847" s="241" t="n">
        <v>0.03</v>
      </c>
      <c r="K847" s="2397" t="n"/>
      <c r="L847" s="2038">
        <f>ROUNDUP(SUM(L840)*J847,0)</f>
        <v/>
      </c>
      <c r="O847" s="6" t="inlineStr">
        <is>
          <t>JM Insurance</t>
        </is>
      </c>
      <c r="P847" s="241" t="n">
        <v>0.03</v>
      </c>
      <c r="Q847" s="2397" t="n"/>
      <c r="R847" s="2038">
        <f>ROUNDUP(SUM(R840)*P847,0)</f>
        <v/>
      </c>
      <c r="U847" s="6" t="inlineStr">
        <is>
          <t>JM Insurance</t>
        </is>
      </c>
      <c r="V847" s="241" t="n">
        <v>0.03</v>
      </c>
      <c r="W847" s="2397" t="n"/>
      <c r="X847" s="2038">
        <f>ROUNDUP(SUM(X840)*V847,0)</f>
        <v/>
      </c>
      <c r="AA847" s="6" t="inlineStr">
        <is>
          <t>JM Insurance</t>
        </is>
      </c>
      <c r="AB847" s="241" t="n">
        <v>0.03</v>
      </c>
      <c r="AC847" s="2397" t="n"/>
      <c r="AD847" s="2038">
        <f>ROUNDUP(SUM(AD840)*AB847,0)</f>
        <v/>
      </c>
    </row>
    <row r="848">
      <c r="B848" s="6" t="inlineStr">
        <is>
          <t>TW General Liability</t>
        </is>
      </c>
      <c r="C848" s="241" t="n">
        <v>0.01</v>
      </c>
      <c r="D848" s="2397" t="n"/>
      <c r="E848" s="2038">
        <f>ROUNDUP(SUM(E840)*C848,0)</f>
        <v/>
      </c>
      <c r="I848" s="6" t="inlineStr">
        <is>
          <t>TW General Liability</t>
        </is>
      </c>
      <c r="J848" s="241" t="n">
        <v>0.01</v>
      </c>
      <c r="K848" s="2397" t="n"/>
      <c r="L848" s="2038">
        <f>ROUNDUP(SUM(L840)*J848,0)</f>
        <v/>
      </c>
      <c r="O848" s="6" t="inlineStr">
        <is>
          <t>TW General Liability</t>
        </is>
      </c>
      <c r="P848" s="241" t="n">
        <v>0.01</v>
      </c>
      <c r="Q848" s="2397" t="n"/>
      <c r="R848" s="2038">
        <f>ROUNDUP(SUM(R840)*P848,0)</f>
        <v/>
      </c>
      <c r="U848" s="6" t="inlineStr">
        <is>
          <t>TW General Liability</t>
        </is>
      </c>
      <c r="V848" s="241" t="n">
        <v>0.01</v>
      </c>
      <c r="W848" s="2397" t="n"/>
      <c r="X848" s="2038">
        <f>ROUNDUP(SUM(X840)*V848,0)</f>
        <v/>
      </c>
      <c r="AA848" s="6" t="inlineStr">
        <is>
          <t>TW General Liability</t>
        </is>
      </c>
      <c r="AB848" s="241" t="n">
        <v>0.01</v>
      </c>
      <c r="AC848" s="2397" t="n"/>
      <c r="AD848" s="2038">
        <f>ROUNDUP(SUM(AD840)*AB848,0)</f>
        <v/>
      </c>
    </row>
    <row r="849">
      <c r="B849" s="6" t="inlineStr">
        <is>
          <t>TW WC</t>
        </is>
      </c>
      <c r="C849" s="241" t="n">
        <v>0.03</v>
      </c>
      <c r="D849" s="2397" t="n"/>
      <c r="E849" s="2038">
        <f>ROUNDUP(SUM(E840)*C849,0)</f>
        <v/>
      </c>
      <c r="I849" s="6" t="inlineStr">
        <is>
          <t>TW WC</t>
        </is>
      </c>
      <c r="J849" s="241" t="n">
        <v>0.03</v>
      </c>
      <c r="K849" s="2397" t="n"/>
      <c r="L849" s="2038">
        <f>ROUNDUP(SUM(L840)*J849,0)</f>
        <v/>
      </c>
      <c r="O849" s="6" t="inlineStr">
        <is>
          <t>TW WC</t>
        </is>
      </c>
      <c r="P849" s="241" t="n">
        <v>0.03</v>
      </c>
      <c r="Q849" s="2397" t="n"/>
      <c r="R849" s="2038">
        <f>ROUNDUP(SUM(R840)*P849,0)</f>
        <v/>
      </c>
      <c r="U849" s="6" t="inlineStr">
        <is>
          <t>TW WC</t>
        </is>
      </c>
      <c r="V849" s="241" t="n">
        <v>0.03</v>
      </c>
      <c r="W849" s="2397" t="n"/>
      <c r="X849" s="2038">
        <f>ROUNDUP(SUM(X840)*V849,0)</f>
        <v/>
      </c>
      <c r="AA849" s="6" t="inlineStr">
        <is>
          <t>TW WC</t>
        </is>
      </c>
      <c r="AB849" s="241" t="n">
        <v>0.03</v>
      </c>
      <c r="AC849" s="2397" t="n"/>
      <c r="AD849" s="2038">
        <f>ROUNDUP(SUM(AD840)*AB849,0)</f>
        <v/>
      </c>
    </row>
    <row r="850">
      <c r="B850" s="6" t="inlineStr">
        <is>
          <t>Fee</t>
        </is>
      </c>
      <c r="C850" s="122" t="n">
        <v>0.4</v>
      </c>
      <c r="D850" s="2282" t="n"/>
      <c r="E850" s="2038">
        <f>ROUNDUP(SUM(E843:E849)*C850,0)</f>
        <v/>
      </c>
      <c r="I850" s="6" t="inlineStr">
        <is>
          <t>Fee</t>
        </is>
      </c>
      <c r="J850" s="122" t="n">
        <v>0.4</v>
      </c>
      <c r="K850" s="2282" t="n"/>
      <c r="L850" s="2038">
        <f>ROUNDUP(SUM(L843:L849)*J850,0)</f>
        <v/>
      </c>
      <c r="O850" s="6" t="inlineStr">
        <is>
          <t>Fee</t>
        </is>
      </c>
      <c r="P850" s="122" t="n">
        <v>0.4</v>
      </c>
      <c r="Q850" s="2282" t="n"/>
      <c r="R850" s="2038">
        <f>ROUNDUP(SUM(R843:R849)*P850,0)</f>
        <v/>
      </c>
      <c r="U850" s="6" t="inlineStr">
        <is>
          <t>Fee</t>
        </is>
      </c>
      <c r="V850" s="122" t="n">
        <v>0.4</v>
      </c>
      <c r="W850" s="2282" t="n"/>
      <c r="X850" s="2038">
        <f>ROUNDUP(SUM(X843:X849)*V850,0)</f>
        <v/>
      </c>
      <c r="AA850" s="6" t="inlineStr">
        <is>
          <t>Fee</t>
        </is>
      </c>
      <c r="AB850" s="122" t="n">
        <v>0.4</v>
      </c>
      <c r="AC850" s="2282" t="n"/>
      <c r="AD850" s="2038">
        <f>ROUNDUP(SUM(AD843:AD849)*AB850,0)</f>
        <v/>
      </c>
    </row>
    <row r="851">
      <c r="B851" s="6" t="inlineStr">
        <is>
          <t>Contingency</t>
        </is>
      </c>
      <c r="C851" s="122" t="n">
        <v>0.1</v>
      </c>
      <c r="D851" s="2282" t="n"/>
      <c r="E851" s="2038">
        <f>ROUNDUP(SUM(E843:E850)*C851,0)</f>
        <v/>
      </c>
      <c r="I851" s="6" t="inlineStr">
        <is>
          <t>Contingency</t>
        </is>
      </c>
      <c r="J851" s="122" t="n">
        <v>0.1</v>
      </c>
      <c r="K851" s="2282" t="n"/>
      <c r="L851" s="2038">
        <f>ROUNDUP(SUM(L843:L850)*J851,0)</f>
        <v/>
      </c>
      <c r="O851" s="6" t="inlineStr">
        <is>
          <t>Contingency</t>
        </is>
      </c>
      <c r="P851" s="122" t="n">
        <v>0.1</v>
      </c>
      <c r="Q851" s="2282" t="n"/>
      <c r="R851" s="2038">
        <f>ROUNDUP(SUM(R843:R850)*P851,0)</f>
        <v/>
      </c>
      <c r="U851" s="6" t="inlineStr">
        <is>
          <t>Contingency</t>
        </is>
      </c>
      <c r="V851" s="122" t="n">
        <v>0.1</v>
      </c>
      <c r="W851" s="2282" t="n"/>
      <c r="X851" s="2038">
        <f>ROUNDUP(SUM(X843:X850)*V851,0)</f>
        <v/>
      </c>
      <c r="AA851" s="6" t="inlineStr">
        <is>
          <t>Contingency</t>
        </is>
      </c>
      <c r="AB851" s="122" t="n">
        <v>0.1</v>
      </c>
      <c r="AC851" s="2282" t="n"/>
      <c r="AD851" s="2038">
        <f>ROUNDUP(SUM(AD843:AD850)*AB851,0)</f>
        <v/>
      </c>
    </row>
    <row r="852">
      <c r="B852" s="6" t="inlineStr">
        <is>
          <t>Kansas Remodel Tax</t>
        </is>
      </c>
      <c r="C852" s="241" t="n"/>
      <c r="D852" s="2282" t="n"/>
      <c r="E852" s="2038">
        <f>ROUNDUP(SUM(E840,E848:E851)*C852,0)</f>
        <v/>
      </c>
      <c r="I852" s="6" t="inlineStr">
        <is>
          <t>Kansas Remodel Tax</t>
        </is>
      </c>
      <c r="J852" s="241" t="n"/>
      <c r="K852" s="2282" t="n"/>
      <c r="L852" s="2038">
        <f>ROUNDUP(SUM(L840,L848:L851)*J852,0)</f>
        <v/>
      </c>
      <c r="O852" s="6" t="inlineStr">
        <is>
          <t>Kansas Remodel Tax</t>
        </is>
      </c>
      <c r="P852" s="241" t="n"/>
      <c r="Q852" s="2282" t="n"/>
      <c r="R852" s="2038">
        <f>ROUNDUP(SUM(R840,R848:R851)*P852,0)</f>
        <v/>
      </c>
      <c r="U852" s="6" t="inlineStr">
        <is>
          <t>Kansas Remodel Tax</t>
        </is>
      </c>
      <c r="V852" s="241" t="n"/>
      <c r="W852" s="2282" t="n"/>
      <c r="X852" s="2038">
        <f>ROUNDUP(SUM(X840,X848:X851)*V852,0)</f>
        <v/>
      </c>
      <c r="AA852" s="6" t="inlineStr">
        <is>
          <t>Kansas Remodel Tax</t>
        </is>
      </c>
      <c r="AB852" s="241" t="n"/>
      <c r="AC852" s="2282" t="n"/>
      <c r="AD852" s="2038">
        <f>ROUNDUP(SUM(AD840,AD848:AD851)*AB852,0)</f>
        <v/>
      </c>
    </row>
    <row r="853">
      <c r="B853" s="6" t="inlineStr">
        <is>
          <t>Warranty Work</t>
        </is>
      </c>
      <c r="C853" s="241" t="n">
        <v>0.01</v>
      </c>
      <c r="D853" s="2282" t="n"/>
      <c r="E853" s="2038">
        <f>ROUNDUP(C853*SUM(E843:E852),0)</f>
        <v/>
      </c>
      <c r="I853" s="6" t="inlineStr">
        <is>
          <t>Warranty Work</t>
        </is>
      </c>
      <c r="J853" s="241" t="n">
        <v>0.01</v>
      </c>
      <c r="K853" s="2282" t="n"/>
      <c r="L853" s="2038">
        <f>ROUNDUP(J853*SUM(L843:L852),0)</f>
        <v/>
      </c>
      <c r="O853" s="6" t="inlineStr">
        <is>
          <t>Warranty Work</t>
        </is>
      </c>
      <c r="P853" s="241" t="n">
        <v>0.01</v>
      </c>
      <c r="Q853" s="2282" t="n"/>
      <c r="R853" s="2038">
        <f>ROUNDUP(P853*SUM(R843:R852),0)</f>
        <v/>
      </c>
      <c r="U853" s="6" t="inlineStr">
        <is>
          <t>Warranty Work</t>
        </is>
      </c>
      <c r="V853" s="241" t="n">
        <v>0.01</v>
      </c>
      <c r="W853" s="2282" t="n"/>
      <c r="X853" s="2038">
        <f>ROUNDUP(V853*SUM(X843:X852),0)</f>
        <v/>
      </c>
      <c r="AA853" s="6" t="inlineStr">
        <is>
          <t>Warranty Work</t>
        </is>
      </c>
      <c r="AB853" s="241" t="n">
        <v>0.01</v>
      </c>
      <c r="AC853" s="2282" t="n"/>
      <c r="AD853" s="2038">
        <f>ROUNDUP(AB853*SUM(AD843:AD852),0)</f>
        <v/>
      </c>
    </row>
    <row r="854">
      <c r="B854" s="45" t="inlineStr">
        <is>
          <t>Bond</t>
        </is>
      </c>
      <c r="C854" s="46" t="n"/>
      <c r="D854" s="2314" t="n"/>
      <c r="E854" s="2400">
        <f>ROUNDUP(SUM(E843:E853)*C854,0)</f>
        <v/>
      </c>
      <c r="I854" s="45" t="inlineStr">
        <is>
          <t>Bond</t>
        </is>
      </c>
      <c r="J854" s="46" t="n"/>
      <c r="K854" s="2314" t="n"/>
      <c r="L854" s="2400">
        <f>ROUNDUP(SUM(L843:L853)*J854,0)</f>
        <v/>
      </c>
      <c r="O854" s="45" t="inlineStr">
        <is>
          <t>Bond</t>
        </is>
      </c>
      <c r="P854" s="46" t="n"/>
      <c r="Q854" s="2314" t="n"/>
      <c r="R854" s="2400">
        <f>ROUNDUP(SUM(R843:R853)*P854,0)</f>
        <v/>
      </c>
      <c r="U854" s="45" t="inlineStr">
        <is>
          <t>Bond</t>
        </is>
      </c>
      <c r="V854" s="46" t="n"/>
      <c r="W854" s="2314" t="n"/>
      <c r="X854" s="2400">
        <f>ROUNDUP(SUM(X843:X853)*V854,0)</f>
        <v/>
      </c>
      <c r="AA854" s="45" t="inlineStr">
        <is>
          <t>Bond</t>
        </is>
      </c>
      <c r="AB854" s="46" t="n"/>
      <c r="AC854" s="2314" t="n"/>
      <c r="AD854" s="2400">
        <f>ROUNDUP(SUM(AD843:AD853)*AB854,0)</f>
        <v/>
      </c>
    </row>
    <row r="855">
      <c r="B855" s="1" t="n"/>
      <c r="C855" s="8" t="n"/>
      <c r="D855" s="2282" t="n"/>
      <c r="E855" s="2282" t="n"/>
      <c r="I855" s="1" t="n"/>
      <c r="J855" s="8" t="n"/>
      <c r="K855" s="2282" t="n"/>
      <c r="L855" s="2282" t="n"/>
      <c r="O855" s="1" t="n"/>
      <c r="P855" s="8" t="n"/>
      <c r="Q855" s="2282" t="n"/>
      <c r="R855" s="2282" t="n"/>
      <c r="U855" s="1" t="n"/>
      <c r="V855" s="8" t="n"/>
      <c r="W855" s="2282" t="n"/>
      <c r="X855" s="2282" t="n"/>
      <c r="AA855" s="1" t="n"/>
      <c r="AB855" s="8" t="n"/>
      <c r="AC855" s="2282" t="n"/>
      <c r="AD855" s="2282" t="n"/>
    </row>
    <row r="856" ht="16.2" customHeight="1" thickBot="1">
      <c r="B856" s="1" t="n"/>
      <c r="C856" s="1" t="n"/>
      <c r="D856" s="2282" t="n"/>
      <c r="E856" s="2282" t="n"/>
      <c r="F856" s="51" t="inlineStr">
        <is>
          <t>per lf</t>
        </is>
      </c>
      <c r="I856" s="1" t="n"/>
      <c r="J856" s="1" t="n"/>
      <c r="K856" s="2282" t="n"/>
      <c r="L856" s="2282" t="n"/>
      <c r="M856" s="51" t="inlineStr">
        <is>
          <t>per lf</t>
        </is>
      </c>
      <c r="N856" s="51" t="n"/>
      <c r="O856" s="1" t="n"/>
      <c r="P856" s="1" t="n"/>
      <c r="Q856" s="2282" t="n"/>
      <c r="R856" s="2282" t="n"/>
      <c r="S856" s="51" t="inlineStr">
        <is>
          <t>per sf</t>
        </is>
      </c>
      <c r="U856" s="1" t="n"/>
      <c r="V856" s="1" t="n"/>
      <c r="W856" s="2282" t="n"/>
      <c r="X856" s="2282" t="n"/>
      <c r="Y856" s="51" t="inlineStr">
        <is>
          <t>per sf</t>
        </is>
      </c>
      <c r="AA856" s="1" t="n"/>
      <c r="AB856" s="1" t="n"/>
      <c r="AC856" s="2282" t="n"/>
      <c r="AD856" s="2282" t="n"/>
      <c r="AE856" s="51" t="inlineStr">
        <is>
          <t>per sf</t>
        </is>
      </c>
    </row>
    <row r="857" ht="16.2" customHeight="1" thickBot="1">
      <c r="B857" s="289" t="inlineStr">
        <is>
          <t>TOTAL</t>
        </is>
      </c>
      <c r="C857" s="290" t="n"/>
      <c r="D857" s="2412" t="n"/>
      <c r="E857" s="2404">
        <f>SUM(E843:E854)</f>
        <v/>
      </c>
      <c r="F857" s="2469">
        <f>E857/C837</f>
        <v/>
      </c>
      <c r="I857" s="289" t="inlineStr">
        <is>
          <t>TOTAL</t>
        </is>
      </c>
      <c r="J857" s="290" t="n"/>
      <c r="K857" s="2412" t="n"/>
      <c r="L857" s="2404">
        <f>SUM(L843:L854)</f>
        <v/>
      </c>
      <c r="M857" s="2469">
        <f>L857/J837</f>
        <v/>
      </c>
      <c r="N857" s="2469" t="n"/>
      <c r="O857" s="289" t="inlineStr">
        <is>
          <t>TOTAL</t>
        </is>
      </c>
      <c r="P857" s="290" t="n"/>
      <c r="Q857" s="2412" t="n"/>
      <c r="R857" s="2404">
        <f>SUM(R843:R854)</f>
        <v/>
      </c>
      <c r="S857" s="2469">
        <f>R857/P837</f>
        <v/>
      </c>
      <c r="U857" s="289" t="inlineStr">
        <is>
          <t>TOTAL</t>
        </is>
      </c>
      <c r="V857" s="290" t="n"/>
      <c r="W857" s="2412" t="n"/>
      <c r="X857" s="2404">
        <f>SUM(X843:X854)</f>
        <v/>
      </c>
      <c r="Y857" s="2469">
        <f>X857/V837</f>
        <v/>
      </c>
      <c r="AA857" s="289" t="inlineStr">
        <is>
          <t>TOTAL</t>
        </is>
      </c>
      <c r="AB857" s="290" t="n"/>
      <c r="AC857" s="2412" t="n"/>
      <c r="AD857" s="2404">
        <f>SUM(AD843:AD854)</f>
        <v/>
      </c>
      <c r="AE857" s="2469">
        <f>AD857/AB837</f>
        <v/>
      </c>
    </row>
    <row r="859">
      <c r="K859" t="inlineStr">
        <is>
          <t>high (at 30 % of sf)</t>
        </is>
      </c>
      <c r="M859" t="inlineStr">
        <is>
          <t>low (at 15% of sf)</t>
        </is>
      </c>
    </row>
    <row r="860">
      <c r="L860" s="2281">
        <f>(L857/(J837/0.3))</f>
        <v/>
      </c>
      <c r="M860" s="2281">
        <f>(L857/(J837/0.15))</f>
        <v/>
      </c>
      <c r="N860" s="2281" t="n"/>
      <c r="O860" s="2281" t="n"/>
      <c r="P860" s="2281" t="n"/>
      <c r="Q860" s="2281" t="n"/>
      <c r="R860" s="2281" t="n"/>
      <c r="S860" s="2281" t="n"/>
    </row>
    <row r="861">
      <c r="B861" s="2374" t="inlineStr">
        <is>
          <t>Altenate  - MVP @ 16 mil</t>
        </is>
      </c>
      <c r="C861" s="2350" t="n"/>
      <c r="D861" s="2350" t="n"/>
      <c r="E861" s="237" t="n"/>
      <c r="I861" s="2374" t="inlineStr">
        <is>
          <t>Altenate  - MVP @ 12 mil</t>
        </is>
      </c>
      <c r="J861" s="2350" t="n"/>
      <c r="K861" s="2350" t="n"/>
      <c r="L861" s="237" t="n"/>
      <c r="O861" s="2374" t="inlineStr">
        <is>
          <t>Altenate  - Polycrete SL</t>
        </is>
      </c>
      <c r="P861" s="2350" t="n"/>
      <c r="Q861" s="2350" t="n"/>
      <c r="R861" s="237" t="n"/>
    </row>
    <row r="862">
      <c r="B862" s="5" t="inlineStr">
        <is>
          <t xml:space="preserve">MATERIAL - </t>
        </is>
      </c>
      <c r="C862" s="30" t="inlineStr">
        <is>
          <t>Quantity</t>
        </is>
      </c>
      <c r="D862" s="30" t="inlineStr">
        <is>
          <t>Cost</t>
        </is>
      </c>
      <c r="E862" s="31" t="inlineStr">
        <is>
          <t>Total</t>
        </is>
      </c>
      <c r="I862" s="5" t="inlineStr">
        <is>
          <t xml:space="preserve">MATERIAL - </t>
        </is>
      </c>
      <c r="J862" s="30" t="inlineStr">
        <is>
          <t>Quantity</t>
        </is>
      </c>
      <c r="K862" s="30" t="inlineStr">
        <is>
          <t>Cost</t>
        </is>
      </c>
      <c r="L862" s="31" t="inlineStr">
        <is>
          <t>Total</t>
        </is>
      </c>
      <c r="O862" s="5" t="inlineStr">
        <is>
          <t xml:space="preserve">MATERIAL - </t>
        </is>
      </c>
      <c r="P862" s="30" t="inlineStr">
        <is>
          <t>Quantity</t>
        </is>
      </c>
      <c r="Q862" s="30" t="inlineStr">
        <is>
          <t>Cost</t>
        </is>
      </c>
      <c r="R862" s="31" t="inlineStr">
        <is>
          <t>Total</t>
        </is>
      </c>
    </row>
    <row r="863">
      <c r="B863" s="1892" t="inlineStr">
        <is>
          <t>MVP</t>
        </is>
      </c>
      <c r="C863" s="1892" t="n">
        <v>10</v>
      </c>
      <c r="D863" s="2312" t="n">
        <v>88</v>
      </c>
      <c r="E863" s="2308">
        <f>C863*D863</f>
        <v/>
      </c>
      <c r="I863" s="1892" t="inlineStr">
        <is>
          <t>MVP</t>
        </is>
      </c>
      <c r="J863" s="1892">
        <f>(12/1600)*1000</f>
        <v/>
      </c>
      <c r="K863" s="2312" t="n">
        <v>88</v>
      </c>
      <c r="L863" s="2308">
        <f>J863*K863</f>
        <v/>
      </c>
      <c r="O863" s="1892" t="inlineStr">
        <is>
          <t>SL</t>
        </is>
      </c>
      <c r="P863" s="1892" t="n">
        <v>18</v>
      </c>
      <c r="Q863" s="2312" t="n">
        <v>88</v>
      </c>
      <c r="R863" s="2308">
        <f>P863*Q863</f>
        <v/>
      </c>
    </row>
    <row r="864">
      <c r="B864" s="1892" t="n"/>
      <c r="C864" s="1892" t="n"/>
      <c r="D864" s="2312" t="n"/>
      <c r="E864" s="2308">
        <f>C864*D864</f>
        <v/>
      </c>
      <c r="I864" s="1892" t="n"/>
      <c r="J864" s="1892" t="n"/>
      <c r="K864" s="2312" t="n"/>
      <c r="L864" s="2308">
        <f>J864*K864</f>
        <v/>
      </c>
      <c r="O864" s="1892" t="n"/>
      <c r="P864" s="1892" t="n"/>
      <c r="Q864" s="2312" t="n"/>
      <c r="R864" s="2308">
        <f>P864*Q864</f>
        <v/>
      </c>
    </row>
    <row r="865">
      <c r="B865" s="1892" t="n"/>
      <c r="C865" s="1892" t="n"/>
      <c r="D865" s="2312" t="n"/>
      <c r="E865" s="2308">
        <f>C865*D865</f>
        <v/>
      </c>
      <c r="I865" s="1892" t="n"/>
      <c r="J865" s="1892" t="n"/>
      <c r="K865" s="2312" t="n"/>
      <c r="L865" s="2308">
        <f>J865*K865</f>
        <v/>
      </c>
      <c r="O865" s="1892" t="n"/>
      <c r="P865" s="1892" t="n"/>
      <c r="Q865" s="2312" t="n"/>
      <c r="R865" s="2308">
        <f>P865*Q865</f>
        <v/>
      </c>
    </row>
    <row r="866">
      <c r="B866" s="322" t="n"/>
      <c r="C866" s="323" t="n"/>
      <c r="D866" s="2332" t="n"/>
      <c r="E866" s="2333">
        <f>C866*D866</f>
        <v/>
      </c>
      <c r="I866" s="322" t="n"/>
      <c r="J866" s="323" t="n"/>
      <c r="K866" s="2332" t="n"/>
      <c r="L866" s="2333">
        <f>J866*K866</f>
        <v/>
      </c>
      <c r="O866" s="322" t="n"/>
      <c r="P866" s="323" t="n"/>
      <c r="Q866" s="2332" t="n"/>
      <c r="R866" s="2333">
        <f>P866*Q866</f>
        <v/>
      </c>
    </row>
    <row r="867">
      <c r="B867" s="17" t="inlineStr">
        <is>
          <t>Material Sub Total</t>
        </is>
      </c>
      <c r="C867" s="35" t="n"/>
      <c r="D867" s="2382" t="n"/>
      <c r="E867" s="2335">
        <f>ROUNDUP(SUM(E863:E866),0)</f>
        <v/>
      </c>
      <c r="I867" s="17" t="inlineStr">
        <is>
          <t>Material Sub Total</t>
        </is>
      </c>
      <c r="J867" s="35" t="n"/>
      <c r="K867" s="2382" t="n"/>
      <c r="L867" s="2335">
        <f>ROUNDUP(SUM(L863:L866),0)</f>
        <v/>
      </c>
      <c r="O867" s="17" t="inlineStr">
        <is>
          <t>Material Sub Total</t>
        </is>
      </c>
      <c r="P867" s="35" t="n"/>
      <c r="Q867" s="2382" t="n"/>
      <c r="R867" s="2335">
        <f>ROUNDUP(SUM(R863:R866),0)</f>
        <v/>
      </c>
    </row>
    <row r="868">
      <c r="B868" s="20" t="inlineStr">
        <is>
          <t>Material Overage</t>
        </is>
      </c>
      <c r="C868" s="270" t="n">
        <v>0</v>
      </c>
      <c r="D868" s="2283" t="n"/>
      <c r="E868" s="2383">
        <f>ROUNDUP(E867*C868,0)</f>
        <v/>
      </c>
      <c r="I868" s="20" t="inlineStr">
        <is>
          <t>Material Overage</t>
        </is>
      </c>
      <c r="J868" s="270" t="n">
        <v>0</v>
      </c>
      <c r="K868" s="2283" t="n"/>
      <c r="L868" s="2383">
        <f>ROUNDUP(L867*J868,0)</f>
        <v/>
      </c>
      <c r="O868" s="20" t="inlineStr">
        <is>
          <t>Material Overage</t>
        </is>
      </c>
      <c r="P868" s="270" t="n">
        <v>0</v>
      </c>
      <c r="Q868" s="2283" t="n"/>
      <c r="R868" s="2383">
        <f>ROUNDUP(R867*P868,0)</f>
        <v/>
      </c>
    </row>
    <row r="869">
      <c r="B869" s="10" t="inlineStr">
        <is>
          <t>Material Total</t>
        </is>
      </c>
      <c r="C869" s="36" t="n"/>
      <c r="D869" s="2339" t="n"/>
      <c r="E869" s="2340">
        <f>SUM(E867:E868)</f>
        <v/>
      </c>
      <c r="I869" s="10" t="inlineStr">
        <is>
          <t>Material Total</t>
        </is>
      </c>
      <c r="J869" s="36" t="n"/>
      <c r="K869" s="2339" t="n"/>
      <c r="L869" s="2340">
        <f>SUM(L867:L868)</f>
        <v/>
      </c>
      <c r="O869" s="10" t="inlineStr">
        <is>
          <t>Material Total</t>
        </is>
      </c>
      <c r="P869" s="36" t="n"/>
      <c r="Q869" s="2339" t="n"/>
      <c r="R869" s="2340">
        <f>SUM(R867:R868)</f>
        <v/>
      </c>
    </row>
    <row r="870">
      <c r="B870" s="39" t="inlineStr">
        <is>
          <t>Shipping</t>
        </is>
      </c>
      <c r="C870" s="40" t="n">
        <v>0.1</v>
      </c>
      <c r="D870" s="2384" t="n"/>
      <c r="E870" s="2338">
        <f>ROUNDUP(E867*C870,0)</f>
        <v/>
      </c>
      <c r="I870" s="39" t="inlineStr">
        <is>
          <t>Shipping</t>
        </is>
      </c>
      <c r="J870" s="40" t="n">
        <v>0.1</v>
      </c>
      <c r="K870" s="2384" t="n"/>
      <c r="L870" s="2338">
        <f>ROUNDUP(L867*J870,0)</f>
        <v/>
      </c>
      <c r="O870" s="39" t="inlineStr">
        <is>
          <t>Shipping</t>
        </is>
      </c>
      <c r="P870" s="40" t="n">
        <v>0.1</v>
      </c>
      <c r="Q870" s="2384" t="n"/>
      <c r="R870" s="2338">
        <f>ROUNDUP(R867*P870,0)</f>
        <v/>
      </c>
    </row>
    <row r="871">
      <c r="B871" s="1" t="n"/>
      <c r="C871" s="1892" t="n"/>
      <c r="D871" s="2282" t="n"/>
      <c r="E871" s="2282" t="n"/>
      <c r="I871" s="1" t="n"/>
      <c r="J871" s="1892" t="n"/>
      <c r="K871" s="2282" t="n"/>
      <c r="L871" s="2282" t="n"/>
      <c r="O871" s="1" t="n"/>
      <c r="P871" s="1892" t="n"/>
      <c r="Q871" s="2282" t="n"/>
      <c r="R871" s="2282" t="n"/>
    </row>
    <row r="872">
      <c r="B872" s="5" t="inlineStr">
        <is>
          <t>LABOR</t>
        </is>
      </c>
      <c r="C872" s="30" t="inlineStr">
        <is>
          <t>Quantity</t>
        </is>
      </c>
      <c r="D872" s="11" t="inlineStr">
        <is>
          <t>Cost</t>
        </is>
      </c>
      <c r="E872" s="2457" t="inlineStr">
        <is>
          <t>Total</t>
        </is>
      </c>
      <c r="I872" s="5" t="inlineStr">
        <is>
          <t>LABOR</t>
        </is>
      </c>
      <c r="J872" s="30" t="inlineStr">
        <is>
          <t>Quantity</t>
        </is>
      </c>
      <c r="K872" s="11" t="inlineStr">
        <is>
          <t>Cost</t>
        </is>
      </c>
      <c r="L872" s="2457" t="inlineStr">
        <is>
          <t>Total</t>
        </is>
      </c>
      <c r="O872" s="5" t="inlineStr">
        <is>
          <t>LABOR</t>
        </is>
      </c>
      <c r="P872" s="30" t="inlineStr">
        <is>
          <t>Quantity</t>
        </is>
      </c>
      <c r="Q872" s="11" t="inlineStr">
        <is>
          <t>Cost</t>
        </is>
      </c>
      <c r="R872" s="2457" t="inlineStr">
        <is>
          <t>Total</t>
        </is>
      </c>
    </row>
    <row r="873">
      <c r="B873" s="6" t="n"/>
      <c r="C873" s="37" t="n"/>
      <c r="D873" s="2282" t="n"/>
      <c r="E873" s="2038">
        <f>ROUNDUP(C873*D873,0)</f>
        <v/>
      </c>
      <c r="I873" s="6" t="n"/>
      <c r="J873" s="37" t="n"/>
      <c r="K873" s="2282" t="n"/>
      <c r="L873" s="2038">
        <f>ROUNDUP(J873*K873,0)</f>
        <v/>
      </c>
      <c r="O873" s="6" t="n"/>
      <c r="P873" s="37" t="n"/>
      <c r="Q873" s="2282" t="n"/>
      <c r="R873" s="2038">
        <f>ROUNDUP(P873*Q873,0)</f>
        <v/>
      </c>
    </row>
    <row r="874">
      <c r="B874" s="6" t="n"/>
      <c r="C874" s="37" t="n"/>
      <c r="D874" s="2282" t="n"/>
      <c r="E874" s="2038">
        <f>ROUNDUP(C874*D874,0)</f>
        <v/>
      </c>
      <c r="I874" s="6" t="n"/>
      <c r="J874" s="37" t="n"/>
      <c r="K874" s="2282" t="n"/>
      <c r="L874" s="2038">
        <f>ROUNDUP(J874*K874,0)</f>
        <v/>
      </c>
      <c r="O874" s="6" t="n"/>
      <c r="P874" s="37" t="n"/>
      <c r="Q874" s="2282" t="n"/>
      <c r="R874" s="2038">
        <f>ROUNDUP(P874*Q874,0)</f>
        <v/>
      </c>
    </row>
    <row r="875">
      <c r="B875" s="6" t="n"/>
      <c r="C875" s="37" t="n"/>
      <c r="D875" s="2282" t="n"/>
      <c r="E875" s="2038">
        <f>ROUNDUP(C875*D875,0)</f>
        <v/>
      </c>
      <c r="I875" s="6" t="n"/>
      <c r="J875" s="37" t="n"/>
      <c r="K875" s="2282" t="n"/>
      <c r="L875" s="2038">
        <f>ROUNDUP(J875*K875,0)</f>
        <v/>
      </c>
      <c r="O875" s="6" t="n"/>
      <c r="P875" s="37" t="n"/>
      <c r="Q875" s="2282" t="n"/>
      <c r="R875" s="2038">
        <f>ROUNDUP(P875*Q875,0)</f>
        <v/>
      </c>
    </row>
    <row r="876">
      <c r="B876" s="10" t="inlineStr">
        <is>
          <t>Labor Total</t>
        </is>
      </c>
      <c r="C876" s="36" t="n"/>
      <c r="D876" s="2339" t="n"/>
      <c r="E876" s="2340">
        <f>SUM(E873:E875)</f>
        <v/>
      </c>
      <c r="I876" s="10" t="inlineStr">
        <is>
          <t>Labor Total</t>
        </is>
      </c>
      <c r="J876" s="36" t="n"/>
      <c r="K876" s="2339" t="n"/>
      <c r="L876" s="2340">
        <f>SUM(L873:L875)</f>
        <v/>
      </c>
      <c r="O876" s="10" t="inlineStr">
        <is>
          <t>Labor Total</t>
        </is>
      </c>
      <c r="P876" s="36" t="n"/>
      <c r="Q876" s="2339" t="n"/>
      <c r="R876" s="2340">
        <f>SUM(R873:R875)</f>
        <v/>
      </c>
    </row>
    <row r="877">
      <c r="B877" s="1" t="n"/>
      <c r="C877" s="1892" t="n"/>
      <c r="D877" s="2282" t="n"/>
      <c r="E877" s="2282" t="n"/>
      <c r="I877" s="1" t="n"/>
      <c r="J877" s="1892" t="n"/>
      <c r="K877" s="2282" t="n"/>
      <c r="L877" s="2282" t="n"/>
      <c r="O877" s="1" t="n"/>
      <c r="P877" s="1892" t="n"/>
      <c r="Q877" s="2282" t="n"/>
      <c r="R877" s="2282" t="n"/>
    </row>
    <row r="878">
      <c r="B878" s="1" t="n"/>
      <c r="C878" s="1892" t="n"/>
      <c r="D878" s="2282" t="n"/>
      <c r="E878" s="2282" t="n"/>
      <c r="I878" s="1" t="n"/>
      <c r="J878" s="1892" t="n"/>
      <c r="K878" s="2282" t="n"/>
      <c r="L878" s="2282" t="n"/>
      <c r="O878" s="1" t="n"/>
      <c r="P878" s="1892" t="n"/>
      <c r="Q878" s="2282" t="n"/>
      <c r="R878" s="2282" t="n"/>
    </row>
    <row r="879">
      <c r="B879" s="280" t="inlineStr">
        <is>
          <t>SUB-TOTAL COSTS</t>
        </is>
      </c>
      <c r="C879" s="281" t="n"/>
      <c r="D879" s="2393" t="n"/>
      <c r="E879" s="2394">
        <f>SUM(E869,E876,E870)</f>
        <v/>
      </c>
      <c r="I879" s="280" t="inlineStr">
        <is>
          <t>SUB-TOTAL COSTS</t>
        </is>
      </c>
      <c r="J879" s="281" t="n"/>
      <c r="K879" s="2393" t="n"/>
      <c r="L879" s="2394">
        <f>SUM(L869,L876,L870)</f>
        <v/>
      </c>
      <c r="O879" s="280" t="inlineStr">
        <is>
          <t>SUB-TOTAL COSTS</t>
        </is>
      </c>
      <c r="P879" s="281" t="n"/>
      <c r="Q879" s="2393" t="n"/>
      <c r="R879" s="2394">
        <f>SUM(R869,R876,R870)</f>
        <v/>
      </c>
    </row>
    <row r="880">
      <c r="B880" s="1" t="n"/>
      <c r="C880" s="1892" t="n"/>
      <c r="D880" s="2282" t="n"/>
      <c r="E880" s="2282" t="n"/>
      <c r="I880" s="1" t="n"/>
      <c r="J880" s="1892" t="n"/>
      <c r="K880" s="2282" t="n"/>
      <c r="L880" s="2282" t="n"/>
      <c r="O880" s="1" t="n"/>
      <c r="P880" s="1892" t="n"/>
      <c r="Q880" s="2282" t="n"/>
      <c r="R880" s="2282" t="n"/>
    </row>
    <row r="881">
      <c r="B881" s="5" t="inlineStr">
        <is>
          <t>MARKUP</t>
        </is>
      </c>
      <c r="C881" s="30" t="inlineStr">
        <is>
          <t>%</t>
        </is>
      </c>
      <c r="D881" s="2395" t="n"/>
      <c r="E881" s="2019" t="n"/>
      <c r="I881" s="5" t="inlineStr">
        <is>
          <t>MARKUP</t>
        </is>
      </c>
      <c r="J881" s="30" t="inlineStr">
        <is>
          <t>%</t>
        </is>
      </c>
      <c r="K881" s="2395" t="n"/>
      <c r="L881" s="2019" t="n"/>
      <c r="O881" s="5" t="inlineStr">
        <is>
          <t>MARKUP</t>
        </is>
      </c>
      <c r="P881" s="30" t="inlineStr">
        <is>
          <t>%</t>
        </is>
      </c>
      <c r="Q881" s="2395" t="n"/>
      <c r="R881" s="2019" t="n"/>
    </row>
    <row r="882">
      <c r="B882" s="6" t="inlineStr">
        <is>
          <t>Sales Tax</t>
        </is>
      </c>
      <c r="C882" s="241" t="n">
        <v>0.091</v>
      </c>
      <c r="D882" s="2397" t="n"/>
      <c r="E882" s="2038">
        <f>ROUNDUP((SUM(E869:E870)*C882),0)</f>
        <v/>
      </c>
      <c r="I882" s="6" t="inlineStr">
        <is>
          <t>Sales Tax</t>
        </is>
      </c>
      <c r="J882" s="241" t="n">
        <v>0.091</v>
      </c>
      <c r="K882" s="2397" t="n"/>
      <c r="L882" s="2038">
        <f>ROUNDUP((SUM(L869:L870)*J882),0)</f>
        <v/>
      </c>
      <c r="O882" s="6" t="inlineStr">
        <is>
          <t>Sales Tax</t>
        </is>
      </c>
      <c r="P882" s="241" t="n">
        <v>0.091</v>
      </c>
      <c r="Q882" s="2397" t="n"/>
      <c r="R882" s="2038">
        <f>ROUNDUP((SUM(R869:R870)*P882),0)</f>
        <v/>
      </c>
    </row>
    <row r="883">
      <c r="B883" s="6" t="inlineStr">
        <is>
          <t>JM Insurance</t>
        </is>
      </c>
      <c r="C883" s="241" t="n">
        <v>0.03</v>
      </c>
      <c r="D883" s="2397" t="n"/>
      <c r="E883" s="2038">
        <f>ROUNDUP(SUM(E876)*C883,0)</f>
        <v/>
      </c>
      <c r="I883" s="6" t="inlineStr">
        <is>
          <t>JM Insurance</t>
        </is>
      </c>
      <c r="J883" s="241" t="n">
        <v>0.03</v>
      </c>
      <c r="K883" s="2397" t="n"/>
      <c r="L883" s="2038">
        <f>ROUNDUP(SUM(L876)*J883,0)</f>
        <v/>
      </c>
      <c r="O883" s="6" t="inlineStr">
        <is>
          <t>JM Insurance</t>
        </is>
      </c>
      <c r="P883" s="241" t="n">
        <v>0.03</v>
      </c>
      <c r="Q883" s="2397" t="n"/>
      <c r="R883" s="2038">
        <f>ROUNDUP(SUM(R876)*P883,0)</f>
        <v/>
      </c>
    </row>
    <row r="884">
      <c r="B884" s="6" t="inlineStr">
        <is>
          <t>TW General Liability</t>
        </is>
      </c>
      <c r="C884" s="241" t="n">
        <v>0.01</v>
      </c>
      <c r="D884" s="2397" t="n"/>
      <c r="E884" s="2038">
        <f>ROUNDUP(SUM(E876)*C884,0)</f>
        <v/>
      </c>
      <c r="I884" s="6" t="inlineStr">
        <is>
          <t>TW General Liability</t>
        </is>
      </c>
      <c r="J884" s="241" t="n">
        <v>0.01</v>
      </c>
      <c r="K884" s="2397" t="n"/>
      <c r="L884" s="2038">
        <f>ROUNDUP(SUM(L876)*J884,0)</f>
        <v/>
      </c>
      <c r="O884" s="6" t="inlineStr">
        <is>
          <t>TW General Liability</t>
        </is>
      </c>
      <c r="P884" s="241" t="n">
        <v>0.01</v>
      </c>
      <c r="Q884" s="2397" t="n"/>
      <c r="R884" s="2038">
        <f>ROUNDUP(SUM(R876)*P884,0)</f>
        <v/>
      </c>
    </row>
    <row r="885">
      <c r="B885" s="6" t="inlineStr">
        <is>
          <t>TW WC</t>
        </is>
      </c>
      <c r="C885" s="241" t="n">
        <v>0.03</v>
      </c>
      <c r="D885" s="2397" t="n"/>
      <c r="E885" s="2038">
        <f>ROUNDUP(SUM(E876)*C885,0)</f>
        <v/>
      </c>
      <c r="I885" s="6" t="inlineStr">
        <is>
          <t>TW WC</t>
        </is>
      </c>
      <c r="J885" s="241" t="n">
        <v>0.03</v>
      </c>
      <c r="K885" s="2397" t="n"/>
      <c r="L885" s="2038">
        <f>ROUNDUP(SUM(L876)*J885,0)</f>
        <v/>
      </c>
      <c r="O885" s="6" t="inlineStr">
        <is>
          <t>TW WC</t>
        </is>
      </c>
      <c r="P885" s="241" t="n">
        <v>0.03</v>
      </c>
      <c r="Q885" s="2397" t="n"/>
      <c r="R885" s="2038">
        <f>ROUNDUP(SUM(R876)*P885,0)</f>
        <v/>
      </c>
    </row>
    <row r="886">
      <c r="B886" s="6" t="inlineStr">
        <is>
          <t>Fee</t>
        </is>
      </c>
      <c r="C886" s="122" t="n">
        <v>0.32</v>
      </c>
      <c r="D886" s="2282" t="n"/>
      <c r="E886" s="2038">
        <f>ROUNDUP(SUM(E879:E885)*C886,0)</f>
        <v/>
      </c>
      <c r="I886" s="6" t="inlineStr">
        <is>
          <t>Fee</t>
        </is>
      </c>
      <c r="J886" s="122" t="n">
        <v>0.32</v>
      </c>
      <c r="K886" s="2282" t="n"/>
      <c r="L886" s="2038">
        <f>ROUNDUP(SUM(L879:L885)*J886,0)</f>
        <v/>
      </c>
      <c r="O886" s="6" t="inlineStr">
        <is>
          <t>Fee</t>
        </is>
      </c>
      <c r="P886" s="122" t="n">
        <v>0.32</v>
      </c>
      <c r="Q886" s="2282" t="n"/>
      <c r="R886" s="2038">
        <f>ROUNDUP(SUM(R879:R885)*P886,0)</f>
        <v/>
      </c>
    </row>
    <row r="887">
      <c r="B887" s="6" t="inlineStr">
        <is>
          <t>Contingency</t>
        </is>
      </c>
      <c r="C887" s="122" t="n">
        <v>0</v>
      </c>
      <c r="D887" s="2282" t="n"/>
      <c r="E887" s="2038">
        <f>ROUNDUP(SUM(E879:E886)*C887,0)</f>
        <v/>
      </c>
      <c r="I887" s="6" t="inlineStr">
        <is>
          <t>Contingency</t>
        </is>
      </c>
      <c r="J887" s="122" t="n">
        <v>0</v>
      </c>
      <c r="K887" s="2282" t="n"/>
      <c r="L887" s="2038">
        <f>ROUNDUP(SUM(L879:L886)*J887,0)</f>
        <v/>
      </c>
      <c r="O887" s="6" t="inlineStr">
        <is>
          <t>Contingency</t>
        </is>
      </c>
      <c r="P887" s="122" t="n">
        <v>0</v>
      </c>
      <c r="Q887" s="2282" t="n"/>
      <c r="R887" s="2038">
        <f>ROUNDUP(SUM(R879:R886)*P887,0)</f>
        <v/>
      </c>
    </row>
    <row r="888">
      <c r="B888" s="6" t="inlineStr">
        <is>
          <t>Kansas Remodel Tax</t>
        </is>
      </c>
      <c r="C888" s="241" t="n"/>
      <c r="D888" s="2282" t="n"/>
      <c r="E888" s="2038">
        <f>ROUNDUP(SUM(E876,E884:E887)*C888,0)</f>
        <v/>
      </c>
      <c r="I888" s="6" t="inlineStr">
        <is>
          <t>Kansas Remodel Tax</t>
        </is>
      </c>
      <c r="J888" s="241" t="n"/>
      <c r="K888" s="2282" t="n"/>
      <c r="L888" s="2038">
        <f>ROUNDUP(SUM(L876,L884:L887)*J888,0)</f>
        <v/>
      </c>
      <c r="O888" s="6" t="inlineStr">
        <is>
          <t>Kansas Remodel Tax</t>
        </is>
      </c>
      <c r="P888" s="241" t="n"/>
      <c r="Q888" s="2282" t="n"/>
      <c r="R888" s="2038">
        <f>ROUNDUP(SUM(R876,R884:R887)*P888,0)</f>
        <v/>
      </c>
    </row>
    <row r="889">
      <c r="B889" s="6" t="inlineStr">
        <is>
          <t>Warranty Work</t>
        </is>
      </c>
      <c r="C889" s="241" t="n">
        <v>0.01</v>
      </c>
      <c r="D889" s="2282" t="n"/>
      <c r="E889" s="2038">
        <f>ROUNDUP(C889*SUM(E879:E888),0)</f>
        <v/>
      </c>
      <c r="I889" s="6" t="inlineStr">
        <is>
          <t>Warranty Work</t>
        </is>
      </c>
      <c r="J889" s="241" t="n">
        <v>0.01</v>
      </c>
      <c r="K889" s="2282" t="n"/>
      <c r="L889" s="2038">
        <f>ROUNDUP(J889*SUM(L879:L888),0)</f>
        <v/>
      </c>
      <c r="O889" s="6" t="inlineStr">
        <is>
          <t>Warranty Work</t>
        </is>
      </c>
      <c r="P889" s="241" t="n">
        <v>0.01</v>
      </c>
      <c r="Q889" s="2282" t="n"/>
      <c r="R889" s="2038">
        <f>ROUNDUP(P889*SUM(R879:R888),0)</f>
        <v/>
      </c>
    </row>
    <row r="890">
      <c r="B890" s="45" t="inlineStr">
        <is>
          <t>Bond</t>
        </is>
      </c>
      <c r="C890" s="46" t="n"/>
      <c r="D890" s="2314" t="n"/>
      <c r="E890" s="2400">
        <f>ROUNDUP(SUM(E879:E889)*C890,0)</f>
        <v/>
      </c>
      <c r="I890" s="45" t="inlineStr">
        <is>
          <t>Bond</t>
        </is>
      </c>
      <c r="J890" s="46" t="n"/>
      <c r="K890" s="2314" t="n"/>
      <c r="L890" s="2400">
        <f>ROUNDUP(SUM(L879:L889)*J890,0)</f>
        <v/>
      </c>
      <c r="O890" s="45" t="inlineStr">
        <is>
          <t>Bond</t>
        </is>
      </c>
      <c r="P890" s="46" t="n"/>
      <c r="Q890" s="2314" t="n"/>
      <c r="R890" s="2400">
        <f>ROUNDUP(SUM(R879:R889)*P890,0)</f>
        <v/>
      </c>
    </row>
    <row r="891">
      <c r="B891" s="1" t="n"/>
      <c r="C891" s="8" t="n"/>
      <c r="D891" s="2282" t="n"/>
      <c r="E891" s="2282" t="n"/>
      <c r="I891" s="1" t="n"/>
      <c r="J891" s="8" t="n"/>
      <c r="K891" s="2282" t="n"/>
      <c r="L891" s="2282" t="n"/>
      <c r="O891" s="1" t="n"/>
      <c r="P891" s="8" t="n"/>
      <c r="Q891" s="2282" t="n"/>
      <c r="R891" s="2282" t="n"/>
    </row>
    <row r="892" ht="16.2" customHeight="1" thickBot="1">
      <c r="B892" s="1" t="n"/>
      <c r="C892" s="1" t="n"/>
      <c r="D892" s="2282" t="n"/>
      <c r="E892" s="2282" t="n"/>
      <c r="F892" s="51" t="inlineStr">
        <is>
          <t>per sf</t>
        </is>
      </c>
      <c r="I892" s="1" t="n"/>
      <c r="J892" s="1" t="n"/>
      <c r="K892" s="2282" t="n"/>
      <c r="L892" s="2282" t="n"/>
      <c r="M892" s="51" t="inlineStr">
        <is>
          <t>per sf</t>
        </is>
      </c>
      <c r="O892" s="1" t="n"/>
      <c r="P892" s="1" t="n"/>
      <c r="Q892" s="2282" t="n"/>
      <c r="R892" s="2282" t="n"/>
      <c r="S892" s="51" t="inlineStr">
        <is>
          <t>per sf</t>
        </is>
      </c>
    </row>
    <row r="893" ht="16.2" customHeight="1" thickBot="1">
      <c r="B893" s="289" t="inlineStr">
        <is>
          <t>TOTAL</t>
        </is>
      </c>
      <c r="C893" s="290" t="n"/>
      <c r="D893" s="2412" t="n"/>
      <c r="E893" s="2404">
        <f>SUM(E879:E890)</f>
        <v/>
      </c>
      <c r="F893" s="2469">
        <f>E893/1000</f>
        <v/>
      </c>
      <c r="I893" s="289" t="inlineStr">
        <is>
          <t>TOTAL</t>
        </is>
      </c>
      <c r="J893" s="290" t="n"/>
      <c r="K893" s="2412" t="n"/>
      <c r="L893" s="2404">
        <f>SUM(L879:L890)</f>
        <v/>
      </c>
      <c r="M893" s="2469">
        <f>L893/1000</f>
        <v/>
      </c>
      <c r="O893" s="289" t="inlineStr">
        <is>
          <t>TOTAL</t>
        </is>
      </c>
      <c r="P893" s="290" t="n"/>
      <c r="Q893" s="2412" t="n"/>
      <c r="R893" s="2404">
        <f>SUM(R879:R890)</f>
        <v/>
      </c>
      <c r="S893" s="2469">
        <f>R893/1000</f>
        <v/>
      </c>
    </row>
    <row r="896">
      <c r="B896" s="2374" t="inlineStr">
        <is>
          <t>Generator / Day</t>
        </is>
      </c>
      <c r="C896" s="2350" t="n"/>
      <c r="D896" s="2350" t="n"/>
      <c r="E896" s="237" t="n"/>
      <c r="I896" s="2374" t="inlineStr">
        <is>
          <t>Generator / Week</t>
        </is>
      </c>
      <c r="J896" s="2350" t="n"/>
      <c r="K896" s="2350" t="n"/>
      <c r="L896" s="237" t="n"/>
    </row>
    <row r="897">
      <c r="B897" s="5" t="inlineStr">
        <is>
          <t xml:space="preserve">MATERIAL - </t>
        </is>
      </c>
      <c r="C897" s="30" t="inlineStr">
        <is>
          <t>Quantity</t>
        </is>
      </c>
      <c r="D897" s="30" t="inlineStr">
        <is>
          <t>Cost</t>
        </is>
      </c>
      <c r="E897" s="31" t="inlineStr">
        <is>
          <t>Total</t>
        </is>
      </c>
      <c r="I897" s="5" t="inlineStr">
        <is>
          <t xml:space="preserve">MATERIAL - </t>
        </is>
      </c>
      <c r="J897" s="30" t="inlineStr">
        <is>
          <t>Quantity</t>
        </is>
      </c>
      <c r="K897" s="30" t="inlineStr">
        <is>
          <t>Cost</t>
        </is>
      </c>
      <c r="L897" s="31" t="inlineStr">
        <is>
          <t>Total</t>
        </is>
      </c>
    </row>
    <row r="898">
      <c r="B898" s="1892" t="n"/>
      <c r="C898" s="1892" t="n"/>
      <c r="D898" s="2312" t="n"/>
      <c r="E898" s="2308">
        <f>C898*D898</f>
        <v/>
      </c>
      <c r="I898" s="1892" t="n"/>
      <c r="J898" s="1892" t="n"/>
      <c r="K898" s="2312" t="n"/>
      <c r="L898" s="2308">
        <f>J898*K898</f>
        <v/>
      </c>
    </row>
    <row r="899">
      <c r="B899" s="1892" t="n"/>
      <c r="C899" s="1892" t="n"/>
      <c r="D899" s="2312" t="n"/>
      <c r="E899" s="2308">
        <f>C899*D899</f>
        <v/>
      </c>
      <c r="I899" s="1892" t="n"/>
      <c r="J899" s="1892" t="n"/>
      <c r="K899" s="2312" t="n"/>
      <c r="L899" s="2308">
        <f>J899*K899</f>
        <v/>
      </c>
    </row>
    <row r="900">
      <c r="B900" s="1892" t="n"/>
      <c r="C900" s="1892" t="n"/>
      <c r="D900" s="2312" t="n"/>
      <c r="E900" s="2308">
        <f>C900*D900</f>
        <v/>
      </c>
      <c r="I900" s="1892" t="n"/>
      <c r="J900" s="1892" t="n"/>
      <c r="K900" s="2312" t="n"/>
      <c r="L900" s="2308">
        <f>J900*K900</f>
        <v/>
      </c>
    </row>
    <row r="901">
      <c r="B901" s="322" t="n"/>
      <c r="C901" s="323" t="n"/>
      <c r="D901" s="2332" t="n"/>
      <c r="E901" s="2333">
        <f>C901*D901</f>
        <v/>
      </c>
      <c r="I901" s="322" t="n"/>
      <c r="J901" s="323" t="n"/>
      <c r="K901" s="2332" t="n"/>
      <c r="L901" s="2333">
        <f>J901*K901</f>
        <v/>
      </c>
    </row>
    <row r="902">
      <c r="B902" s="17" t="inlineStr">
        <is>
          <t>Material Sub Total</t>
        </is>
      </c>
      <c r="C902" s="35" t="n"/>
      <c r="D902" s="2382" t="n"/>
      <c r="E902" s="2335">
        <f>ROUNDUP(SUM(E898:E901),0)</f>
        <v/>
      </c>
      <c r="I902" s="17" t="inlineStr">
        <is>
          <t>Material Sub Total</t>
        </is>
      </c>
      <c r="J902" s="35" t="n"/>
      <c r="K902" s="2382" t="n"/>
      <c r="L902" s="2335">
        <f>ROUNDUP(SUM(L898:L901),0)</f>
        <v/>
      </c>
    </row>
    <row r="903">
      <c r="B903" s="20" t="inlineStr">
        <is>
          <t>Material Overage</t>
        </is>
      </c>
      <c r="C903" s="270" t="n">
        <v>0</v>
      </c>
      <c r="D903" s="2283" t="n"/>
      <c r="E903" s="2383">
        <f>ROUNDUP(E902*C903,0)</f>
        <v/>
      </c>
      <c r="I903" s="20" t="inlineStr">
        <is>
          <t>Material Overage</t>
        </is>
      </c>
      <c r="J903" s="270" t="n">
        <v>0</v>
      </c>
      <c r="K903" s="2283" t="n"/>
      <c r="L903" s="2383">
        <f>ROUNDUP(L902*J903,0)</f>
        <v/>
      </c>
    </row>
    <row r="904">
      <c r="B904" s="10" t="inlineStr">
        <is>
          <t>Material Total</t>
        </is>
      </c>
      <c r="C904" s="36" t="n"/>
      <c r="D904" s="2339" t="n"/>
      <c r="E904" s="2340">
        <f>SUM(E902:E903)</f>
        <v/>
      </c>
      <c r="I904" s="10" t="inlineStr">
        <is>
          <t>Material Total</t>
        </is>
      </c>
      <c r="J904" s="36" t="n"/>
      <c r="K904" s="2339" t="n"/>
      <c r="L904" s="2340">
        <f>SUM(L902:L903)</f>
        <v/>
      </c>
    </row>
    <row r="905">
      <c r="B905" s="39" t="inlineStr">
        <is>
          <t>Shipping</t>
        </is>
      </c>
      <c r="C905" s="40" t="n">
        <v>0.1</v>
      </c>
      <c r="D905" s="2384" t="n"/>
      <c r="E905" s="2338">
        <f>ROUNDUP(E902*C905,0)</f>
        <v/>
      </c>
      <c r="I905" s="39" t="inlineStr">
        <is>
          <t>Shipping</t>
        </is>
      </c>
      <c r="J905" s="40" t="n">
        <v>0.1</v>
      </c>
      <c r="K905" s="2384" t="n"/>
      <c r="L905" s="2338">
        <f>ROUNDUP(L902*J905,0)</f>
        <v/>
      </c>
    </row>
    <row r="906">
      <c r="B906" s="1" t="n"/>
      <c r="C906" s="1892" t="n"/>
      <c r="D906" s="2282" t="n"/>
      <c r="E906" s="2282" t="n"/>
      <c r="I906" s="1" t="n"/>
      <c r="J906" s="1892" t="n"/>
      <c r="K906" s="2282" t="n"/>
      <c r="L906" s="2282" t="n"/>
    </row>
    <row r="907">
      <c r="B907" s="5" t="inlineStr">
        <is>
          <t>LABOR</t>
        </is>
      </c>
      <c r="C907" s="30" t="inlineStr">
        <is>
          <t>Quantity</t>
        </is>
      </c>
      <c r="D907" s="11" t="inlineStr">
        <is>
          <t>Cost</t>
        </is>
      </c>
      <c r="E907" s="2457" t="inlineStr">
        <is>
          <t>Total</t>
        </is>
      </c>
      <c r="I907" s="5" t="inlineStr">
        <is>
          <t>LABOR</t>
        </is>
      </c>
      <c r="J907" s="30" t="inlineStr">
        <is>
          <t>Quantity</t>
        </is>
      </c>
      <c r="K907" s="11" t="inlineStr">
        <is>
          <t>Cost</t>
        </is>
      </c>
      <c r="L907" s="2457" t="inlineStr">
        <is>
          <t>Total</t>
        </is>
      </c>
    </row>
    <row r="908">
      <c r="B908" s="6" t="inlineStr">
        <is>
          <t>JM Generator</t>
        </is>
      </c>
      <c r="C908" s="37" t="n">
        <v>1</v>
      </c>
      <c r="D908" s="2282" t="n">
        <v>100</v>
      </c>
      <c r="E908" s="2038">
        <f>ROUNDUP(C908*D908,0)</f>
        <v/>
      </c>
      <c r="I908" s="6" t="inlineStr">
        <is>
          <t>JM Generator</t>
        </is>
      </c>
      <c r="J908" s="37" t="n">
        <v>5</v>
      </c>
      <c r="K908" s="2282" t="n">
        <v>100</v>
      </c>
      <c r="L908" s="2038">
        <f>ROUNDUP(J908*K908,0)</f>
        <v/>
      </c>
    </row>
    <row r="909">
      <c r="B909" s="6" t="inlineStr">
        <is>
          <t>JM Fuel</t>
        </is>
      </c>
      <c r="C909" s="381" t="n">
        <v>1</v>
      </c>
      <c r="D909" s="2282" t="n">
        <v>50</v>
      </c>
      <c r="E909" s="2038">
        <f>ROUNDUP(C909*D909,0)</f>
        <v/>
      </c>
      <c r="I909" s="6" t="inlineStr">
        <is>
          <t>JM Fuel</t>
        </is>
      </c>
      <c r="J909" s="381" t="n">
        <v>5</v>
      </c>
      <c r="K909" s="2282" t="n">
        <v>50</v>
      </c>
      <c r="L909" s="2038">
        <f>ROUNDUP(J909*K909,0)</f>
        <v/>
      </c>
    </row>
    <row r="910">
      <c r="B910" s="6" t="n"/>
      <c r="C910" s="37" t="n"/>
      <c r="D910" s="2282" t="n"/>
      <c r="E910" s="2038">
        <f>ROUNDUP(C910*D910,0)</f>
        <v/>
      </c>
      <c r="I910" s="6" t="n"/>
      <c r="J910" s="37" t="n"/>
      <c r="K910" s="2282" t="n"/>
      <c r="L910" s="2038">
        <f>ROUNDUP(J910*K910,0)</f>
        <v/>
      </c>
    </row>
    <row r="911">
      <c r="B911" s="10" t="inlineStr">
        <is>
          <t>Labor Total</t>
        </is>
      </c>
      <c r="C911" s="36" t="n"/>
      <c r="D911" s="2339" t="n"/>
      <c r="E911" s="2340">
        <f>SUM(E908:E910)</f>
        <v/>
      </c>
      <c r="I911" s="10" t="inlineStr">
        <is>
          <t>Labor Total</t>
        </is>
      </c>
      <c r="J911" s="36" t="n"/>
      <c r="K911" s="2339" t="n"/>
      <c r="L911" s="2340">
        <f>SUM(L908:L910)</f>
        <v/>
      </c>
    </row>
    <row r="912">
      <c r="B912" s="1" t="n"/>
      <c r="C912" s="1892" t="n"/>
      <c r="D912" s="2282" t="n"/>
      <c r="E912" s="2282" t="n"/>
      <c r="I912" s="1" t="n"/>
      <c r="J912" s="1892" t="n"/>
      <c r="K912" s="2282" t="n"/>
      <c r="L912" s="2282" t="n"/>
    </row>
    <row r="913">
      <c r="B913" s="1" t="n"/>
      <c r="C913" s="1892" t="n"/>
      <c r="D913" s="2282" t="n"/>
      <c r="E913" s="2282" t="n"/>
      <c r="I913" s="1" t="n"/>
      <c r="J913" s="1892" t="n"/>
      <c r="K913" s="2282" t="n"/>
      <c r="L913" s="2282" t="n"/>
    </row>
    <row r="914">
      <c r="B914" s="280" t="inlineStr">
        <is>
          <t>SUB-TOTAL COSTS</t>
        </is>
      </c>
      <c r="C914" s="281" t="n"/>
      <c r="D914" s="2393" t="n"/>
      <c r="E914" s="2394">
        <f>SUM(E904,E911,E905)</f>
        <v/>
      </c>
      <c r="I914" s="280" t="inlineStr">
        <is>
          <t>SUB-TOTAL COSTS</t>
        </is>
      </c>
      <c r="J914" s="281" t="n"/>
      <c r="K914" s="2393" t="n"/>
      <c r="L914" s="2394">
        <f>SUM(L904,L911,L905)</f>
        <v/>
      </c>
    </row>
    <row r="915">
      <c r="B915" s="1" t="n"/>
      <c r="C915" s="1892" t="n"/>
      <c r="D915" s="2282" t="n"/>
      <c r="E915" s="2282" t="n"/>
      <c r="I915" s="1" t="n"/>
      <c r="J915" s="1892" t="n"/>
      <c r="K915" s="2282" t="n"/>
      <c r="L915" s="2282" t="n"/>
    </row>
    <row r="916">
      <c r="B916" s="5" t="inlineStr">
        <is>
          <t>MARKUP</t>
        </is>
      </c>
      <c r="C916" s="30" t="inlineStr">
        <is>
          <t>%</t>
        </is>
      </c>
      <c r="D916" s="2395" t="n"/>
      <c r="E916" s="2019" t="n"/>
      <c r="I916" s="5" t="inlineStr">
        <is>
          <t>MARKUP</t>
        </is>
      </c>
      <c r="J916" s="30" t="inlineStr">
        <is>
          <t>%</t>
        </is>
      </c>
      <c r="K916" s="2395" t="n"/>
      <c r="L916" s="2019" t="n"/>
    </row>
    <row r="917">
      <c r="B917" s="6" t="inlineStr">
        <is>
          <t>Sales Tax</t>
        </is>
      </c>
      <c r="C917" s="241" t="n">
        <v>0</v>
      </c>
      <c r="D917" s="2397" t="n"/>
      <c r="E917" s="2038">
        <f>ROUNDUP((SUM(E904:E905)*C917),0)</f>
        <v/>
      </c>
      <c r="I917" s="6" t="inlineStr">
        <is>
          <t>Sales Tax</t>
        </is>
      </c>
      <c r="J917" s="241" t="n">
        <v>0</v>
      </c>
      <c r="K917" s="2397" t="n"/>
      <c r="L917" s="2038">
        <f>ROUNDUP((SUM(L904:L905)*J917),0)</f>
        <v/>
      </c>
    </row>
    <row r="918">
      <c r="B918" s="6" t="inlineStr">
        <is>
          <t>JM Insurance</t>
        </is>
      </c>
      <c r="C918" s="241" t="n">
        <v>0</v>
      </c>
      <c r="D918" s="2397" t="n"/>
      <c r="E918" s="2038">
        <f>ROUNDUP(SUM(E911)*C918,0)</f>
        <v/>
      </c>
      <c r="I918" s="6" t="inlineStr">
        <is>
          <t>JM Insurance</t>
        </is>
      </c>
      <c r="J918" s="241" t="n">
        <v>0</v>
      </c>
      <c r="K918" s="2397" t="n"/>
      <c r="L918" s="2038">
        <f>ROUNDUP(SUM(L911)*J918,0)</f>
        <v/>
      </c>
    </row>
    <row r="919">
      <c r="B919" s="6" t="inlineStr">
        <is>
          <t>TW General Liability</t>
        </is>
      </c>
      <c r="C919" s="241" t="n">
        <v>0</v>
      </c>
      <c r="D919" s="2397" t="n"/>
      <c r="E919" s="2038">
        <f>ROUNDUP(SUM(E911)*C919,0)</f>
        <v/>
      </c>
      <c r="I919" s="6" t="inlineStr">
        <is>
          <t>TW General Liability</t>
        </is>
      </c>
      <c r="J919" s="241" t="n">
        <v>0</v>
      </c>
      <c r="K919" s="2397" t="n"/>
      <c r="L919" s="2038">
        <f>ROUNDUP(SUM(L911)*J919,0)</f>
        <v/>
      </c>
    </row>
    <row r="920">
      <c r="B920" s="6" t="inlineStr">
        <is>
          <t>TW WC</t>
        </is>
      </c>
      <c r="C920" s="241" t="n">
        <v>0</v>
      </c>
      <c r="D920" s="2397" t="n"/>
      <c r="E920" s="2038">
        <f>ROUNDUP(SUM(E911)*C920,0)</f>
        <v/>
      </c>
      <c r="I920" s="6" t="inlineStr">
        <is>
          <t>TW WC</t>
        </is>
      </c>
      <c r="J920" s="241" t="n">
        <v>0</v>
      </c>
      <c r="K920" s="2397" t="n"/>
      <c r="L920" s="2038">
        <f>ROUNDUP(SUM(L911)*J920,0)</f>
        <v/>
      </c>
    </row>
    <row r="921">
      <c r="B921" s="6" t="inlineStr">
        <is>
          <t>Fee</t>
        </is>
      </c>
      <c r="C921" s="122" t="n">
        <v>1.33</v>
      </c>
      <c r="D921" s="2282" t="n"/>
      <c r="E921" s="2038">
        <f>ROUNDUP(SUM(E914:E920)*C921,0)</f>
        <v/>
      </c>
      <c r="I921" s="6" t="inlineStr">
        <is>
          <t>Fee</t>
        </is>
      </c>
      <c r="J921" s="122" t="n">
        <v>1</v>
      </c>
      <c r="K921" s="2282" t="n"/>
      <c r="L921" s="2038">
        <f>ROUNDUP(SUM(L914:L920)*J921,0)</f>
        <v/>
      </c>
    </row>
    <row r="922">
      <c r="B922" s="6" t="inlineStr">
        <is>
          <t>Contingency</t>
        </is>
      </c>
      <c r="C922" s="122" t="n">
        <v>0</v>
      </c>
      <c r="D922" s="2282" t="n"/>
      <c r="E922" s="2038" t="n">
        <v>0</v>
      </c>
      <c r="I922" s="6" t="inlineStr">
        <is>
          <t>Contingency</t>
        </is>
      </c>
      <c r="J922" s="122" t="n">
        <v>0</v>
      </c>
      <c r="K922" s="2282" t="n"/>
      <c r="L922" s="2038" t="n">
        <v>0</v>
      </c>
    </row>
    <row r="923">
      <c r="B923" s="6" t="inlineStr">
        <is>
          <t>Kansas Remodel Tax</t>
        </is>
      </c>
      <c r="C923" s="241" t="n"/>
      <c r="D923" s="2282" t="n"/>
      <c r="E923" s="2038">
        <f>ROUNDUP(SUM(E911,E919:E922)*C923,0)</f>
        <v/>
      </c>
      <c r="I923" s="6" t="inlineStr">
        <is>
          <t>Kansas Remodel Tax</t>
        </is>
      </c>
      <c r="J923" s="241" t="n"/>
      <c r="K923" s="2282" t="n"/>
      <c r="L923" s="2038">
        <f>ROUNDUP(SUM(L911,L919:L922)*J923,0)</f>
        <v/>
      </c>
    </row>
    <row r="924">
      <c r="B924" s="6" t="inlineStr">
        <is>
          <t>Warranty Work</t>
        </is>
      </c>
      <c r="C924" s="241" t="n">
        <v>0</v>
      </c>
      <c r="D924" s="2282" t="n"/>
      <c r="E924" s="2038" t="n">
        <v>0</v>
      </c>
      <c r="I924" s="6" t="inlineStr">
        <is>
          <t>Warranty Work</t>
        </is>
      </c>
      <c r="J924" s="241" t="n">
        <v>0</v>
      </c>
      <c r="K924" s="2282" t="n"/>
      <c r="L924" s="2038" t="n">
        <v>0</v>
      </c>
    </row>
    <row r="925">
      <c r="B925" s="45" t="inlineStr">
        <is>
          <t>Bond</t>
        </is>
      </c>
      <c r="C925" s="46" t="n"/>
      <c r="D925" s="2314" t="n"/>
      <c r="E925" s="2400">
        <f>ROUNDUP(SUM(E914:E924)*C925,0)</f>
        <v/>
      </c>
      <c r="I925" s="45" t="inlineStr">
        <is>
          <t>Bond</t>
        </is>
      </c>
      <c r="J925" s="46" t="n"/>
      <c r="K925" s="2314" t="n"/>
      <c r="L925" s="2400">
        <f>ROUNDUP(SUM(L914:L924)*J925,0)</f>
        <v/>
      </c>
    </row>
    <row r="926">
      <c r="B926" s="1" t="n"/>
      <c r="C926" s="8" t="n"/>
      <c r="D926" s="2282" t="n"/>
      <c r="E926" s="2282" t="n"/>
      <c r="I926" s="1" t="n"/>
      <c r="J926" s="8" t="n"/>
      <c r="K926" s="2282" t="n"/>
      <c r="L926" s="2282" t="n"/>
    </row>
    <row r="927" ht="16.2" customHeight="1" thickBot="1">
      <c r="B927" s="1" t="n"/>
      <c r="C927" s="1" t="n"/>
      <c r="D927" s="2282" t="n"/>
      <c r="E927" s="2282" t="n"/>
      <c r="I927" s="1" t="n"/>
      <c r="J927" s="1" t="n"/>
      <c r="K927" s="2282" t="n"/>
      <c r="L927" s="2282" t="n"/>
    </row>
    <row r="928" ht="16.2" customHeight="1" thickBot="1">
      <c r="B928" s="289" t="inlineStr">
        <is>
          <t>TOTAL</t>
        </is>
      </c>
      <c r="C928" s="290" t="n"/>
      <c r="D928" s="2412" t="n"/>
      <c r="E928" s="2404">
        <f>SUM(E914:E925)</f>
        <v/>
      </c>
      <c r="I928" s="289" t="inlineStr">
        <is>
          <t>TOTAL</t>
        </is>
      </c>
      <c r="J928" s="290" t="n"/>
      <c r="K928" s="2412" t="n"/>
      <c r="L928" s="2404">
        <f>SUM(L914:L925)</f>
        <v/>
      </c>
    </row>
  </sheetData>
  <mergeCells count="74">
    <mergeCell ref="I651:L651"/>
    <mergeCell ref="AD296:AG296"/>
    <mergeCell ref="I247:L247"/>
    <mergeCell ref="B394:E394"/>
    <mergeCell ref="O754:R754"/>
    <mergeCell ref="Q508:T508"/>
    <mergeCell ref="AK296:AN296"/>
    <mergeCell ref="I51:L51"/>
    <mergeCell ref="U825:X825"/>
    <mergeCell ref="B51:E51"/>
    <mergeCell ref="I542:L542"/>
    <mergeCell ref="W207:Z207"/>
    <mergeCell ref="B198:E198"/>
    <mergeCell ref="Q467:T467"/>
    <mergeCell ref="B787:E787"/>
    <mergeCell ref="B825:E825"/>
    <mergeCell ref="B296:E296"/>
    <mergeCell ref="Q492:T492"/>
    <mergeCell ref="B443:E443"/>
    <mergeCell ref="I492:L492"/>
    <mergeCell ref="B754:E754"/>
    <mergeCell ref="I861:L861"/>
    <mergeCell ref="B896:E896"/>
    <mergeCell ref="I149:L149"/>
    <mergeCell ref="P198:S198"/>
    <mergeCell ref="I394:L394"/>
    <mergeCell ref="O720:R720"/>
    <mergeCell ref="B100:E100"/>
    <mergeCell ref="I2:L2"/>
    <mergeCell ref="B345:E345"/>
    <mergeCell ref="B492:E492"/>
    <mergeCell ref="P100:S100"/>
    <mergeCell ref="B861:E861"/>
    <mergeCell ref="P247:S247"/>
    <mergeCell ref="Q459:T459"/>
    <mergeCell ref="B149:E149"/>
    <mergeCell ref="I198:L198"/>
    <mergeCell ref="I825:L825"/>
    <mergeCell ref="I787:L787"/>
    <mergeCell ref="I296:L296"/>
    <mergeCell ref="W198:Z198"/>
    <mergeCell ref="I443:L443"/>
    <mergeCell ref="I720:L720"/>
    <mergeCell ref="I754:L754"/>
    <mergeCell ref="I896:L896"/>
    <mergeCell ref="Q443:T443"/>
    <mergeCell ref="B247:E247"/>
    <mergeCell ref="P149:S149"/>
    <mergeCell ref="B720:E720"/>
    <mergeCell ref="P542:S542"/>
    <mergeCell ref="O825:R825"/>
    <mergeCell ref="B592:E592"/>
    <mergeCell ref="I100:L100"/>
    <mergeCell ref="B686:E686"/>
    <mergeCell ref="I345:L345"/>
    <mergeCell ref="B2:E2"/>
    <mergeCell ref="B542:E542"/>
    <mergeCell ref="O787:R787"/>
    <mergeCell ref="B651:E651"/>
    <mergeCell ref="U787:X787"/>
    <mergeCell ref="W232:Z232"/>
    <mergeCell ref="W296:Z296"/>
    <mergeCell ref="AA825:AD825"/>
    <mergeCell ref="AA787:AD787"/>
    <mergeCell ref="P296:S296"/>
    <mergeCell ref="W215:Z215"/>
    <mergeCell ref="Q451:T451"/>
    <mergeCell ref="Q500:T500"/>
    <mergeCell ref="W224:Z224"/>
    <mergeCell ref="Q516:T516"/>
    <mergeCell ref="W542:Z542"/>
    <mergeCell ref="I592:L592"/>
    <mergeCell ref="I686:L686"/>
    <mergeCell ref="O861:R861"/>
  </mergeCells>
  <conditionalFormatting sqref="G15">
    <cfRule type="cellIs" priority="109" operator="lessThan" dxfId="1">
      <formula>0.15</formula>
    </cfRule>
    <cfRule type="cellIs" priority="108" operator="greaterThan" dxfId="2">
      <formula>0.25</formula>
    </cfRule>
  </conditionalFormatting>
  <conditionalFormatting sqref="G64">
    <cfRule type="cellIs" priority="103" operator="lessThan" dxfId="1">
      <formula>0.15</formula>
    </cfRule>
    <cfRule type="cellIs" priority="102" operator="greaterThan" dxfId="2">
      <formula>0.25</formula>
    </cfRule>
  </conditionalFormatting>
  <conditionalFormatting sqref="G113">
    <cfRule type="cellIs" priority="52" operator="lessThan" dxfId="1">
      <formula>0.15</formula>
    </cfRule>
    <cfRule type="cellIs" priority="51" operator="greaterThan" dxfId="2">
      <formula>0.25</formula>
    </cfRule>
  </conditionalFormatting>
  <conditionalFormatting sqref="G162">
    <cfRule type="cellIs" priority="96" operator="greaterThan" dxfId="2">
      <formula>0.25</formula>
    </cfRule>
    <cfRule type="cellIs" priority="97" operator="lessThan" dxfId="1">
      <formula>0.15</formula>
    </cfRule>
  </conditionalFormatting>
  <conditionalFormatting sqref="G211">
    <cfRule type="cellIs" priority="88" operator="lessThan" dxfId="1">
      <formula>0.15</formula>
    </cfRule>
    <cfRule type="cellIs" priority="87" operator="greaterThan" dxfId="2">
      <formula>0.25</formula>
    </cfRule>
  </conditionalFormatting>
  <conditionalFormatting sqref="G260">
    <cfRule type="cellIs" priority="7" operator="greaterThan" dxfId="2">
      <formula>0.25</formula>
    </cfRule>
    <cfRule type="cellIs" priority="8" operator="lessThan" dxfId="1">
      <formula>0.15</formula>
    </cfRule>
  </conditionalFormatting>
  <conditionalFormatting sqref="G309">
    <cfRule type="cellIs" priority="22" operator="greaterThan" dxfId="2">
      <formula>0.25</formula>
    </cfRule>
    <cfRule type="cellIs" priority="23" operator="lessThan" dxfId="1">
      <formula>0.15</formula>
    </cfRule>
  </conditionalFormatting>
  <conditionalFormatting sqref="G358">
    <cfRule type="cellIs" priority="79" operator="lessThan" dxfId="1">
      <formula>0.15</formula>
    </cfRule>
    <cfRule type="cellIs" priority="78" operator="greaterThan" dxfId="2">
      <formula>0.25</formula>
    </cfRule>
  </conditionalFormatting>
  <conditionalFormatting sqref="G407">
    <cfRule type="cellIs" priority="39" operator="greaterThan" dxfId="2">
      <formula>0.25</formula>
    </cfRule>
    <cfRule type="cellIs" priority="40" operator="lessThan" dxfId="1">
      <formula>0.15</formula>
    </cfRule>
  </conditionalFormatting>
  <conditionalFormatting sqref="G456">
    <cfRule type="cellIs" priority="72" operator="greaterThan" dxfId="2">
      <formula>0.25</formula>
    </cfRule>
    <cfRule type="cellIs" priority="73" operator="lessThan" dxfId="1">
      <formula>0.15</formula>
    </cfRule>
  </conditionalFormatting>
  <conditionalFormatting sqref="G505">
    <cfRule type="cellIs" priority="33" operator="greaterThan" dxfId="2">
      <formula>0.25</formula>
    </cfRule>
    <cfRule type="cellIs" priority="34" operator="lessThan" dxfId="1">
      <formula>0.15</formula>
    </cfRule>
  </conditionalFormatting>
  <conditionalFormatting sqref="G555">
    <cfRule type="cellIs" priority="66" operator="greaterThan" dxfId="2">
      <formula>0.25</formula>
    </cfRule>
    <cfRule type="cellIs" priority="67" operator="lessThan" dxfId="1">
      <formula>0.15</formula>
    </cfRule>
  </conditionalFormatting>
  <conditionalFormatting sqref="G605">
    <cfRule type="cellIs" priority="58" operator="lessThan" dxfId="1">
      <formula>0.15</formula>
    </cfRule>
    <cfRule type="cellIs" priority="57" operator="greaterThan" dxfId="2">
      <formula>0.25</formula>
    </cfRule>
  </conditionalFormatting>
  <conditionalFormatting sqref="G48:H48">
    <cfRule type="containsText" priority="110" operator="containsText" dxfId="2" text="owner">
      <formula>NOT(ISERROR(SEARCH("owner",G48)))</formula>
    </cfRule>
  </conditionalFormatting>
  <conditionalFormatting sqref="G97:H97">
    <cfRule type="containsText" priority="104" operator="containsText" dxfId="2" text="owner">
      <formula>NOT(ISERROR(SEARCH("owner",G97)))</formula>
    </cfRule>
  </conditionalFormatting>
  <conditionalFormatting sqref="G146:H146">
    <cfRule type="containsText" priority="53" operator="containsText" dxfId="2" text="owner">
      <formula>NOT(ISERROR(SEARCH("owner",G146)))</formula>
    </cfRule>
  </conditionalFormatting>
  <conditionalFormatting sqref="G195:H195">
    <cfRule type="containsText" priority="98" operator="containsText" dxfId="2" text="owner">
      <formula>NOT(ISERROR(SEARCH("owner",G195)))</formula>
    </cfRule>
  </conditionalFormatting>
  <conditionalFormatting sqref="G244:H244">
    <cfRule type="containsText" priority="89" operator="containsText" dxfId="2" text="owner">
      <formula>NOT(ISERROR(SEARCH("owner",G244)))</formula>
    </cfRule>
  </conditionalFormatting>
  <conditionalFormatting sqref="G293:H293">
    <cfRule type="containsText" priority="9" operator="containsText" dxfId="2" text="owner">
      <formula>NOT(ISERROR(SEARCH("owner",G293)))</formula>
    </cfRule>
  </conditionalFormatting>
  <conditionalFormatting sqref="G342:H342">
    <cfRule type="containsText" priority="29" operator="containsText" dxfId="2" text="owner">
      <formula>NOT(ISERROR(SEARCH("owner",G342)))</formula>
    </cfRule>
  </conditionalFormatting>
  <conditionalFormatting sqref="G391:H391">
    <cfRule type="containsText" priority="80" operator="containsText" dxfId="2" text="owner">
      <formula>NOT(ISERROR(SEARCH("owner",G391)))</formula>
    </cfRule>
  </conditionalFormatting>
  <conditionalFormatting sqref="G440:H440">
    <cfRule type="containsText" priority="41" operator="containsText" dxfId="2" text="owner">
      <formula>NOT(ISERROR(SEARCH("owner",G440)))</formula>
    </cfRule>
  </conditionalFormatting>
  <conditionalFormatting sqref="G489:H489">
    <cfRule type="containsText" priority="74" operator="containsText" dxfId="2" text="owner">
      <formula>NOT(ISERROR(SEARCH("owner",G489)))</formula>
    </cfRule>
  </conditionalFormatting>
  <conditionalFormatting sqref="G538:H538">
    <cfRule type="containsText" priority="35" operator="containsText" dxfId="2" text="owner">
      <formula>NOT(ISERROR(SEARCH("owner",G538)))</formula>
    </cfRule>
  </conditionalFormatting>
  <conditionalFormatting sqref="G588:H588">
    <cfRule type="containsText" priority="68" operator="containsText" dxfId="2" text="owner">
      <formula>NOT(ISERROR(SEARCH("owner",G588)))</formula>
    </cfRule>
  </conditionalFormatting>
  <conditionalFormatting sqref="G638:H638">
    <cfRule type="containsText" priority="59" operator="containsText" dxfId="2" text="owner">
      <formula>NOT(ISERROR(SEARCH("owner",G638)))</formula>
    </cfRule>
  </conditionalFormatting>
  <conditionalFormatting sqref="N15">
    <cfRule type="cellIs" priority="105" operator="greaterThan" dxfId="2">
      <formula>0.25</formula>
    </cfRule>
    <cfRule type="cellIs" priority="106" operator="lessThan" dxfId="1">
      <formula>0.15</formula>
    </cfRule>
  </conditionalFormatting>
  <conditionalFormatting sqref="N48">
    <cfRule type="containsText" priority="107" operator="containsText" dxfId="2" text="owner">
      <formula>NOT(ISERROR(SEARCH("owner",N48)))</formula>
    </cfRule>
  </conditionalFormatting>
  <conditionalFormatting sqref="N64">
    <cfRule type="cellIs" priority="100" operator="lessThan" dxfId="1">
      <formula>0.15</formula>
    </cfRule>
    <cfRule type="cellIs" priority="99" operator="greaterThan" dxfId="2">
      <formula>0.25</formula>
    </cfRule>
  </conditionalFormatting>
  <conditionalFormatting sqref="N97">
    <cfRule type="containsText" priority="101" operator="containsText" dxfId="2" text="owner">
      <formula>NOT(ISERROR(SEARCH("owner",N97)))</formula>
    </cfRule>
  </conditionalFormatting>
  <conditionalFormatting sqref="N113">
    <cfRule type="cellIs" priority="48" operator="greaterThan" dxfId="2">
      <formula>0.25</formula>
    </cfRule>
    <cfRule type="cellIs" priority="49" operator="lessThan" dxfId="1">
      <formula>0.15</formula>
    </cfRule>
  </conditionalFormatting>
  <conditionalFormatting sqref="N146">
    <cfRule type="containsText" priority="50" operator="containsText" dxfId="2" text="owner">
      <formula>NOT(ISERROR(SEARCH("owner",N146)))</formula>
    </cfRule>
  </conditionalFormatting>
  <conditionalFormatting sqref="N162">
    <cfRule type="cellIs" priority="94" operator="lessThan" dxfId="1">
      <formula>0.15</formula>
    </cfRule>
    <cfRule type="cellIs" priority="93" operator="greaterThan" dxfId="2">
      <formula>0.25</formula>
    </cfRule>
  </conditionalFormatting>
  <conditionalFormatting sqref="N195">
    <cfRule type="containsText" priority="95" operator="containsText" dxfId="2" text="owner">
      <formula>NOT(ISERROR(SEARCH("owner",N195)))</formula>
    </cfRule>
  </conditionalFormatting>
  <conditionalFormatting sqref="N211">
    <cfRule type="cellIs" priority="84" operator="greaterThan" dxfId="2">
      <formula>0.25</formula>
    </cfRule>
    <cfRule type="cellIs" priority="85" operator="lessThan" dxfId="1">
      <formula>0.15</formula>
    </cfRule>
  </conditionalFormatting>
  <conditionalFormatting sqref="N244">
    <cfRule type="containsText" priority="86" operator="containsText" dxfId="2" text="owner">
      <formula>NOT(ISERROR(SEARCH("owner",N244)))</formula>
    </cfRule>
  </conditionalFormatting>
  <conditionalFormatting sqref="N260">
    <cfRule type="cellIs" priority="5" operator="lessThan" dxfId="1">
      <formula>0.15</formula>
    </cfRule>
    <cfRule type="cellIs" priority="4" operator="greaterThan" dxfId="2">
      <formula>0.25</formula>
    </cfRule>
  </conditionalFormatting>
  <conditionalFormatting sqref="N293">
    <cfRule type="containsText" priority="6" operator="containsText" dxfId="2" text="owner">
      <formula>NOT(ISERROR(SEARCH("owner",N293)))</formula>
    </cfRule>
  </conditionalFormatting>
  <conditionalFormatting sqref="N309">
    <cfRule type="cellIs" priority="25" operator="lessThan" dxfId="1">
      <formula>0.15</formula>
    </cfRule>
    <cfRule type="cellIs" priority="24" operator="greaterThan" dxfId="2">
      <formula>0.25</formula>
    </cfRule>
  </conditionalFormatting>
  <conditionalFormatting sqref="N342">
    <cfRule type="containsText" priority="26" operator="containsText" dxfId="2" text="owner">
      <formula>NOT(ISERROR(SEARCH("owner",N342)))</formula>
    </cfRule>
  </conditionalFormatting>
  <conditionalFormatting sqref="N358">
    <cfRule type="cellIs" priority="76" operator="lessThan" dxfId="1">
      <formula>0.15</formula>
    </cfRule>
    <cfRule type="cellIs" priority="75" operator="greaterThan" dxfId="2">
      <formula>0.25</formula>
    </cfRule>
  </conditionalFormatting>
  <conditionalFormatting sqref="N391">
    <cfRule type="containsText" priority="77" operator="containsText" dxfId="2" text="owner">
      <formula>NOT(ISERROR(SEARCH("owner",N391)))</formula>
    </cfRule>
  </conditionalFormatting>
  <conditionalFormatting sqref="N407">
    <cfRule type="cellIs" priority="36" operator="greaterThan" dxfId="2">
      <formula>0.25</formula>
    </cfRule>
    <cfRule type="cellIs" priority="37" operator="lessThan" dxfId="1">
      <formula>0.15</formula>
    </cfRule>
  </conditionalFormatting>
  <conditionalFormatting sqref="N440">
    <cfRule type="containsText" priority="38" operator="containsText" dxfId="2" text="owner">
      <formula>NOT(ISERROR(SEARCH("owner",N440)))</formula>
    </cfRule>
  </conditionalFormatting>
  <conditionalFormatting sqref="N456">
    <cfRule type="cellIs" priority="70" operator="lessThan" dxfId="1">
      <formula>0.15</formula>
    </cfRule>
    <cfRule type="cellIs" priority="69" operator="greaterThan" dxfId="2">
      <formula>0.25</formula>
    </cfRule>
  </conditionalFormatting>
  <conditionalFormatting sqref="N489">
    <cfRule type="containsText" priority="71" operator="containsText" dxfId="2" text="owner">
      <formula>NOT(ISERROR(SEARCH("owner",N489)))</formula>
    </cfRule>
  </conditionalFormatting>
  <conditionalFormatting sqref="N505">
    <cfRule type="cellIs" priority="31" operator="lessThan" dxfId="1">
      <formula>0.15</formula>
    </cfRule>
    <cfRule type="cellIs" priority="30" operator="greaterThan" dxfId="2">
      <formula>0.25</formula>
    </cfRule>
  </conditionalFormatting>
  <conditionalFormatting sqref="N538">
    <cfRule type="containsText" priority="32" operator="containsText" dxfId="2" text="owner">
      <formula>NOT(ISERROR(SEARCH("owner",N538)))</formula>
    </cfRule>
  </conditionalFormatting>
  <conditionalFormatting sqref="N555">
    <cfRule type="cellIs" priority="64" operator="lessThan" dxfId="1">
      <formula>0.15</formula>
    </cfRule>
    <cfRule type="cellIs" priority="63" operator="greaterThan" dxfId="2">
      <formula>0.25</formula>
    </cfRule>
  </conditionalFormatting>
  <conditionalFormatting sqref="N588">
    <cfRule type="containsText" priority="65" operator="containsText" dxfId="2" text="owner">
      <formula>NOT(ISERROR(SEARCH("owner",N588)))</formula>
    </cfRule>
  </conditionalFormatting>
  <conditionalFormatting sqref="N605">
    <cfRule type="cellIs" priority="54" operator="greaterThan" dxfId="2">
      <formula>0.25</formula>
    </cfRule>
    <cfRule type="cellIs" priority="55" operator="lessThan" dxfId="1">
      <formula>0.15</formula>
    </cfRule>
  </conditionalFormatting>
  <conditionalFormatting sqref="N638">
    <cfRule type="containsText" priority="56" operator="containsText" dxfId="2" text="owner">
      <formula>NOT(ISERROR(SEARCH("owner",N638)))</formula>
    </cfRule>
  </conditionalFormatting>
  <conditionalFormatting sqref="U113">
    <cfRule type="cellIs" priority="45" operator="greaterThan" dxfId="2">
      <formula>0.25</formula>
    </cfRule>
    <cfRule type="cellIs" priority="46" operator="lessThan" dxfId="1">
      <formula>0.15</formula>
    </cfRule>
  </conditionalFormatting>
  <conditionalFormatting sqref="U146">
    <cfRule type="containsText" priority="47" operator="containsText" dxfId="2" text="owner">
      <formula>NOT(ISERROR(SEARCH("owner",U146)))</formula>
    </cfRule>
  </conditionalFormatting>
  <conditionalFormatting sqref="U162">
    <cfRule type="cellIs" priority="90" operator="greaterThan" dxfId="2">
      <formula>0.25</formula>
    </cfRule>
    <cfRule type="cellIs" priority="91" operator="lessThan" dxfId="1">
      <formula>0.15</formula>
    </cfRule>
  </conditionalFormatting>
  <conditionalFormatting sqref="U195">
    <cfRule type="containsText" priority="92" operator="containsText" dxfId="2" text="owner">
      <formula>NOT(ISERROR(SEARCH("owner",U195)))</formula>
    </cfRule>
  </conditionalFormatting>
  <conditionalFormatting sqref="U211">
    <cfRule type="cellIs" priority="81" operator="greaterThan" dxfId="2">
      <formula>0.25</formula>
    </cfRule>
    <cfRule type="cellIs" priority="82" operator="lessThan" dxfId="1">
      <formula>0.15</formula>
    </cfRule>
  </conditionalFormatting>
  <conditionalFormatting sqref="U244">
    <cfRule type="containsText" priority="83" operator="containsText" dxfId="2" text="owner">
      <formula>NOT(ISERROR(SEARCH("owner",U244)))</formula>
    </cfRule>
  </conditionalFormatting>
  <conditionalFormatting sqref="U260">
    <cfRule type="cellIs" priority="1" operator="greaterThan" dxfId="2">
      <formula>0.25</formula>
    </cfRule>
    <cfRule type="cellIs" priority="2" operator="lessThan" dxfId="1">
      <formula>0.15</formula>
    </cfRule>
  </conditionalFormatting>
  <conditionalFormatting sqref="U293">
    <cfRule type="containsText" priority="3" operator="containsText" dxfId="2" text="owner">
      <formula>NOT(ISERROR(SEARCH("owner",U293)))</formula>
    </cfRule>
  </conditionalFormatting>
  <conditionalFormatting sqref="U309">
    <cfRule type="cellIs" priority="16" operator="greaterThan" dxfId="2">
      <formula>0.25</formula>
    </cfRule>
    <cfRule type="cellIs" priority="17" operator="lessThan" dxfId="1">
      <formula>0.15</formula>
    </cfRule>
  </conditionalFormatting>
  <conditionalFormatting sqref="U555">
    <cfRule type="cellIs" priority="60" operator="greaterThan" dxfId="2">
      <formula>0.25</formula>
    </cfRule>
    <cfRule type="cellIs" priority="61" operator="lessThan" dxfId="1">
      <formula>0.15</formula>
    </cfRule>
  </conditionalFormatting>
  <conditionalFormatting sqref="U588">
    <cfRule type="containsText" priority="62" operator="containsText" dxfId="2" text="owner">
      <formula>NOT(ISERROR(SEARCH("owner",U588)))</formula>
    </cfRule>
  </conditionalFormatting>
  <conditionalFormatting sqref="U342:V342">
    <cfRule type="containsText" priority="21" operator="containsText" dxfId="2" text="owner">
      <formula>NOT(ISERROR(SEARCH("owner",U342)))</formula>
    </cfRule>
  </conditionalFormatting>
  <conditionalFormatting sqref="AB309">
    <cfRule type="cellIs" priority="18" operator="greaterThan" dxfId="2">
      <formula>0.25</formula>
    </cfRule>
    <cfRule type="cellIs" priority="19" operator="lessThan" dxfId="1">
      <formula>0.15</formula>
    </cfRule>
  </conditionalFormatting>
  <conditionalFormatting sqref="AB342">
    <cfRule type="containsText" priority="20" operator="containsText" dxfId="2" text="owner">
      <formula>NOT(ISERROR(SEARCH("owner",AB342)))</formula>
    </cfRule>
  </conditionalFormatting>
  <conditionalFormatting sqref="AB555">
    <cfRule type="cellIs" priority="43" operator="lessThan" dxfId="1">
      <formula>0.15</formula>
    </cfRule>
    <cfRule type="cellIs" priority="42" operator="greaterThan" dxfId="2">
      <formula>0.25</formula>
    </cfRule>
  </conditionalFormatting>
  <conditionalFormatting sqref="AB588">
    <cfRule type="containsText" priority="44" operator="containsText" dxfId="2" text="owner">
      <formula>NOT(ISERROR(SEARCH("owner",AB588)))</formula>
    </cfRule>
  </conditionalFormatting>
  <conditionalFormatting sqref="AI309">
    <cfRule type="cellIs" priority="14" operator="lessThan" dxfId="1">
      <formula>0.15</formula>
    </cfRule>
    <cfRule type="cellIs" priority="13" operator="greaterThan" dxfId="2">
      <formula>0.25</formula>
    </cfRule>
  </conditionalFormatting>
  <conditionalFormatting sqref="AI342">
    <cfRule type="containsText" priority="15" operator="containsText" dxfId="2" text="owner">
      <formula>NOT(ISERROR(SEARCH("owner",AI342)))</formula>
    </cfRule>
  </conditionalFormatting>
  <conditionalFormatting sqref="AP309">
    <cfRule type="cellIs" priority="11" operator="lessThan" dxfId="1">
      <formula>0.15</formula>
    </cfRule>
    <cfRule type="cellIs" priority="10" operator="greaterThan" dxfId="2">
      <formula>0.25</formula>
    </cfRule>
  </conditionalFormatting>
  <conditionalFormatting sqref="AP342">
    <cfRule type="containsText" priority="12" operator="containsText" dxfId="2" text="owner">
      <formula>NOT(ISERROR(SEARCH("owner",AP342)))</formula>
    </cfRule>
  </conditionalFormatting>
  <hyperlinks>
    <hyperlink xmlns:r="http://schemas.openxmlformats.org/officeDocument/2006/relationships" ref="B42" display="Kansas Remodel Tax" r:id="rId1"/>
    <hyperlink xmlns:r="http://schemas.openxmlformats.org/officeDocument/2006/relationships" ref="I42" display="Kansas Remodel Tax" r:id="rId2"/>
    <hyperlink xmlns:r="http://schemas.openxmlformats.org/officeDocument/2006/relationships" ref="B91" display="Kansas Remodel Tax" r:id="rId3"/>
    <hyperlink xmlns:r="http://schemas.openxmlformats.org/officeDocument/2006/relationships" ref="I91" display="Kansas Remodel Tax" r:id="rId4"/>
    <hyperlink xmlns:r="http://schemas.openxmlformats.org/officeDocument/2006/relationships" ref="B140" display="Kansas Remodel Tax" r:id="rId5"/>
    <hyperlink xmlns:r="http://schemas.openxmlformats.org/officeDocument/2006/relationships" ref="I140" display="Kansas Remodel Tax" r:id="rId6"/>
    <hyperlink xmlns:r="http://schemas.openxmlformats.org/officeDocument/2006/relationships" ref="P140" display="Kansas Remodel Tax" r:id="rId7"/>
    <hyperlink xmlns:r="http://schemas.openxmlformats.org/officeDocument/2006/relationships" ref="B189" display="Kansas Remodel Tax" r:id="rId8"/>
    <hyperlink xmlns:r="http://schemas.openxmlformats.org/officeDocument/2006/relationships" ref="I189" display="Kansas Remodel Tax" r:id="rId9"/>
    <hyperlink xmlns:r="http://schemas.openxmlformats.org/officeDocument/2006/relationships" ref="P189" display="Kansas Remodel Tax" r:id="rId10"/>
    <hyperlink xmlns:r="http://schemas.openxmlformats.org/officeDocument/2006/relationships" ref="B238" display="Kansas Remodel Tax" r:id="rId11"/>
    <hyperlink xmlns:r="http://schemas.openxmlformats.org/officeDocument/2006/relationships" ref="I238" display="Kansas Remodel Tax" r:id="rId12"/>
    <hyperlink xmlns:r="http://schemas.openxmlformats.org/officeDocument/2006/relationships" ref="P238" display="Kansas Remodel Tax" r:id="rId13"/>
    <hyperlink xmlns:r="http://schemas.openxmlformats.org/officeDocument/2006/relationships" ref="B287" display="Kansas Remodel Tax" r:id="rId14"/>
    <hyperlink xmlns:r="http://schemas.openxmlformats.org/officeDocument/2006/relationships" ref="I287" display="Kansas Remodel Tax" r:id="rId15"/>
    <hyperlink xmlns:r="http://schemas.openxmlformats.org/officeDocument/2006/relationships" ref="P287" display="Kansas Remodel Tax" r:id="rId16"/>
    <hyperlink xmlns:r="http://schemas.openxmlformats.org/officeDocument/2006/relationships" ref="B336" display="Kansas Remodel Tax" r:id="rId17"/>
    <hyperlink xmlns:r="http://schemas.openxmlformats.org/officeDocument/2006/relationships" ref="I336" display="Kansas Remodel Tax" r:id="rId18"/>
    <hyperlink xmlns:r="http://schemas.openxmlformats.org/officeDocument/2006/relationships" ref="P336" display="Kansas Remodel Tax" r:id="rId19"/>
    <hyperlink xmlns:r="http://schemas.openxmlformats.org/officeDocument/2006/relationships" ref="W336" display="Kansas Remodel Tax" r:id="rId20"/>
    <hyperlink xmlns:r="http://schemas.openxmlformats.org/officeDocument/2006/relationships" ref="AD336" display="Kansas Remodel Tax" r:id="rId21"/>
    <hyperlink xmlns:r="http://schemas.openxmlformats.org/officeDocument/2006/relationships" ref="AK336" display="Kansas Remodel Tax" r:id="rId22"/>
    <hyperlink xmlns:r="http://schemas.openxmlformats.org/officeDocument/2006/relationships" ref="B385" display="Kansas Remodel Tax" r:id="rId23"/>
    <hyperlink xmlns:r="http://schemas.openxmlformats.org/officeDocument/2006/relationships" ref="I385" display="Kansas Remodel Tax" r:id="rId24"/>
    <hyperlink xmlns:r="http://schemas.openxmlformats.org/officeDocument/2006/relationships" ref="B434" display="Kansas Remodel Tax" r:id="rId25"/>
    <hyperlink xmlns:r="http://schemas.openxmlformats.org/officeDocument/2006/relationships" ref="I434" display="Kansas Remodel Tax" r:id="rId26"/>
    <hyperlink xmlns:r="http://schemas.openxmlformats.org/officeDocument/2006/relationships" ref="B483" display="Kansas Remodel Tax" r:id="rId27"/>
    <hyperlink xmlns:r="http://schemas.openxmlformats.org/officeDocument/2006/relationships" ref="I483" display="Kansas Remodel Tax" r:id="rId28"/>
    <hyperlink xmlns:r="http://schemas.openxmlformats.org/officeDocument/2006/relationships" ref="B532" display="Kansas Remodel Tax" r:id="rId29"/>
    <hyperlink xmlns:r="http://schemas.openxmlformats.org/officeDocument/2006/relationships" ref="I532" display="Kansas Remodel Tax" r:id="rId30"/>
    <hyperlink xmlns:r="http://schemas.openxmlformats.org/officeDocument/2006/relationships" ref="B582" display="Kansas Remodel Tax" r:id="rId31"/>
    <hyperlink xmlns:r="http://schemas.openxmlformats.org/officeDocument/2006/relationships" ref="I582" display="Kansas Remodel Tax" r:id="rId32"/>
    <hyperlink xmlns:r="http://schemas.openxmlformats.org/officeDocument/2006/relationships" ref="P582" display="Kansas Remodel Tax" r:id="rId33"/>
    <hyperlink xmlns:r="http://schemas.openxmlformats.org/officeDocument/2006/relationships" ref="W582" display="Kansas Remodel Tax" r:id="rId34"/>
    <hyperlink xmlns:r="http://schemas.openxmlformats.org/officeDocument/2006/relationships" ref="B632" display="Kansas Remodel Tax" r:id="rId35"/>
    <hyperlink xmlns:r="http://schemas.openxmlformats.org/officeDocument/2006/relationships" ref="I632" display="Kansas Remodel Tax" r:id="rId36"/>
  </hyperlinks>
  <pageMargins left="0.75" right="0.75" top="1" bottom="1" header="0.5" footer="0.5"/>
  <pageSetup orientation="portrait" horizontalDpi="4294967292" verticalDpi="4294967292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L581"/>
  <sheetViews>
    <sheetView zoomScaleNormal="100" workbookViewId="0">
      <selection activeCell="B1" sqref="B1"/>
    </sheetView>
  </sheetViews>
  <sheetFormatPr baseColWidth="8" defaultColWidth="11.19921875" defaultRowHeight="15.6"/>
  <cols>
    <col width="19.796875" customWidth="1" min="1" max="1"/>
    <col width="13.796875" customWidth="1" min="2" max="2"/>
    <col width="13.296875" customWidth="1" min="3" max="3"/>
    <col width="14.296875" customWidth="1" min="4" max="4"/>
    <col width="16.796875" customWidth="1" min="5" max="5"/>
    <col width="17.796875" customWidth="1" min="6" max="6"/>
    <col width="18.19921875" customWidth="1" min="7" max="7"/>
    <col width="19.5" customWidth="1" min="8" max="9"/>
    <col width="14.19921875" bestFit="1" customWidth="1" min="10" max="10"/>
    <col width="19.296875" customWidth="1" min="11" max="11"/>
    <col width="14.796875" customWidth="1" min="12" max="12"/>
    <col width="13" customWidth="1" min="13" max="13"/>
    <col width="13.796875" customWidth="1" min="14" max="14"/>
    <col width="12.69921875" bestFit="1" customWidth="1" min="15" max="15"/>
    <col width="13.796875" customWidth="1" min="16" max="20"/>
    <col width="19" bestFit="1" customWidth="1" min="21" max="21"/>
    <col width="2.69921875" customWidth="1" min="22" max="22"/>
    <col width="13.69921875" bestFit="1" customWidth="1" min="23" max="23"/>
    <col width="22.5" bestFit="1" customWidth="1" min="24" max="24"/>
    <col width="3.296875" customWidth="1" min="25" max="25"/>
    <col width="15.69921875" bestFit="1" customWidth="1" min="26" max="26"/>
    <col width="22.5" bestFit="1" customWidth="1" min="27" max="27"/>
    <col width="11.5" bestFit="1" customWidth="1" min="28" max="28"/>
    <col width="21.69921875" bestFit="1" customWidth="1" min="36" max="36"/>
    <col width="19" bestFit="1" customWidth="1" min="39" max="39"/>
    <col width="22.5" bestFit="1" customWidth="1" min="42" max="42"/>
    <col width="22.5" bestFit="1" customWidth="1" min="45" max="45"/>
    <col width="11.69921875" bestFit="1" customWidth="1" min="48" max="48"/>
    <col width="2.296875" customWidth="1" min="49" max="49"/>
    <col width="2.796875" customWidth="1" min="50" max="50"/>
    <col width="11.69921875" bestFit="1" customWidth="1" min="51" max="51"/>
    <col width="3" customWidth="1" min="52" max="52"/>
    <col width="3.296875" customWidth="1" min="53" max="53"/>
    <col width="11.69921875" bestFit="1" customWidth="1" min="54" max="54"/>
    <col width="2.19921875" customWidth="1" min="55" max="56"/>
    <col width="9" bestFit="1" customWidth="1" min="57" max="57"/>
    <col width="14.796875" bestFit="1" customWidth="1" min="58" max="58"/>
    <col width="9" bestFit="1" customWidth="1" min="59" max="59"/>
    <col width="2.796875" customWidth="1" min="60" max="60"/>
    <col width="12.5" bestFit="1" customWidth="1" min="61" max="61"/>
    <col width="7.69921875" bestFit="1" customWidth="1" min="62" max="62"/>
    <col width="3.296875" customWidth="1" min="63" max="63"/>
    <col width="13.69921875" bestFit="1" customWidth="1" min="64" max="64"/>
    <col width="9" bestFit="1" customWidth="1" min="65" max="65"/>
    <col width="3.296875" customWidth="1" min="66" max="66"/>
    <col width="15.69921875" bestFit="1" customWidth="1" min="67" max="67"/>
    <col width="21.69921875" bestFit="1" customWidth="1" min="78" max="78"/>
    <col width="19" bestFit="1" customWidth="1" min="81" max="81"/>
    <col width="22.5" bestFit="1" customWidth="1" min="84" max="84"/>
    <col width="22.5" bestFit="1" customWidth="1" min="87" max="87"/>
    <col width="11.69921875" bestFit="1" customWidth="1" min="90" max="90"/>
    <col width="2.296875" customWidth="1" min="91" max="91"/>
    <col width="2.796875" customWidth="1" min="92" max="92"/>
    <col width="11.69921875" bestFit="1" customWidth="1" min="93" max="93"/>
    <col width="3" customWidth="1" min="94" max="94"/>
    <col width="3.296875" customWidth="1" min="95" max="95"/>
    <col width="11.69921875" bestFit="1" customWidth="1" min="96" max="96"/>
    <col width="2.19921875" customWidth="1" min="97" max="98"/>
    <col width="9" bestFit="1" customWidth="1" min="99" max="99"/>
    <col width="14.796875" bestFit="1" customWidth="1" min="100" max="100"/>
    <col width="9" bestFit="1" customWidth="1" min="101" max="101"/>
    <col width="2.796875" customWidth="1" min="102" max="102"/>
    <col width="12.5" bestFit="1" customWidth="1" min="103" max="103"/>
    <col width="7.69921875" bestFit="1" customWidth="1" min="104" max="104"/>
    <col width="3.296875" customWidth="1" min="105" max="105"/>
    <col width="13.69921875" bestFit="1" customWidth="1" min="106" max="106"/>
    <col width="9" bestFit="1" customWidth="1" min="107" max="107"/>
    <col width="3.296875" customWidth="1" min="108" max="108"/>
    <col width="15.69921875" bestFit="1" customWidth="1" min="109" max="109"/>
  </cols>
  <sheetData>
    <row r="1">
      <c r="A1" s="51" t="inlineStr">
        <is>
          <t>Project</t>
        </is>
      </c>
      <c r="G1" s="514" t="inlineStr">
        <is>
          <t>Bidding Contacts:</t>
        </is>
      </c>
    </row>
    <row r="2">
      <c r="A2" s="51" t="inlineStr">
        <is>
          <t>Bid Date</t>
        </is>
      </c>
      <c r="B2" s="250" t="n"/>
      <c r="C2" s="250" t="n"/>
      <c r="D2" s="250" t="n"/>
      <c r="G2" s="483" t="n"/>
    </row>
    <row r="3">
      <c r="A3" s="51" t="inlineStr">
        <is>
          <t>Address</t>
        </is>
      </c>
      <c r="G3" s="483" t="n"/>
    </row>
    <row r="4">
      <c r="A4" s="1638" t="inlineStr">
        <is>
          <t>Local?</t>
        </is>
      </c>
      <c r="B4" t="inlineStr">
        <is>
          <t>Yes</t>
        </is>
      </c>
      <c r="C4" s="220" t="inlineStr">
        <is>
          <t>&lt; 70 miles?</t>
        </is>
      </c>
      <c r="D4" s="4" t="n"/>
      <c r="E4" s="205" t="n"/>
      <c r="F4" s="72" t="n"/>
      <c r="G4" s="483" t="n"/>
      <c r="H4" s="53" t="n"/>
      <c r="I4" s="1916" t="n"/>
      <c r="J4" s="1916" t="n"/>
      <c r="K4" s="1916" t="n"/>
      <c r="L4" s="1916" t="n"/>
      <c r="M4" s="1916" t="n"/>
      <c r="AJ4" s="2472" t="n">
        <v>1000</v>
      </c>
      <c r="AK4" s="2472" t="n"/>
      <c r="AL4" s="2472" t="n"/>
      <c r="AM4" s="2472">
        <f>AJ4</f>
        <v/>
      </c>
      <c r="AN4" s="2472" t="n"/>
      <c r="AO4" s="2472" t="n"/>
      <c r="AP4" s="2472">
        <f>AJ4+AM4</f>
        <v/>
      </c>
      <c r="AQ4" s="2472" t="n"/>
      <c r="AR4" s="2472" t="n"/>
      <c r="AS4" s="2472">
        <f>AP4</f>
        <v/>
      </c>
      <c r="AT4" s="192">
        <f>IF(AJ4&lt;=#REF!,#REF!,IF(AJ4&lt;=#REF!,#REF!,IF(AJ4&lt;=#REF!,#REF!,IF(AJ4&lt;=#REF!,#REF!,IF(AJ4&lt;=#REF!,#REF!,IF(AJ4&lt;=#REF!,#REF!,IF(AJ4&lt;=#REF!,#REF!,0.05)))))))</f>
        <v/>
      </c>
      <c r="AU4" s="2472">
        <f>AT4*AJ4</f>
        <v/>
      </c>
      <c r="AV4" s="192" t="n"/>
      <c r="AW4" s="192">
        <f>IF(AM4&lt;=#REF!,#REF!,IF(AM4&lt;=#REF!,#REF!,IF(AM4&lt;=#REF!,#REF!,IF(AM4&lt;=#REF!,#REF!,IF(AM4&lt;=#REF!,#REF!,IF(AM4&lt;=#REF!,#REF!,IF(AM4&lt;=#REF!,#REF!,0.05)))))))</f>
        <v/>
      </c>
      <c r="AX4" s="2472">
        <f>AW4*AM4</f>
        <v/>
      </c>
      <c r="AY4" s="192" t="n"/>
      <c r="AZ4" s="192">
        <f>IF(AP4&lt;=#REF!,#REF!,IF(AP4&lt;=#REF!,#REF!,IF(AP4&lt;=#REF!,#REF!,IF(AP4&lt;=#REF!,#REF!,IF(AP4&lt;=#REF!,#REF!,IF(AP4&lt;=#REF!,#REF!,IF(AP4&lt;=#REF!,#REF!,0.05)))))))</f>
        <v/>
      </c>
      <c r="BA4" s="2472">
        <f>AZ4*SUM(AX4,AU4,AP4)</f>
        <v/>
      </c>
      <c r="BB4" s="192" t="n"/>
      <c r="BC4" s="2473">
        <f>IF(AS4&lt;=#REF!,#REF!,IF(AS4&lt;=#REF!,#REF!,IF(AS4&lt;=#REF!,#REF!,IF(AS4&lt;=#REF!,#REF!,IF(AS4&lt;=#REF!,#REF!,IF(AS4&lt;=#REF!,#REF!,IF(AS4&lt;=#REF!,#REF!,0.05)))))))</f>
        <v/>
      </c>
      <c r="BD4" s="2472">
        <f>BC4*AS4</f>
        <v/>
      </c>
      <c r="BF4" s="2474">
        <f>0.07*SUM(AP4,AU4,AX4,BA4,BD4)</f>
        <v/>
      </c>
      <c r="BH4" s="2474">
        <f>SUM(BF4,BD4,BA4,AX4,AU4,AP4)</f>
        <v/>
      </c>
      <c r="BI4" s="2475">
        <f>SUM(BD4,BA4,AX4,AU4)</f>
        <v/>
      </c>
      <c r="BJ4" s="192">
        <f>BI4/BH4</f>
        <v/>
      </c>
      <c r="BM4" s="192" t="n">
        <v>0.1</v>
      </c>
      <c r="BN4" s="2472" t="n">
        <v>5000</v>
      </c>
      <c r="BP4" s="192" t="n">
        <v>0.35</v>
      </c>
      <c r="BQ4" s="2472" t="n">
        <v>2000</v>
      </c>
      <c r="BR4" s="2472" t="n"/>
      <c r="BS4" s="192" t="n">
        <v>0.28</v>
      </c>
      <c r="BT4" s="2472" t="n">
        <v>9000</v>
      </c>
      <c r="BV4" s="2473" t="n">
        <v>0</v>
      </c>
      <c r="BW4" s="2472" t="n">
        <v>9000</v>
      </c>
      <c r="BZ4" s="2472" t="n">
        <v>1000</v>
      </c>
      <c r="CA4" s="2472" t="n"/>
      <c r="CB4" s="2472" t="n"/>
      <c r="CC4" s="2472">
        <f>BZ4</f>
        <v/>
      </c>
      <c r="CD4" s="2472" t="n"/>
      <c r="CE4" s="2472" t="n"/>
      <c r="CF4" s="2472">
        <f>BZ4+CC4</f>
        <v/>
      </c>
      <c r="CG4" s="2472" t="n"/>
      <c r="CH4" s="2472" t="n"/>
      <c r="CI4" s="2472">
        <f>CF4</f>
        <v/>
      </c>
      <c r="CJ4" s="192">
        <f>IF(BZ4&lt;=BN$4,BM$4,IF(BZ4&lt;=BN$5,BM$5,IF(BZ4&lt;=BN$6,BM$6,IF(BZ4&lt;=BN$7,BM$7,IF(BZ4&lt;=BN$12,BM$12,IF(BZ4&lt;=BN$13,BM$13,IF(BZ4&lt;=BN$14,BM$14,0.05)))))))</f>
        <v/>
      </c>
      <c r="CK4" s="2472">
        <f>CJ4*BZ4</f>
        <v/>
      </c>
      <c r="CL4" s="192" t="n"/>
      <c r="CM4" s="192">
        <f>IF(CC4&lt;=BQ$4,BP$4,IF(CC4&lt;=BQ$5,BP$5,IF(CC4&lt;=BQ$6,BP$6,IF(CC4&lt;=BQ$7,BP$7,IF(CC4&lt;=BQ$12,BP$12,IF(CC4&lt;=BQ$13,BP$13,IF(CC4&lt;=BQ$14,BP$14,0.05)))))))</f>
        <v/>
      </c>
      <c r="CN4" s="2472">
        <f>CM4*CC4</f>
        <v/>
      </c>
      <c r="CO4" s="192" t="n"/>
      <c r="CP4" s="192">
        <f>IF(CF4&lt;=BT$4,BS$4,IF(CF4&lt;=BT$5,BS$5,IF(CF4&lt;=BT$6,BS$6,IF(CF4&lt;=BT$7,BS$7,IF(CF4&lt;=BT$12,BS$12,IF(CF4&lt;=BT$13,BS$13,IF(CF4&lt;=BT$14,BS$14,0.05)))))))</f>
        <v/>
      </c>
      <c r="CQ4" s="2472">
        <f>CP4*SUM(CN4,CK4,CF4)</f>
        <v/>
      </c>
      <c r="CR4" s="192" t="n"/>
      <c r="CS4" s="2473">
        <f>IF(CI4&lt;=BW$4,BV$4,IF(CI4&lt;=BW$5,BV$5,IF(CI4&lt;=BW$6,BV$6,IF(CI4&lt;=BW$7,BV$7,IF(CI4&lt;=BW$12,BV$12,IF(CI4&lt;=BW$13,BV$13,IF(CI4&lt;=BW$14,BV$14,0.05)))))))</f>
        <v/>
      </c>
      <c r="CT4" s="2472">
        <f>CS4*CI4</f>
        <v/>
      </c>
      <c r="CV4" s="2474">
        <f>0.07*SUM(CF4,CK4,CN4,CQ4,CT4)</f>
        <v/>
      </c>
      <c r="CX4" s="2474">
        <f>SUM(CV4,CT4,CQ4,CN4,CK4,CF4)</f>
        <v/>
      </c>
      <c r="CY4" s="2475">
        <f>SUM(CT4,CQ4,CN4,CK4)</f>
        <v/>
      </c>
      <c r="CZ4" s="192">
        <f>CY4/CX4</f>
        <v/>
      </c>
    </row>
    <row r="5">
      <c r="A5" s="2" t="inlineStr">
        <is>
          <t>Hard Bid?</t>
        </is>
      </c>
      <c r="B5" t="inlineStr">
        <is>
          <t>No</t>
        </is>
      </c>
      <c r="C5" s="1010" t="inlineStr">
        <is>
          <t>PrevailingWage?</t>
        </is>
      </c>
      <c r="D5" s="591">
        <f>Epoxy!D5</f>
        <v/>
      </c>
      <c r="E5" s="1727">
        <f>Epoxy!E5</f>
        <v/>
      </c>
      <c r="F5" s="72" t="n"/>
      <c r="G5" s="483" t="n"/>
      <c r="H5" s="53" t="n"/>
      <c r="I5" s="1916" t="n"/>
      <c r="J5" s="1916" t="n"/>
      <c r="K5" s="1916" t="n"/>
      <c r="L5" s="1916" t="n"/>
      <c r="M5" s="1916" t="n"/>
      <c r="AJ5" s="2472" t="n">
        <v>2000</v>
      </c>
      <c r="AK5" s="2472" t="n"/>
      <c r="AL5" s="2472" t="n"/>
      <c r="AM5" s="2472">
        <f>AJ5</f>
        <v/>
      </c>
      <c r="AN5" s="2472" t="n"/>
      <c r="AO5" s="2472" t="n"/>
      <c r="AP5" s="2472">
        <f>AJ5+AM5</f>
        <v/>
      </c>
      <c r="AQ5" s="2472" t="n"/>
      <c r="AR5" s="2472" t="n"/>
      <c r="AS5" s="2472">
        <f>AP5</f>
        <v/>
      </c>
      <c r="AT5" s="192">
        <f>IF(AJ5&lt;=#REF!,#REF!,IF(AJ5&lt;=#REF!,#REF!,IF(AJ5&lt;=#REF!,#REF!,IF(AJ5&lt;=#REF!,#REF!,IF(AJ5&lt;=#REF!,#REF!,IF(AJ5&lt;=#REF!,#REF!,IF(AJ5&lt;=#REF!,#REF!,0.05)))))))</f>
        <v/>
      </c>
      <c r="AU5" s="2472">
        <f>AT5*AJ5</f>
        <v/>
      </c>
      <c r="AV5" s="192" t="n"/>
      <c r="AW5" s="192">
        <f>IF(AM5&lt;=#REF!,#REF!,IF(AM5&lt;=#REF!,#REF!,IF(AM5&lt;=#REF!,#REF!,IF(AM5&lt;=#REF!,#REF!,IF(AM5&lt;=#REF!,#REF!,IF(AM5&lt;=#REF!,#REF!,IF(AM5&lt;=#REF!,#REF!,0.05)))))))</f>
        <v/>
      </c>
      <c r="AX5" s="2472">
        <f>AW5*AM5</f>
        <v/>
      </c>
      <c r="AY5" s="192" t="n"/>
      <c r="AZ5" s="192">
        <f>IF(AP5&lt;=#REF!,#REF!,IF(AP5&lt;=#REF!,#REF!,IF(AP5&lt;=#REF!,#REF!,IF(AP5&lt;=#REF!,#REF!,IF(AP5&lt;=#REF!,#REF!,IF(AP5&lt;=#REF!,#REF!,IF(AP5&lt;=#REF!,#REF!,0.05)))))))</f>
        <v/>
      </c>
      <c r="BA5" s="2472">
        <f>AZ5*SUM(AX5,AU5,AP5)</f>
        <v/>
      </c>
      <c r="BB5" s="192" t="n"/>
      <c r="BC5" s="2473">
        <f>IF(AS5&lt;=#REF!,#REF!,IF(AS5&lt;=#REF!,#REF!,IF(AS5&lt;=#REF!,#REF!,IF(AS5&lt;=#REF!,#REF!,IF(AS5&lt;=#REF!,#REF!,IF(AS5&lt;=#REF!,#REF!,IF(AS5&lt;=#REF!,#REF!,0.05)))))))</f>
        <v/>
      </c>
      <c r="BD5" s="2472">
        <f>BC5*AS5</f>
        <v/>
      </c>
      <c r="BF5" s="2474">
        <f>0.07*SUM(AP5,AU5,AX5,BA5,BD5)</f>
        <v/>
      </c>
      <c r="BH5" s="2474">
        <f>SUM(BF5,BD5,BA5,AX5,AU5,AP5)</f>
        <v/>
      </c>
      <c r="BI5" s="2475">
        <f>SUM(BD5,BA5,AX5,AU5)</f>
        <v/>
      </c>
      <c r="BJ5" s="192">
        <f>BI5/BH5</f>
        <v/>
      </c>
      <c r="BM5" s="192" t="n">
        <v>0.05</v>
      </c>
      <c r="BN5" s="2472" t="n">
        <v>1000000000</v>
      </c>
      <c r="BP5" s="192" t="n">
        <v>0.3</v>
      </c>
      <c r="BQ5" s="2472" t="n">
        <v>3000</v>
      </c>
      <c r="BR5" s="2472" t="n"/>
      <c r="BS5" s="192" t="n">
        <v>0.24</v>
      </c>
      <c r="BT5" s="2472" t="n">
        <v>14000</v>
      </c>
      <c r="BV5" s="2473" t="n">
        <v>-0.04</v>
      </c>
      <c r="BW5" s="2472" t="n">
        <v>14000</v>
      </c>
      <c r="BZ5" s="2472" t="n">
        <v>2000</v>
      </c>
      <c r="CA5" s="2472" t="n"/>
      <c r="CB5" s="2472" t="n"/>
      <c r="CC5" s="2472">
        <f>BZ5</f>
        <v/>
      </c>
      <c r="CD5" s="2472" t="n"/>
      <c r="CE5" s="2472" t="n"/>
      <c r="CF5" s="2472">
        <f>BZ5+CC5</f>
        <v/>
      </c>
      <c r="CG5" s="2472" t="n"/>
      <c r="CH5" s="2472" t="n"/>
      <c r="CI5" s="2472">
        <f>CF5</f>
        <v/>
      </c>
      <c r="CJ5" s="192">
        <f>IF(BZ5&lt;=BN$4,BM$4,IF(BZ5&lt;=BN$5,BM$5,IF(BZ5&lt;=BN$6,BM$6,IF(BZ5&lt;=BN$7,BM$7,IF(BZ5&lt;=BN$12,BM$12,IF(BZ5&lt;=BN$13,BM$13,IF(BZ5&lt;=BN$14,BM$14,0.05)))))))</f>
        <v/>
      </c>
      <c r="CK5" s="2472">
        <f>CJ5*BZ5</f>
        <v/>
      </c>
      <c r="CL5" s="192" t="n"/>
      <c r="CM5" s="192">
        <f>IF(CC5&lt;=BQ$4,BP$4,IF(CC5&lt;=BQ$5,BP$5,IF(CC5&lt;=BQ$6,BP$6,IF(CC5&lt;=BQ$7,BP$7,IF(CC5&lt;=BQ$12,BP$12,IF(CC5&lt;=BQ$13,BP$13,IF(CC5&lt;=BQ$14,BP$14,0.05)))))))</f>
        <v/>
      </c>
      <c r="CN5" s="2472">
        <f>CM5*CC5</f>
        <v/>
      </c>
      <c r="CO5" s="192" t="n"/>
      <c r="CP5" s="192">
        <f>IF(CF5&lt;=BT$4,BS$4,IF(CF5&lt;=BT$5,BS$5,IF(CF5&lt;=BT$6,BS$6,IF(CF5&lt;=BT$7,BS$7,IF(CF5&lt;=BT$12,BS$12,IF(CF5&lt;=BT$13,BS$13,IF(CF5&lt;=BT$14,BS$14,0.05)))))))</f>
        <v/>
      </c>
      <c r="CQ5" s="2472">
        <f>CP5*SUM(CN5,CK5,CF5)</f>
        <v/>
      </c>
      <c r="CR5" s="192" t="n"/>
      <c r="CS5" s="2473">
        <f>IF(CI5&lt;=BW$4,BV$4,IF(CI5&lt;=BW$5,BV$5,IF(CI5&lt;=BW$6,BV$6,IF(CI5&lt;=BW$7,BV$7,IF(CI5&lt;=BW$12,BV$12,IF(CI5&lt;=BW$13,BV$13,IF(CI5&lt;=BW$14,BV$14,0.05)))))))</f>
        <v/>
      </c>
      <c r="CT5" s="2472">
        <f>CS5*CI5</f>
        <v/>
      </c>
      <c r="CV5" s="2474">
        <f>0.07*SUM(CF5,CK5,CN5,CQ5,CT5)</f>
        <v/>
      </c>
      <c r="CX5" s="2474">
        <f>SUM(CV5,CT5,CQ5,CN5,CK5,CF5)</f>
        <v/>
      </c>
      <c r="CY5" s="2475">
        <f>SUM(CT5,CQ5,CN5,CK5)</f>
        <v/>
      </c>
      <c r="CZ5" s="192">
        <f>CY5/CX5</f>
        <v/>
      </c>
    </row>
    <row r="6">
      <c r="A6" s="2" t="inlineStr">
        <is>
          <t>Taxable?</t>
        </is>
      </c>
      <c r="B6" t="inlineStr">
        <is>
          <t>Yes</t>
        </is>
      </c>
      <c r="C6" s="1539" t="inlineStr">
        <is>
          <t>Remodel Tax?</t>
        </is>
      </c>
      <c r="D6" s="4">
        <f>Epoxy!D6</f>
        <v/>
      </c>
      <c r="E6" s="1727">
        <f>Epoxy!E6</f>
        <v/>
      </c>
      <c r="F6" s="72" t="n"/>
      <c r="G6" s="483" t="n"/>
      <c r="H6" s="593" t="n"/>
      <c r="I6" s="1916" t="n"/>
      <c r="J6" s="1916" t="n"/>
      <c r="K6" s="1916" t="n"/>
      <c r="L6" s="1916" t="n"/>
      <c r="M6" s="1916" t="n"/>
      <c r="AJ6" s="2472" t="n">
        <v>3000</v>
      </c>
      <c r="AK6" s="2472" t="n"/>
      <c r="AL6" s="2472" t="n"/>
      <c r="AM6" s="2472">
        <f>AJ6</f>
        <v/>
      </c>
      <c r="AN6" s="2472" t="n"/>
      <c r="AO6" s="2472" t="n"/>
      <c r="AP6" s="2472">
        <f>AJ6+AM6</f>
        <v/>
      </c>
      <c r="AQ6" s="2472" t="n"/>
      <c r="AR6" s="2472" t="n"/>
      <c r="AS6" s="2472">
        <f>AP6</f>
        <v/>
      </c>
      <c r="AT6" s="192">
        <f>IF(AJ6&lt;=#REF!,#REF!,IF(AJ6&lt;=#REF!,#REF!,IF(AJ6&lt;=#REF!,#REF!,IF(AJ6&lt;=#REF!,#REF!,IF(AJ6&lt;=#REF!,#REF!,IF(AJ6&lt;=#REF!,#REF!,IF(AJ6&lt;=#REF!,#REF!,0.05)))))))</f>
        <v/>
      </c>
      <c r="AU6" s="2472">
        <f>AT6*AJ6</f>
        <v/>
      </c>
      <c r="AV6" s="192" t="n"/>
      <c r="AW6" s="192">
        <f>IF(AM6&lt;=#REF!,#REF!,IF(AM6&lt;=#REF!,#REF!,IF(AM6&lt;=#REF!,#REF!,IF(AM6&lt;=#REF!,#REF!,IF(AM6&lt;=#REF!,#REF!,IF(AM6&lt;=#REF!,#REF!,IF(AM6&lt;=#REF!,#REF!,0.05)))))))</f>
        <v/>
      </c>
      <c r="AX6" s="2472">
        <f>AW6*AM6</f>
        <v/>
      </c>
      <c r="AY6" s="192" t="n"/>
      <c r="AZ6" s="192">
        <f>IF(AP6&lt;=#REF!,#REF!,IF(AP6&lt;=#REF!,#REF!,IF(AP6&lt;=#REF!,#REF!,IF(AP6&lt;=#REF!,#REF!,IF(AP6&lt;=#REF!,#REF!,IF(AP6&lt;=#REF!,#REF!,IF(AP6&lt;=#REF!,#REF!,0.05)))))))</f>
        <v/>
      </c>
      <c r="BA6" s="2472">
        <f>AZ6*SUM(AX6,AU6,AP6)</f>
        <v/>
      </c>
      <c r="BB6" s="192" t="n"/>
      <c r="BC6" s="2473">
        <f>IF(AS6&lt;=#REF!,#REF!,IF(AS6&lt;=#REF!,#REF!,IF(AS6&lt;=#REF!,#REF!,IF(AS6&lt;=#REF!,#REF!,IF(AS6&lt;=#REF!,#REF!,IF(AS6&lt;=#REF!,#REF!,IF(AS6&lt;=#REF!,#REF!,0.05)))))))</f>
        <v/>
      </c>
      <c r="BD6" s="2472">
        <f>BC6*AS6</f>
        <v/>
      </c>
      <c r="BF6" s="2474">
        <f>0.07*SUM(AP6,AU6,AX6,BA6,BD6)</f>
        <v/>
      </c>
      <c r="BH6" s="2474">
        <f>SUM(BF6,BD6,BA6,AX6,AU6,AP6)</f>
        <v/>
      </c>
      <c r="BI6" s="2475">
        <f>SUM(BD6,BA6,AX6,AU6)</f>
        <v/>
      </c>
      <c r="BJ6" s="192">
        <f>BI6/BH6</f>
        <v/>
      </c>
      <c r="BM6" s="192" t="n">
        <v>0.05</v>
      </c>
      <c r="BN6" s="2472" t="n">
        <v>1000000000</v>
      </c>
      <c r="BP6" s="192" t="n">
        <v>0.2</v>
      </c>
      <c r="BQ6" s="2472" t="n">
        <v>4000</v>
      </c>
      <c r="BR6" s="2472" t="n"/>
      <c r="BS6" s="192" t="n">
        <v>0.22</v>
      </c>
      <c r="BT6" s="2472" t="n">
        <v>19000</v>
      </c>
      <c r="BV6" s="2473" t="n">
        <v>-0.05</v>
      </c>
      <c r="BW6" s="2472" t="n">
        <v>19000</v>
      </c>
      <c r="BZ6" s="2472" t="n">
        <v>3000</v>
      </c>
      <c r="CA6" s="2472" t="n"/>
      <c r="CB6" s="2472" t="n"/>
      <c r="CC6" s="2472">
        <f>BZ6</f>
        <v/>
      </c>
      <c r="CD6" s="2472" t="n"/>
      <c r="CE6" s="2472" t="n"/>
      <c r="CF6" s="2472">
        <f>BZ6+CC6</f>
        <v/>
      </c>
      <c r="CG6" s="2472" t="n"/>
      <c r="CH6" s="2472" t="n"/>
      <c r="CI6" s="2472">
        <f>CF6</f>
        <v/>
      </c>
      <c r="CJ6" s="192">
        <f>IF(BZ6&lt;=BN$4,BM$4,IF(BZ6&lt;=BN$5,BM$5,IF(BZ6&lt;=BN$6,BM$6,IF(BZ6&lt;=BN$7,BM$7,IF(BZ6&lt;=BN$12,BM$12,IF(BZ6&lt;=BN$13,BM$13,IF(BZ6&lt;=BN$14,BM$14,0.05)))))))</f>
        <v/>
      </c>
      <c r="CK6" s="2472">
        <f>CJ6*BZ6</f>
        <v/>
      </c>
      <c r="CL6" s="192" t="n"/>
      <c r="CM6" s="192">
        <f>IF(CC6&lt;=BQ$4,BP$4,IF(CC6&lt;=BQ$5,BP$5,IF(CC6&lt;=BQ$6,BP$6,IF(CC6&lt;=BQ$7,BP$7,IF(CC6&lt;=BQ$12,BP$12,IF(CC6&lt;=BQ$13,BP$13,IF(CC6&lt;=BQ$14,BP$14,0.05)))))))</f>
        <v/>
      </c>
      <c r="CN6" s="2472">
        <f>CM6*CC6</f>
        <v/>
      </c>
      <c r="CO6" s="192" t="n"/>
      <c r="CP6" s="192">
        <f>IF(CF6&lt;=BT$4,BS$4,IF(CF6&lt;=BT$5,BS$5,IF(CF6&lt;=BT$6,BS$6,IF(CF6&lt;=BT$7,BS$7,IF(CF6&lt;=BT$12,BS$12,IF(CF6&lt;=BT$13,BS$13,IF(CF6&lt;=BT$14,BS$14,0.05)))))))</f>
        <v/>
      </c>
      <c r="CQ6" s="2472">
        <f>CP6*SUM(CN6,CK6,CF6)</f>
        <v/>
      </c>
      <c r="CR6" s="192" t="n"/>
      <c r="CS6" s="2473">
        <f>IF(CI6&lt;=BW$4,BV$4,IF(CI6&lt;=BW$5,BV$5,IF(CI6&lt;=BW$6,BV$6,IF(CI6&lt;=BW$7,BV$7,IF(CI6&lt;=BW$12,BV$12,IF(CI6&lt;=BW$13,BV$13,IF(CI6&lt;=BW$14,BV$14,0.05)))))))</f>
        <v/>
      </c>
      <c r="CT6" s="2472">
        <f>CS6*CI6</f>
        <v/>
      </c>
      <c r="CV6" s="2474">
        <f>0.07*SUM(CF6,CK6,CN6,CQ6,CT6)</f>
        <v/>
      </c>
      <c r="CX6" s="2474">
        <f>SUM(CV6,CT6,CQ6,CN6,CK6,CF6)</f>
        <v/>
      </c>
      <c r="CY6" s="2475">
        <f>SUM(CT6,CQ6,CN6,CK6)</f>
        <v/>
      </c>
      <c r="CZ6" s="192">
        <f>CY6/CX6</f>
        <v/>
      </c>
    </row>
    <row r="7">
      <c r="A7" s="2" t="inlineStr">
        <is>
          <t>Approx Start Date</t>
        </is>
      </c>
      <c r="B7" s="250" t="n"/>
      <c r="C7" s="4" t="n"/>
      <c r="D7" s="1" t="n"/>
      <c r="E7" s="206" t="n"/>
      <c r="F7" s="53" t="n"/>
      <c r="G7" s="483" t="n"/>
      <c r="H7" s="593" t="n"/>
      <c r="I7" s="1916" t="n"/>
      <c r="J7" s="1916" t="n"/>
      <c r="K7" s="1916" t="n"/>
      <c r="L7" s="1916" t="n"/>
      <c r="M7" s="1916" t="n"/>
      <c r="AJ7" s="2472" t="n">
        <v>4000</v>
      </c>
      <c r="AK7" s="2472" t="n"/>
      <c r="AL7" s="2472" t="n"/>
      <c r="AM7" s="2472">
        <f>AJ7</f>
        <v/>
      </c>
      <c r="AN7" s="2472" t="n"/>
      <c r="AO7" s="2472" t="n"/>
      <c r="AP7" s="2472">
        <f>AJ7+AM7</f>
        <v/>
      </c>
      <c r="AQ7" s="2472" t="n"/>
      <c r="AR7" s="2472" t="n"/>
      <c r="AS7" s="2472">
        <f>AP7</f>
        <v/>
      </c>
      <c r="AT7" s="192">
        <f>IF(AJ7&lt;=#REF!,#REF!,IF(AJ7&lt;=#REF!,#REF!,IF(AJ7&lt;=#REF!,#REF!,IF(AJ7&lt;=#REF!,#REF!,IF(AJ7&lt;=#REF!,#REF!,IF(AJ7&lt;=#REF!,#REF!,IF(AJ7&lt;=#REF!,#REF!,0.05)))))))</f>
        <v/>
      </c>
      <c r="AU7" s="2472">
        <f>AT7*AJ7</f>
        <v/>
      </c>
      <c r="AV7" s="192" t="n"/>
      <c r="AW7" s="192">
        <f>IF(AM7&lt;=#REF!,#REF!,IF(AM7&lt;=#REF!,#REF!,IF(AM7&lt;=#REF!,#REF!,IF(AM7&lt;=#REF!,#REF!,IF(AM7&lt;=#REF!,#REF!,IF(AM7&lt;=#REF!,#REF!,IF(AM7&lt;=#REF!,#REF!,0.05)))))))</f>
        <v/>
      </c>
      <c r="AX7" s="2472">
        <f>AW7*AM7</f>
        <v/>
      </c>
      <c r="AY7" s="192" t="n"/>
      <c r="AZ7" s="192">
        <f>IF(AP7&lt;=#REF!,#REF!,IF(AP7&lt;=#REF!,#REF!,IF(AP7&lt;=#REF!,#REF!,IF(AP7&lt;=#REF!,#REF!,IF(AP7&lt;=#REF!,#REF!,IF(AP7&lt;=#REF!,#REF!,IF(AP7&lt;=#REF!,#REF!,0.05)))))))</f>
        <v/>
      </c>
      <c r="BA7" s="2472">
        <f>AZ7*SUM(AX7,AU7,AP7)</f>
        <v/>
      </c>
      <c r="BB7" s="192" t="n"/>
      <c r="BC7" s="2473">
        <f>IF(AS7&lt;=#REF!,#REF!,IF(AS7&lt;=#REF!,#REF!,IF(AS7&lt;=#REF!,#REF!,IF(AS7&lt;=#REF!,#REF!,IF(AS7&lt;=#REF!,#REF!,IF(AS7&lt;=#REF!,#REF!,IF(AS7&lt;=#REF!,#REF!,0.05)))))))</f>
        <v/>
      </c>
      <c r="BD7" s="2472">
        <f>BC7*AS7</f>
        <v/>
      </c>
      <c r="BF7" s="2474">
        <f>0.07*SUM(AP7,AU7,AX7,BA7,BD7)</f>
        <v/>
      </c>
      <c r="BH7" s="2474">
        <f>SUM(BF7,BD7,BA7,AX7,AU7,AP7)</f>
        <v/>
      </c>
      <c r="BI7" s="2475">
        <f>SUM(BD7,BA7,AX7,AU7)</f>
        <v/>
      </c>
      <c r="BJ7" s="192">
        <f>BI7/BH7</f>
        <v/>
      </c>
      <c r="BM7" s="192" t="n">
        <v>0.05</v>
      </c>
      <c r="BN7" s="2472" t="n">
        <v>1000000000</v>
      </c>
      <c r="BP7" s="192" t="n">
        <v>0.1</v>
      </c>
      <c r="BQ7" s="2472" t="n">
        <v>7000</v>
      </c>
      <c r="BR7" s="2472" t="n"/>
      <c r="BS7" s="192" t="n">
        <v>0.2</v>
      </c>
      <c r="BT7" s="2472" t="n">
        <v>24000</v>
      </c>
      <c r="BV7" s="2473" t="n">
        <v>-0.05</v>
      </c>
      <c r="BW7" s="2472" t="n">
        <v>34000</v>
      </c>
      <c r="BZ7" s="2472" t="n">
        <v>4000</v>
      </c>
      <c r="CA7" s="2472" t="n"/>
      <c r="CB7" s="2472" t="n"/>
      <c r="CC7" s="2472">
        <f>BZ7</f>
        <v/>
      </c>
      <c r="CD7" s="2472" t="n"/>
      <c r="CE7" s="2472" t="n"/>
      <c r="CF7" s="2472">
        <f>BZ7+CC7</f>
        <v/>
      </c>
      <c r="CG7" s="2472" t="n"/>
      <c r="CH7" s="2472" t="n"/>
      <c r="CI7" s="2472">
        <f>CF7</f>
        <v/>
      </c>
      <c r="CJ7" s="192">
        <f>IF(BZ7&lt;=BN$4,BM$4,IF(BZ7&lt;=BN$5,BM$5,IF(BZ7&lt;=BN$6,BM$6,IF(BZ7&lt;=BN$7,BM$7,IF(BZ7&lt;=BN$12,BM$12,IF(BZ7&lt;=BN$13,BM$13,IF(BZ7&lt;=BN$14,BM$14,0.05)))))))</f>
        <v/>
      </c>
      <c r="CK7" s="2472">
        <f>CJ7*BZ7</f>
        <v/>
      </c>
      <c r="CL7" s="192" t="n"/>
      <c r="CM7" s="192">
        <f>IF(CC7&lt;=BQ$4,BP$4,IF(CC7&lt;=BQ$5,BP$5,IF(CC7&lt;=BQ$6,BP$6,IF(CC7&lt;=BQ$7,BP$7,IF(CC7&lt;=BQ$12,BP$12,IF(CC7&lt;=BQ$13,BP$13,IF(CC7&lt;=BQ$14,BP$14,0.05)))))))</f>
        <v/>
      </c>
      <c r="CN7" s="2472">
        <f>CM7*CC7</f>
        <v/>
      </c>
      <c r="CO7" s="192" t="n"/>
      <c r="CP7" s="192">
        <f>IF(CF7&lt;=BT$4,BS$4,IF(CF7&lt;=BT$5,BS$5,IF(CF7&lt;=BT$6,BS$6,IF(CF7&lt;=BT$7,BS$7,IF(CF7&lt;=BT$12,BS$12,IF(CF7&lt;=BT$13,BS$13,IF(CF7&lt;=BT$14,BS$14,0.05)))))))</f>
        <v/>
      </c>
      <c r="CQ7" s="2472">
        <f>CP7*SUM(CN7,CK7,CF7)</f>
        <v/>
      </c>
      <c r="CR7" s="192" t="n"/>
      <c r="CS7" s="2473">
        <f>IF(CI7&lt;=BW$4,BV$4,IF(CI7&lt;=BW$5,BV$5,IF(CI7&lt;=BW$6,BV$6,IF(CI7&lt;=BW$7,BV$7,IF(CI7&lt;=BW$12,BV$12,IF(CI7&lt;=BW$13,BV$13,IF(CI7&lt;=BW$14,BV$14,0.05)))))))</f>
        <v/>
      </c>
      <c r="CT7" s="2472">
        <f>CS7*CI7</f>
        <v/>
      </c>
      <c r="CV7" s="2474">
        <f>0.07*SUM(CF7,CK7,CN7,CQ7,CT7)</f>
        <v/>
      </c>
      <c r="CX7" s="2474">
        <f>SUM(CV7,CT7,CQ7,CN7,CK7,CF7)</f>
        <v/>
      </c>
      <c r="CY7" s="2475">
        <f>SUM(CT7,CQ7,CN7,CK7)</f>
        <v/>
      </c>
      <c r="CZ7" s="192">
        <f>CY7/CX7</f>
        <v/>
      </c>
    </row>
    <row r="8">
      <c r="A8" s="249" t="inlineStr">
        <is>
          <t>Architect</t>
        </is>
      </c>
      <c r="B8" s="3" t="n"/>
      <c r="C8" s="4" t="n"/>
      <c r="D8" s="1" t="n"/>
      <c r="E8" s="1471" t="n"/>
      <c r="F8" s="53" t="n"/>
      <c r="G8" s="483" t="n"/>
      <c r="H8" s="593" t="n"/>
      <c r="I8" s="1916" t="n"/>
      <c r="J8" s="2149" t="n"/>
      <c r="K8" s="2149" t="n"/>
      <c r="L8" s="1916" t="n"/>
      <c r="M8" s="1916" t="n"/>
      <c r="AJ8" s="2472" t="n"/>
      <c r="AK8" s="2472" t="n"/>
      <c r="AL8" s="2472" t="n"/>
      <c r="AM8" s="2472" t="n"/>
      <c r="AN8" s="2472" t="n"/>
      <c r="AO8" s="2472" t="n"/>
      <c r="AP8" s="2472" t="n"/>
      <c r="AQ8" s="2472" t="n"/>
      <c r="AR8" s="2472" t="n"/>
      <c r="AS8" s="2472" t="n"/>
      <c r="AT8" s="192" t="n"/>
      <c r="AU8" s="2472" t="n"/>
      <c r="AV8" s="192" t="n"/>
      <c r="AW8" s="192" t="n"/>
      <c r="AX8" s="2472" t="n"/>
      <c r="AY8" s="192" t="n"/>
      <c r="AZ8" s="192" t="n"/>
      <c r="BA8" s="2472" t="n"/>
      <c r="BB8" s="192" t="n"/>
      <c r="BC8" s="2473" t="n"/>
      <c r="BD8" s="2472" t="n"/>
      <c r="BF8" s="2474" t="n"/>
      <c r="BH8" s="2474" t="n"/>
      <c r="BI8" s="2475" t="n"/>
      <c r="BJ8" s="192" t="n"/>
      <c r="BM8" s="192" t="n"/>
      <c r="BN8" s="2472" t="n"/>
      <c r="BP8" s="192" t="n"/>
      <c r="BQ8" s="2472" t="n"/>
      <c r="BR8" s="2472" t="n"/>
      <c r="BS8" s="192" t="n"/>
      <c r="BT8" s="2472" t="n"/>
      <c r="BV8" s="2473" t="n"/>
      <c r="BW8" s="2472" t="n"/>
      <c r="BZ8" s="2472" t="n"/>
      <c r="CA8" s="2472" t="n"/>
      <c r="CB8" s="2472" t="n"/>
      <c r="CC8" s="2472" t="n"/>
      <c r="CD8" s="2472" t="n"/>
      <c r="CE8" s="2472" t="n"/>
      <c r="CF8" s="2472" t="n"/>
      <c r="CG8" s="2472" t="n"/>
      <c r="CH8" s="2472" t="n"/>
      <c r="CI8" s="2472" t="n"/>
      <c r="CJ8" s="192" t="n"/>
      <c r="CK8" s="2472" t="n"/>
      <c r="CL8" s="192" t="n"/>
      <c r="CM8" s="192" t="n"/>
      <c r="CN8" s="2472" t="n"/>
      <c r="CO8" s="192" t="n"/>
      <c r="CP8" s="192" t="n"/>
      <c r="CQ8" s="2472" t="n"/>
      <c r="CR8" s="192" t="n"/>
      <c r="CS8" s="2473" t="n"/>
      <c r="CT8" s="2472" t="n"/>
      <c r="CV8" s="2474" t="n"/>
      <c r="CX8" s="2474" t="n"/>
      <c r="CY8" s="2475" t="n"/>
      <c r="CZ8" s="192" t="n"/>
    </row>
    <row r="9">
      <c r="A9" s="249" t="inlineStr">
        <is>
          <t>Drawings Dated</t>
        </is>
      </c>
      <c r="B9" s="250" t="n"/>
      <c r="C9" s="4" t="n"/>
      <c r="D9" s="1" t="n"/>
      <c r="E9" s="206" t="n"/>
      <c r="F9" s="53" t="n"/>
      <c r="G9" s="2145" t="n"/>
      <c r="H9" s="593" t="n"/>
      <c r="I9" s="2149" t="n"/>
      <c r="J9" s="2149" t="n"/>
      <c r="K9" s="2149" t="n"/>
      <c r="L9" s="2149" t="n"/>
      <c r="M9" s="2149" t="n"/>
      <c r="AJ9" s="2472" t="n"/>
      <c r="AK9" s="2472" t="n"/>
      <c r="AL9" s="2472" t="n"/>
      <c r="AM9" s="2472" t="n"/>
      <c r="AN9" s="2472" t="n"/>
      <c r="AO9" s="2472" t="n"/>
      <c r="AP9" s="2472" t="n"/>
      <c r="AQ9" s="2472" t="n"/>
      <c r="AR9" s="2472" t="n"/>
      <c r="AS9" s="2472" t="n"/>
      <c r="AT9" s="192" t="n"/>
      <c r="AU9" s="2472" t="n"/>
      <c r="AV9" s="192" t="n"/>
      <c r="AW9" s="192" t="n"/>
      <c r="AX9" s="2472" t="n"/>
      <c r="AY9" s="192" t="n"/>
      <c r="AZ9" s="192" t="n"/>
      <c r="BA9" s="2472" t="n"/>
      <c r="BB9" s="192" t="n"/>
      <c r="BC9" s="2473" t="n"/>
      <c r="BD9" s="2472" t="n"/>
      <c r="BF9" s="2474" t="n"/>
      <c r="BH9" s="2474" t="n"/>
      <c r="BI9" s="2475" t="n"/>
      <c r="BJ9" s="192" t="n"/>
      <c r="BM9" s="192" t="n"/>
      <c r="BN9" s="2472" t="n"/>
      <c r="BP9" s="192" t="n"/>
      <c r="BQ9" s="2472" t="n"/>
      <c r="BR9" s="2472" t="n"/>
      <c r="BS9" s="192" t="n"/>
      <c r="BT9" s="2472" t="n"/>
      <c r="BV9" s="2473" t="n"/>
      <c r="BW9" s="2472" t="n"/>
      <c r="BZ9" s="2472" t="n"/>
      <c r="CA9" s="2472" t="n"/>
      <c r="CB9" s="2472" t="n"/>
      <c r="CC9" s="2472" t="n"/>
      <c r="CD9" s="2472" t="n"/>
      <c r="CE9" s="2472" t="n"/>
      <c r="CF9" s="2472" t="n"/>
      <c r="CG9" s="2472" t="n"/>
      <c r="CH9" s="2472" t="n"/>
      <c r="CI9" s="2472" t="n"/>
      <c r="CJ9" s="192" t="n"/>
      <c r="CK9" s="2472" t="n"/>
      <c r="CL9" s="192" t="n"/>
      <c r="CM9" s="192" t="n"/>
      <c r="CN9" s="2472" t="n"/>
      <c r="CO9" s="192" t="n"/>
      <c r="CP9" s="192" t="n"/>
      <c r="CQ9" s="2472" t="n"/>
      <c r="CR9" s="192" t="n"/>
      <c r="CS9" s="2473" t="n"/>
      <c r="CT9" s="2472" t="n"/>
      <c r="CV9" s="2474" t="n"/>
      <c r="CX9" s="2474" t="n"/>
      <c r="CY9" s="2475" t="n"/>
      <c r="CZ9" s="192" t="n"/>
    </row>
    <row r="10">
      <c r="A10" s="132" t="inlineStr">
        <is>
          <t>New / Reno:</t>
        </is>
      </c>
      <c r="B10" s="3" t="n"/>
      <c r="C10" s="4" t="n"/>
      <c r="D10" s="1" t="n"/>
      <c r="E10" s="206" t="n"/>
      <c r="F10" s="53" t="n"/>
      <c r="G10" s="2299" t="n"/>
      <c r="H10" s="593" t="n"/>
      <c r="I10" s="2149" t="n"/>
      <c r="J10" s="2149" t="n"/>
      <c r="K10" s="2149" t="n"/>
      <c r="L10" s="2149" t="n"/>
      <c r="M10" s="2149" t="n"/>
      <c r="AJ10" s="2472" t="n"/>
      <c r="AK10" s="2472" t="n"/>
      <c r="AL10" s="2472" t="n"/>
      <c r="AM10" s="2472" t="n"/>
      <c r="AN10" s="2472" t="n"/>
      <c r="AO10" s="2472" t="n"/>
      <c r="AP10" s="2472" t="n"/>
      <c r="AQ10" s="2472" t="n"/>
      <c r="AR10" s="2472" t="n"/>
      <c r="AS10" s="2472" t="n"/>
      <c r="AT10" s="192" t="n"/>
      <c r="AU10" s="2472" t="n"/>
      <c r="AV10" s="192" t="n"/>
      <c r="AW10" s="192" t="n"/>
      <c r="AX10" s="2472" t="n"/>
      <c r="AY10" s="192" t="n"/>
      <c r="AZ10" s="192" t="n"/>
      <c r="BA10" s="2472" t="n"/>
      <c r="BB10" s="192" t="n"/>
      <c r="BC10" s="2473" t="n"/>
      <c r="BD10" s="2472" t="n"/>
      <c r="BF10" s="2474" t="n"/>
      <c r="BH10" s="2474" t="n"/>
      <c r="BI10" s="2475" t="n"/>
      <c r="BJ10" s="192" t="n"/>
      <c r="BM10" s="192" t="n"/>
      <c r="BN10" s="2472" t="n"/>
      <c r="BP10" s="192" t="n"/>
      <c r="BQ10" s="2472" t="n"/>
      <c r="BR10" s="2472" t="n"/>
      <c r="BS10" s="192" t="n"/>
      <c r="BT10" s="2472" t="n"/>
      <c r="BV10" s="2473" t="n"/>
      <c r="BW10" s="2472" t="n"/>
      <c r="BZ10" s="2472" t="n"/>
      <c r="CA10" s="2472" t="n"/>
      <c r="CB10" s="2472" t="n"/>
      <c r="CC10" s="2472" t="n"/>
      <c r="CD10" s="2472" t="n"/>
      <c r="CE10" s="2472" t="n"/>
      <c r="CF10" s="2472" t="n"/>
      <c r="CG10" s="2472" t="n"/>
      <c r="CH10" s="2472" t="n"/>
      <c r="CI10" s="2472" t="n"/>
      <c r="CJ10" s="192" t="n"/>
      <c r="CK10" s="2472" t="n"/>
      <c r="CL10" s="192" t="n"/>
      <c r="CM10" s="192" t="n"/>
      <c r="CN10" s="2472" t="n"/>
      <c r="CO10" s="192" t="n"/>
      <c r="CP10" s="192" t="n"/>
      <c r="CQ10" s="2472" t="n"/>
      <c r="CR10" s="192" t="n"/>
      <c r="CS10" s="2473" t="n"/>
      <c r="CT10" s="2472" t="n"/>
      <c r="CV10" s="2474" t="n"/>
      <c r="CX10" s="2474" t="n"/>
      <c r="CY10" s="2475" t="n"/>
      <c r="CZ10" s="192" t="n"/>
    </row>
    <row r="11">
      <c r="A11" s="3" t="n"/>
      <c r="B11" s="3" t="n"/>
      <c r="C11" s="4" t="n"/>
      <c r="D11" s="1" t="n"/>
      <c r="E11" s="206" t="n"/>
      <c r="F11" s="53" t="n"/>
      <c r="G11" s="2299" t="n"/>
      <c r="H11" s="593" t="n"/>
      <c r="I11" s="2149" t="n"/>
      <c r="J11" s="2149" t="n"/>
      <c r="K11" s="2149" t="n"/>
      <c r="L11" s="2149" t="n"/>
      <c r="M11" s="2149" t="n"/>
      <c r="AJ11" s="2472" t="n"/>
      <c r="AK11" s="2472" t="n"/>
      <c r="AL11" s="2472" t="n"/>
      <c r="AM11" s="2472" t="n"/>
      <c r="AN11" s="2472" t="n"/>
      <c r="AO11" s="2472" t="n"/>
      <c r="AP11" s="2472" t="n"/>
      <c r="AQ11" s="2472" t="n"/>
      <c r="AR11" s="2472" t="n"/>
      <c r="AS11" s="2472" t="n"/>
      <c r="AT11" s="192" t="n"/>
      <c r="AU11" s="2472" t="n"/>
      <c r="AV11" s="192" t="n"/>
      <c r="AW11" s="192" t="n"/>
      <c r="AX11" s="2472" t="n"/>
      <c r="AY11" s="192" t="n"/>
      <c r="AZ11" s="192" t="n"/>
      <c r="BA11" s="2472" t="n"/>
      <c r="BB11" s="192" t="n"/>
      <c r="BC11" s="2473" t="n"/>
      <c r="BD11" s="2472" t="n"/>
      <c r="BF11" s="2474" t="n"/>
      <c r="BH11" s="2474" t="n"/>
      <c r="BI11" s="2475" t="n"/>
      <c r="BJ11" s="192" t="n"/>
      <c r="BM11" s="192" t="n"/>
      <c r="BN11" s="2472" t="n"/>
      <c r="BP11" s="192" t="n"/>
      <c r="BQ11" s="2472" t="n"/>
      <c r="BR11" s="2472" t="n"/>
      <c r="BS11" s="192" t="n"/>
      <c r="BT11" s="2472" t="n"/>
      <c r="BV11" s="2473" t="n"/>
      <c r="BW11" s="2472" t="n"/>
      <c r="BZ11" s="2472" t="n"/>
      <c r="CA11" s="2472" t="n"/>
      <c r="CB11" s="2472" t="n"/>
      <c r="CC11" s="2472" t="n"/>
      <c r="CD11" s="2472" t="n"/>
      <c r="CE11" s="2472" t="n"/>
      <c r="CF11" s="2472" t="n"/>
      <c r="CG11" s="2472" t="n"/>
      <c r="CH11" s="2472" t="n"/>
      <c r="CI11" s="2472" t="n"/>
      <c r="CJ11" s="192" t="n"/>
      <c r="CK11" s="2472" t="n"/>
      <c r="CL11" s="192" t="n"/>
      <c r="CM11" s="192" t="n"/>
      <c r="CN11" s="2472" t="n"/>
      <c r="CO11" s="192" t="n"/>
      <c r="CP11" s="192" t="n"/>
      <c r="CQ11" s="2472" t="n"/>
      <c r="CR11" s="192" t="n"/>
      <c r="CS11" s="2473" t="n"/>
      <c r="CT11" s="2472" t="n"/>
      <c r="CV11" s="2474" t="n"/>
      <c r="CX11" s="2474" t="n"/>
      <c r="CY11" s="2475" t="n"/>
      <c r="CZ11" s="192" t="n"/>
    </row>
    <row r="12">
      <c r="A12" s="479" t="inlineStr">
        <is>
          <t>Floor System- Leveling:</t>
        </is>
      </c>
      <c r="B12" s="3" t="n"/>
      <c r="C12" s="4" t="n"/>
      <c r="D12" s="1" t="n"/>
      <c r="E12" s="206" t="n"/>
      <c r="F12" s="53" t="n"/>
      <c r="G12" s="2299" t="n"/>
      <c r="H12" s="593" t="n"/>
      <c r="I12" s="2149" t="n"/>
      <c r="J12" s="2149" t="n"/>
      <c r="K12" s="2149" t="n"/>
      <c r="L12" s="2149" t="n"/>
      <c r="M12" s="2149" t="n"/>
      <c r="AJ12" s="2472" t="n">
        <v>5000</v>
      </c>
      <c r="AK12" s="2472" t="n"/>
      <c r="AL12" s="2472" t="n"/>
      <c r="AM12" s="2472">
        <f>AJ12</f>
        <v/>
      </c>
      <c r="AN12" s="2472" t="n"/>
      <c r="AO12" s="2472" t="n"/>
      <c r="AP12" s="2472">
        <f>AJ12+AM12</f>
        <v/>
      </c>
      <c r="AQ12" s="2472" t="n"/>
      <c r="AR12" s="2472" t="n"/>
      <c r="AS12" s="2472">
        <f>AP12</f>
        <v/>
      </c>
      <c r="AT12" s="192">
        <f>IF(AJ12&lt;=#REF!,#REF!,IF(AJ12&lt;=#REF!,#REF!,IF(AJ12&lt;=#REF!,#REF!,IF(AJ12&lt;=#REF!,#REF!,IF(AJ12&lt;=#REF!,#REF!,IF(AJ12&lt;=#REF!,#REF!,IF(AJ12&lt;=#REF!,#REF!,0.05)))))))</f>
        <v/>
      </c>
      <c r="AU12" s="2472">
        <f>AT12*AJ12</f>
        <v/>
      </c>
      <c r="AV12" s="192" t="n"/>
      <c r="AW12" s="192">
        <f>IF(AM12&lt;=#REF!,#REF!,IF(AM12&lt;=#REF!,#REF!,IF(AM12&lt;=#REF!,#REF!,IF(AM12&lt;=#REF!,#REF!,IF(AM12&lt;=#REF!,#REF!,IF(AM12&lt;=#REF!,#REF!,IF(AM12&lt;=#REF!,#REF!,0.05)))))))</f>
        <v/>
      </c>
      <c r="AX12" s="2472">
        <f>AW12*AM12</f>
        <v/>
      </c>
      <c r="AY12" s="192" t="n"/>
      <c r="AZ12" s="192">
        <f>IF(AP12&lt;=#REF!,#REF!,IF(AP12&lt;=#REF!,#REF!,IF(AP12&lt;=#REF!,#REF!,IF(AP12&lt;=#REF!,#REF!,IF(AP12&lt;=#REF!,#REF!,IF(AP12&lt;=#REF!,#REF!,IF(AP12&lt;=#REF!,#REF!,0.05)))))))</f>
        <v/>
      </c>
      <c r="BA12" s="2472">
        <f>AZ12*SUM(AX12,AU12,AP12)</f>
        <v/>
      </c>
      <c r="BB12" s="192" t="n"/>
      <c r="BC12" s="2473">
        <f>IF(AS12&lt;=#REF!,#REF!,IF(AS12&lt;=#REF!,#REF!,IF(AS12&lt;=#REF!,#REF!,IF(AS12&lt;=#REF!,#REF!,IF(AS12&lt;=#REF!,#REF!,IF(AS12&lt;=#REF!,#REF!,IF(AS12&lt;=#REF!,#REF!,0.05)))))))</f>
        <v/>
      </c>
      <c r="BD12" s="2472">
        <f>BC12*AS12</f>
        <v/>
      </c>
      <c r="BF12" s="2474">
        <f>0.07*SUM(AP12,AU12,AX12,BA12,BD12)</f>
        <v/>
      </c>
      <c r="BH12" s="2474">
        <f>SUM(BF12,BD12,BA12,AX12,AU12,AP12)</f>
        <v/>
      </c>
      <c r="BI12" s="2475">
        <f>SUM(BD12,BA12,AX12,AU12)</f>
        <v/>
      </c>
      <c r="BJ12" s="192">
        <f>BI12/BH12</f>
        <v/>
      </c>
      <c r="BM12" s="192" t="n">
        <v>0.05</v>
      </c>
      <c r="BN12" s="2472" t="n">
        <v>1000000000</v>
      </c>
      <c r="BP12" s="192" t="n">
        <v>0.05</v>
      </c>
      <c r="BQ12" s="2472" t="n">
        <v>10000</v>
      </c>
      <c r="BR12" s="2472" t="n"/>
      <c r="BS12" s="192" t="n">
        <v>0.18</v>
      </c>
      <c r="BT12" s="2472" t="n">
        <v>1000000000</v>
      </c>
      <c r="BV12" s="2473" t="n">
        <v>-0.055</v>
      </c>
      <c r="BW12" s="2472" t="n">
        <v>44000</v>
      </c>
      <c r="BZ12" s="2472" t="n">
        <v>5000</v>
      </c>
      <c r="CA12" s="2472" t="n"/>
      <c r="CB12" s="2472" t="n"/>
      <c r="CC12" s="2472">
        <f>BZ12</f>
        <v/>
      </c>
      <c r="CD12" s="2472" t="n"/>
      <c r="CE12" s="2472" t="n"/>
      <c r="CF12" s="2472">
        <f>BZ12+CC12</f>
        <v/>
      </c>
      <c r="CG12" s="2472" t="n"/>
      <c r="CH12" s="2472" t="n"/>
      <c r="CI12" s="2472">
        <f>CF12</f>
        <v/>
      </c>
      <c r="CJ12" s="192">
        <f>IF(BZ12&lt;=BN$4,BM$4,IF(BZ12&lt;=BN$5,BM$5,IF(BZ12&lt;=BN$6,BM$6,IF(BZ12&lt;=BN$7,BM$7,IF(BZ12&lt;=BN$12,BM$12,IF(BZ12&lt;=BN$13,BM$13,IF(BZ12&lt;=BN$14,BM$14,0.05)))))))</f>
        <v/>
      </c>
      <c r="CK12" s="2472">
        <f>CJ12*BZ12</f>
        <v/>
      </c>
      <c r="CL12" s="192" t="n"/>
      <c r="CM12" s="192">
        <f>IF(CC12&lt;=BQ$4,BP$4,IF(CC12&lt;=BQ$5,BP$5,IF(CC12&lt;=BQ$6,BP$6,IF(CC12&lt;=BQ$7,BP$7,IF(CC12&lt;=BQ$12,BP$12,IF(CC12&lt;=BQ$13,BP$13,IF(CC12&lt;=BQ$14,BP$14,0.05)))))))</f>
        <v/>
      </c>
      <c r="CN12" s="2472">
        <f>CM12*CC12</f>
        <v/>
      </c>
      <c r="CO12" s="192" t="n"/>
      <c r="CP12" s="192">
        <f>IF(CF12&lt;=BT$4,BS$4,IF(CF12&lt;=BT$5,BS$5,IF(CF12&lt;=BT$6,BS$6,IF(CF12&lt;=BT$7,BS$7,IF(CF12&lt;=BT$12,BS$12,IF(CF12&lt;=BT$13,BS$13,IF(CF12&lt;=BT$14,BS$14,0.05)))))))</f>
        <v/>
      </c>
      <c r="CQ12" s="2472">
        <f>CP12*SUM(CN12,CK12,CF12)</f>
        <v/>
      </c>
      <c r="CR12" s="192" t="n"/>
      <c r="CS12" s="2473">
        <f>IF(CI12&lt;=BW$4,BV$4,IF(CI12&lt;=BW$5,BV$5,IF(CI12&lt;=BW$6,BV$6,IF(CI12&lt;=BW$7,BV$7,IF(CI12&lt;=BW$12,BV$12,IF(CI12&lt;=BW$13,BV$13,IF(CI12&lt;=BW$14,BV$14,0.05)))))))</f>
        <v/>
      </c>
      <c r="CT12" s="2472">
        <f>CS12*CI12</f>
        <v/>
      </c>
      <c r="CV12" s="2474">
        <f>0.07*SUM(CF12,CK12,CN12,CQ12,CT12)</f>
        <v/>
      </c>
      <c r="CX12" s="2474">
        <f>SUM(CV12,CT12,CQ12,CN12,CK12,CF12)</f>
        <v/>
      </c>
      <c r="CY12" s="2475">
        <f>SUM(CT12,CQ12,CN12,CK12)</f>
        <v/>
      </c>
      <c r="CZ12" s="192">
        <f>CY12/CX12</f>
        <v/>
      </c>
    </row>
    <row r="13">
      <c r="A13" s="479" t="n"/>
      <c r="B13" s="3" t="n"/>
      <c r="C13" s="4" t="n"/>
      <c r="D13" s="4" t="n"/>
      <c r="E13" s="204" t="n"/>
      <c r="F13" s="53" t="n"/>
      <c r="G13" s="2299" t="n"/>
      <c r="H13" s="593" t="n"/>
      <c r="I13" s="2149" t="n"/>
      <c r="J13" s="2149" t="n"/>
      <c r="K13" s="2149" t="n"/>
      <c r="L13" s="2149" t="n"/>
      <c r="M13" s="2149" t="n"/>
      <c r="AJ13" s="2472" t="n">
        <v>6000</v>
      </c>
      <c r="AK13" s="2472" t="n"/>
      <c r="AL13" s="2472" t="n"/>
      <c r="AM13" s="2472">
        <f>AJ13</f>
        <v/>
      </c>
      <c r="AN13" s="2472" t="n"/>
      <c r="AO13" s="2472" t="n"/>
      <c r="AP13" s="2472">
        <f>AJ13+AM13</f>
        <v/>
      </c>
      <c r="AQ13" s="2472" t="n"/>
      <c r="AR13" s="2472" t="n"/>
      <c r="AS13" s="2472">
        <f>AP13</f>
        <v/>
      </c>
      <c r="AT13" s="192">
        <f>IF(AJ13&lt;=#REF!,#REF!,IF(AJ13&lt;=#REF!,#REF!,IF(AJ13&lt;=#REF!,#REF!,IF(AJ13&lt;=#REF!,#REF!,IF(AJ13&lt;=#REF!,#REF!,IF(AJ13&lt;=#REF!,#REF!,IF(AJ13&lt;=#REF!,#REF!,0.05)))))))</f>
        <v/>
      </c>
      <c r="AU13" s="2472">
        <f>AT13*AJ13</f>
        <v/>
      </c>
      <c r="AV13" s="192" t="n"/>
      <c r="AW13" s="192">
        <f>IF(AM13&lt;=#REF!,#REF!,IF(AM13&lt;=#REF!,#REF!,IF(AM13&lt;=#REF!,#REF!,IF(AM13&lt;=#REF!,#REF!,IF(AM13&lt;=#REF!,#REF!,IF(AM13&lt;=#REF!,#REF!,IF(AM13&lt;=#REF!,#REF!,0.05)))))))</f>
        <v/>
      </c>
      <c r="AX13" s="2472">
        <f>AW13*AM13</f>
        <v/>
      </c>
      <c r="AY13" s="192" t="n"/>
      <c r="AZ13" s="192">
        <f>IF(AP13&lt;=#REF!,#REF!,IF(AP13&lt;=#REF!,#REF!,IF(AP13&lt;=#REF!,#REF!,IF(AP13&lt;=#REF!,#REF!,IF(AP13&lt;=#REF!,#REF!,IF(AP13&lt;=#REF!,#REF!,IF(AP13&lt;=#REF!,#REF!,0.05)))))))</f>
        <v/>
      </c>
      <c r="BA13" s="2472">
        <f>AZ13*SUM(AX13,AU13,AP13)</f>
        <v/>
      </c>
      <c r="BB13" s="192" t="n"/>
      <c r="BC13" s="2473">
        <f>IF(AS13&lt;=#REF!,#REF!,IF(AS13&lt;=#REF!,#REF!,IF(AS13&lt;=#REF!,#REF!,IF(AS13&lt;=#REF!,#REF!,IF(AS13&lt;=#REF!,#REF!,IF(AS13&lt;=#REF!,#REF!,IF(AS13&lt;=#REF!,#REF!,0.05)))))))</f>
        <v/>
      </c>
      <c r="BD13" s="2472">
        <f>BC13*AS13</f>
        <v/>
      </c>
      <c r="BF13" s="2474">
        <f>0.07*SUM(AP13,AU13,AX13,BA13,BD13)</f>
        <v/>
      </c>
      <c r="BH13" s="2474">
        <f>SUM(BF13,BD13,BA13,AX13,AU13,AP13)</f>
        <v/>
      </c>
      <c r="BI13" s="2475">
        <f>SUM(BD13,BA13,AX13,AU13)</f>
        <v/>
      </c>
      <c r="BJ13" s="192">
        <f>BI13/BH13</f>
        <v/>
      </c>
      <c r="BM13" s="192" t="n">
        <v>0.05</v>
      </c>
      <c r="BN13" s="2472" t="n">
        <v>1000000000</v>
      </c>
      <c r="BP13" s="192" t="n">
        <v>0.03</v>
      </c>
      <c r="BQ13" s="2472" t="n">
        <v>1000000000</v>
      </c>
      <c r="BR13" s="2472" t="n"/>
      <c r="BS13" s="192" t="n">
        <v>0.18</v>
      </c>
      <c r="BT13" s="2472" t="n">
        <v>1000000000</v>
      </c>
      <c r="BV13" s="2473" t="n">
        <v>-0.06</v>
      </c>
      <c r="BW13" s="2472" t="n">
        <v>1000000000</v>
      </c>
      <c r="BZ13" s="2472" t="n">
        <v>6000</v>
      </c>
      <c r="CA13" s="2472" t="n"/>
      <c r="CB13" s="2472" t="n"/>
      <c r="CC13" s="2472">
        <f>BZ13</f>
        <v/>
      </c>
      <c r="CD13" s="2472" t="n"/>
      <c r="CE13" s="2472" t="n"/>
      <c r="CF13" s="2472">
        <f>BZ13+CC13</f>
        <v/>
      </c>
      <c r="CG13" s="2472" t="n"/>
      <c r="CH13" s="2472" t="n"/>
      <c r="CI13" s="2472">
        <f>CF13</f>
        <v/>
      </c>
      <c r="CJ13" s="192">
        <f>IF(BZ13&lt;=BN$4,BM$4,IF(BZ13&lt;=BN$5,BM$5,IF(BZ13&lt;=BN$6,BM$6,IF(BZ13&lt;=BN$7,BM$7,IF(BZ13&lt;=BN$12,BM$12,IF(BZ13&lt;=BN$13,BM$13,IF(BZ13&lt;=BN$14,BM$14,0.05)))))))</f>
        <v/>
      </c>
      <c r="CK13" s="2472">
        <f>CJ13*BZ13</f>
        <v/>
      </c>
      <c r="CL13" s="192" t="n"/>
      <c r="CM13" s="192">
        <f>IF(CC13&lt;=BQ$4,BP$4,IF(CC13&lt;=BQ$5,BP$5,IF(CC13&lt;=BQ$6,BP$6,IF(CC13&lt;=BQ$7,BP$7,IF(CC13&lt;=BQ$12,BP$12,IF(CC13&lt;=BQ$13,BP$13,IF(CC13&lt;=BQ$14,BP$14,0.05)))))))</f>
        <v/>
      </c>
      <c r="CN13" s="2472">
        <f>CM13*CC13</f>
        <v/>
      </c>
      <c r="CO13" s="192" t="n"/>
      <c r="CP13" s="192">
        <f>IF(CF13&lt;=BT$4,BS$4,IF(CF13&lt;=BT$5,BS$5,IF(CF13&lt;=BT$6,BS$6,IF(CF13&lt;=BT$7,BS$7,IF(CF13&lt;=BT$12,BS$12,IF(CF13&lt;=BT$13,BS$13,IF(CF13&lt;=BT$14,BS$14,0.05)))))))</f>
        <v/>
      </c>
      <c r="CQ13" s="2472">
        <f>CP13*SUM(CN13,CK13,CF13)</f>
        <v/>
      </c>
      <c r="CR13" s="192" t="n"/>
      <c r="CS13" s="2473">
        <f>IF(CI13&lt;=BW$4,BV$4,IF(CI13&lt;=BW$5,BV$5,IF(CI13&lt;=BW$6,BV$6,IF(CI13&lt;=BW$7,BV$7,IF(CI13&lt;=BW$12,BV$12,IF(CI13&lt;=BW$13,BV$13,IF(CI13&lt;=BW$14,BV$14,0.05)))))))</f>
        <v/>
      </c>
      <c r="CT13" s="2472">
        <f>CS13*CI13</f>
        <v/>
      </c>
      <c r="CV13" s="2474">
        <f>0.07*SUM(CF13,CK13,CN13,CQ13,CT13)</f>
        <v/>
      </c>
      <c r="CX13" s="2474">
        <f>SUM(CV13,CT13,CQ13,CN13,CK13,CF13)</f>
        <v/>
      </c>
      <c r="CY13" s="2475">
        <f>SUM(CT13,CQ13,CN13,CK13)</f>
        <v/>
      </c>
      <c r="CZ13" s="192">
        <f>CY13/CX13</f>
        <v/>
      </c>
    </row>
    <row r="14">
      <c r="A14" s="479" t="n"/>
      <c r="B14" s="1" t="n"/>
      <c r="C14" s="4" t="n"/>
      <c r="D14" s="1" t="n"/>
      <c r="E14" s="204" t="n"/>
      <c r="F14" s="53" t="n"/>
      <c r="G14" s="2299" t="n"/>
      <c r="H14" s="593" t="n"/>
      <c r="I14" s="2149" t="n"/>
      <c r="J14" s="2149" t="n"/>
      <c r="K14" s="2149" t="n"/>
      <c r="L14" s="2149" t="n"/>
      <c r="M14" s="2149" t="n"/>
      <c r="AJ14" s="2472" t="n">
        <v>7000</v>
      </c>
      <c r="AK14" s="2472" t="n"/>
      <c r="AL14" s="2472" t="n"/>
      <c r="AM14" s="2472">
        <f>AJ14</f>
        <v/>
      </c>
      <c r="AN14" s="2472" t="n"/>
      <c r="AO14" s="2472" t="n"/>
      <c r="AP14" s="2472">
        <f>AJ14+AM14</f>
        <v/>
      </c>
      <c r="AQ14" s="2472" t="n"/>
      <c r="AR14" s="2472" t="n"/>
      <c r="AS14" s="2472">
        <f>AP14</f>
        <v/>
      </c>
      <c r="AT14" s="192">
        <f>IF(AJ14&lt;=#REF!,#REF!,IF(AJ14&lt;=#REF!,#REF!,IF(AJ14&lt;=#REF!,#REF!,IF(AJ14&lt;=#REF!,#REF!,IF(AJ14&lt;=#REF!,#REF!,IF(AJ14&lt;=#REF!,#REF!,IF(AJ14&lt;=#REF!,#REF!,0.05)))))))</f>
        <v/>
      </c>
      <c r="AU14" s="2472">
        <f>AT14*AJ14</f>
        <v/>
      </c>
      <c r="AV14" s="192" t="n"/>
      <c r="AW14" s="192">
        <f>IF(AM14&lt;=#REF!,#REF!,IF(AM14&lt;=#REF!,#REF!,IF(AM14&lt;=#REF!,#REF!,IF(AM14&lt;=#REF!,#REF!,IF(AM14&lt;=#REF!,#REF!,IF(AM14&lt;=#REF!,#REF!,IF(AM14&lt;=#REF!,#REF!,0.05)))))))</f>
        <v/>
      </c>
      <c r="AX14" s="2472">
        <f>AW14*AM14</f>
        <v/>
      </c>
      <c r="AY14" s="192" t="n"/>
      <c r="AZ14" s="192">
        <f>IF(AP14&lt;=#REF!,#REF!,IF(AP14&lt;=#REF!,#REF!,IF(AP14&lt;=#REF!,#REF!,IF(AP14&lt;=#REF!,#REF!,IF(AP14&lt;=#REF!,#REF!,IF(AP14&lt;=#REF!,#REF!,IF(AP14&lt;=#REF!,#REF!,0.05)))))))</f>
        <v/>
      </c>
      <c r="BA14" s="2472">
        <f>AZ14*SUM(AX14,AU14,AP14)</f>
        <v/>
      </c>
      <c r="BB14" s="192" t="n"/>
      <c r="BC14" s="2473">
        <f>IF(AS14&lt;=#REF!,#REF!,IF(AS14&lt;=#REF!,#REF!,IF(AS14&lt;=#REF!,#REF!,IF(AS14&lt;=#REF!,#REF!,IF(AS14&lt;=#REF!,#REF!,IF(AS14&lt;=#REF!,#REF!,IF(AS14&lt;=#REF!,#REF!,0.05)))))))</f>
        <v/>
      </c>
      <c r="BD14" s="2472">
        <f>BC14*AS14</f>
        <v/>
      </c>
      <c r="BF14" s="2474">
        <f>0.07*SUM(AP14,AU14,AX14,BA14,BD14)</f>
        <v/>
      </c>
      <c r="BH14" s="2474">
        <f>SUM(BF14,BD14,BA14,AX14,AU14,AP14)</f>
        <v/>
      </c>
      <c r="BI14" s="2475">
        <f>SUM(BD14,BA14,AX14,AU14)</f>
        <v/>
      </c>
      <c r="BJ14" s="192">
        <f>BI14/BH14</f>
        <v/>
      </c>
      <c r="BM14" s="192" t="n">
        <v>0.05</v>
      </c>
      <c r="BN14" s="2472" t="n">
        <v>1000000000</v>
      </c>
      <c r="BP14" s="192" t="n">
        <v>0.03</v>
      </c>
      <c r="BQ14" s="2472" t="n">
        <v>1000000000</v>
      </c>
      <c r="BR14" s="2472" t="n"/>
      <c r="BS14" s="192" t="n">
        <v>0.18</v>
      </c>
      <c r="BT14" s="2472" t="n">
        <v>1000000000</v>
      </c>
      <c r="BV14" s="2473" t="n">
        <v>0</v>
      </c>
      <c r="BW14" s="2472" t="n">
        <v>1000000000</v>
      </c>
      <c r="BZ14" s="2472" t="n">
        <v>7000</v>
      </c>
      <c r="CA14" s="2472" t="n"/>
      <c r="CB14" s="2472" t="n"/>
      <c r="CC14" s="2472">
        <f>BZ14</f>
        <v/>
      </c>
      <c r="CD14" s="2472" t="n"/>
      <c r="CE14" s="2472" t="n"/>
      <c r="CF14" s="2472">
        <f>BZ14+CC14</f>
        <v/>
      </c>
      <c r="CG14" s="2472" t="n"/>
      <c r="CH14" s="2472" t="n"/>
      <c r="CI14" s="2472">
        <f>CF14</f>
        <v/>
      </c>
      <c r="CJ14" s="192">
        <f>IF(BZ14&lt;=BN$4,BM$4,IF(BZ14&lt;=BN$5,BM$5,IF(BZ14&lt;=BN$6,BM$6,IF(BZ14&lt;=BN$7,BM$7,IF(BZ14&lt;=BN$12,BM$12,IF(BZ14&lt;=BN$13,BM$13,IF(BZ14&lt;=BN$14,BM$14,0.05)))))))</f>
        <v/>
      </c>
      <c r="CK14" s="2472">
        <f>CJ14*BZ14</f>
        <v/>
      </c>
      <c r="CL14" s="192" t="n"/>
      <c r="CM14" s="192">
        <f>IF(CC14&lt;=BQ$4,BP$4,IF(CC14&lt;=BQ$5,BP$5,IF(CC14&lt;=BQ$6,BP$6,IF(CC14&lt;=BQ$7,BP$7,IF(CC14&lt;=BQ$12,BP$12,IF(CC14&lt;=BQ$13,BP$13,IF(CC14&lt;=BQ$14,BP$14,0.05)))))))</f>
        <v/>
      </c>
      <c r="CN14" s="2472">
        <f>CM14*CC14</f>
        <v/>
      </c>
      <c r="CO14" s="192" t="n"/>
      <c r="CP14" s="192">
        <f>IF(CF14&lt;=BT$4,BS$4,IF(CF14&lt;=BT$5,BS$5,IF(CF14&lt;=BT$6,BS$6,IF(CF14&lt;=BT$7,BS$7,IF(CF14&lt;=BT$12,BS$12,IF(CF14&lt;=BT$13,BS$13,IF(CF14&lt;=BT$14,BS$14,0.05)))))))</f>
        <v/>
      </c>
      <c r="CQ14" s="2472">
        <f>CP14*SUM(CN14,CK14,CF14)</f>
        <v/>
      </c>
      <c r="CR14" s="192" t="n"/>
      <c r="CS14" s="2473">
        <f>IF(CI14&lt;=BW$4,BV$4,IF(CI14&lt;=BW$5,BV$5,IF(CI14&lt;=BW$6,BV$6,IF(CI14&lt;=BW$7,BV$7,IF(CI14&lt;=BW$12,BV$12,IF(CI14&lt;=BW$13,BV$13,IF(CI14&lt;=BW$14,BV$14,0.05)))))))</f>
        <v/>
      </c>
      <c r="CT14" s="2472">
        <f>CS14*CI14</f>
        <v/>
      </c>
      <c r="CV14" s="2474">
        <f>0.07*SUM(CF14,CK14,CN14,CQ14,CT14)</f>
        <v/>
      </c>
      <c r="CX14" s="2474">
        <f>SUM(CV14,CT14,CQ14,CN14,CK14,CF14)</f>
        <v/>
      </c>
      <c r="CY14" s="2475">
        <f>SUM(CT14,CQ14,CN14,CK14)</f>
        <v/>
      </c>
      <c r="CZ14" s="192">
        <f>CY14/CX14</f>
        <v/>
      </c>
    </row>
    <row r="15" ht="16.2" customHeight="1" thickBot="1">
      <c r="A15" s="479" t="n"/>
      <c r="B15" s="1" t="n"/>
      <c r="C15" s="4" t="n"/>
      <c r="D15" s="1" t="n"/>
      <c r="E15" s="204" t="n"/>
      <c r="F15" s="53" t="n"/>
      <c r="G15" s="2299" t="n"/>
      <c r="H15" s="593" t="n"/>
      <c r="I15" s="2145" t="n"/>
      <c r="J15" s="2149" t="n"/>
      <c r="K15" s="2149" t="n"/>
      <c r="L15" s="2302" t="n"/>
      <c r="M15" s="2302" t="n"/>
      <c r="AJ15" s="2472" t="n">
        <v>8000</v>
      </c>
      <c r="AK15" s="2472" t="n"/>
      <c r="AL15" s="2472" t="n"/>
      <c r="AM15" s="2472">
        <f>AJ15</f>
        <v/>
      </c>
      <c r="AN15" s="2472" t="n"/>
      <c r="AO15" s="2472" t="n"/>
      <c r="AP15" s="2472">
        <f>AJ15+AM15</f>
        <v/>
      </c>
      <c r="AQ15" s="2472" t="n"/>
      <c r="AR15" s="2472" t="n"/>
      <c r="AS15" s="2472">
        <f>AP15</f>
        <v/>
      </c>
      <c r="AT15" s="192">
        <f>IF(AJ15&lt;=#REF!,#REF!,IF(AJ15&lt;=#REF!,#REF!,IF(AJ15&lt;=#REF!,#REF!,IF(AJ15&lt;=#REF!,#REF!,IF(AJ15&lt;=#REF!,#REF!,IF(AJ15&lt;=#REF!,#REF!,IF(AJ15&lt;=#REF!,#REF!,0.05)))))))</f>
        <v/>
      </c>
      <c r="AU15" s="2472">
        <f>AT15*AJ15</f>
        <v/>
      </c>
      <c r="AV15" s="192" t="n"/>
      <c r="AW15" s="192">
        <f>IF(AM15&lt;=#REF!,#REF!,IF(AM15&lt;=#REF!,#REF!,IF(AM15&lt;=#REF!,#REF!,IF(AM15&lt;=#REF!,#REF!,IF(AM15&lt;=#REF!,#REF!,IF(AM15&lt;=#REF!,#REF!,IF(AM15&lt;=#REF!,#REF!,0.05)))))))</f>
        <v/>
      </c>
      <c r="AX15" s="2472">
        <f>AW15*AM15</f>
        <v/>
      </c>
      <c r="AY15" s="192" t="n"/>
      <c r="AZ15" s="192">
        <f>IF(AP15&lt;=#REF!,#REF!,IF(AP15&lt;=#REF!,#REF!,IF(AP15&lt;=#REF!,#REF!,IF(AP15&lt;=#REF!,#REF!,IF(AP15&lt;=#REF!,#REF!,IF(AP15&lt;=#REF!,#REF!,IF(AP15&lt;=#REF!,#REF!,0.05)))))))</f>
        <v/>
      </c>
      <c r="BA15" s="2472">
        <f>AZ15*SUM(AX15,AU15,AP15)</f>
        <v/>
      </c>
      <c r="BB15" s="192" t="n"/>
      <c r="BC15" s="2473">
        <f>IF(AS15&lt;=#REF!,#REF!,IF(AS15&lt;=#REF!,#REF!,IF(AS15&lt;=#REF!,#REF!,IF(AS15&lt;=#REF!,#REF!,IF(AS15&lt;=#REF!,#REF!,IF(AS15&lt;=#REF!,#REF!,IF(AS15&lt;=#REF!,#REF!,0.05)))))))</f>
        <v/>
      </c>
      <c r="BD15" s="2472">
        <f>BC15*AS15</f>
        <v/>
      </c>
      <c r="BF15" s="2474">
        <f>0.07*SUM(AP15,AU15,AX15,BA15,BD15)</f>
        <v/>
      </c>
      <c r="BH15" s="2474">
        <f>SUM(BF15,BD15,BA15,AX15,AU15,AP15)</f>
        <v/>
      </c>
      <c r="BI15" s="2475">
        <f>SUM(BD15,BA15,AX15,AU15)</f>
        <v/>
      </c>
      <c r="BJ15" s="192">
        <f>BI15/BH15</f>
        <v/>
      </c>
      <c r="BZ15" s="2472" t="n">
        <v>8000</v>
      </c>
      <c r="CA15" s="2472" t="n"/>
      <c r="CB15" s="2472" t="n"/>
      <c r="CC15" s="2472">
        <f>BZ15</f>
        <v/>
      </c>
      <c r="CD15" s="2472" t="n"/>
      <c r="CE15" s="2472" t="n"/>
      <c r="CF15" s="2472">
        <f>BZ15+CC15</f>
        <v/>
      </c>
      <c r="CG15" s="2472" t="n"/>
      <c r="CH15" s="2472" t="n"/>
      <c r="CI15" s="2472">
        <f>CF15</f>
        <v/>
      </c>
      <c r="CJ15" s="192">
        <f>IF(BZ15&lt;=BN$4,BM$4,IF(BZ15&lt;=BN$5,BM$5,IF(BZ15&lt;=BN$6,BM$6,IF(BZ15&lt;=BN$7,BM$7,IF(BZ15&lt;=BN$12,BM$12,IF(BZ15&lt;=BN$13,BM$13,IF(BZ15&lt;=BN$14,BM$14,0.05)))))))</f>
        <v/>
      </c>
      <c r="CK15" s="2472">
        <f>CJ15*BZ15</f>
        <v/>
      </c>
      <c r="CL15" s="192" t="n"/>
      <c r="CM15" s="192">
        <f>IF(CC15&lt;=BQ$4,BP$4,IF(CC15&lt;=BQ$5,BP$5,IF(CC15&lt;=BQ$6,BP$6,IF(CC15&lt;=BQ$7,BP$7,IF(CC15&lt;=BQ$12,BP$12,IF(CC15&lt;=BQ$13,BP$13,IF(CC15&lt;=BQ$14,BP$14,0.05)))))))</f>
        <v/>
      </c>
      <c r="CN15" s="2472">
        <f>CM15*CC15</f>
        <v/>
      </c>
      <c r="CO15" s="192" t="n"/>
      <c r="CP15" s="192">
        <f>IF(CF15&lt;=BT$4,BS$4,IF(CF15&lt;=BT$5,BS$5,IF(CF15&lt;=BT$6,BS$6,IF(CF15&lt;=BT$7,BS$7,IF(CF15&lt;=BT$12,BS$12,IF(CF15&lt;=BT$13,BS$13,IF(CF15&lt;=BT$14,BS$14,0.05)))))))</f>
        <v/>
      </c>
      <c r="CQ15" s="2472">
        <f>CP15*SUM(CN15,CK15,CF15)</f>
        <v/>
      </c>
      <c r="CR15" s="192" t="n"/>
      <c r="CS15" s="2473">
        <f>IF(CI15&lt;=BW$4,BV$4,IF(CI15&lt;=BW$5,BV$5,IF(CI15&lt;=BW$6,BV$6,IF(CI15&lt;=BW$7,BV$7,IF(CI15&lt;=BW$12,BV$12,IF(CI15&lt;=BW$13,BV$13,IF(CI15&lt;=BW$14,BV$14,0.05)))))))</f>
        <v/>
      </c>
      <c r="CT15" s="2472">
        <f>CS15*CI15</f>
        <v/>
      </c>
      <c r="CV15" s="2474">
        <f>0.07*SUM(CF15,CK15,CN15,CQ15,CT15)</f>
        <v/>
      </c>
      <c r="CX15" s="2474">
        <f>SUM(CV15,CT15,CQ15,CN15,CK15,CF15)</f>
        <v/>
      </c>
      <c r="CY15" s="2475">
        <f>SUM(CT15,CQ15,CN15,CK15)</f>
        <v/>
      </c>
      <c r="CZ15" s="192">
        <f>CY15/CX15</f>
        <v/>
      </c>
    </row>
    <row r="16" ht="16.2" customHeight="1" thickBot="1">
      <c r="A16" s="182" t="inlineStr">
        <is>
          <t>Total Base Bid:</t>
        </is>
      </c>
      <c r="B16" s="2303">
        <f>D84</f>
        <v/>
      </c>
      <c r="C16" s="184" t="inlineStr">
        <is>
          <t>$ / SF:</t>
        </is>
      </c>
      <c r="D16" s="2304">
        <f>C84</f>
        <v/>
      </c>
      <c r="E16" s="53" t="n"/>
      <c r="F16" s="53" t="n"/>
      <c r="G16" s="53" t="n"/>
      <c r="H16" s="593" t="n"/>
      <c r="I16" s="2145" t="n"/>
      <c r="J16" s="2149" t="n"/>
      <c r="K16" s="2149" t="n"/>
      <c r="M16" s="2145" t="n"/>
      <c r="N16" s="1" t="n"/>
      <c r="O16" s="1" t="n"/>
      <c r="P16" s="1" t="n"/>
      <c r="AJ16" s="2472" t="n">
        <v>9000</v>
      </c>
      <c r="AK16" s="2472" t="n"/>
      <c r="AL16" s="2472" t="n"/>
      <c r="AM16" s="2472">
        <f>AJ16</f>
        <v/>
      </c>
      <c r="AN16" s="2472" t="n"/>
      <c r="AO16" s="2472" t="n"/>
      <c r="AP16" s="2472">
        <f>AJ16+AM16</f>
        <v/>
      </c>
      <c r="AQ16" s="2472" t="n"/>
      <c r="AR16" s="2472" t="n"/>
      <c r="AS16" s="2472">
        <f>AP16</f>
        <v/>
      </c>
      <c r="AT16" s="192">
        <f>IF(AJ16&lt;=#REF!,#REF!,IF(AJ16&lt;=#REF!,#REF!,IF(AJ16&lt;=#REF!,#REF!,IF(AJ16&lt;=#REF!,#REF!,IF(AJ16&lt;=#REF!,#REF!,IF(AJ16&lt;=#REF!,#REF!,IF(AJ16&lt;=#REF!,#REF!,0.05)))))))</f>
        <v/>
      </c>
      <c r="AU16" s="2472">
        <f>AT16*AJ16</f>
        <v/>
      </c>
      <c r="AV16" s="192" t="n"/>
      <c r="AW16" s="192">
        <f>IF(AM16&lt;=#REF!,#REF!,IF(AM16&lt;=#REF!,#REF!,IF(AM16&lt;=#REF!,#REF!,IF(AM16&lt;=#REF!,#REF!,IF(AM16&lt;=#REF!,#REF!,IF(AM16&lt;=#REF!,#REF!,IF(AM16&lt;=#REF!,#REF!,0.05)))))))</f>
        <v/>
      </c>
      <c r="AX16" s="2472">
        <f>AW16*AM16</f>
        <v/>
      </c>
      <c r="AY16" s="192" t="n"/>
      <c r="AZ16" s="192">
        <f>IF(AP16&lt;=#REF!,#REF!,IF(AP16&lt;=#REF!,#REF!,IF(AP16&lt;=#REF!,#REF!,IF(AP16&lt;=#REF!,#REF!,IF(AP16&lt;=#REF!,#REF!,IF(AP16&lt;=#REF!,#REF!,IF(AP16&lt;=#REF!,#REF!,0.05)))))))</f>
        <v/>
      </c>
      <c r="BA16" s="2472">
        <f>AZ16*SUM(AX16,AU16,AP16)</f>
        <v/>
      </c>
      <c r="BB16" s="192" t="n"/>
      <c r="BC16" s="2473">
        <f>IF(AS16&lt;=#REF!,#REF!,IF(AS16&lt;=#REF!,#REF!,IF(AS16&lt;=#REF!,#REF!,IF(AS16&lt;=#REF!,#REF!,IF(AS16&lt;=#REF!,#REF!,IF(AS16&lt;=#REF!,#REF!,IF(AS16&lt;=#REF!,#REF!,0.05)))))))</f>
        <v/>
      </c>
      <c r="BD16" s="2472">
        <f>BC16*AS16</f>
        <v/>
      </c>
      <c r="BF16" s="2474">
        <f>0.07*SUM(AP16,AU16,AX16,BA16,BD16)</f>
        <v/>
      </c>
      <c r="BH16" s="2474">
        <f>SUM(BF16,BD16,BA16,AX16,AU16,AP16)</f>
        <v/>
      </c>
      <c r="BI16" s="2475">
        <f>SUM(BD16,BA16,AX16,AU16)</f>
        <v/>
      </c>
      <c r="BJ16" s="192">
        <f>BI16/BH16</f>
        <v/>
      </c>
      <c r="BZ16" s="2472" t="n">
        <v>9000</v>
      </c>
      <c r="CA16" s="2472" t="n"/>
      <c r="CB16" s="2472" t="n"/>
      <c r="CC16" s="2472">
        <f>BZ16</f>
        <v/>
      </c>
      <c r="CD16" s="2472" t="n"/>
      <c r="CE16" s="2472" t="n"/>
      <c r="CF16" s="2472">
        <f>BZ16+CC16</f>
        <v/>
      </c>
      <c r="CG16" s="2472" t="n"/>
      <c r="CH16" s="2472" t="n"/>
      <c r="CI16" s="2472">
        <f>CF16</f>
        <v/>
      </c>
      <c r="CJ16" s="192">
        <f>IF(BZ16&lt;=BN$4,BM$4,IF(BZ16&lt;=BN$5,BM$5,IF(BZ16&lt;=BN$6,BM$6,IF(BZ16&lt;=BN$7,BM$7,IF(BZ16&lt;=BN$12,BM$12,IF(BZ16&lt;=BN$13,BM$13,IF(BZ16&lt;=BN$14,BM$14,0.05)))))))</f>
        <v/>
      </c>
      <c r="CK16" s="2472">
        <f>CJ16*BZ16</f>
        <v/>
      </c>
      <c r="CL16" s="192" t="n"/>
      <c r="CM16" s="192">
        <f>IF(CC16&lt;=BQ$4,BP$4,IF(CC16&lt;=BQ$5,BP$5,IF(CC16&lt;=BQ$6,BP$6,IF(CC16&lt;=BQ$7,BP$7,IF(CC16&lt;=BQ$12,BP$12,IF(CC16&lt;=BQ$13,BP$13,IF(CC16&lt;=BQ$14,BP$14,0.05)))))))</f>
        <v/>
      </c>
      <c r="CN16" s="2472">
        <f>CM16*CC16</f>
        <v/>
      </c>
      <c r="CO16" s="192" t="n"/>
      <c r="CP16" s="192">
        <f>IF(CF16&lt;=BT$4,BS$4,IF(CF16&lt;=BT$5,BS$5,IF(CF16&lt;=BT$6,BS$6,IF(CF16&lt;=BT$7,BS$7,IF(CF16&lt;=BT$12,BS$12,IF(CF16&lt;=BT$13,BS$13,IF(CF16&lt;=BT$14,BS$14,0.05)))))))</f>
        <v/>
      </c>
      <c r="CQ16" s="2472">
        <f>CP16*SUM(CN16,CK16,CF16)</f>
        <v/>
      </c>
      <c r="CR16" s="192" t="n"/>
      <c r="CS16" s="2473">
        <f>IF(CI16&lt;=BW$4,BV$4,IF(CI16&lt;=BW$5,BV$5,IF(CI16&lt;=BW$6,BV$6,IF(CI16&lt;=BW$7,BV$7,IF(CI16&lt;=BW$12,BV$12,IF(CI16&lt;=BW$13,BV$13,IF(CI16&lt;=BW$14,BV$14,0.05)))))))</f>
        <v/>
      </c>
      <c r="CT16" s="2472">
        <f>CS16*CI16</f>
        <v/>
      </c>
      <c r="CV16" s="2474">
        <f>0.07*SUM(CF16,CK16,CN16,CQ16,CT16)</f>
        <v/>
      </c>
      <c r="CX16" s="2474">
        <f>SUM(CV16,CT16,CQ16,CN16,CK16,CF16)</f>
        <v/>
      </c>
      <c r="CY16" s="2475">
        <f>SUM(CT16,CQ16,CN16,CK16)</f>
        <v/>
      </c>
      <c r="CZ16" s="192">
        <f>CY16/CX16</f>
        <v/>
      </c>
    </row>
    <row r="17">
      <c r="A17" s="25" t="inlineStr">
        <is>
          <t>MATERIAL - Patch</t>
        </is>
      </c>
      <c r="B17" s="90" t="inlineStr">
        <is>
          <t>Quantity</t>
        </is>
      </c>
      <c r="C17" s="90" t="inlineStr">
        <is>
          <t>Cost</t>
        </is>
      </c>
      <c r="D17" s="91" t="inlineStr">
        <is>
          <t>Total</t>
        </is>
      </c>
      <c r="E17" s="23" t="n"/>
      <c r="F17" s="89" t="n"/>
      <c r="H17" s="593" t="n"/>
      <c r="I17" s="90" t="n"/>
      <c r="J17" s="90" t="n"/>
      <c r="K17" s="2476" t="n"/>
      <c r="P17" s="2312" t="n"/>
      <c r="AJ17" s="2472" t="n">
        <v>10000</v>
      </c>
      <c r="AK17" s="2472" t="n"/>
      <c r="AL17" s="2472" t="n"/>
      <c r="AM17" s="2472">
        <f>AJ17</f>
        <v/>
      </c>
      <c r="AN17" s="2472" t="n"/>
      <c r="AO17" s="2472" t="n"/>
      <c r="AP17" s="2472">
        <f>AJ17+AM17</f>
        <v/>
      </c>
      <c r="AQ17" s="2472" t="n"/>
      <c r="AR17" s="2472" t="n"/>
      <c r="AS17" s="2472">
        <f>AP17</f>
        <v/>
      </c>
      <c r="AT17" s="192">
        <f>IF(AJ17&lt;=#REF!,#REF!,IF(AJ17&lt;=#REF!,#REF!,IF(AJ17&lt;=#REF!,#REF!,IF(AJ17&lt;=#REF!,#REF!,IF(AJ17&lt;=#REF!,#REF!,IF(AJ17&lt;=#REF!,#REF!,IF(AJ17&lt;=#REF!,#REF!,0.05)))))))</f>
        <v/>
      </c>
      <c r="AU17" s="2472">
        <f>AT17*AJ17</f>
        <v/>
      </c>
      <c r="AV17" s="192" t="n"/>
      <c r="AW17" s="192">
        <f>IF(AM17&lt;=#REF!,#REF!,IF(AM17&lt;=#REF!,#REF!,IF(AM17&lt;=#REF!,#REF!,IF(AM17&lt;=#REF!,#REF!,IF(AM17&lt;=#REF!,#REF!,IF(AM17&lt;=#REF!,#REF!,IF(AM17&lt;=#REF!,#REF!,0.05)))))))</f>
        <v/>
      </c>
      <c r="AX17" s="2472">
        <f>AW17*AM17</f>
        <v/>
      </c>
      <c r="AY17" s="192" t="n"/>
      <c r="AZ17" s="192">
        <f>IF(AP17&lt;=#REF!,#REF!,IF(AP17&lt;=#REF!,#REF!,IF(AP17&lt;=#REF!,#REF!,IF(AP17&lt;=#REF!,#REF!,IF(AP17&lt;=#REF!,#REF!,IF(AP17&lt;=#REF!,#REF!,IF(AP17&lt;=#REF!,#REF!,0.05)))))))</f>
        <v/>
      </c>
      <c r="BA17" s="2472">
        <f>AZ17*SUM(AX17,AU17,AP17)</f>
        <v/>
      </c>
      <c r="BB17" s="192" t="n"/>
      <c r="BC17" s="2473">
        <f>IF(AS17&lt;=#REF!,#REF!,IF(AS17&lt;=#REF!,#REF!,IF(AS17&lt;=#REF!,#REF!,IF(AS17&lt;=#REF!,#REF!,IF(AS17&lt;=#REF!,#REF!,IF(AS17&lt;=#REF!,#REF!,IF(AS17&lt;=#REF!,#REF!,0.05)))))))</f>
        <v/>
      </c>
      <c r="BD17" s="2472">
        <f>BC17*AS17</f>
        <v/>
      </c>
      <c r="BF17" s="2474">
        <f>0.07*SUM(AP17,AU17,AX17,BA17,BD17)</f>
        <v/>
      </c>
      <c r="BH17" s="2474">
        <f>SUM(BF17,BD17,BA17,AX17,AU17,AP17)</f>
        <v/>
      </c>
      <c r="BI17" s="2475">
        <f>SUM(BD17,BA17,AX17,AU17)</f>
        <v/>
      </c>
      <c r="BJ17" s="192">
        <f>BI17/BH17</f>
        <v/>
      </c>
      <c r="BZ17" s="2472" t="n">
        <v>10000</v>
      </c>
      <c r="CA17" s="2472" t="n"/>
      <c r="CB17" s="2472" t="n"/>
      <c r="CC17" s="2472">
        <f>BZ17</f>
        <v/>
      </c>
      <c r="CD17" s="2472" t="n"/>
      <c r="CE17" s="2472" t="n"/>
      <c r="CF17" s="2472">
        <f>BZ17+CC17</f>
        <v/>
      </c>
      <c r="CG17" s="2472" t="n"/>
      <c r="CH17" s="2472" t="n"/>
      <c r="CI17" s="2472">
        <f>CF17</f>
        <v/>
      </c>
      <c r="CJ17" s="192">
        <f>IF(BZ17&lt;=BN$4,BM$4,IF(BZ17&lt;=BN$5,BM$5,IF(BZ17&lt;=BN$6,BM$6,IF(BZ17&lt;=BN$7,BM$7,IF(BZ17&lt;=BN$12,BM$12,IF(BZ17&lt;=BN$13,BM$13,IF(BZ17&lt;=BN$14,BM$14,0.05)))))))</f>
        <v/>
      </c>
      <c r="CK17" s="2472">
        <f>CJ17*BZ17</f>
        <v/>
      </c>
      <c r="CL17" s="192" t="n"/>
      <c r="CM17" s="192">
        <f>IF(CC17&lt;=BQ$4,BP$4,IF(CC17&lt;=BQ$5,BP$5,IF(CC17&lt;=BQ$6,BP$6,IF(CC17&lt;=BQ$7,BP$7,IF(CC17&lt;=BQ$12,BP$12,IF(CC17&lt;=BQ$13,BP$13,IF(CC17&lt;=BQ$14,BP$14,0.05)))))))</f>
        <v/>
      </c>
      <c r="CN17" s="2472">
        <f>CM17*CC17</f>
        <v/>
      </c>
      <c r="CO17" s="192" t="n"/>
      <c r="CP17" s="192">
        <f>IF(CF17&lt;=BT$4,BS$4,IF(CF17&lt;=BT$5,BS$5,IF(CF17&lt;=BT$6,BS$6,IF(CF17&lt;=BT$7,BS$7,IF(CF17&lt;=BT$12,BS$12,IF(CF17&lt;=BT$13,BS$13,IF(CF17&lt;=BT$14,BS$14,0.05)))))))</f>
        <v/>
      </c>
      <c r="CQ17" s="2472">
        <f>CP17*SUM(CN17,CK17,CF17)</f>
        <v/>
      </c>
      <c r="CR17" s="192" t="n"/>
      <c r="CS17" s="2473">
        <f>IF(CI17&lt;=BW$4,BV$4,IF(CI17&lt;=BW$5,BV$5,IF(CI17&lt;=BW$6,BV$6,IF(CI17&lt;=BW$7,BV$7,IF(CI17&lt;=BW$12,BV$12,IF(CI17&lt;=BW$13,BV$13,IF(CI17&lt;=BW$14,BV$14,0.05)))))))</f>
        <v/>
      </c>
      <c r="CT17" s="2472">
        <f>CS17*CI17</f>
        <v/>
      </c>
      <c r="CV17" s="2474">
        <f>0.07*SUM(CF17,CK17,CN17,CQ17,CT17)</f>
        <v/>
      </c>
      <c r="CX17" s="2474">
        <f>SUM(CV17,CT17,CQ17,CN17,CK17,CF17)</f>
        <v/>
      </c>
      <c r="CY17" s="2475">
        <f>SUM(CT17,CQ17,CN17,CK17)</f>
        <v/>
      </c>
      <c r="CZ17" s="192">
        <f>CY17/CX17</f>
        <v/>
      </c>
    </row>
    <row r="18">
      <c r="A18" s="44" t="n"/>
      <c r="B18" s="2306" t="n"/>
      <c r="C18" s="2312" t="n"/>
      <c r="D18" s="2308">
        <f>B18*C18</f>
        <v/>
      </c>
      <c r="E18" s="1" t="n"/>
      <c r="F18" s="1" t="n"/>
      <c r="H18" s="593" t="n"/>
      <c r="I18" s="2282" t="n"/>
      <c r="J18" s="2309" t="n"/>
      <c r="K18" s="2281" t="n"/>
      <c r="L18" s="2311" t="n"/>
      <c r="M18" s="73" t="n"/>
      <c r="P18" s="2282" t="n"/>
      <c r="AJ18" s="2472" t="n">
        <v>11000</v>
      </c>
      <c r="AK18" s="2472" t="n"/>
      <c r="AL18" s="2472" t="n"/>
      <c r="AM18" s="2472">
        <f>AJ18</f>
        <v/>
      </c>
      <c r="AN18" s="2472" t="n"/>
      <c r="AO18" s="2472" t="n"/>
      <c r="AP18" s="2472">
        <f>AJ18+AM18</f>
        <v/>
      </c>
      <c r="AQ18" s="2472" t="n"/>
      <c r="AR18" s="2472" t="n"/>
      <c r="AS18" s="2472">
        <f>AP18</f>
        <v/>
      </c>
      <c r="AT18" s="192">
        <f>IF(AJ18&lt;=#REF!,#REF!,IF(AJ18&lt;=#REF!,#REF!,IF(AJ18&lt;=#REF!,#REF!,IF(AJ18&lt;=#REF!,#REF!,IF(AJ18&lt;=#REF!,#REF!,IF(AJ18&lt;=#REF!,#REF!,IF(AJ18&lt;=#REF!,#REF!,0.05)))))))</f>
        <v/>
      </c>
      <c r="AU18" s="2472">
        <f>AT18*AJ18</f>
        <v/>
      </c>
      <c r="AV18" s="192" t="n"/>
      <c r="AW18" s="192">
        <f>IF(AM18&lt;=#REF!,#REF!,IF(AM18&lt;=#REF!,#REF!,IF(AM18&lt;=#REF!,#REF!,IF(AM18&lt;=#REF!,#REF!,IF(AM18&lt;=#REF!,#REF!,IF(AM18&lt;=#REF!,#REF!,IF(AM18&lt;=#REF!,#REF!,0.05)))))))</f>
        <v/>
      </c>
      <c r="AX18" s="2472">
        <f>AW18*AM18</f>
        <v/>
      </c>
      <c r="AY18" s="192" t="n"/>
      <c r="AZ18" s="192">
        <f>IF(AP18&lt;=#REF!,#REF!,IF(AP18&lt;=#REF!,#REF!,IF(AP18&lt;=#REF!,#REF!,IF(AP18&lt;=#REF!,#REF!,IF(AP18&lt;=#REF!,#REF!,IF(AP18&lt;=#REF!,#REF!,IF(AP18&lt;=#REF!,#REF!,0.05)))))))</f>
        <v/>
      </c>
      <c r="BA18" s="2472">
        <f>AZ18*SUM(AX18,AU18,AP18)</f>
        <v/>
      </c>
      <c r="BB18" s="192" t="n"/>
      <c r="BC18" s="2473">
        <f>IF(AS18&lt;=#REF!,#REF!,IF(AS18&lt;=#REF!,#REF!,IF(AS18&lt;=#REF!,#REF!,IF(AS18&lt;=#REF!,#REF!,IF(AS18&lt;=#REF!,#REF!,IF(AS18&lt;=#REF!,#REF!,IF(AS18&lt;=#REF!,#REF!,0.05)))))))</f>
        <v/>
      </c>
      <c r="BD18" s="2472">
        <f>BC18*AS18</f>
        <v/>
      </c>
      <c r="BF18" s="2474">
        <f>0.07*SUM(AP18,AU18,AX18,BA18,BD18)</f>
        <v/>
      </c>
      <c r="BH18" s="2474">
        <f>SUM(BF18,BD18,BA18,AX18,AU18,AP18)</f>
        <v/>
      </c>
      <c r="BI18" s="2475">
        <f>SUM(BD18,BA18,AX18,AU18)</f>
        <v/>
      </c>
      <c r="BJ18" s="192">
        <f>BI18/BH18</f>
        <v/>
      </c>
      <c r="BZ18" s="2472" t="n">
        <v>11000</v>
      </c>
      <c r="CA18" s="2472" t="n"/>
      <c r="CB18" s="2472" t="n"/>
      <c r="CC18" s="2472">
        <f>BZ18</f>
        <v/>
      </c>
      <c r="CD18" s="2472" t="n"/>
      <c r="CE18" s="2472" t="n"/>
      <c r="CF18" s="2472">
        <f>BZ18+CC18</f>
        <v/>
      </c>
      <c r="CG18" s="2472" t="n"/>
      <c r="CH18" s="2472" t="n"/>
      <c r="CI18" s="2472">
        <f>CF18</f>
        <v/>
      </c>
      <c r="CJ18" s="192">
        <f>IF(BZ18&lt;=BN$4,BM$4,IF(BZ18&lt;=BN$5,BM$5,IF(BZ18&lt;=BN$6,BM$6,IF(BZ18&lt;=BN$7,BM$7,IF(BZ18&lt;=BN$12,BM$12,IF(BZ18&lt;=BN$13,BM$13,IF(BZ18&lt;=BN$14,BM$14,0.05)))))))</f>
        <v/>
      </c>
      <c r="CK18" s="2472">
        <f>CJ18*BZ18</f>
        <v/>
      </c>
      <c r="CL18" s="192" t="n"/>
      <c r="CM18" s="192">
        <f>IF(CC18&lt;=BQ$4,BP$4,IF(CC18&lt;=BQ$5,BP$5,IF(CC18&lt;=BQ$6,BP$6,IF(CC18&lt;=BQ$7,BP$7,IF(CC18&lt;=BQ$12,BP$12,IF(CC18&lt;=BQ$13,BP$13,IF(CC18&lt;=BQ$14,BP$14,0.05)))))))</f>
        <v/>
      </c>
      <c r="CN18" s="2472">
        <f>CM18*CC18</f>
        <v/>
      </c>
      <c r="CO18" s="192" t="n"/>
      <c r="CP18" s="192">
        <f>IF(CF18&lt;=BT$4,BS$4,IF(CF18&lt;=BT$5,BS$5,IF(CF18&lt;=BT$6,BS$6,IF(CF18&lt;=BT$7,BS$7,IF(CF18&lt;=BT$12,BS$12,IF(CF18&lt;=BT$13,BS$13,IF(CF18&lt;=BT$14,BS$14,0.05)))))))</f>
        <v/>
      </c>
      <c r="CQ18" s="2472">
        <f>CP18*SUM(CN18,CK18,CF18)</f>
        <v/>
      </c>
      <c r="CR18" s="192" t="n"/>
      <c r="CS18" s="2473">
        <f>IF(CI18&lt;=BW$4,BV$4,IF(CI18&lt;=BW$5,BV$5,IF(CI18&lt;=BW$6,BV$6,IF(CI18&lt;=BW$7,BV$7,IF(CI18&lt;=BW$12,BV$12,IF(CI18&lt;=BW$13,BV$13,IF(CI18&lt;=BW$14,BV$14,0.05)))))))</f>
        <v/>
      </c>
      <c r="CT18" s="2472">
        <f>CS18*CI18</f>
        <v/>
      </c>
      <c r="CV18" s="2474">
        <f>0.07*SUM(CF18,CK18,CN18,CQ18,CT18)</f>
        <v/>
      </c>
      <c r="CX18" s="2474">
        <f>SUM(CV18,CT18,CQ18,CN18,CK18,CF18)</f>
        <v/>
      </c>
      <c r="CY18" s="2475">
        <f>SUM(CT18,CQ18,CN18,CK18)</f>
        <v/>
      </c>
      <c r="CZ18" s="192">
        <f>CY18/CX18</f>
        <v/>
      </c>
    </row>
    <row r="19">
      <c r="A19" s="44" t="n"/>
      <c r="B19" s="2306" t="n"/>
      <c r="C19" s="2312" t="n"/>
      <c r="D19" s="2308">
        <f>B19*C19</f>
        <v/>
      </c>
      <c r="E19" s="1" t="n"/>
      <c r="F19" s="1" t="n"/>
      <c r="H19" s="1" t="n"/>
      <c r="I19" s="2282" t="n"/>
      <c r="J19" s="2309" t="n"/>
      <c r="K19" s="2281" t="n"/>
      <c r="L19" s="2317" t="n"/>
      <c r="M19" s="2318" t="n"/>
      <c r="N19" s="220" t="n"/>
      <c r="P19" s="2282" t="n"/>
      <c r="AJ19" s="2472" t="n">
        <v>12000</v>
      </c>
      <c r="AK19" s="2472" t="n"/>
      <c r="AL19" s="2472" t="n"/>
      <c r="AM19" s="2472">
        <f>AJ19</f>
        <v/>
      </c>
      <c r="AN19" s="2472" t="n"/>
      <c r="AO19" s="2472" t="n"/>
      <c r="AP19" s="2472">
        <f>AJ19+AM19</f>
        <v/>
      </c>
      <c r="AQ19" s="2472" t="n"/>
      <c r="AR19" s="2472" t="n"/>
      <c r="AS19" s="2472">
        <f>AP19</f>
        <v/>
      </c>
      <c r="AT19" s="192">
        <f>IF(AJ19&lt;=#REF!,#REF!,IF(AJ19&lt;=#REF!,#REF!,IF(AJ19&lt;=#REF!,#REF!,IF(AJ19&lt;=#REF!,#REF!,IF(AJ19&lt;=#REF!,#REF!,IF(AJ19&lt;=#REF!,#REF!,IF(AJ19&lt;=#REF!,#REF!,0.05)))))))</f>
        <v/>
      </c>
      <c r="AU19" s="2472">
        <f>AT19*AJ19</f>
        <v/>
      </c>
      <c r="AV19" s="192" t="n"/>
      <c r="AW19" s="192">
        <f>IF(AM19&lt;=#REF!,#REF!,IF(AM19&lt;=#REF!,#REF!,IF(AM19&lt;=#REF!,#REF!,IF(AM19&lt;=#REF!,#REF!,IF(AM19&lt;=#REF!,#REF!,IF(AM19&lt;=#REF!,#REF!,IF(AM19&lt;=#REF!,#REF!,0.05)))))))</f>
        <v/>
      </c>
      <c r="AX19" s="2472">
        <f>AW19*AM19</f>
        <v/>
      </c>
      <c r="AY19" s="192" t="n"/>
      <c r="AZ19" s="192">
        <f>IF(AP19&lt;=#REF!,#REF!,IF(AP19&lt;=#REF!,#REF!,IF(AP19&lt;=#REF!,#REF!,IF(AP19&lt;=#REF!,#REF!,IF(AP19&lt;=#REF!,#REF!,IF(AP19&lt;=#REF!,#REF!,IF(AP19&lt;=#REF!,#REF!,0.05)))))))</f>
        <v/>
      </c>
      <c r="BA19" s="2472">
        <f>AZ19*SUM(AX19,AU19,AP19)</f>
        <v/>
      </c>
      <c r="BB19" s="192" t="n"/>
      <c r="BC19" s="2473">
        <f>IF(AS19&lt;=#REF!,#REF!,IF(AS19&lt;=#REF!,#REF!,IF(AS19&lt;=#REF!,#REF!,IF(AS19&lt;=#REF!,#REF!,IF(AS19&lt;=#REF!,#REF!,IF(AS19&lt;=#REF!,#REF!,IF(AS19&lt;=#REF!,#REF!,0.05)))))))</f>
        <v/>
      </c>
      <c r="BD19" s="2472">
        <f>BC19*AS19</f>
        <v/>
      </c>
      <c r="BF19" s="2474">
        <f>0.07*SUM(AP19,AU19,AX19,BA19,BD19)</f>
        <v/>
      </c>
      <c r="BH19" s="2474">
        <f>SUM(BF19,BD19,BA19,AX19,AU19,AP19)</f>
        <v/>
      </c>
      <c r="BI19" s="2475">
        <f>SUM(BD19,BA19,AX19,AU19)</f>
        <v/>
      </c>
      <c r="BJ19" s="192">
        <f>BI19/BH19</f>
        <v/>
      </c>
      <c r="BZ19" s="2472" t="n">
        <v>12000</v>
      </c>
      <c r="CA19" s="2472" t="n"/>
      <c r="CB19" s="2472" t="n"/>
      <c r="CC19" s="2472">
        <f>BZ19</f>
        <v/>
      </c>
      <c r="CD19" s="2472" t="n"/>
      <c r="CE19" s="2472" t="n"/>
      <c r="CF19" s="2472">
        <f>BZ19+CC19</f>
        <v/>
      </c>
      <c r="CG19" s="2472" t="n"/>
      <c r="CH19" s="2472" t="n"/>
      <c r="CI19" s="2472">
        <f>CF19</f>
        <v/>
      </c>
      <c r="CJ19" s="192">
        <f>IF(BZ19&lt;=BN$4,BM$4,IF(BZ19&lt;=BN$5,BM$5,IF(BZ19&lt;=BN$6,BM$6,IF(BZ19&lt;=BN$7,BM$7,IF(BZ19&lt;=BN$12,BM$12,IF(BZ19&lt;=BN$13,BM$13,IF(BZ19&lt;=BN$14,BM$14,0.05)))))))</f>
        <v/>
      </c>
      <c r="CK19" s="2472">
        <f>CJ19*BZ19</f>
        <v/>
      </c>
      <c r="CL19" s="192" t="n"/>
      <c r="CM19" s="192">
        <f>IF(CC19&lt;=BQ$4,BP$4,IF(CC19&lt;=BQ$5,BP$5,IF(CC19&lt;=BQ$6,BP$6,IF(CC19&lt;=BQ$7,BP$7,IF(CC19&lt;=BQ$12,BP$12,IF(CC19&lt;=BQ$13,BP$13,IF(CC19&lt;=BQ$14,BP$14,0.05)))))))</f>
        <v/>
      </c>
      <c r="CN19" s="2472">
        <f>CM19*CC19</f>
        <v/>
      </c>
      <c r="CO19" s="192" t="n"/>
      <c r="CP19" s="192">
        <f>IF(CF19&lt;=BT$4,BS$4,IF(CF19&lt;=BT$5,BS$5,IF(CF19&lt;=BT$6,BS$6,IF(CF19&lt;=BT$7,BS$7,IF(CF19&lt;=BT$12,BS$12,IF(CF19&lt;=BT$13,BS$13,IF(CF19&lt;=BT$14,BS$14,0.05)))))))</f>
        <v/>
      </c>
      <c r="CQ19" s="2472">
        <f>CP19*SUM(CN19,CK19,CF19)</f>
        <v/>
      </c>
      <c r="CR19" s="192" t="n"/>
      <c r="CS19" s="2473">
        <f>IF(CI19&lt;=BW$4,BV$4,IF(CI19&lt;=BW$5,BV$5,IF(CI19&lt;=BW$6,BV$6,IF(CI19&lt;=BW$7,BV$7,IF(CI19&lt;=BW$12,BV$12,IF(CI19&lt;=BW$13,BV$13,IF(CI19&lt;=BW$14,BV$14,0.05)))))))</f>
        <v/>
      </c>
      <c r="CT19" s="2472">
        <f>CS19*CI19</f>
        <v/>
      </c>
      <c r="CV19" s="2474">
        <f>0.07*SUM(CF19,CK19,CN19,CQ19,CT19)</f>
        <v/>
      </c>
      <c r="CX19" s="2474">
        <f>SUM(CV19,CT19,CQ19,CN19,CK19,CF19)</f>
        <v/>
      </c>
      <c r="CY19" s="2475">
        <f>SUM(CT19,CQ19,CN19,CK19)</f>
        <v/>
      </c>
      <c r="CZ19" s="192">
        <f>CY19/CX19</f>
        <v/>
      </c>
    </row>
    <row r="20">
      <c r="A20" s="549" t="inlineStr">
        <is>
          <t>MATERIAL - Powders</t>
        </is>
      </c>
      <c r="B20" s="2319" t="n"/>
      <c r="C20" s="547" t="n"/>
      <c r="D20" s="546" t="n"/>
      <c r="E20" s="2313" t="n">
        <v>0</v>
      </c>
      <c r="F20" s="82" t="inlineStr">
        <is>
          <t>SF</t>
        </is>
      </c>
      <c r="H20" s="1" t="n"/>
      <c r="I20" s="2282" t="n"/>
      <c r="J20" s="2309" t="n"/>
      <c r="K20" s="2281" t="n"/>
      <c r="P20" s="2282" t="n"/>
      <c r="AJ20" s="2472" t="n">
        <v>13000</v>
      </c>
      <c r="AK20" s="2472" t="n"/>
      <c r="AL20" s="2472" t="n"/>
      <c r="AM20" s="2472">
        <f>AJ20</f>
        <v/>
      </c>
      <c r="AN20" s="2472" t="n"/>
      <c r="AO20" s="2472" t="n"/>
      <c r="AP20" s="2472">
        <f>AJ20+AM20</f>
        <v/>
      </c>
      <c r="AQ20" s="2472" t="n"/>
      <c r="AR20" s="2472" t="n"/>
      <c r="AS20" s="2472">
        <f>AP20</f>
        <v/>
      </c>
      <c r="AT20" s="192">
        <f>IF(AJ20&lt;=#REF!,#REF!,IF(AJ20&lt;=#REF!,#REF!,IF(AJ20&lt;=#REF!,#REF!,IF(AJ20&lt;=#REF!,#REF!,IF(AJ20&lt;=#REF!,#REF!,IF(AJ20&lt;=#REF!,#REF!,IF(AJ20&lt;=#REF!,#REF!,0.05)))))))</f>
        <v/>
      </c>
      <c r="AU20" s="2472">
        <f>AT20*AJ20</f>
        <v/>
      </c>
      <c r="AV20" s="192" t="n"/>
      <c r="AW20" s="192">
        <f>IF(AM20&lt;=#REF!,#REF!,IF(AM20&lt;=#REF!,#REF!,IF(AM20&lt;=#REF!,#REF!,IF(AM20&lt;=#REF!,#REF!,IF(AM20&lt;=#REF!,#REF!,IF(AM20&lt;=#REF!,#REF!,IF(AM20&lt;=#REF!,#REF!,0.05)))))))</f>
        <v/>
      </c>
      <c r="AX20" s="2472">
        <f>AW20*AM20</f>
        <v/>
      </c>
      <c r="AY20" s="192" t="n"/>
      <c r="AZ20" s="192">
        <f>IF(AP20&lt;=#REF!,#REF!,IF(AP20&lt;=#REF!,#REF!,IF(AP20&lt;=#REF!,#REF!,IF(AP20&lt;=#REF!,#REF!,IF(AP20&lt;=#REF!,#REF!,IF(AP20&lt;=#REF!,#REF!,IF(AP20&lt;=#REF!,#REF!,0.05)))))))</f>
        <v/>
      </c>
      <c r="BA20" s="2472">
        <f>AZ20*SUM(AX20,AU20,AP20)</f>
        <v/>
      </c>
      <c r="BB20" s="192" t="n"/>
      <c r="BC20" s="2473">
        <f>IF(AS20&lt;=#REF!,#REF!,IF(AS20&lt;=#REF!,#REF!,IF(AS20&lt;=#REF!,#REF!,IF(AS20&lt;=#REF!,#REF!,IF(AS20&lt;=#REF!,#REF!,IF(AS20&lt;=#REF!,#REF!,IF(AS20&lt;=#REF!,#REF!,0.05)))))))</f>
        <v/>
      </c>
      <c r="BD20" s="2472">
        <f>BC20*AS20</f>
        <v/>
      </c>
      <c r="BF20" s="2474">
        <f>0.07*SUM(AP20,AU20,AX20,BA20,BD20)</f>
        <v/>
      </c>
      <c r="BH20" s="2474">
        <f>SUM(BF20,BD20,BA20,AX20,AU20,AP20)</f>
        <v/>
      </c>
      <c r="BI20" s="2475">
        <f>SUM(BD20,BA20,AX20,AU20)</f>
        <v/>
      </c>
      <c r="BJ20" s="192">
        <f>BI20/BH20</f>
        <v/>
      </c>
      <c r="BZ20" s="2472" t="n">
        <v>13000</v>
      </c>
      <c r="CA20" s="2472" t="n"/>
      <c r="CB20" s="2472" t="n"/>
      <c r="CC20" s="2472">
        <f>BZ20</f>
        <v/>
      </c>
      <c r="CD20" s="2472" t="n"/>
      <c r="CE20" s="2472" t="n"/>
      <c r="CF20" s="2472">
        <f>BZ20+CC20</f>
        <v/>
      </c>
      <c r="CG20" s="2472" t="n"/>
      <c r="CH20" s="2472" t="n"/>
      <c r="CI20" s="2472">
        <f>CF20</f>
        <v/>
      </c>
      <c r="CJ20" s="192">
        <f>IF(BZ20&lt;=BN$4,BM$4,IF(BZ20&lt;=BN$5,BM$5,IF(BZ20&lt;=BN$6,BM$6,IF(BZ20&lt;=BN$7,BM$7,IF(BZ20&lt;=BN$12,BM$12,IF(BZ20&lt;=BN$13,BM$13,IF(BZ20&lt;=BN$14,BM$14,0.05)))))))</f>
        <v/>
      </c>
      <c r="CK20" s="2472">
        <f>CJ20*BZ20</f>
        <v/>
      </c>
      <c r="CL20" s="192" t="n"/>
      <c r="CM20" s="192">
        <f>IF(CC20&lt;=BQ$4,BP$4,IF(CC20&lt;=BQ$5,BP$5,IF(CC20&lt;=BQ$6,BP$6,IF(CC20&lt;=BQ$7,BP$7,IF(CC20&lt;=BQ$12,BP$12,IF(CC20&lt;=BQ$13,BP$13,IF(CC20&lt;=BQ$14,BP$14,0.05)))))))</f>
        <v/>
      </c>
      <c r="CN20" s="2472">
        <f>CM20*CC20</f>
        <v/>
      </c>
      <c r="CO20" s="192" t="n"/>
      <c r="CP20" s="192">
        <f>IF(CF20&lt;=BT$4,BS$4,IF(CF20&lt;=BT$5,BS$5,IF(CF20&lt;=BT$6,BS$6,IF(CF20&lt;=BT$7,BS$7,IF(CF20&lt;=BT$12,BS$12,IF(CF20&lt;=BT$13,BS$13,IF(CF20&lt;=BT$14,BS$14,0.05)))))))</f>
        <v/>
      </c>
      <c r="CQ20" s="2472">
        <f>CP20*SUM(CN20,CK20,CF20)</f>
        <v/>
      </c>
      <c r="CR20" s="192" t="n"/>
      <c r="CS20" s="2473">
        <f>IF(CI20&lt;=BW$4,BV$4,IF(CI20&lt;=BW$5,BV$5,IF(CI20&lt;=BW$6,BV$6,IF(CI20&lt;=BW$7,BV$7,IF(CI20&lt;=BW$12,BV$12,IF(CI20&lt;=BW$13,BV$13,IF(CI20&lt;=BW$14,BV$14,0.05)))))))</f>
        <v/>
      </c>
      <c r="CT20" s="2472">
        <f>CS20*CI20</f>
        <v/>
      </c>
      <c r="CV20" s="2474">
        <f>0.07*SUM(CF20,CK20,CN20,CQ20,CT20)</f>
        <v/>
      </c>
      <c r="CX20" s="2474">
        <f>SUM(CV20,CT20,CQ20,CN20,CK20,CF20)</f>
        <v/>
      </c>
      <c r="CY20" s="2475">
        <f>SUM(CT20,CQ20,CN20,CK20)</f>
        <v/>
      </c>
      <c r="CZ20" s="192">
        <f>CY20/CX20</f>
        <v/>
      </c>
    </row>
    <row r="21">
      <c r="A21" s="47" t="inlineStr">
        <is>
          <t>Treadstone FR25</t>
        </is>
      </c>
      <c r="B21" s="2306" t="n"/>
      <c r="C21" s="2282" t="n"/>
      <c r="D21" s="2038">
        <f>B21*C21</f>
        <v/>
      </c>
      <c r="E21" s="2477" t="n"/>
      <c r="F21" s="1" t="n"/>
      <c r="H21" s="1" t="n"/>
      <c r="I21" s="2282" t="n"/>
      <c r="J21" s="2309" t="n"/>
      <c r="K21" s="2281" t="n"/>
      <c r="P21" s="1" t="n"/>
      <c r="AJ21" s="2472" t="n">
        <v>14000</v>
      </c>
      <c r="AK21" s="2472" t="n"/>
      <c r="AL21" s="2472" t="n"/>
      <c r="AM21" s="2472">
        <f>AJ21</f>
        <v/>
      </c>
      <c r="AN21" s="2472" t="n"/>
      <c r="AO21" s="2472" t="n"/>
      <c r="AP21" s="2472">
        <f>AJ21+AM21</f>
        <v/>
      </c>
      <c r="AQ21" s="2472" t="n"/>
      <c r="AR21" s="2472" t="n"/>
      <c r="AS21" s="2472">
        <f>AP21</f>
        <v/>
      </c>
      <c r="AT21" s="192">
        <f>IF(AJ21&lt;=#REF!,#REF!,IF(AJ21&lt;=#REF!,#REF!,IF(AJ21&lt;=#REF!,#REF!,IF(AJ21&lt;=#REF!,#REF!,IF(AJ21&lt;=#REF!,#REF!,IF(AJ21&lt;=#REF!,#REF!,IF(AJ21&lt;=#REF!,#REF!,0.05)))))))</f>
        <v/>
      </c>
      <c r="AU21" s="2472">
        <f>AT21*AJ21</f>
        <v/>
      </c>
      <c r="AV21" s="192" t="n"/>
      <c r="AW21" s="192">
        <f>IF(AM21&lt;=#REF!,#REF!,IF(AM21&lt;=#REF!,#REF!,IF(AM21&lt;=#REF!,#REF!,IF(AM21&lt;=#REF!,#REF!,IF(AM21&lt;=#REF!,#REF!,IF(AM21&lt;=#REF!,#REF!,IF(AM21&lt;=#REF!,#REF!,0.05)))))))</f>
        <v/>
      </c>
      <c r="AX21" s="2472">
        <f>AW21*AM21</f>
        <v/>
      </c>
      <c r="AY21" s="192" t="n"/>
      <c r="AZ21" s="192">
        <f>IF(AP21&lt;=#REF!,#REF!,IF(AP21&lt;=#REF!,#REF!,IF(AP21&lt;=#REF!,#REF!,IF(AP21&lt;=#REF!,#REF!,IF(AP21&lt;=#REF!,#REF!,IF(AP21&lt;=#REF!,#REF!,IF(AP21&lt;=#REF!,#REF!,0.05)))))))</f>
        <v/>
      </c>
      <c r="BA21" s="2472">
        <f>AZ21*SUM(AX21,AU21,AP21)</f>
        <v/>
      </c>
      <c r="BB21" s="192" t="n"/>
      <c r="BC21" s="2473">
        <f>IF(AS21&lt;=#REF!,#REF!,IF(AS21&lt;=#REF!,#REF!,IF(AS21&lt;=#REF!,#REF!,IF(AS21&lt;=#REF!,#REF!,IF(AS21&lt;=#REF!,#REF!,IF(AS21&lt;=#REF!,#REF!,IF(AS21&lt;=#REF!,#REF!,0.05)))))))</f>
        <v/>
      </c>
      <c r="BD21" s="2472">
        <f>BC21*AS21</f>
        <v/>
      </c>
      <c r="BF21" s="2474">
        <f>0.07*SUM(AP21,AU21,AX21,BA21,BD21)</f>
        <v/>
      </c>
      <c r="BH21" s="2474">
        <f>SUM(BF21,BD21,BA21,AX21,AU21,AP21)</f>
        <v/>
      </c>
      <c r="BI21" s="2475">
        <f>SUM(BD21,BA21,AX21,AU21)</f>
        <v/>
      </c>
      <c r="BJ21" s="192">
        <f>BI21/BH21</f>
        <v/>
      </c>
      <c r="BZ21" s="2472" t="n">
        <v>14000</v>
      </c>
      <c r="CA21" s="2472" t="n"/>
      <c r="CB21" s="2472" t="n"/>
      <c r="CC21" s="2472">
        <f>BZ21</f>
        <v/>
      </c>
      <c r="CD21" s="2472" t="n"/>
      <c r="CE21" s="2472" t="n"/>
      <c r="CF21" s="2472">
        <f>BZ21+CC21</f>
        <v/>
      </c>
      <c r="CG21" s="2472" t="n"/>
      <c r="CH21" s="2472" t="n"/>
      <c r="CI21" s="2472">
        <f>CF21</f>
        <v/>
      </c>
      <c r="CJ21" s="192">
        <f>IF(BZ21&lt;=BN$4,BM$4,IF(BZ21&lt;=BN$5,BM$5,IF(BZ21&lt;=BN$6,BM$6,IF(BZ21&lt;=BN$7,BM$7,IF(BZ21&lt;=BN$12,BM$12,IF(BZ21&lt;=BN$13,BM$13,IF(BZ21&lt;=BN$14,BM$14,0.05)))))))</f>
        <v/>
      </c>
      <c r="CK21" s="2472">
        <f>CJ21*BZ21</f>
        <v/>
      </c>
      <c r="CL21" s="192" t="n"/>
      <c r="CM21" s="192">
        <f>IF(CC21&lt;=BQ$4,BP$4,IF(CC21&lt;=BQ$5,BP$5,IF(CC21&lt;=BQ$6,BP$6,IF(CC21&lt;=BQ$7,BP$7,IF(CC21&lt;=BQ$12,BP$12,IF(CC21&lt;=BQ$13,BP$13,IF(CC21&lt;=BQ$14,BP$14,0.05)))))))</f>
        <v/>
      </c>
      <c r="CN21" s="2472">
        <f>CM21*CC21</f>
        <v/>
      </c>
      <c r="CO21" s="192" t="n"/>
      <c r="CP21" s="192">
        <f>IF(CF21&lt;=BT$4,BS$4,IF(CF21&lt;=BT$5,BS$5,IF(CF21&lt;=BT$6,BS$6,IF(CF21&lt;=BT$7,BS$7,IF(CF21&lt;=BT$12,BS$12,IF(CF21&lt;=BT$13,BS$13,IF(CF21&lt;=BT$14,BS$14,0.05)))))))</f>
        <v/>
      </c>
      <c r="CQ21" s="2472">
        <f>CP21*SUM(CN21,CK21,CF21)</f>
        <v/>
      </c>
      <c r="CR21" s="192" t="n"/>
      <c r="CS21" s="2473">
        <f>IF(CI21&lt;=BW$4,BV$4,IF(CI21&lt;=BW$5,BV$5,IF(CI21&lt;=BW$6,BV$6,IF(CI21&lt;=BW$7,BV$7,IF(CI21&lt;=BW$12,BV$12,IF(CI21&lt;=BW$13,BV$13,IF(CI21&lt;=BW$14,BV$14,0.05)))))))</f>
        <v/>
      </c>
      <c r="CT21" s="2472">
        <f>CS21*CI21</f>
        <v/>
      </c>
      <c r="CV21" s="2474">
        <f>0.07*SUM(CF21,CK21,CN21,CQ21,CT21)</f>
        <v/>
      </c>
      <c r="CX21" s="2474">
        <f>SUM(CV21,CT21,CQ21,CN21,CK21,CF21)</f>
        <v/>
      </c>
      <c r="CY21" s="2475">
        <f>SUM(CT21,CQ21,CN21,CK21)</f>
        <v/>
      </c>
      <c r="CZ21" s="192">
        <f>CY21/CX21</f>
        <v/>
      </c>
    </row>
    <row r="22">
      <c r="A22" s="47" t="n"/>
      <c r="B22" s="2306" t="n"/>
      <c r="C22" s="2282" t="n"/>
      <c r="D22" s="2038">
        <f>B22*C22</f>
        <v/>
      </c>
      <c r="E22" s="2477" t="n"/>
      <c r="F22" s="1" t="n"/>
      <c r="G22" s="1" t="n"/>
      <c r="H22" s="1" t="n"/>
      <c r="I22" s="2282" t="n"/>
      <c r="J22" s="2309" t="n"/>
      <c r="K22" s="2281" t="n"/>
      <c r="AJ22" s="2472" t="n">
        <v>15000</v>
      </c>
      <c r="AK22" s="2472" t="n"/>
      <c r="AL22" s="2472" t="n"/>
      <c r="AM22" s="2472">
        <f>AJ22</f>
        <v/>
      </c>
      <c r="AN22" s="2472" t="n"/>
      <c r="AO22" s="2472" t="n"/>
      <c r="AP22" s="2472">
        <f>AJ22+AM22</f>
        <v/>
      </c>
      <c r="AQ22" s="2472" t="n"/>
      <c r="AR22" s="2472" t="n"/>
      <c r="AS22" s="2472">
        <f>AP22</f>
        <v/>
      </c>
      <c r="AT22" s="192">
        <f>IF(AJ22&lt;=#REF!,#REF!,IF(AJ22&lt;=#REF!,#REF!,IF(AJ22&lt;=#REF!,#REF!,IF(AJ22&lt;=#REF!,#REF!,IF(AJ22&lt;=#REF!,#REF!,IF(AJ22&lt;=#REF!,#REF!,IF(AJ22&lt;=#REF!,#REF!,0.05)))))))</f>
        <v/>
      </c>
      <c r="AU22" s="2472">
        <f>AT22*AJ22</f>
        <v/>
      </c>
      <c r="AV22" s="192" t="n"/>
      <c r="AW22" s="192">
        <f>IF(AM22&lt;=#REF!,#REF!,IF(AM22&lt;=#REF!,#REF!,IF(AM22&lt;=#REF!,#REF!,IF(AM22&lt;=#REF!,#REF!,IF(AM22&lt;=#REF!,#REF!,IF(AM22&lt;=#REF!,#REF!,IF(AM22&lt;=#REF!,#REF!,0.05)))))))</f>
        <v/>
      </c>
      <c r="AX22" s="2472">
        <f>AW22*AM22</f>
        <v/>
      </c>
      <c r="AY22" s="192" t="n"/>
      <c r="AZ22" s="192">
        <f>IF(AP22&lt;=#REF!,#REF!,IF(AP22&lt;=#REF!,#REF!,IF(AP22&lt;=#REF!,#REF!,IF(AP22&lt;=#REF!,#REF!,IF(AP22&lt;=#REF!,#REF!,IF(AP22&lt;=#REF!,#REF!,IF(AP22&lt;=#REF!,#REF!,0.05)))))))</f>
        <v/>
      </c>
      <c r="BA22" s="2472">
        <f>AZ22*SUM(AX22,AU22,AP22)</f>
        <v/>
      </c>
      <c r="BB22" s="192" t="n"/>
      <c r="BC22" s="2473">
        <f>IF(AS22&lt;=#REF!,#REF!,IF(AS22&lt;=#REF!,#REF!,IF(AS22&lt;=#REF!,#REF!,IF(AS22&lt;=#REF!,#REF!,IF(AS22&lt;=#REF!,#REF!,IF(AS22&lt;=#REF!,#REF!,IF(AS22&lt;=#REF!,#REF!,0.05)))))))</f>
        <v/>
      </c>
      <c r="BD22" s="2472">
        <f>BC22*AS22</f>
        <v/>
      </c>
      <c r="BF22" s="2474">
        <f>0.07*SUM(AP22,AU22,AX22,BA22,BD22)</f>
        <v/>
      </c>
      <c r="BH22" s="2474">
        <f>SUM(BF22,BD22,BA22,AX22,AU22,AP22)</f>
        <v/>
      </c>
      <c r="BI22" s="2475">
        <f>SUM(BD22,BA22,AX22,AU22)</f>
        <v/>
      </c>
      <c r="BJ22" s="192">
        <f>BI22/BH22</f>
        <v/>
      </c>
      <c r="BZ22" s="2472" t="n">
        <v>15000</v>
      </c>
      <c r="CA22" s="2472" t="n"/>
      <c r="CB22" s="2472" t="n"/>
      <c r="CC22" s="2472">
        <f>BZ22</f>
        <v/>
      </c>
      <c r="CD22" s="2472" t="n"/>
      <c r="CE22" s="2472" t="n"/>
      <c r="CF22" s="2472">
        <f>BZ22+CC22</f>
        <v/>
      </c>
      <c r="CG22" s="2472" t="n"/>
      <c r="CH22" s="2472" t="n"/>
      <c r="CI22" s="2472">
        <f>CF22</f>
        <v/>
      </c>
      <c r="CJ22" s="192">
        <f>IF(BZ22&lt;=BN$4,BM$4,IF(BZ22&lt;=BN$5,BM$5,IF(BZ22&lt;=BN$6,BM$6,IF(BZ22&lt;=BN$7,BM$7,IF(BZ22&lt;=BN$12,BM$12,IF(BZ22&lt;=BN$13,BM$13,IF(BZ22&lt;=BN$14,BM$14,0.05)))))))</f>
        <v/>
      </c>
      <c r="CK22" s="2472">
        <f>CJ22*BZ22</f>
        <v/>
      </c>
      <c r="CL22" s="192" t="n"/>
      <c r="CM22" s="192">
        <f>IF(CC22&lt;=BQ$4,BP$4,IF(CC22&lt;=BQ$5,BP$5,IF(CC22&lt;=BQ$6,BP$6,IF(CC22&lt;=BQ$7,BP$7,IF(CC22&lt;=BQ$12,BP$12,IF(CC22&lt;=BQ$13,BP$13,IF(CC22&lt;=BQ$14,BP$14,0.05)))))))</f>
        <v/>
      </c>
      <c r="CN22" s="2472">
        <f>CM22*CC22</f>
        <v/>
      </c>
      <c r="CO22" s="192" t="n"/>
      <c r="CP22" s="192">
        <f>IF(CF22&lt;=BT$4,BS$4,IF(CF22&lt;=BT$5,BS$5,IF(CF22&lt;=BT$6,BS$6,IF(CF22&lt;=BT$7,BS$7,IF(CF22&lt;=BT$12,BS$12,IF(CF22&lt;=BT$13,BS$13,IF(CF22&lt;=BT$14,BS$14,0.05)))))))</f>
        <v/>
      </c>
      <c r="CQ22" s="2472">
        <f>CP22*SUM(CN22,CK22,CF22)</f>
        <v/>
      </c>
      <c r="CR22" s="192" t="n"/>
      <c r="CS22" s="2473">
        <f>IF(CI22&lt;=BW$4,BV$4,IF(CI22&lt;=BW$5,BV$5,IF(CI22&lt;=BW$6,BV$6,IF(CI22&lt;=BW$7,BV$7,IF(CI22&lt;=BW$12,BV$12,IF(CI22&lt;=BW$13,BV$13,IF(CI22&lt;=BW$14,BV$14,0.05)))))))</f>
        <v/>
      </c>
      <c r="CT22" s="2472">
        <f>CS22*CI22</f>
        <v/>
      </c>
      <c r="CV22" s="2474">
        <f>0.07*SUM(CF22,CK22,CN22,CQ22,CT22)</f>
        <v/>
      </c>
      <c r="CX22" s="2474">
        <f>SUM(CV22,CT22,CQ22,CN22,CK22,CF22)</f>
        <v/>
      </c>
      <c r="CY22" s="2475">
        <f>SUM(CT22,CQ22,CN22,CK22)</f>
        <v/>
      </c>
      <c r="CZ22" s="192">
        <f>CY22/CX22</f>
        <v/>
      </c>
    </row>
    <row r="23">
      <c r="A23" s="47" t="n"/>
      <c r="B23" s="2306" t="n"/>
      <c r="C23" s="2282" t="n"/>
      <c r="D23" s="2038">
        <f>B23*C23</f>
        <v/>
      </c>
      <c r="E23" s="1" t="n"/>
      <c r="F23" s="1" t="n"/>
      <c r="G23" s="1" t="n"/>
      <c r="H23" s="1" t="n"/>
      <c r="I23" s="2282" t="n"/>
      <c r="J23" s="2309" t="n"/>
      <c r="K23" s="2281" t="n"/>
      <c r="AJ23" s="2472" t="n">
        <v>16000</v>
      </c>
      <c r="AK23" s="2472" t="n"/>
      <c r="AL23" s="2472" t="n"/>
      <c r="AM23" s="2472">
        <f>AJ23</f>
        <v/>
      </c>
      <c r="AN23" s="2472" t="n"/>
      <c r="AO23" s="2472" t="n"/>
      <c r="AP23" s="2472">
        <f>AJ23+AM23</f>
        <v/>
      </c>
      <c r="AQ23" s="2472" t="n"/>
      <c r="AR23" s="2472" t="n"/>
      <c r="AS23" s="2472">
        <f>AP23</f>
        <v/>
      </c>
      <c r="AT23" s="192">
        <f>IF(AJ23&lt;=#REF!,#REF!,IF(AJ23&lt;=#REF!,#REF!,IF(AJ23&lt;=#REF!,#REF!,IF(AJ23&lt;=#REF!,#REF!,IF(AJ23&lt;=#REF!,#REF!,IF(AJ23&lt;=#REF!,#REF!,IF(AJ23&lt;=#REF!,#REF!,0.05)))))))</f>
        <v/>
      </c>
      <c r="AU23" s="2472">
        <f>AT23*AJ23</f>
        <v/>
      </c>
      <c r="AV23" s="192" t="n"/>
      <c r="AW23" s="192">
        <f>IF(AM23&lt;=#REF!,#REF!,IF(AM23&lt;=#REF!,#REF!,IF(AM23&lt;=#REF!,#REF!,IF(AM23&lt;=#REF!,#REF!,IF(AM23&lt;=#REF!,#REF!,IF(AM23&lt;=#REF!,#REF!,IF(AM23&lt;=#REF!,#REF!,0.05)))))))</f>
        <v/>
      </c>
      <c r="AX23" s="2472">
        <f>AW23*AM23</f>
        <v/>
      </c>
      <c r="AY23" s="192" t="n"/>
      <c r="AZ23" s="192">
        <f>IF(AP23&lt;=#REF!,#REF!,IF(AP23&lt;=#REF!,#REF!,IF(AP23&lt;=#REF!,#REF!,IF(AP23&lt;=#REF!,#REF!,IF(AP23&lt;=#REF!,#REF!,IF(AP23&lt;=#REF!,#REF!,IF(AP23&lt;=#REF!,#REF!,0.05)))))))</f>
        <v/>
      </c>
      <c r="BA23" s="2472">
        <f>AZ23*SUM(AX23,AU23,AP23)</f>
        <v/>
      </c>
      <c r="BB23" s="192" t="n"/>
      <c r="BC23" s="2473">
        <f>IF(AS23&lt;=#REF!,#REF!,IF(AS23&lt;=#REF!,#REF!,IF(AS23&lt;=#REF!,#REF!,IF(AS23&lt;=#REF!,#REF!,IF(AS23&lt;=#REF!,#REF!,IF(AS23&lt;=#REF!,#REF!,IF(AS23&lt;=#REF!,#REF!,0.05)))))))</f>
        <v/>
      </c>
      <c r="BD23" s="2472">
        <f>BC23*AS23</f>
        <v/>
      </c>
      <c r="BF23" s="2474">
        <f>0.07*SUM(AP23,AU23,AX23,BA23,BD23)</f>
        <v/>
      </c>
      <c r="BH23" s="2474">
        <f>SUM(BF23,BD23,BA23,AX23,AU23,AP23)</f>
        <v/>
      </c>
      <c r="BI23" s="2475">
        <f>SUM(BD23,BA23,AX23,AU23)</f>
        <v/>
      </c>
      <c r="BJ23" s="192">
        <f>BI23/BH23</f>
        <v/>
      </c>
      <c r="BZ23" s="2472" t="n">
        <v>16000</v>
      </c>
      <c r="CA23" s="2472" t="n"/>
      <c r="CB23" s="2472" t="n"/>
      <c r="CC23" s="2472">
        <f>BZ23</f>
        <v/>
      </c>
      <c r="CD23" s="2472" t="n"/>
      <c r="CE23" s="2472" t="n"/>
      <c r="CF23" s="2472">
        <f>BZ23+CC23</f>
        <v/>
      </c>
      <c r="CG23" s="2472" t="n"/>
      <c r="CH23" s="2472" t="n"/>
      <c r="CI23" s="2472">
        <f>CF23</f>
        <v/>
      </c>
      <c r="CJ23" s="192">
        <f>IF(BZ23&lt;=BN$4,BM$4,IF(BZ23&lt;=BN$5,BM$5,IF(BZ23&lt;=BN$6,BM$6,IF(BZ23&lt;=BN$7,BM$7,IF(BZ23&lt;=BN$12,BM$12,IF(BZ23&lt;=BN$13,BM$13,IF(BZ23&lt;=BN$14,BM$14,0.05)))))))</f>
        <v/>
      </c>
      <c r="CK23" s="2472">
        <f>CJ23*BZ23</f>
        <v/>
      </c>
      <c r="CL23" s="192" t="n"/>
      <c r="CM23" s="192">
        <f>IF(CC23&lt;=BQ$4,BP$4,IF(CC23&lt;=BQ$5,BP$5,IF(CC23&lt;=BQ$6,BP$6,IF(CC23&lt;=BQ$7,BP$7,IF(CC23&lt;=BQ$12,BP$12,IF(CC23&lt;=BQ$13,BP$13,IF(CC23&lt;=BQ$14,BP$14,0.05)))))))</f>
        <v/>
      </c>
      <c r="CN23" s="2472">
        <f>CM23*CC23</f>
        <v/>
      </c>
      <c r="CO23" s="192" t="n"/>
      <c r="CP23" s="192">
        <f>IF(CF23&lt;=BT$4,BS$4,IF(CF23&lt;=BT$5,BS$5,IF(CF23&lt;=BT$6,BS$6,IF(CF23&lt;=BT$7,BS$7,IF(CF23&lt;=BT$12,BS$12,IF(CF23&lt;=BT$13,BS$13,IF(CF23&lt;=BT$14,BS$14,0.05)))))))</f>
        <v/>
      </c>
      <c r="CQ23" s="2472">
        <f>CP23*SUM(CN23,CK23,CF23)</f>
        <v/>
      </c>
      <c r="CR23" s="192" t="n"/>
      <c r="CS23" s="2473">
        <f>IF(CI23&lt;=BW$4,BV$4,IF(CI23&lt;=BW$5,BV$5,IF(CI23&lt;=BW$6,BV$6,IF(CI23&lt;=BW$7,BV$7,IF(CI23&lt;=BW$12,BV$12,IF(CI23&lt;=BW$13,BV$13,IF(CI23&lt;=BW$14,BV$14,0.05)))))))</f>
        <v/>
      </c>
      <c r="CT23" s="2472">
        <f>CS23*CI23</f>
        <v/>
      </c>
      <c r="CV23" s="2474">
        <f>0.07*SUM(CF23,CK23,CN23,CQ23,CT23)</f>
        <v/>
      </c>
      <c r="CX23" s="2474">
        <f>SUM(CV23,CT23,CQ23,CN23,CK23,CF23)</f>
        <v/>
      </c>
      <c r="CY23" s="2475">
        <f>SUM(CT23,CQ23,CN23,CK23)</f>
        <v/>
      </c>
      <c r="CZ23" s="192">
        <f>CY23/CX23</f>
        <v/>
      </c>
    </row>
    <row r="24">
      <c r="A24" s="47" t="n"/>
      <c r="B24" s="2306" t="n"/>
      <c r="C24" s="2282" t="n"/>
      <c r="D24" s="2038">
        <f>B24*C24</f>
        <v/>
      </c>
      <c r="E24" s="1" t="n"/>
      <c r="F24" s="1" t="n"/>
      <c r="G24" s="1" t="n"/>
      <c r="I24" s="2364" t="n"/>
      <c r="J24" s="2284" t="n"/>
      <c r="K24" s="2478" t="n"/>
      <c r="L24" s="74" t="n"/>
      <c r="O24" s="1945" t="n"/>
      <c r="AJ24" s="2479" t="n">
        <v>17000</v>
      </c>
      <c r="AK24" s="2479" t="n"/>
      <c r="AL24" s="2479" t="n"/>
      <c r="AM24" s="2479">
        <f>AJ24</f>
        <v/>
      </c>
      <c r="AN24" s="2479" t="n"/>
      <c r="AO24" s="2479" t="n"/>
      <c r="AP24" s="2479">
        <f>AJ24+AM24</f>
        <v/>
      </c>
      <c r="AQ24" s="2479" t="n"/>
      <c r="AR24" s="2479" t="n"/>
      <c r="AS24" s="2472">
        <f>AP24</f>
        <v/>
      </c>
      <c r="AT24" s="198">
        <f>IF(AJ24&lt;=#REF!,#REF!,IF(AJ24&lt;=#REF!,#REF!,IF(AJ24&lt;=#REF!,#REF!,IF(AJ24&lt;=#REF!,#REF!,IF(AJ24&lt;=#REF!,#REF!,IF(AJ24&lt;=#REF!,#REF!,IF(AJ24&lt;=#REF!,#REF!,0.05)))))))</f>
        <v/>
      </c>
      <c r="AU24" s="2479">
        <f>AT24*AJ24</f>
        <v/>
      </c>
      <c r="AV24" s="198" t="n"/>
      <c r="AW24" s="198">
        <f>IF(AM24&lt;=#REF!,#REF!,IF(AM24&lt;=#REF!,#REF!,IF(AM24&lt;=#REF!,#REF!,IF(AM24&lt;=#REF!,#REF!,IF(AM24&lt;=#REF!,#REF!,IF(AM24&lt;=#REF!,#REF!,IF(AM24&lt;=#REF!,#REF!,0.05)))))))</f>
        <v/>
      </c>
      <c r="AX24" s="2479">
        <f>AW24*AM24</f>
        <v/>
      </c>
      <c r="AY24" s="198" t="n"/>
      <c r="AZ24" s="198">
        <f>IF(AP24&lt;=#REF!,#REF!,IF(AP24&lt;=#REF!,#REF!,IF(AP24&lt;=#REF!,#REF!,IF(AP24&lt;=#REF!,#REF!,IF(AP24&lt;=#REF!,#REF!,IF(AP24&lt;=#REF!,#REF!,IF(AP24&lt;=#REF!,#REF!,0.05)))))))</f>
        <v/>
      </c>
      <c r="BA24" s="2472">
        <f>AZ24*SUM(AX24,AU24,AP24)</f>
        <v/>
      </c>
      <c r="BB24" s="198" t="n"/>
      <c r="BC24" s="2480">
        <f>IF(AS24&lt;=#REF!,#REF!,IF(AS24&lt;=#REF!,#REF!,IF(AS24&lt;=#REF!,#REF!,IF(AS24&lt;=#REF!,#REF!,IF(AS24&lt;=#REF!,#REF!,IF(AS24&lt;=#REF!,#REF!,IF(AS24&lt;=#REF!,#REF!,0.05)))))))</f>
        <v/>
      </c>
      <c r="BD24" s="2479">
        <f>BC24*AS24</f>
        <v/>
      </c>
      <c r="BE24" s="199" t="n"/>
      <c r="BF24" s="2481">
        <f>0.07*SUM(AP24,AU24,AX24,BA24,BD24)</f>
        <v/>
      </c>
      <c r="BG24" s="199" t="n"/>
      <c r="BH24" s="2481">
        <f>SUM(BF24,BD24,BA24,AX24,AU24,AP24)</f>
        <v/>
      </c>
      <c r="BI24" s="2482">
        <f>SUM(BD24,BA24,AX24,AU24)</f>
        <v/>
      </c>
      <c r="BJ24" s="198">
        <f>BI24/BH24</f>
        <v/>
      </c>
      <c r="BZ24" s="2479" t="n">
        <v>17000</v>
      </c>
      <c r="CA24" s="2479" t="n"/>
      <c r="CB24" s="2479" t="n"/>
      <c r="CC24" s="2479">
        <f>BZ24</f>
        <v/>
      </c>
      <c r="CD24" s="2479" t="n"/>
      <c r="CE24" s="2479" t="n"/>
      <c r="CF24" s="2479">
        <f>BZ24+CC24</f>
        <v/>
      </c>
      <c r="CG24" s="2479" t="n"/>
      <c r="CH24" s="2479" t="n"/>
      <c r="CI24" s="2472">
        <f>CF24</f>
        <v/>
      </c>
      <c r="CJ24" s="198">
        <f>IF(BZ24&lt;=BN$4,BM$4,IF(BZ24&lt;=BN$5,BM$5,IF(BZ24&lt;=BN$6,BM$6,IF(BZ24&lt;=BN$7,BM$7,IF(BZ24&lt;=BN$12,BM$12,IF(BZ24&lt;=BN$13,BM$13,IF(BZ24&lt;=BN$14,BM$14,0.05)))))))</f>
        <v/>
      </c>
      <c r="CK24" s="2479">
        <f>CJ24*BZ24</f>
        <v/>
      </c>
      <c r="CL24" s="198" t="n"/>
      <c r="CM24" s="198">
        <f>IF(CC24&lt;=BQ$4,BP$4,IF(CC24&lt;=BQ$5,BP$5,IF(CC24&lt;=BQ$6,BP$6,IF(CC24&lt;=BQ$7,BP$7,IF(CC24&lt;=BQ$12,BP$12,IF(CC24&lt;=BQ$13,BP$13,IF(CC24&lt;=BQ$14,BP$14,0.05)))))))</f>
        <v/>
      </c>
      <c r="CN24" s="2479">
        <f>CM24*CC24</f>
        <v/>
      </c>
      <c r="CO24" s="198" t="n"/>
      <c r="CP24" s="198">
        <f>IF(CF24&lt;=BT$4,BS$4,IF(CF24&lt;=BT$5,BS$5,IF(CF24&lt;=BT$6,BS$6,IF(CF24&lt;=BT$7,BS$7,IF(CF24&lt;=BT$12,BS$12,IF(CF24&lt;=BT$13,BS$13,IF(CF24&lt;=BT$14,BS$14,0.05)))))))</f>
        <v/>
      </c>
      <c r="CQ24" s="2472">
        <f>CP24*SUM(CN24,CK24,CF24)</f>
        <v/>
      </c>
      <c r="CR24" s="198" t="n"/>
      <c r="CS24" s="2480">
        <f>IF(CI24&lt;=BW$4,BV$4,IF(CI24&lt;=BW$5,BV$5,IF(CI24&lt;=BW$6,BV$6,IF(CI24&lt;=BW$7,BV$7,IF(CI24&lt;=BW$12,BV$12,IF(CI24&lt;=BW$13,BV$13,IF(CI24&lt;=BW$14,BV$14,0.05)))))))</f>
        <v/>
      </c>
      <c r="CT24" s="2479">
        <f>CS24*CI24</f>
        <v/>
      </c>
      <c r="CU24" s="199" t="n"/>
      <c r="CV24" s="2481">
        <f>0.07*SUM(CF24,CK24,CN24,CQ24,CT24)</f>
        <v/>
      </c>
      <c r="CW24" s="199" t="n"/>
      <c r="CX24" s="2481">
        <f>SUM(CV24,CT24,CQ24,CN24,CK24,CF24)</f>
        <v/>
      </c>
      <c r="CY24" s="2482">
        <f>SUM(CT24,CQ24,CN24,CK24)</f>
        <v/>
      </c>
      <c r="CZ24" s="198">
        <f>CY24/CX24</f>
        <v/>
      </c>
    </row>
    <row r="25">
      <c r="A25" s="47" t="n"/>
      <c r="B25" s="2306" t="n"/>
      <c r="C25" s="2282" t="n"/>
      <c r="D25" s="2038">
        <f>B25*C25</f>
        <v/>
      </c>
      <c r="E25" s="1" t="n"/>
      <c r="F25" s="1" t="n"/>
      <c r="G25" s="1" t="n"/>
      <c r="I25" s="2364" t="n"/>
      <c r="J25" s="2284" t="n"/>
      <c r="K25" s="2478" t="n"/>
      <c r="L25" s="74" t="n"/>
      <c r="O25" s="663" t="inlineStr">
        <is>
          <t>Takeoff Tab</t>
        </is>
      </c>
      <c r="P25" s="73" t="inlineStr">
        <is>
          <t>sf</t>
        </is>
      </c>
      <c r="Q25" s="73" t="inlineStr">
        <is>
          <t>lf</t>
        </is>
      </c>
      <c r="R25" s="440" t="inlineStr">
        <is>
          <t>extra cell</t>
        </is>
      </c>
      <c r="S25" s="440" t="inlineStr">
        <is>
          <t>extra cell</t>
        </is>
      </c>
      <c r="T25" s="440" t="inlineStr">
        <is>
          <t>extra cell</t>
        </is>
      </c>
      <c r="AJ25" s="2472" t="n">
        <v>18000</v>
      </c>
      <c r="AK25" s="2472" t="n"/>
      <c r="AL25" s="2472" t="n"/>
      <c r="AM25" s="2472">
        <f>AJ25</f>
        <v/>
      </c>
      <c r="AN25" s="2472" t="n"/>
      <c r="AO25" s="2472" t="n"/>
      <c r="AP25" s="2472">
        <f>AJ25+AM25</f>
        <v/>
      </c>
      <c r="AQ25" s="2472" t="n"/>
      <c r="AR25" s="2472" t="n"/>
      <c r="AS25" s="2472">
        <f>AP25</f>
        <v/>
      </c>
      <c r="AT25" s="192">
        <f>IF(AJ25&lt;=#REF!,#REF!,IF(AJ25&lt;=#REF!,#REF!,IF(AJ25&lt;=#REF!,#REF!,IF(AJ25&lt;=#REF!,#REF!,IF(AJ25&lt;=#REF!,#REF!,IF(AJ25&lt;=#REF!,#REF!,IF(AJ25&lt;=#REF!,#REF!,0.05)))))))</f>
        <v/>
      </c>
      <c r="AU25" s="2472">
        <f>AT25*AJ25</f>
        <v/>
      </c>
      <c r="AV25" s="192" t="n"/>
      <c r="AW25" s="192">
        <f>IF(AM25&lt;=#REF!,#REF!,IF(AM25&lt;=#REF!,#REF!,IF(AM25&lt;=#REF!,#REF!,IF(AM25&lt;=#REF!,#REF!,IF(AM25&lt;=#REF!,#REF!,IF(AM25&lt;=#REF!,#REF!,IF(AM25&lt;=#REF!,#REF!,0.05)))))))</f>
        <v/>
      </c>
      <c r="AX25" s="2472">
        <f>AW25*AM25</f>
        <v/>
      </c>
      <c r="AY25" s="192" t="n"/>
      <c r="AZ25" s="192">
        <f>IF(AP25&lt;=#REF!,#REF!,IF(AP25&lt;=#REF!,#REF!,IF(AP25&lt;=#REF!,#REF!,IF(AP25&lt;=#REF!,#REF!,IF(AP25&lt;=#REF!,#REF!,IF(AP25&lt;=#REF!,#REF!,IF(AP25&lt;=#REF!,#REF!,0.05)))))))</f>
        <v/>
      </c>
      <c r="BA25" s="2472">
        <f>AZ25*SUM(AX25,AU25,AP25)</f>
        <v/>
      </c>
      <c r="BB25" s="192" t="n"/>
      <c r="BC25" s="2473">
        <f>IF(AS25&lt;=#REF!,#REF!,IF(AS25&lt;=#REF!,#REF!,IF(AS25&lt;=#REF!,#REF!,IF(AS25&lt;=#REF!,#REF!,IF(AS25&lt;=#REF!,#REF!,IF(AS25&lt;=#REF!,#REF!,IF(AS25&lt;=#REF!,#REF!,0.05)))))))</f>
        <v/>
      </c>
      <c r="BD25" s="2472">
        <f>BC25*AS25</f>
        <v/>
      </c>
      <c r="BF25" s="2474">
        <f>0.07*SUM(AP25,AU25,AX25,BA25,BD25)</f>
        <v/>
      </c>
      <c r="BH25" s="2474">
        <f>SUM(BF25,BD25,BA25,AX25,AU25,AP25)</f>
        <v/>
      </c>
      <c r="BI25" s="2475">
        <f>SUM(BD25,BA25,AX25,AU25)</f>
        <v/>
      </c>
      <c r="BJ25" s="192">
        <f>BI25/BH25</f>
        <v/>
      </c>
      <c r="BZ25" s="2472" t="n">
        <v>18000</v>
      </c>
      <c r="CA25" s="2472" t="n"/>
      <c r="CB25" s="2472" t="n"/>
      <c r="CC25" s="2472">
        <f>BZ25</f>
        <v/>
      </c>
      <c r="CD25" s="2472" t="n"/>
      <c r="CE25" s="2472" t="n"/>
      <c r="CF25" s="2472">
        <f>BZ25+CC25</f>
        <v/>
      </c>
      <c r="CG25" s="2472" t="n"/>
      <c r="CH25" s="2472" t="n"/>
      <c r="CI25" s="2472">
        <f>CF25</f>
        <v/>
      </c>
      <c r="CJ25" s="192">
        <f>IF(BZ25&lt;=BN$4,BM$4,IF(BZ25&lt;=BN$5,BM$5,IF(BZ25&lt;=BN$6,BM$6,IF(BZ25&lt;=BN$7,BM$7,IF(BZ25&lt;=BN$12,BM$12,IF(BZ25&lt;=BN$13,BM$13,IF(BZ25&lt;=BN$14,BM$14,0.05)))))))</f>
        <v/>
      </c>
      <c r="CK25" s="2472">
        <f>CJ25*BZ25</f>
        <v/>
      </c>
      <c r="CL25" s="192" t="n"/>
      <c r="CM25" s="192">
        <f>IF(CC25&lt;=BQ$4,BP$4,IF(CC25&lt;=BQ$5,BP$5,IF(CC25&lt;=BQ$6,BP$6,IF(CC25&lt;=BQ$7,BP$7,IF(CC25&lt;=BQ$12,BP$12,IF(CC25&lt;=BQ$13,BP$13,IF(CC25&lt;=BQ$14,BP$14,0.05)))))))</f>
        <v/>
      </c>
      <c r="CN25" s="2472">
        <f>CM25*CC25</f>
        <v/>
      </c>
      <c r="CO25" s="192" t="n"/>
      <c r="CP25" s="192">
        <f>IF(CF25&lt;=BT$4,BS$4,IF(CF25&lt;=BT$5,BS$5,IF(CF25&lt;=BT$6,BS$6,IF(CF25&lt;=BT$7,BS$7,IF(CF25&lt;=BT$12,BS$12,IF(CF25&lt;=BT$13,BS$13,IF(CF25&lt;=BT$14,BS$14,0.05)))))))</f>
        <v/>
      </c>
      <c r="CQ25" s="2472">
        <f>CP25*SUM(CN25,CK25,CF25)</f>
        <v/>
      </c>
      <c r="CR25" s="192" t="n"/>
      <c r="CS25" s="2473">
        <f>IF(CI25&lt;=BW$4,BV$4,IF(CI25&lt;=BW$5,BV$5,IF(CI25&lt;=BW$6,BV$6,IF(CI25&lt;=BW$7,BV$7,IF(CI25&lt;=BW$12,BV$12,IF(CI25&lt;=BW$13,BV$13,IF(CI25&lt;=BW$14,BV$14,0.05)))))))</f>
        <v/>
      </c>
      <c r="CT25" s="2472">
        <f>CS25*CI25</f>
        <v/>
      </c>
      <c r="CV25" s="2474">
        <f>0.07*SUM(CF25,CK25,CN25,CQ25,CT25)</f>
        <v/>
      </c>
      <c r="CX25" s="2474">
        <f>SUM(CV25,CT25,CQ25,CN25,CK25,CF25)</f>
        <v/>
      </c>
      <c r="CY25" s="2475">
        <f>SUM(CT25,CQ25,CN25,CK25)</f>
        <v/>
      </c>
      <c r="CZ25" s="192">
        <f>CY25/CX25</f>
        <v/>
      </c>
    </row>
    <row r="26">
      <c r="A26" s="47" t="n"/>
      <c r="B26" s="2306" t="n"/>
      <c r="C26" s="2282" t="n"/>
      <c r="D26" s="2038">
        <f>B26*C26</f>
        <v/>
      </c>
      <c r="E26" s="1" t="n"/>
      <c r="F26" s="1" t="n"/>
      <c r="G26" s="1" t="n"/>
      <c r="I26" s="220" t="n"/>
      <c r="O26" s="444">
        <f>Takeoff!B14</f>
        <v/>
      </c>
      <c r="P26" s="2328">
        <f>Takeoff!C14</f>
        <v/>
      </c>
      <c r="Q26" s="2328">
        <f>Takeoff!D14</f>
        <v/>
      </c>
      <c r="R26" s="2328">
        <f>Takeoff!E14</f>
        <v/>
      </c>
      <c r="S26" s="2309">
        <f>Takeoff!F14</f>
        <v/>
      </c>
      <c r="T26" s="2309">
        <f>Takeoff!G14</f>
        <v/>
      </c>
      <c r="AJ26" s="2472" t="n">
        <v>19000</v>
      </c>
      <c r="AK26" s="2472" t="n"/>
      <c r="AL26" s="2472" t="n"/>
      <c r="AM26" s="2472">
        <f>AJ26</f>
        <v/>
      </c>
      <c r="AN26" s="2472" t="n"/>
      <c r="AO26" s="2472" t="n"/>
      <c r="AP26" s="2472">
        <f>AJ26+AM26</f>
        <v/>
      </c>
      <c r="AQ26" s="2472" t="n"/>
      <c r="AR26" s="2472" t="n"/>
      <c r="AS26" s="2472">
        <f>AP26</f>
        <v/>
      </c>
      <c r="AT26" s="192">
        <f>IF(AJ26&lt;=#REF!,#REF!,IF(AJ26&lt;=#REF!,#REF!,IF(AJ26&lt;=#REF!,#REF!,IF(AJ26&lt;=#REF!,#REF!,IF(AJ26&lt;=#REF!,#REF!,IF(AJ26&lt;=#REF!,#REF!,IF(AJ26&lt;=#REF!,#REF!,0.05)))))))</f>
        <v/>
      </c>
      <c r="AU26" s="2472">
        <f>AT26*AJ26</f>
        <v/>
      </c>
      <c r="AV26" s="192" t="n"/>
      <c r="AW26" s="192">
        <f>IF(AM26&lt;=#REF!,#REF!,IF(AM26&lt;=#REF!,#REF!,IF(AM26&lt;=#REF!,#REF!,IF(AM26&lt;=#REF!,#REF!,IF(AM26&lt;=#REF!,#REF!,IF(AM26&lt;=#REF!,#REF!,IF(AM26&lt;=#REF!,#REF!,0.05)))))))</f>
        <v/>
      </c>
      <c r="AX26" s="2472">
        <f>AW26*AM26</f>
        <v/>
      </c>
      <c r="AY26" s="192" t="n"/>
      <c r="AZ26" s="192">
        <f>IF(AP26&lt;=#REF!,#REF!,IF(AP26&lt;=#REF!,#REF!,IF(AP26&lt;=#REF!,#REF!,IF(AP26&lt;=#REF!,#REF!,IF(AP26&lt;=#REF!,#REF!,IF(AP26&lt;=#REF!,#REF!,IF(AP26&lt;=#REF!,#REF!,0.05)))))))</f>
        <v/>
      </c>
      <c r="BA26" s="2472">
        <f>AZ26*SUM(AX26,AU26,AP26)</f>
        <v/>
      </c>
      <c r="BB26" s="192" t="n"/>
      <c r="BC26" s="2473">
        <f>IF(AS26&lt;=#REF!,#REF!,IF(AS26&lt;=#REF!,#REF!,IF(AS26&lt;=#REF!,#REF!,IF(AS26&lt;=#REF!,#REF!,IF(AS26&lt;=#REF!,#REF!,IF(AS26&lt;=#REF!,#REF!,IF(AS26&lt;=#REF!,#REF!,0.05)))))))</f>
        <v/>
      </c>
      <c r="BD26" s="2472">
        <f>BC26*AS26</f>
        <v/>
      </c>
      <c r="BF26" s="2474">
        <f>0.07*SUM(AP26,AU26,AX26,BA26,BD26)</f>
        <v/>
      </c>
      <c r="BH26" s="2474">
        <f>SUM(BF26,BD26,BA26,AX26,AU26,AP26)</f>
        <v/>
      </c>
      <c r="BI26" s="2475">
        <f>SUM(BD26,BA26,AX26,AU26)</f>
        <v/>
      </c>
      <c r="BJ26" s="192">
        <f>BI26/BH26</f>
        <v/>
      </c>
      <c r="BZ26" s="2472" t="n">
        <v>19000</v>
      </c>
      <c r="CA26" s="2472" t="n"/>
      <c r="CB26" s="2472" t="n"/>
      <c r="CC26" s="2472">
        <f>BZ26</f>
        <v/>
      </c>
      <c r="CD26" s="2472" t="n"/>
      <c r="CE26" s="2472" t="n"/>
      <c r="CF26" s="2472">
        <f>BZ26+CC26</f>
        <v/>
      </c>
      <c r="CG26" s="2472" t="n"/>
      <c r="CH26" s="2472" t="n"/>
      <c r="CI26" s="2472">
        <f>CF26</f>
        <v/>
      </c>
      <c r="CJ26" s="192">
        <f>IF(BZ26&lt;=BN$4,BM$4,IF(BZ26&lt;=BN$5,BM$5,IF(BZ26&lt;=BN$6,BM$6,IF(BZ26&lt;=BN$7,BM$7,IF(BZ26&lt;=BN$12,BM$12,IF(BZ26&lt;=BN$13,BM$13,IF(BZ26&lt;=BN$14,BM$14,0.05)))))))</f>
        <v/>
      </c>
      <c r="CK26" s="2472">
        <f>CJ26*BZ26</f>
        <v/>
      </c>
      <c r="CL26" s="192" t="n"/>
      <c r="CM26" s="192">
        <f>IF(CC26&lt;=BQ$4,BP$4,IF(CC26&lt;=BQ$5,BP$5,IF(CC26&lt;=BQ$6,BP$6,IF(CC26&lt;=BQ$7,BP$7,IF(CC26&lt;=BQ$12,BP$12,IF(CC26&lt;=BQ$13,BP$13,IF(CC26&lt;=BQ$14,BP$14,0.05)))))))</f>
        <v/>
      </c>
      <c r="CN26" s="2472">
        <f>CM26*CC26</f>
        <v/>
      </c>
      <c r="CO26" s="192" t="n"/>
      <c r="CP26" s="192">
        <f>IF(CF26&lt;=BT$4,BS$4,IF(CF26&lt;=BT$5,BS$5,IF(CF26&lt;=BT$6,BS$6,IF(CF26&lt;=BT$7,BS$7,IF(CF26&lt;=BT$12,BS$12,IF(CF26&lt;=BT$13,BS$13,IF(CF26&lt;=BT$14,BS$14,0.05)))))))</f>
        <v/>
      </c>
      <c r="CQ26" s="2472">
        <f>CP26*SUM(CN26,CK26,CF26)</f>
        <v/>
      </c>
      <c r="CR26" s="192" t="n"/>
      <c r="CS26" s="2473">
        <f>IF(CI26&lt;=BW$4,BV$4,IF(CI26&lt;=BW$5,BV$5,IF(CI26&lt;=BW$6,BV$6,IF(CI26&lt;=BW$7,BV$7,IF(CI26&lt;=BW$12,BV$12,IF(CI26&lt;=BW$13,BV$13,IF(CI26&lt;=BW$14,BV$14,0.05)))))))</f>
        <v/>
      </c>
      <c r="CT26" s="2472">
        <f>CS26*CI26</f>
        <v/>
      </c>
      <c r="CV26" s="2474">
        <f>0.07*SUM(CF26,CK26,CN26,CQ26,CT26)</f>
        <v/>
      </c>
      <c r="CX26" s="2474">
        <f>SUM(CV26,CT26,CQ26,CN26,CK26,CF26)</f>
        <v/>
      </c>
      <c r="CY26" s="2475">
        <f>SUM(CT26,CQ26,CN26,CK26)</f>
        <v/>
      </c>
      <c r="CZ26" s="192">
        <f>CY26/CX26</f>
        <v/>
      </c>
    </row>
    <row r="27">
      <c r="A27" s="47" t="n"/>
      <c r="B27" s="2306" t="n"/>
      <c r="C27" s="2282" t="n"/>
      <c r="D27" s="2038">
        <f>B27*C27</f>
        <v/>
      </c>
      <c r="E27" s="1" t="n"/>
      <c r="F27" s="1" t="n"/>
      <c r="G27" s="1" t="n"/>
      <c r="H27" s="1" t="n"/>
      <c r="O27" s="444">
        <f>Takeoff!I14</f>
        <v/>
      </c>
      <c r="P27" s="2328">
        <f>Takeoff!J14</f>
        <v/>
      </c>
      <c r="Q27" s="2328">
        <f>Takeoff!K14</f>
        <v/>
      </c>
      <c r="R27" s="2328">
        <f>Takeoff!L14</f>
        <v/>
      </c>
      <c r="S27" s="2309">
        <f>Takeoff!M14</f>
        <v/>
      </c>
      <c r="T27" s="2309">
        <f>Takeoff!N14</f>
        <v/>
      </c>
      <c r="AV27" s="2472" t="n">
        <v>20000</v>
      </c>
      <c r="AW27" s="2472" t="n"/>
      <c r="AX27" s="2472" t="n"/>
      <c r="AY27" s="2472">
        <f>AV27</f>
        <v/>
      </c>
      <c r="AZ27" s="2472" t="n"/>
      <c r="BA27" s="2472" t="n"/>
      <c r="BB27" s="2472">
        <f>AV27+AY27</f>
        <v/>
      </c>
      <c r="BC27" s="2472" t="n"/>
      <c r="BD27" s="2472" t="n"/>
      <c r="BE27" s="2472">
        <f>BB27</f>
        <v/>
      </c>
      <c r="BF27" s="192">
        <f>IF(AV27&lt;=#REF!,#REF!,IF(AV27&lt;=#REF!,#REF!,IF(AV27&lt;=#REF!,#REF!,IF(AV27&lt;=#REF!,#REF!,IF(AV27&lt;=#REF!,#REF!,IF(AV27&lt;=#REF!,#REF!,IF(AV27&lt;=#REF!,#REF!,0.05)))))))</f>
        <v/>
      </c>
      <c r="BG27" s="2472">
        <f>BF27*AV27</f>
        <v/>
      </c>
      <c r="BH27" s="192" t="n"/>
      <c r="BI27" s="192">
        <f>IF(AY27&lt;=#REF!,#REF!,IF(AY27&lt;=#REF!,#REF!,IF(AY27&lt;=#REF!,#REF!,IF(AY27&lt;=#REF!,#REF!,IF(AY27&lt;=#REF!,#REF!,IF(AY27&lt;=#REF!,#REF!,IF(AY27&lt;=#REF!,#REF!,0.05)))))))</f>
        <v/>
      </c>
      <c r="BJ27" s="2472">
        <f>BI27*AY27</f>
        <v/>
      </c>
      <c r="BK27" s="192" t="n"/>
      <c r="BL27" s="192">
        <f>IF(BB27&lt;=#REF!,#REF!,IF(BB27&lt;=#REF!,#REF!,IF(BB27&lt;=#REF!,#REF!,IF(BB27&lt;=#REF!,#REF!,IF(BB27&lt;=#REF!,#REF!,IF(BB27&lt;=#REF!,#REF!,IF(BB27&lt;=#REF!,#REF!,0.05)))))))</f>
        <v/>
      </c>
      <c r="BM27" s="2472">
        <f>BL27*SUM(BJ27,BG27,BB27)</f>
        <v/>
      </c>
      <c r="BN27" s="192" t="n"/>
      <c r="BO27" s="2473">
        <f>IF(BE27&lt;=#REF!,#REF!,IF(BE27&lt;=#REF!,#REF!,IF(BE27&lt;=#REF!,#REF!,IF(BE27&lt;=#REF!,#REF!,IF(BE27&lt;=#REF!,#REF!,IF(BE27&lt;=#REF!,#REF!,IF(BE27&lt;=#REF!,#REF!,0.05)))))))</f>
        <v/>
      </c>
      <c r="BP27" s="2472">
        <f>BO27*BE27</f>
        <v/>
      </c>
      <c r="BR27" s="2474">
        <f>0.07*SUM(BB27,BG27,BJ27,BM27,BP27)</f>
        <v/>
      </c>
      <c r="BT27" s="2474">
        <f>SUM(BR27,BP27,BM27,BJ27,BG27,BB27)</f>
        <v/>
      </c>
      <c r="BU27" s="2475">
        <f>SUM(BP27,BM27,BJ27,BG27)</f>
        <v/>
      </c>
      <c r="BV27" s="192">
        <f>BU27/BT27</f>
        <v/>
      </c>
      <c r="CL27" s="2472" t="n">
        <v>20000</v>
      </c>
      <c r="CM27" s="2472" t="n"/>
      <c r="CN27" s="2472" t="n"/>
      <c r="CO27" s="2472">
        <f>CL27</f>
        <v/>
      </c>
      <c r="CP27" s="2472" t="n"/>
      <c r="CQ27" s="2472" t="n"/>
      <c r="CR27" s="2472">
        <f>CL27+CO27</f>
        <v/>
      </c>
      <c r="CS27" s="2472" t="n"/>
      <c r="CT27" s="2472" t="n"/>
      <c r="CU27" s="2472">
        <f>CR27</f>
        <v/>
      </c>
      <c r="CV27" s="192">
        <f>IF(CL27&lt;=BN$4,BM$4,IF(CL27&lt;=BN$5,BM$5,IF(CL27&lt;=BN$6,BM$6,IF(CL27&lt;=BN$7,BM$7,IF(CL27&lt;=BN$12,BM$12,IF(CL27&lt;=BN$13,BM$13,IF(CL27&lt;=BN$14,BM$14,0.05)))))))</f>
        <v/>
      </c>
      <c r="CW27" s="2472">
        <f>CV27*CL27</f>
        <v/>
      </c>
      <c r="CX27" s="192" t="n"/>
      <c r="CY27" s="192">
        <f>IF(CO27&lt;=BQ$4,BP$4,IF(CO27&lt;=BQ$5,BP$5,IF(CO27&lt;=BQ$6,BP$6,IF(CO27&lt;=BQ$7,BP$7,IF(CO27&lt;=BQ$12,BP$12,IF(CO27&lt;=BQ$13,BP$13,IF(CO27&lt;=BQ$14,BP$14,0.05)))))))</f>
        <v/>
      </c>
      <c r="CZ27" s="2472">
        <f>CY27*CO27</f>
        <v/>
      </c>
      <c r="DA27" s="192" t="n"/>
      <c r="DB27" s="192">
        <f>IF(CR27&lt;=BT$4,BS$4,IF(CR27&lt;=BT$5,BS$5,IF(CR27&lt;=BT$6,BS$6,IF(CR27&lt;=BT$7,BS$7,IF(CR27&lt;=BT$12,BS$12,IF(CR27&lt;=BT$13,BS$13,IF(CR27&lt;=BT$14,BS$14,0.05)))))))</f>
        <v/>
      </c>
      <c r="DC27" s="2472">
        <f>DB27*SUM(CZ27,CW27,CR27)</f>
        <v/>
      </c>
      <c r="DD27" s="192" t="n"/>
      <c r="DE27" s="2473">
        <f>IF(CU27&lt;=BW$4,BV$4,IF(CU27&lt;=BW$5,BV$5,IF(CU27&lt;=BW$6,BV$6,IF(CU27&lt;=BW$7,BV$7,IF(CU27&lt;=BW$12,BV$12,IF(CU27&lt;=BW$13,BV$13,IF(CU27&lt;=BW$14,BV$14,0.05)))))))</f>
        <v/>
      </c>
      <c r="DF27" s="2472">
        <f>DE27*CU27</f>
        <v/>
      </c>
      <c r="DH27" s="2474">
        <f>0.07*SUM(CR27,CW27,CZ27,DC27,DF27)</f>
        <v/>
      </c>
      <c r="DJ27" s="2474">
        <f>SUM(DH27,DF27,DC27,CZ27,CW27,CR27)</f>
        <v/>
      </c>
      <c r="DK27" s="2475">
        <f>SUM(DF27,DC27,CZ27,CW27)</f>
        <v/>
      </c>
      <c r="DL27" s="192">
        <f>DK27/DJ27</f>
        <v/>
      </c>
    </row>
    <row r="28">
      <c r="A28" s="549" t="inlineStr">
        <is>
          <t>MATERIAL - Sand/Aggregate</t>
        </is>
      </c>
      <c r="B28" s="2325" t="n"/>
      <c r="C28" s="2326" t="n"/>
      <c r="D28" s="2327" t="n"/>
      <c r="E28" s="1" t="n"/>
      <c r="F28" s="1" t="n"/>
      <c r="G28" s="1" t="n"/>
      <c r="O28" s="444">
        <f>Takeoff!P14</f>
        <v/>
      </c>
      <c r="P28" s="2328">
        <f>Takeoff!Q14</f>
        <v/>
      </c>
      <c r="Q28" s="2328">
        <f>Takeoff!R14</f>
        <v/>
      </c>
      <c r="R28" s="2328">
        <f>Takeoff!S14</f>
        <v/>
      </c>
      <c r="S28" s="2309">
        <f>Takeoff!T14</f>
        <v/>
      </c>
      <c r="T28" s="2309">
        <f>Takeoff!U14</f>
        <v/>
      </c>
      <c r="AV28" s="2472" t="n">
        <v>21000</v>
      </c>
      <c r="AW28" s="2472" t="n"/>
      <c r="AX28" s="2472" t="n"/>
      <c r="AY28" s="2472">
        <f>AV28</f>
        <v/>
      </c>
      <c r="AZ28" s="2472" t="n"/>
      <c r="BA28" s="2472" t="n"/>
      <c r="BB28" s="2472">
        <f>AV28+AY28</f>
        <v/>
      </c>
      <c r="BC28" s="2472" t="n"/>
      <c r="BD28" s="2472" t="n"/>
      <c r="BE28" s="2472">
        <f>BB28</f>
        <v/>
      </c>
      <c r="BF28" s="192">
        <f>IF(AV28&lt;=#REF!,#REF!,IF(AV28&lt;=#REF!,#REF!,IF(AV28&lt;=#REF!,#REF!,IF(AV28&lt;=#REF!,#REF!,IF(AV28&lt;=#REF!,#REF!,IF(AV28&lt;=#REF!,#REF!,IF(AV28&lt;=#REF!,#REF!,0.05)))))))</f>
        <v/>
      </c>
      <c r="BG28" s="2472">
        <f>BF28*AV28</f>
        <v/>
      </c>
      <c r="BH28" s="192" t="n"/>
      <c r="BI28" s="192">
        <f>IF(AY28&lt;=#REF!,#REF!,IF(AY28&lt;=#REF!,#REF!,IF(AY28&lt;=#REF!,#REF!,IF(AY28&lt;=#REF!,#REF!,IF(AY28&lt;=#REF!,#REF!,IF(AY28&lt;=#REF!,#REF!,IF(AY28&lt;=#REF!,#REF!,0.05)))))))</f>
        <v/>
      </c>
      <c r="BJ28" s="2472">
        <f>BI28*AY28</f>
        <v/>
      </c>
      <c r="BK28" s="192" t="n"/>
      <c r="BL28" s="192">
        <f>IF(BB28&lt;=#REF!,#REF!,IF(BB28&lt;=#REF!,#REF!,IF(BB28&lt;=#REF!,#REF!,IF(BB28&lt;=#REF!,#REF!,IF(BB28&lt;=#REF!,#REF!,IF(BB28&lt;=#REF!,#REF!,IF(BB28&lt;=#REF!,#REF!,0.05)))))))</f>
        <v/>
      </c>
      <c r="BM28" s="2472">
        <f>BL28*SUM(BJ28,BG28,BB28)</f>
        <v/>
      </c>
      <c r="BN28" s="192" t="n"/>
      <c r="BO28" s="2473">
        <f>IF(BE28&lt;=#REF!,#REF!,IF(BE28&lt;=#REF!,#REF!,IF(BE28&lt;=#REF!,#REF!,IF(BE28&lt;=#REF!,#REF!,IF(BE28&lt;=#REF!,#REF!,IF(BE28&lt;=#REF!,#REF!,IF(BE28&lt;=#REF!,#REF!,0.05)))))))</f>
        <v/>
      </c>
      <c r="BP28" s="2472">
        <f>BO28*BE28</f>
        <v/>
      </c>
      <c r="BR28" s="2474">
        <f>0.07*SUM(BB28,BG28,BJ28,BM28,BP28)</f>
        <v/>
      </c>
      <c r="BT28" s="2474">
        <f>SUM(BR28,BP28,BM28,BJ28,BG28,BB28)</f>
        <v/>
      </c>
      <c r="BU28" s="2475">
        <f>SUM(BP28,BM28,BJ28,BG28)</f>
        <v/>
      </c>
      <c r="BV28" s="192">
        <f>BU28/BT28</f>
        <v/>
      </c>
      <c r="CL28" s="2472" t="n">
        <v>21000</v>
      </c>
      <c r="CM28" s="2472" t="n"/>
      <c r="CN28" s="2472" t="n"/>
      <c r="CO28" s="2472">
        <f>CL28</f>
        <v/>
      </c>
      <c r="CP28" s="2472" t="n"/>
      <c r="CQ28" s="2472" t="n"/>
      <c r="CR28" s="2472">
        <f>CL28+CO28</f>
        <v/>
      </c>
      <c r="CS28" s="2472" t="n"/>
      <c r="CT28" s="2472" t="n"/>
      <c r="CU28" s="2472">
        <f>CR28</f>
        <v/>
      </c>
      <c r="CV28" s="192">
        <f>IF(CL28&lt;=BN$4,BM$4,IF(CL28&lt;=BN$5,BM$5,IF(CL28&lt;=BN$6,BM$6,IF(CL28&lt;=BN$7,BM$7,IF(CL28&lt;=BN$12,BM$12,IF(CL28&lt;=BN$13,BM$13,IF(CL28&lt;=BN$14,BM$14,0.05)))))))</f>
        <v/>
      </c>
      <c r="CW28" s="2472">
        <f>CV28*CL28</f>
        <v/>
      </c>
      <c r="CX28" s="192" t="n"/>
      <c r="CY28" s="192">
        <f>IF(CO28&lt;=BQ$4,BP$4,IF(CO28&lt;=BQ$5,BP$5,IF(CO28&lt;=BQ$6,BP$6,IF(CO28&lt;=BQ$7,BP$7,IF(CO28&lt;=BQ$12,BP$12,IF(CO28&lt;=BQ$13,BP$13,IF(CO28&lt;=BQ$14,BP$14,0.05)))))))</f>
        <v/>
      </c>
      <c r="CZ28" s="2472">
        <f>CY28*CO28</f>
        <v/>
      </c>
      <c r="DA28" s="192" t="n"/>
      <c r="DB28" s="192">
        <f>IF(CR28&lt;=BT$4,BS$4,IF(CR28&lt;=BT$5,BS$5,IF(CR28&lt;=BT$6,BS$6,IF(CR28&lt;=BT$7,BS$7,IF(CR28&lt;=BT$12,BS$12,IF(CR28&lt;=BT$13,BS$13,IF(CR28&lt;=BT$14,BS$14,0.05)))))))</f>
        <v/>
      </c>
      <c r="DC28" s="2472">
        <f>DB28*SUM(CZ28,CW28,CR28)</f>
        <v/>
      </c>
      <c r="DD28" s="192" t="n"/>
      <c r="DE28" s="2473">
        <f>IF(CU28&lt;=BW$4,BV$4,IF(CU28&lt;=BW$5,BV$5,IF(CU28&lt;=BW$6,BV$6,IF(CU28&lt;=BW$7,BV$7,IF(CU28&lt;=BW$12,BV$12,IF(CU28&lt;=BW$13,BV$13,IF(CU28&lt;=BW$14,BV$14,0.05)))))))</f>
        <v/>
      </c>
      <c r="DF28" s="2472">
        <f>DE28*CU28</f>
        <v/>
      </c>
      <c r="DH28" s="2474">
        <f>0.07*SUM(CR28,CW28,CZ28,DC28,DF28)</f>
        <v/>
      </c>
      <c r="DJ28" s="2474">
        <f>SUM(DH28,DF28,DC28,CZ28,CW28,CR28)</f>
        <v/>
      </c>
      <c r="DK28" s="2475">
        <f>SUM(DF28,DC28,CZ28,CW28)</f>
        <v/>
      </c>
      <c r="DL28" s="192">
        <f>DK28/DJ28</f>
        <v/>
      </c>
    </row>
    <row r="29">
      <c r="A29" s="47" t="inlineStr">
        <is>
          <t>Super Sacks</t>
        </is>
      </c>
      <c r="B29" s="2306" t="n">
        <v>6</v>
      </c>
      <c r="C29" s="2282" t="n">
        <v>240</v>
      </c>
      <c r="D29" s="2038">
        <f>B29*C29</f>
        <v/>
      </c>
      <c r="E29" s="1" t="n"/>
      <c r="F29" s="1" t="n"/>
      <c r="G29" s="1" t="n"/>
      <c r="O29" s="675">
        <f>Takeoff!I3</f>
        <v/>
      </c>
      <c r="P29" s="2328">
        <f>Takeoff!J3</f>
        <v/>
      </c>
      <c r="Q29" s="2330">
        <f>Takeoff!K3</f>
        <v/>
      </c>
      <c r="R29" s="2328">
        <f>Takeoff!L3</f>
        <v/>
      </c>
      <c r="S29" s="2309">
        <f>Takeoff!M3</f>
        <v/>
      </c>
      <c r="T29" s="2309">
        <f>Takeoff!N3</f>
        <v/>
      </c>
      <c r="AV29" s="2472" t="n">
        <v>22000</v>
      </c>
      <c r="AW29" s="2472" t="n"/>
      <c r="AX29" s="2472" t="n"/>
      <c r="AY29" s="2472">
        <f>AV29</f>
        <v/>
      </c>
      <c r="AZ29" s="2472" t="n"/>
      <c r="BA29" s="2472" t="n"/>
      <c r="BB29" s="2472">
        <f>AV29+AY29</f>
        <v/>
      </c>
      <c r="BC29" s="2472" t="n"/>
      <c r="BD29" s="2472" t="n"/>
      <c r="BE29" s="2472">
        <f>BB29</f>
        <v/>
      </c>
      <c r="BF29" s="192">
        <f>IF(AV29&lt;=#REF!,#REF!,IF(AV29&lt;=#REF!,#REF!,IF(AV29&lt;=#REF!,#REF!,IF(AV29&lt;=#REF!,#REF!,IF(AV29&lt;=#REF!,#REF!,IF(AV29&lt;=#REF!,#REF!,IF(AV29&lt;=#REF!,#REF!,0.05)))))))</f>
        <v/>
      </c>
      <c r="BG29" s="2472">
        <f>BF29*AV29</f>
        <v/>
      </c>
      <c r="BH29" s="192" t="n"/>
      <c r="BI29" s="192">
        <f>IF(AY29&lt;=#REF!,#REF!,IF(AY29&lt;=#REF!,#REF!,IF(AY29&lt;=#REF!,#REF!,IF(AY29&lt;=#REF!,#REF!,IF(AY29&lt;=#REF!,#REF!,IF(AY29&lt;=#REF!,#REF!,IF(AY29&lt;=#REF!,#REF!,0.05)))))))</f>
        <v/>
      </c>
      <c r="BJ29" s="2472">
        <f>BI29*AY29</f>
        <v/>
      </c>
      <c r="BK29" s="192" t="n"/>
      <c r="BL29" s="192">
        <f>IF(BB29&lt;=#REF!,#REF!,IF(BB29&lt;=#REF!,#REF!,IF(BB29&lt;=#REF!,#REF!,IF(BB29&lt;=#REF!,#REF!,IF(BB29&lt;=#REF!,#REF!,IF(BB29&lt;=#REF!,#REF!,IF(BB29&lt;=#REF!,#REF!,0.05)))))))</f>
        <v/>
      </c>
      <c r="BM29" s="2472">
        <f>BL29*SUM(BJ29,BG29,BB29)</f>
        <v/>
      </c>
      <c r="BN29" s="192" t="n"/>
      <c r="BO29" s="2473">
        <f>IF(BE29&lt;=#REF!,#REF!,IF(BE29&lt;=#REF!,#REF!,IF(BE29&lt;=#REF!,#REF!,IF(BE29&lt;=#REF!,#REF!,IF(BE29&lt;=#REF!,#REF!,IF(BE29&lt;=#REF!,#REF!,IF(BE29&lt;=#REF!,#REF!,0.05)))))))</f>
        <v/>
      </c>
      <c r="BP29" s="2472">
        <f>BO29*BE29</f>
        <v/>
      </c>
      <c r="BR29" s="2474">
        <f>0.07*SUM(BB29,BG29,BJ29,BM29,BP29)</f>
        <v/>
      </c>
      <c r="BT29" s="2474">
        <f>SUM(BR29,BP29,BM29,BJ29,BG29,BB29)</f>
        <v/>
      </c>
      <c r="BU29" s="2475">
        <f>SUM(BP29,BM29,BJ29,BG29)</f>
        <v/>
      </c>
      <c r="BV29" s="192">
        <f>BU29/BT29</f>
        <v/>
      </c>
      <c r="CL29" s="2472" t="n">
        <v>22000</v>
      </c>
      <c r="CM29" s="2472" t="n"/>
      <c r="CN29" s="2472" t="n"/>
      <c r="CO29" s="2472">
        <f>CL29</f>
        <v/>
      </c>
      <c r="CP29" s="2472" t="n"/>
      <c r="CQ29" s="2472" t="n"/>
      <c r="CR29" s="2472">
        <f>CL29+CO29</f>
        <v/>
      </c>
      <c r="CS29" s="2472" t="n"/>
      <c r="CT29" s="2472" t="n"/>
      <c r="CU29" s="2472">
        <f>CR29</f>
        <v/>
      </c>
      <c r="CV29" s="192">
        <f>IF(CL29&lt;=BN$4,BM$4,IF(CL29&lt;=BN$5,BM$5,IF(CL29&lt;=BN$6,BM$6,IF(CL29&lt;=BN$7,BM$7,IF(CL29&lt;=BN$12,BM$12,IF(CL29&lt;=BN$13,BM$13,IF(CL29&lt;=BN$14,BM$14,0.05)))))))</f>
        <v/>
      </c>
      <c r="CW29" s="2472">
        <f>CV29*CL29</f>
        <v/>
      </c>
      <c r="CX29" s="192" t="n"/>
      <c r="CY29" s="192">
        <f>IF(CO29&lt;=BQ$4,BP$4,IF(CO29&lt;=BQ$5,BP$5,IF(CO29&lt;=BQ$6,BP$6,IF(CO29&lt;=BQ$7,BP$7,IF(CO29&lt;=BQ$12,BP$12,IF(CO29&lt;=BQ$13,BP$13,IF(CO29&lt;=BQ$14,BP$14,0.05)))))))</f>
        <v/>
      </c>
      <c r="CZ29" s="2472">
        <f>CY29*CO29</f>
        <v/>
      </c>
      <c r="DA29" s="192" t="n"/>
      <c r="DB29" s="192">
        <f>IF(CR29&lt;=BT$4,BS$4,IF(CR29&lt;=BT$5,BS$5,IF(CR29&lt;=BT$6,BS$6,IF(CR29&lt;=BT$7,BS$7,IF(CR29&lt;=BT$12,BS$12,IF(CR29&lt;=BT$13,BS$13,IF(CR29&lt;=BT$14,BS$14,0.05)))))))</f>
        <v/>
      </c>
      <c r="DC29" s="2472">
        <f>DB29*SUM(CZ29,CW29,CR29)</f>
        <v/>
      </c>
      <c r="DD29" s="192" t="n"/>
      <c r="DE29" s="2473">
        <f>IF(CU29&lt;=BW$4,BV$4,IF(CU29&lt;=BW$5,BV$5,IF(CU29&lt;=BW$6,BV$6,IF(CU29&lt;=BW$7,BV$7,IF(CU29&lt;=BW$12,BV$12,IF(CU29&lt;=BW$13,BV$13,IF(CU29&lt;=BW$14,BV$14,0.05)))))))</f>
        <v/>
      </c>
      <c r="DF29" s="2472">
        <f>DE29*CU29</f>
        <v/>
      </c>
      <c r="DH29" s="2474">
        <f>0.07*SUM(CR29,CW29,CZ29,DC29,DF29)</f>
        <v/>
      </c>
      <c r="DJ29" s="2474">
        <f>SUM(DH29,DF29,DC29,CZ29,CW29,CR29)</f>
        <v/>
      </c>
      <c r="DK29" s="2475">
        <f>SUM(DF29,DC29,CZ29,CW29)</f>
        <v/>
      </c>
      <c r="DL29" s="192">
        <f>DK29/DJ29</f>
        <v/>
      </c>
    </row>
    <row r="30" ht="16.05" customHeight="1">
      <c r="A30" s="47" t="n"/>
      <c r="B30" s="2306" t="n"/>
      <c r="C30" s="2282" t="n"/>
      <c r="D30" s="2038">
        <f>B30*C30</f>
        <v/>
      </c>
      <c r="E30" s="1" t="n"/>
      <c r="F30" s="1" t="n"/>
      <c r="G30" s="1" t="n"/>
      <c r="Q30" s="1" t="n"/>
      <c r="R30" s="1" t="n"/>
      <c r="S30" s="1" t="n"/>
      <c r="T30" s="1" t="n"/>
      <c r="AV30" s="2472" t="n">
        <v>23000</v>
      </c>
      <c r="AW30" s="2472" t="n"/>
      <c r="AX30" s="2472" t="n"/>
      <c r="AY30" s="2472">
        <f>AV30</f>
        <v/>
      </c>
      <c r="AZ30" s="2472" t="n"/>
      <c r="BA30" s="2472" t="n"/>
      <c r="BB30" s="2472">
        <f>AV30+AY30</f>
        <v/>
      </c>
      <c r="BC30" s="2472" t="n"/>
      <c r="BD30" s="2472" t="n"/>
      <c r="BE30" s="2472">
        <f>BB30</f>
        <v/>
      </c>
      <c r="BF30" s="192">
        <f>IF(AV30&lt;=#REF!,#REF!,IF(AV30&lt;=#REF!,#REF!,IF(AV30&lt;=#REF!,#REF!,IF(AV30&lt;=#REF!,#REF!,IF(AV30&lt;=#REF!,#REF!,IF(AV30&lt;=#REF!,#REF!,IF(AV30&lt;=#REF!,#REF!,0.05)))))))</f>
        <v/>
      </c>
      <c r="BG30" s="2472">
        <f>BF30*AV30</f>
        <v/>
      </c>
      <c r="BH30" s="192" t="n"/>
      <c r="BI30" s="192">
        <f>IF(AY30&lt;=#REF!,#REF!,IF(AY30&lt;=#REF!,#REF!,IF(AY30&lt;=#REF!,#REF!,IF(AY30&lt;=#REF!,#REF!,IF(AY30&lt;=#REF!,#REF!,IF(AY30&lt;=#REF!,#REF!,IF(AY30&lt;=#REF!,#REF!,0.05)))))))</f>
        <v/>
      </c>
      <c r="BJ30" s="2472">
        <f>BI30*AY30</f>
        <v/>
      </c>
      <c r="BK30" s="192" t="n"/>
      <c r="BL30" s="192">
        <f>IF(BB30&lt;=#REF!,#REF!,IF(BB30&lt;=#REF!,#REF!,IF(BB30&lt;=#REF!,#REF!,IF(BB30&lt;=#REF!,#REF!,IF(BB30&lt;=#REF!,#REF!,IF(BB30&lt;=#REF!,#REF!,IF(BB30&lt;=#REF!,#REF!,0.05)))))))</f>
        <v/>
      </c>
      <c r="BM30" s="2472">
        <f>BL30*SUM(BJ30,BG30,BB30)</f>
        <v/>
      </c>
      <c r="BN30" s="192" t="n"/>
      <c r="BO30" s="2473">
        <f>IF(BE30&lt;=#REF!,#REF!,IF(BE30&lt;=#REF!,#REF!,IF(BE30&lt;=#REF!,#REF!,IF(BE30&lt;=#REF!,#REF!,IF(BE30&lt;=#REF!,#REF!,IF(BE30&lt;=#REF!,#REF!,IF(BE30&lt;=#REF!,#REF!,0.05)))))))</f>
        <v/>
      </c>
      <c r="BP30" s="2472">
        <f>BO30*BE30</f>
        <v/>
      </c>
      <c r="BR30" s="2474">
        <f>0.07*SUM(BB30,BG30,BJ30,BM30,BP30)</f>
        <v/>
      </c>
      <c r="BT30" s="2474">
        <f>SUM(BR30,BP30,BM30,BJ30,BG30,BB30)</f>
        <v/>
      </c>
      <c r="BU30" s="2475">
        <f>SUM(BP30,BM30,BJ30,BG30)</f>
        <v/>
      </c>
      <c r="BV30" s="192">
        <f>BU30/BT30</f>
        <v/>
      </c>
      <c r="CL30" s="2472" t="n">
        <v>23000</v>
      </c>
      <c r="CM30" s="2472" t="n"/>
      <c r="CN30" s="2472" t="n"/>
      <c r="CO30" s="2472">
        <f>CL30</f>
        <v/>
      </c>
      <c r="CP30" s="2472" t="n"/>
      <c r="CQ30" s="2472" t="n"/>
      <c r="CR30" s="2472">
        <f>CL30+CO30</f>
        <v/>
      </c>
      <c r="CS30" s="2472" t="n"/>
      <c r="CT30" s="2472" t="n"/>
      <c r="CU30" s="2472">
        <f>CR30</f>
        <v/>
      </c>
      <c r="CV30" s="192">
        <f>IF(CL30&lt;=BN$4,BM$4,IF(CL30&lt;=BN$5,BM$5,IF(CL30&lt;=BN$6,BM$6,IF(CL30&lt;=BN$7,BM$7,IF(CL30&lt;=BN$12,BM$12,IF(CL30&lt;=BN$13,BM$13,IF(CL30&lt;=BN$14,BM$14,0.05)))))))</f>
        <v/>
      </c>
      <c r="CW30" s="2472">
        <f>CV30*CL30</f>
        <v/>
      </c>
      <c r="CX30" s="192" t="n"/>
      <c r="CY30" s="192">
        <f>IF(CO30&lt;=BQ$4,BP$4,IF(CO30&lt;=BQ$5,BP$5,IF(CO30&lt;=BQ$6,BP$6,IF(CO30&lt;=BQ$7,BP$7,IF(CO30&lt;=BQ$12,BP$12,IF(CO30&lt;=BQ$13,BP$13,IF(CO30&lt;=BQ$14,BP$14,0.05)))))))</f>
        <v/>
      </c>
      <c r="CZ30" s="2472">
        <f>CY30*CO30</f>
        <v/>
      </c>
      <c r="DA30" s="192" t="n"/>
      <c r="DB30" s="192">
        <f>IF(CR30&lt;=BT$4,BS$4,IF(CR30&lt;=BT$5,BS$5,IF(CR30&lt;=BT$6,BS$6,IF(CR30&lt;=BT$7,BS$7,IF(CR30&lt;=BT$12,BS$12,IF(CR30&lt;=BT$13,BS$13,IF(CR30&lt;=BT$14,BS$14,0.05)))))))</f>
        <v/>
      </c>
      <c r="DC30" s="2472">
        <f>DB30*SUM(CZ30,CW30,CR30)</f>
        <v/>
      </c>
      <c r="DD30" s="192" t="n"/>
      <c r="DE30" s="2473">
        <f>IF(CU30&lt;=BW$4,BV$4,IF(CU30&lt;=BW$5,BV$5,IF(CU30&lt;=BW$6,BV$6,IF(CU30&lt;=BW$7,BV$7,IF(CU30&lt;=BW$12,BV$12,IF(CU30&lt;=BW$13,BV$13,IF(CU30&lt;=BW$14,BV$14,0.05)))))))</f>
        <v/>
      </c>
      <c r="DF30" s="2472">
        <f>DE30*CU30</f>
        <v/>
      </c>
      <c r="DH30" s="2474">
        <f>0.07*SUM(CR30,CW30,CZ30,DC30,DF30)</f>
        <v/>
      </c>
      <c r="DJ30" s="2474">
        <f>SUM(DH30,DF30,DC30,CZ30,CW30,CR30)</f>
        <v/>
      </c>
      <c r="DK30" s="2475">
        <f>SUM(DF30,DC30,CZ30,CW30)</f>
        <v/>
      </c>
      <c r="DL30" s="192">
        <f>DK30/DJ30</f>
        <v/>
      </c>
    </row>
    <row r="31" ht="16.05" customHeight="1">
      <c r="A31" s="47" t="n"/>
      <c r="B31" s="2306" t="n"/>
      <c r="C31" s="2282" t="n"/>
      <c r="D31" s="2038">
        <f>B31*C31</f>
        <v/>
      </c>
      <c r="E31" s="1" t="n"/>
      <c r="F31" s="1" t="n"/>
      <c r="G31" s="1" t="n"/>
      <c r="Q31" s="1" t="n"/>
      <c r="R31" s="1" t="n"/>
      <c r="S31" s="1" t="n"/>
      <c r="T31" s="1" t="n"/>
      <c r="AV31" s="2472" t="n"/>
      <c r="AW31" s="2472" t="n"/>
      <c r="AX31" s="2472" t="n"/>
      <c r="AY31" s="2472" t="n"/>
      <c r="AZ31" s="2472" t="n"/>
      <c r="BA31" s="2472" t="n"/>
      <c r="BB31" s="2472" t="n"/>
      <c r="BC31" s="2472" t="n"/>
      <c r="BD31" s="2472" t="n"/>
      <c r="BE31" s="2472" t="n"/>
      <c r="BF31" s="192" t="n"/>
      <c r="BG31" s="2472" t="n"/>
      <c r="BH31" s="192" t="n"/>
      <c r="BI31" s="192" t="n"/>
      <c r="BJ31" s="2472" t="n"/>
      <c r="BK31" s="192" t="n"/>
      <c r="BL31" s="192" t="n"/>
      <c r="BM31" s="2472" t="n"/>
      <c r="BN31" s="192" t="n"/>
      <c r="BO31" s="2473" t="n"/>
      <c r="BP31" s="2472" t="n"/>
      <c r="BR31" s="2474" t="n"/>
      <c r="BT31" s="2474" t="n"/>
      <c r="BU31" s="2475" t="n"/>
      <c r="BV31" s="192" t="n"/>
      <c r="CL31" s="2472" t="n"/>
      <c r="CM31" s="2472" t="n"/>
      <c r="CN31" s="2472" t="n"/>
      <c r="CO31" s="2472" t="n"/>
      <c r="CP31" s="2472" t="n"/>
      <c r="CQ31" s="2472" t="n"/>
      <c r="CR31" s="2472" t="n"/>
      <c r="CS31" s="2472" t="n"/>
      <c r="CT31" s="2472" t="n"/>
      <c r="CU31" s="2472" t="n"/>
      <c r="CV31" s="192" t="n"/>
      <c r="CW31" s="2472" t="n"/>
      <c r="CX31" s="192" t="n"/>
      <c r="CY31" s="192" t="n"/>
      <c r="CZ31" s="2472" t="n"/>
      <c r="DA31" s="192" t="n"/>
      <c r="DB31" s="192" t="n"/>
      <c r="DC31" s="2472" t="n"/>
      <c r="DD31" s="192" t="n"/>
      <c r="DE31" s="2473" t="n"/>
      <c r="DF31" s="2472" t="n"/>
      <c r="DH31" s="2474" t="n"/>
      <c r="DJ31" s="2474" t="n"/>
      <c r="DK31" s="2475" t="n"/>
      <c r="DL31" s="192" t="n"/>
    </row>
    <row r="32">
      <c r="A32" s="551" t="inlineStr">
        <is>
          <t xml:space="preserve">MATERIAL - </t>
        </is>
      </c>
      <c r="B32" s="2325" t="n"/>
      <c r="C32" s="2326" t="n"/>
      <c r="D32" s="2327" t="n"/>
      <c r="E32" s="2313" t="n">
        <v>0</v>
      </c>
      <c r="F32" s="82" t="inlineStr">
        <is>
          <t>LF</t>
        </is>
      </c>
      <c r="G32" s="1" t="n"/>
      <c r="O32" s="1" t="n"/>
      <c r="P32" s="1" t="n"/>
      <c r="Q32" s="1" t="n"/>
      <c r="R32" s="1" t="n"/>
      <c r="AV32" s="2472" t="n">
        <v>24000</v>
      </c>
      <c r="AW32" s="2472" t="n"/>
      <c r="AX32" s="2472" t="n"/>
      <c r="AY32" s="2472">
        <f>AV32</f>
        <v/>
      </c>
      <c r="AZ32" s="2472" t="n"/>
      <c r="BA32" s="2472" t="n"/>
      <c r="BB32" s="2472">
        <f>AV32+AY32</f>
        <v/>
      </c>
      <c r="BC32" s="2472" t="n"/>
      <c r="BD32" s="2472" t="n"/>
      <c r="BE32" s="2472">
        <f>BB32</f>
        <v/>
      </c>
      <c r="BF32" s="192">
        <f>IF(AV32&lt;=#REF!,#REF!,IF(AV32&lt;=#REF!,#REF!,IF(AV32&lt;=#REF!,#REF!,IF(AV32&lt;=#REF!,#REF!,IF(AV32&lt;=#REF!,#REF!,IF(AV32&lt;=#REF!,#REF!,IF(AV32&lt;=#REF!,#REF!,0.05)))))))</f>
        <v/>
      </c>
      <c r="BG32" s="2472">
        <f>BF32*AV32</f>
        <v/>
      </c>
      <c r="BH32" s="192" t="n"/>
      <c r="BI32" s="192">
        <f>IF(AY32&lt;=#REF!,#REF!,IF(AY32&lt;=#REF!,#REF!,IF(AY32&lt;=#REF!,#REF!,IF(AY32&lt;=#REF!,#REF!,IF(AY32&lt;=#REF!,#REF!,IF(AY32&lt;=#REF!,#REF!,IF(AY32&lt;=#REF!,#REF!,0.05)))))))</f>
        <v/>
      </c>
      <c r="BJ32" s="2472">
        <f>BI32*AY32</f>
        <v/>
      </c>
      <c r="BK32" s="192" t="n"/>
      <c r="BL32" s="192">
        <f>IF(BB32&lt;=#REF!,#REF!,IF(BB32&lt;=#REF!,#REF!,IF(BB32&lt;=#REF!,#REF!,IF(BB32&lt;=#REF!,#REF!,IF(BB32&lt;=#REF!,#REF!,IF(BB32&lt;=#REF!,#REF!,IF(BB32&lt;=#REF!,#REF!,0.05)))))))</f>
        <v/>
      </c>
      <c r="BM32" s="2472">
        <f>BL32*SUM(BJ32,BG32,BB32)</f>
        <v/>
      </c>
      <c r="BN32" s="192" t="n"/>
      <c r="BO32" s="2473">
        <f>IF(BE32&lt;=#REF!,#REF!,IF(BE32&lt;=#REF!,#REF!,IF(BE32&lt;=#REF!,#REF!,IF(BE32&lt;=#REF!,#REF!,IF(BE32&lt;=#REF!,#REF!,IF(BE32&lt;=#REF!,#REF!,IF(BE32&lt;=#REF!,#REF!,0.05)))))))</f>
        <v/>
      </c>
      <c r="BP32" s="2472">
        <f>BO32*BE32</f>
        <v/>
      </c>
      <c r="BR32" s="2474">
        <f>0.07*SUM(BB32,BG32,BJ32,BM32,BP32)</f>
        <v/>
      </c>
      <c r="BT32" s="2474">
        <f>SUM(BR32,BP32,BM32,BJ32,BG32,BB32)</f>
        <v/>
      </c>
      <c r="BU32" s="2475">
        <f>SUM(BP32,BM32,BJ32,BG32)</f>
        <v/>
      </c>
      <c r="BV32" s="192">
        <f>BU32/BT32</f>
        <v/>
      </c>
      <c r="CL32" s="2472" t="n">
        <v>24000</v>
      </c>
      <c r="CM32" s="2472" t="n"/>
      <c r="CN32" s="2472" t="n"/>
      <c r="CO32" s="2472">
        <f>CL32</f>
        <v/>
      </c>
      <c r="CP32" s="2472" t="n"/>
      <c r="CQ32" s="2472" t="n"/>
      <c r="CR32" s="2472">
        <f>CL32+CO32</f>
        <v/>
      </c>
      <c r="CS32" s="2472" t="n"/>
      <c r="CT32" s="2472" t="n"/>
      <c r="CU32" s="2472">
        <f>CR32</f>
        <v/>
      </c>
      <c r="CV32" s="192">
        <f>IF(CL32&lt;=BN$4,BM$4,IF(CL32&lt;=BN$5,BM$5,IF(CL32&lt;=BN$6,BM$6,IF(CL32&lt;=BN$7,BM$7,IF(CL32&lt;=BN$12,BM$12,IF(CL32&lt;=BN$13,BM$13,IF(CL32&lt;=BN$14,BM$14,0.05)))))))</f>
        <v/>
      </c>
      <c r="CW32" s="2472">
        <f>CV32*CL32</f>
        <v/>
      </c>
      <c r="CX32" s="192" t="n"/>
      <c r="CY32" s="192">
        <f>IF(CO32&lt;=BQ$4,BP$4,IF(CO32&lt;=BQ$5,BP$5,IF(CO32&lt;=BQ$6,BP$6,IF(CO32&lt;=BQ$7,BP$7,IF(CO32&lt;=BQ$12,BP$12,IF(CO32&lt;=BQ$13,BP$13,IF(CO32&lt;=BQ$14,BP$14,0.05)))))))</f>
        <v/>
      </c>
      <c r="CZ32" s="2472">
        <f>CY32*CO32</f>
        <v/>
      </c>
      <c r="DA32" s="192" t="n"/>
      <c r="DB32" s="192">
        <f>IF(CR32&lt;=BT$4,BS$4,IF(CR32&lt;=BT$5,BS$5,IF(CR32&lt;=BT$6,BS$6,IF(CR32&lt;=BT$7,BS$7,IF(CR32&lt;=BT$12,BS$12,IF(CR32&lt;=BT$13,BS$13,IF(CR32&lt;=BT$14,BS$14,0.05)))))))</f>
        <v/>
      </c>
      <c r="DC32" s="2472">
        <f>DB32*SUM(CZ32,CW32,CR32)</f>
        <v/>
      </c>
      <c r="DD32" s="192" t="n"/>
      <c r="DE32" s="2473">
        <f>IF(CU32&lt;=BW$4,BV$4,IF(CU32&lt;=BW$5,BV$5,IF(CU32&lt;=BW$6,BV$6,IF(CU32&lt;=BW$7,BV$7,IF(CU32&lt;=BW$12,BV$12,IF(CU32&lt;=BW$13,BV$13,IF(CU32&lt;=BW$14,BV$14,0.05)))))))</f>
        <v/>
      </c>
      <c r="DF32" s="2472">
        <f>DE32*CU32</f>
        <v/>
      </c>
      <c r="DH32" s="2474">
        <f>0.07*SUM(CR32,CW32,CZ32,DC32,DF32)</f>
        <v/>
      </c>
      <c r="DJ32" s="2474">
        <f>SUM(DH32,DF32,DC32,CZ32,CW32,CR32)</f>
        <v/>
      </c>
      <c r="DK32" s="2475">
        <f>SUM(DF32,DC32,CZ32,CW32)</f>
        <v/>
      </c>
      <c r="DL32" s="192">
        <f>DK32/DJ32</f>
        <v/>
      </c>
    </row>
    <row r="33" ht="16.05" customHeight="1">
      <c r="A33" s="47" t="n"/>
      <c r="B33" s="2306" t="n"/>
      <c r="C33" s="2282" t="n"/>
      <c r="D33" s="2038">
        <f>B33*C33</f>
        <v/>
      </c>
      <c r="E33" s="1" t="n"/>
      <c r="F33" s="1" t="n"/>
      <c r="G33" s="1" t="n"/>
      <c r="O33" s="1" t="n"/>
      <c r="P33" s="1" t="n"/>
      <c r="Q33" s="1" t="n"/>
      <c r="R33" s="1" t="n"/>
      <c r="AV33" s="2472" t="n">
        <v>25000</v>
      </c>
      <c r="AW33" s="2472" t="n"/>
      <c r="AX33" s="2472" t="n"/>
      <c r="AY33" s="2472">
        <f>AV33</f>
        <v/>
      </c>
      <c r="AZ33" s="2472" t="n"/>
      <c r="BA33" s="2472" t="n"/>
      <c r="BB33" s="2472">
        <f>AV33+AY33</f>
        <v/>
      </c>
      <c r="BC33" s="2472" t="n"/>
      <c r="BD33" s="2472" t="n"/>
      <c r="BE33" s="2472">
        <f>BB33</f>
        <v/>
      </c>
      <c r="BF33" s="192">
        <f>IF(AV33&lt;=#REF!,#REF!,IF(AV33&lt;=#REF!,#REF!,IF(AV33&lt;=#REF!,#REF!,IF(AV33&lt;=#REF!,#REF!,IF(AV33&lt;=#REF!,#REF!,IF(AV33&lt;=#REF!,#REF!,IF(AV33&lt;=#REF!,#REF!,0.05)))))))</f>
        <v/>
      </c>
      <c r="BG33" s="2472">
        <f>BF33*AV33</f>
        <v/>
      </c>
      <c r="BH33" s="192" t="n"/>
      <c r="BI33" s="192">
        <f>IF(AY33&lt;=#REF!,#REF!,IF(AY33&lt;=#REF!,#REF!,IF(AY33&lt;=#REF!,#REF!,IF(AY33&lt;=#REF!,#REF!,IF(AY33&lt;=#REF!,#REF!,IF(AY33&lt;=#REF!,#REF!,IF(AY33&lt;=#REF!,#REF!,0.05)))))))</f>
        <v/>
      </c>
      <c r="BJ33" s="2472">
        <f>BI33*AY33</f>
        <v/>
      </c>
      <c r="BK33" s="192" t="n"/>
      <c r="BL33" s="192">
        <f>IF(BB33&lt;=#REF!,#REF!,IF(BB33&lt;=#REF!,#REF!,IF(BB33&lt;=#REF!,#REF!,IF(BB33&lt;=#REF!,#REF!,IF(BB33&lt;=#REF!,#REF!,IF(BB33&lt;=#REF!,#REF!,IF(BB33&lt;=#REF!,#REF!,0.05)))))))</f>
        <v/>
      </c>
      <c r="BM33" s="2472">
        <f>BL33*SUM(BJ33,BG33,BB33)</f>
        <v/>
      </c>
      <c r="BN33" s="192" t="n"/>
      <c r="BO33" s="2473">
        <f>IF(BE33&lt;=#REF!,#REF!,IF(BE33&lt;=#REF!,#REF!,IF(BE33&lt;=#REF!,#REF!,IF(BE33&lt;=#REF!,#REF!,IF(BE33&lt;=#REF!,#REF!,IF(BE33&lt;=#REF!,#REF!,IF(BE33&lt;=#REF!,#REF!,0.05)))))))</f>
        <v/>
      </c>
      <c r="BP33" s="2472">
        <f>BO33*BE33</f>
        <v/>
      </c>
      <c r="BR33" s="2474">
        <f>0.07*SUM(BB33,BG33,BJ33,BM33,BP33)</f>
        <v/>
      </c>
      <c r="BT33" s="2474">
        <f>SUM(BR33,BP33,BM33,BJ33,BG33,BB33)</f>
        <v/>
      </c>
      <c r="BU33" s="2475">
        <f>SUM(BP33,BM33,BJ33,BG33)</f>
        <v/>
      </c>
      <c r="BV33" s="192">
        <f>BU33/BT33</f>
        <v/>
      </c>
      <c r="CL33" s="2472" t="n">
        <v>25000</v>
      </c>
      <c r="CM33" s="2472" t="n"/>
      <c r="CN33" s="2472" t="n"/>
      <c r="CO33" s="2472">
        <f>CL33</f>
        <v/>
      </c>
      <c r="CP33" s="2472" t="n"/>
      <c r="CQ33" s="2472" t="n"/>
      <c r="CR33" s="2472">
        <f>CL33+CO33</f>
        <v/>
      </c>
      <c r="CS33" s="2472" t="n"/>
      <c r="CT33" s="2472" t="n"/>
      <c r="CU33" s="2472">
        <f>CR33</f>
        <v/>
      </c>
      <c r="CV33" s="192">
        <f>IF(CL33&lt;=BN$4,BM$4,IF(CL33&lt;=BN$5,BM$5,IF(CL33&lt;=BN$6,BM$6,IF(CL33&lt;=BN$7,BM$7,IF(CL33&lt;=BN$12,BM$12,IF(CL33&lt;=BN$13,BM$13,IF(CL33&lt;=BN$14,BM$14,0.05)))))))</f>
        <v/>
      </c>
      <c r="CW33" s="2472">
        <f>CV33*CL33</f>
        <v/>
      </c>
      <c r="CX33" s="192" t="n"/>
      <c r="CY33" s="192">
        <f>IF(CO33&lt;=BQ$4,BP$4,IF(CO33&lt;=BQ$5,BP$5,IF(CO33&lt;=BQ$6,BP$6,IF(CO33&lt;=BQ$7,BP$7,IF(CO33&lt;=BQ$12,BP$12,IF(CO33&lt;=BQ$13,BP$13,IF(CO33&lt;=BQ$14,BP$14,0.05)))))))</f>
        <v/>
      </c>
      <c r="CZ33" s="2472">
        <f>CY33*CO33</f>
        <v/>
      </c>
      <c r="DA33" s="192" t="n"/>
      <c r="DB33" s="192">
        <f>IF(CR33&lt;=BT$4,BS$4,IF(CR33&lt;=BT$5,BS$5,IF(CR33&lt;=BT$6,BS$6,IF(CR33&lt;=BT$7,BS$7,IF(CR33&lt;=BT$12,BS$12,IF(CR33&lt;=BT$13,BS$13,IF(CR33&lt;=BT$14,BS$14,0.05)))))))</f>
        <v/>
      </c>
      <c r="DC33" s="2472">
        <f>DB33*SUM(CZ33,CW33,CR33)</f>
        <v/>
      </c>
      <c r="DD33" s="192" t="n"/>
      <c r="DE33" s="2473">
        <f>IF(CU33&lt;=BW$4,BV$4,IF(CU33&lt;=BW$5,BV$5,IF(CU33&lt;=BW$6,BV$6,IF(CU33&lt;=BW$7,BV$7,IF(CU33&lt;=BW$12,BV$12,IF(CU33&lt;=BW$13,BV$13,IF(CU33&lt;=BW$14,BV$14,0.05)))))))</f>
        <v/>
      </c>
      <c r="DF33" s="2472">
        <f>DE33*CU33</f>
        <v/>
      </c>
      <c r="DH33" s="2474">
        <f>0.07*SUM(CR33,CW33,CZ33,DC33,DF33)</f>
        <v/>
      </c>
      <c r="DJ33" s="2474">
        <f>SUM(DH33,DF33,DC33,CZ33,CW33,CR33)</f>
        <v/>
      </c>
      <c r="DK33" s="2475">
        <f>SUM(DF33,DC33,CZ33,CW33)</f>
        <v/>
      </c>
      <c r="DL33" s="192">
        <f>DK33/DJ33</f>
        <v/>
      </c>
    </row>
    <row r="34">
      <c r="A34" s="47" t="n"/>
      <c r="B34" s="2306" t="n"/>
      <c r="C34" s="2282" t="n"/>
      <c r="D34" s="2038">
        <f>B34*C34</f>
        <v/>
      </c>
      <c r="E34" s="1" t="n"/>
      <c r="F34" s="1" t="n"/>
      <c r="G34" s="1" t="n"/>
      <c r="Q34" s="1916" t="n"/>
      <c r="AV34" s="2472" t="n">
        <v>26000</v>
      </c>
      <c r="AW34" s="2472" t="n"/>
      <c r="AX34" s="2472" t="n"/>
      <c r="AY34" s="2472">
        <f>AV34</f>
        <v/>
      </c>
      <c r="AZ34" s="2472" t="n"/>
      <c r="BA34" s="2472" t="n"/>
      <c r="BB34" s="2472">
        <f>AV34+AY34</f>
        <v/>
      </c>
      <c r="BC34" s="2472" t="n"/>
      <c r="BD34" s="2472" t="n"/>
      <c r="BE34" s="2472">
        <f>BB34</f>
        <v/>
      </c>
      <c r="BF34" s="192">
        <f>IF(AV34&lt;=#REF!,#REF!,IF(AV34&lt;=#REF!,#REF!,IF(AV34&lt;=#REF!,#REF!,IF(AV34&lt;=#REF!,#REF!,IF(AV34&lt;=#REF!,#REF!,IF(AV34&lt;=#REF!,#REF!,IF(AV34&lt;=#REF!,#REF!,0.05)))))))</f>
        <v/>
      </c>
      <c r="BG34" s="2472">
        <f>BF34*AV34</f>
        <v/>
      </c>
      <c r="BH34" s="192" t="n"/>
      <c r="BI34" s="192">
        <f>IF(AY34&lt;=#REF!,#REF!,IF(AY34&lt;=#REF!,#REF!,IF(AY34&lt;=#REF!,#REF!,IF(AY34&lt;=#REF!,#REF!,IF(AY34&lt;=#REF!,#REF!,IF(AY34&lt;=#REF!,#REF!,IF(AY34&lt;=#REF!,#REF!,0.05)))))))</f>
        <v/>
      </c>
      <c r="BJ34" s="2472">
        <f>BI34*AY34</f>
        <v/>
      </c>
      <c r="BK34" s="192" t="n"/>
      <c r="BL34" s="192">
        <f>IF(BB34&lt;=#REF!,#REF!,IF(BB34&lt;=#REF!,#REF!,IF(BB34&lt;=#REF!,#REF!,IF(BB34&lt;=#REF!,#REF!,IF(BB34&lt;=#REF!,#REF!,IF(BB34&lt;=#REF!,#REF!,IF(BB34&lt;=#REF!,#REF!,0.05)))))))</f>
        <v/>
      </c>
      <c r="BM34" s="2472">
        <f>BL34*SUM(BJ34,BG34,BB34)</f>
        <v/>
      </c>
      <c r="BN34" s="192" t="n"/>
      <c r="BO34" s="2473">
        <f>IF(BE34&lt;=#REF!,#REF!,IF(BE34&lt;=#REF!,#REF!,IF(BE34&lt;=#REF!,#REF!,IF(BE34&lt;=#REF!,#REF!,IF(BE34&lt;=#REF!,#REF!,IF(BE34&lt;=#REF!,#REF!,IF(BE34&lt;=#REF!,#REF!,0.05)))))))</f>
        <v/>
      </c>
      <c r="BP34" s="2472">
        <f>BO34*BE34</f>
        <v/>
      </c>
      <c r="BR34" s="2474">
        <f>0.07*SUM(BB34,BG34,BJ34,BM34,BP34)</f>
        <v/>
      </c>
      <c r="BT34" s="2474">
        <f>SUM(BR34,BP34,BM34,BJ34,BG34,BB34)</f>
        <v/>
      </c>
      <c r="BU34" s="2475">
        <f>SUM(BP34,BM34,BJ34,BG34)</f>
        <v/>
      </c>
      <c r="BV34" s="192">
        <f>BU34/BT34</f>
        <v/>
      </c>
      <c r="CL34" s="2472" t="n">
        <v>26000</v>
      </c>
      <c r="CM34" s="2472" t="n"/>
      <c r="CN34" s="2472" t="n"/>
      <c r="CO34" s="2472">
        <f>CL34</f>
        <v/>
      </c>
      <c r="CP34" s="2472" t="n"/>
      <c r="CQ34" s="2472" t="n"/>
      <c r="CR34" s="2472">
        <f>CL34+CO34</f>
        <v/>
      </c>
      <c r="CS34" s="2472" t="n"/>
      <c r="CT34" s="2472" t="n"/>
      <c r="CU34" s="2472">
        <f>CR34</f>
        <v/>
      </c>
      <c r="CV34" s="192">
        <f>IF(CL34&lt;=BN$4,BM$4,IF(CL34&lt;=BN$5,BM$5,IF(CL34&lt;=BN$6,BM$6,IF(CL34&lt;=BN$7,BM$7,IF(CL34&lt;=BN$12,BM$12,IF(CL34&lt;=BN$13,BM$13,IF(CL34&lt;=BN$14,BM$14,0.05)))))))</f>
        <v/>
      </c>
      <c r="CW34" s="2472">
        <f>CV34*CL34</f>
        <v/>
      </c>
      <c r="CX34" s="192" t="n"/>
      <c r="CY34" s="192">
        <f>IF(CO34&lt;=BQ$4,BP$4,IF(CO34&lt;=BQ$5,BP$5,IF(CO34&lt;=BQ$6,BP$6,IF(CO34&lt;=BQ$7,BP$7,IF(CO34&lt;=BQ$12,BP$12,IF(CO34&lt;=BQ$13,BP$13,IF(CO34&lt;=BQ$14,BP$14,0.05)))))))</f>
        <v/>
      </c>
      <c r="CZ34" s="2472">
        <f>CY34*CO34</f>
        <v/>
      </c>
      <c r="DA34" s="192" t="n"/>
      <c r="DB34" s="192">
        <f>IF(CR34&lt;=BT$4,BS$4,IF(CR34&lt;=BT$5,BS$5,IF(CR34&lt;=BT$6,BS$6,IF(CR34&lt;=BT$7,BS$7,IF(CR34&lt;=BT$12,BS$12,IF(CR34&lt;=BT$13,BS$13,IF(CR34&lt;=BT$14,BS$14,0.05)))))))</f>
        <v/>
      </c>
      <c r="DC34" s="2472">
        <f>DB34*SUM(CZ34,CW34,CR34)</f>
        <v/>
      </c>
      <c r="DD34" s="192" t="n"/>
      <c r="DE34" s="2473">
        <f>IF(CU34&lt;=BW$4,BV$4,IF(CU34&lt;=BW$5,BV$5,IF(CU34&lt;=BW$6,BV$6,IF(CU34&lt;=BW$7,BV$7,IF(CU34&lt;=BW$12,BV$12,IF(CU34&lt;=BW$13,BV$13,IF(CU34&lt;=BW$14,BV$14,0.05)))))))</f>
        <v/>
      </c>
      <c r="DF34" s="2472">
        <f>DE34*CU34</f>
        <v/>
      </c>
      <c r="DH34" s="2474">
        <f>0.07*SUM(CR34,CW34,CZ34,DC34,DF34)</f>
        <v/>
      </c>
      <c r="DJ34" s="2474">
        <f>SUM(DH34,DF34,DC34,CZ34,CW34,CR34)</f>
        <v/>
      </c>
      <c r="DK34" s="2475">
        <f>SUM(DF34,DC34,CZ34,CW34)</f>
        <v/>
      </c>
      <c r="DL34" s="192">
        <f>DK34/DJ34</f>
        <v/>
      </c>
    </row>
    <row r="35">
      <c r="A35" s="47" t="n"/>
      <c r="B35" s="2306" t="n"/>
      <c r="C35" s="2282" t="n"/>
      <c r="D35" s="2038">
        <f>B35*C35</f>
        <v/>
      </c>
      <c r="E35" s="1" t="n"/>
      <c r="F35" s="1" t="n"/>
      <c r="G35" s="1" t="n"/>
      <c r="H35" s="1" t="n"/>
      <c r="Q35" s="1916" t="n"/>
      <c r="AV35" s="2472" t="n">
        <v>27000</v>
      </c>
      <c r="AW35" s="2472" t="n"/>
      <c r="AX35" s="2472" t="n"/>
      <c r="AY35" s="2472">
        <f>AV35</f>
        <v/>
      </c>
      <c r="AZ35" s="2472" t="n"/>
      <c r="BA35" s="2472" t="n"/>
      <c r="BB35" s="2472">
        <f>AV35+AY35</f>
        <v/>
      </c>
      <c r="BC35" s="2472" t="n"/>
      <c r="BD35" s="2472" t="n"/>
      <c r="BE35" s="2472">
        <f>BB35</f>
        <v/>
      </c>
      <c r="BF35" s="192">
        <f>IF(AV35&lt;=#REF!,#REF!,IF(AV35&lt;=#REF!,#REF!,IF(AV35&lt;=#REF!,#REF!,IF(AV35&lt;=#REF!,#REF!,IF(AV35&lt;=#REF!,#REF!,IF(AV35&lt;=#REF!,#REF!,IF(AV35&lt;=#REF!,#REF!,0.05)))))))</f>
        <v/>
      </c>
      <c r="BG35" s="2472">
        <f>BF35*AV35</f>
        <v/>
      </c>
      <c r="BH35" s="192" t="n"/>
      <c r="BI35" s="192">
        <f>IF(AY35&lt;=#REF!,#REF!,IF(AY35&lt;=#REF!,#REF!,IF(AY35&lt;=#REF!,#REF!,IF(AY35&lt;=#REF!,#REF!,IF(AY35&lt;=#REF!,#REF!,IF(AY35&lt;=#REF!,#REF!,IF(AY35&lt;=#REF!,#REF!,0.05)))))))</f>
        <v/>
      </c>
      <c r="BJ35" s="2472">
        <f>BI35*AY35</f>
        <v/>
      </c>
      <c r="BK35" s="192" t="n"/>
      <c r="BL35" s="192">
        <f>IF(BB35&lt;=#REF!,#REF!,IF(BB35&lt;=#REF!,#REF!,IF(BB35&lt;=#REF!,#REF!,IF(BB35&lt;=#REF!,#REF!,IF(BB35&lt;=#REF!,#REF!,IF(BB35&lt;=#REF!,#REF!,IF(BB35&lt;=#REF!,#REF!,0.05)))))))</f>
        <v/>
      </c>
      <c r="BM35" s="2472">
        <f>BL35*SUM(BJ35,BG35,BB35)</f>
        <v/>
      </c>
      <c r="BN35" s="192" t="n"/>
      <c r="BO35" s="2473">
        <f>IF(BE35&lt;=#REF!,#REF!,IF(BE35&lt;=#REF!,#REF!,IF(BE35&lt;=#REF!,#REF!,IF(BE35&lt;=#REF!,#REF!,IF(BE35&lt;=#REF!,#REF!,IF(BE35&lt;=#REF!,#REF!,IF(BE35&lt;=#REF!,#REF!,0.05)))))))</f>
        <v/>
      </c>
      <c r="BP35" s="2472">
        <f>BO35*BE35</f>
        <v/>
      </c>
      <c r="BR35" s="2474">
        <f>0.07*SUM(BB35,BG35,BJ35,BM35,BP35)</f>
        <v/>
      </c>
      <c r="BT35" s="2474">
        <f>SUM(BR35,BP35,BM35,BJ35,BG35,BB35)</f>
        <v/>
      </c>
      <c r="BU35" s="2475">
        <f>SUM(BP35,BM35,BJ35,BG35)</f>
        <v/>
      </c>
      <c r="BV35" s="192">
        <f>BU35/BT35</f>
        <v/>
      </c>
      <c r="CL35" s="2472" t="n">
        <v>27000</v>
      </c>
      <c r="CM35" s="2472" t="n"/>
      <c r="CN35" s="2472" t="n"/>
      <c r="CO35" s="2472">
        <f>CL35</f>
        <v/>
      </c>
      <c r="CP35" s="2472" t="n"/>
      <c r="CQ35" s="2472" t="n"/>
      <c r="CR35" s="2472">
        <f>CL35+CO35</f>
        <v/>
      </c>
      <c r="CS35" s="2472" t="n"/>
      <c r="CT35" s="2472" t="n"/>
      <c r="CU35" s="2472">
        <f>CR35</f>
        <v/>
      </c>
      <c r="CV35" s="192">
        <f>IF(CL35&lt;=BN$4,BM$4,IF(CL35&lt;=BN$5,BM$5,IF(CL35&lt;=BN$6,BM$6,IF(CL35&lt;=BN$7,BM$7,IF(CL35&lt;=BN$12,BM$12,IF(CL35&lt;=BN$13,BM$13,IF(CL35&lt;=BN$14,BM$14,0.05)))))))</f>
        <v/>
      </c>
      <c r="CW35" s="2472">
        <f>CV35*CL35</f>
        <v/>
      </c>
      <c r="CX35" s="192" t="n"/>
      <c r="CY35" s="192">
        <f>IF(CO35&lt;=BQ$4,BP$4,IF(CO35&lt;=BQ$5,BP$5,IF(CO35&lt;=BQ$6,BP$6,IF(CO35&lt;=BQ$7,BP$7,IF(CO35&lt;=BQ$12,BP$12,IF(CO35&lt;=BQ$13,BP$13,IF(CO35&lt;=BQ$14,BP$14,0.05)))))))</f>
        <v/>
      </c>
      <c r="CZ35" s="2472">
        <f>CY35*CO35</f>
        <v/>
      </c>
      <c r="DA35" s="192" t="n"/>
      <c r="DB35" s="192">
        <f>IF(CR35&lt;=BT$4,BS$4,IF(CR35&lt;=BT$5,BS$5,IF(CR35&lt;=BT$6,BS$6,IF(CR35&lt;=BT$7,BS$7,IF(CR35&lt;=BT$12,BS$12,IF(CR35&lt;=BT$13,BS$13,IF(CR35&lt;=BT$14,BS$14,0.05)))))))</f>
        <v/>
      </c>
      <c r="DC35" s="2472">
        <f>DB35*SUM(CZ35,CW35,CR35)</f>
        <v/>
      </c>
      <c r="DD35" s="192" t="n"/>
      <c r="DE35" s="2473">
        <f>IF(CU35&lt;=BW$4,BV$4,IF(CU35&lt;=BW$5,BV$5,IF(CU35&lt;=BW$6,BV$6,IF(CU35&lt;=BW$7,BV$7,IF(CU35&lt;=BW$12,BV$12,IF(CU35&lt;=BW$13,BV$13,IF(CU35&lt;=BW$14,BV$14,0.05)))))))</f>
        <v/>
      </c>
      <c r="DF35" s="2472">
        <f>DE35*CU35</f>
        <v/>
      </c>
      <c r="DH35" s="2474">
        <f>0.07*SUM(CR35,CW35,CZ35,DC35,DF35)</f>
        <v/>
      </c>
      <c r="DJ35" s="2474">
        <f>SUM(DH35,DF35,DC35,CZ35,CW35,CR35)</f>
        <v/>
      </c>
      <c r="DK35" s="2475">
        <f>SUM(DF35,DC35,CZ35,CW35)</f>
        <v/>
      </c>
      <c r="DL35" s="192">
        <f>DK35/DJ35</f>
        <v/>
      </c>
    </row>
    <row r="36">
      <c r="A36" s="48" t="n"/>
      <c r="B36" s="2331" t="n"/>
      <c r="C36" s="2332" t="n"/>
      <c r="D36" s="2333">
        <f>B36*C36</f>
        <v/>
      </c>
      <c r="E36" s="1" t="n"/>
      <c r="F36" s="1" t="n"/>
      <c r="G36" s="1" t="n"/>
      <c r="H36" s="1" t="n"/>
      <c r="Q36" s="1916" t="n"/>
      <c r="AV36" s="2472" t="n">
        <v>28000</v>
      </c>
      <c r="AW36" s="2472" t="n"/>
      <c r="AX36" s="2472" t="n"/>
      <c r="AY36" s="2472">
        <f>AV36</f>
        <v/>
      </c>
      <c r="AZ36" s="2472" t="n"/>
      <c r="BA36" s="2472" t="n"/>
      <c r="BB36" s="2472">
        <f>AV36+AY36</f>
        <v/>
      </c>
      <c r="BC36" s="2472" t="n"/>
      <c r="BD36" s="2472" t="n"/>
      <c r="BE36" s="2472">
        <f>BB36</f>
        <v/>
      </c>
      <c r="BF36" s="192">
        <f>IF(AV36&lt;=#REF!,#REF!,IF(AV36&lt;=#REF!,#REF!,IF(AV36&lt;=#REF!,#REF!,IF(AV36&lt;=#REF!,#REF!,IF(AV36&lt;=#REF!,#REF!,IF(AV36&lt;=#REF!,#REF!,IF(AV36&lt;=#REF!,#REF!,0.05)))))))</f>
        <v/>
      </c>
      <c r="BG36" s="2472">
        <f>BF36*AV36</f>
        <v/>
      </c>
      <c r="BH36" s="192" t="n"/>
      <c r="BI36" s="192">
        <f>IF(AY36&lt;=#REF!,#REF!,IF(AY36&lt;=#REF!,#REF!,IF(AY36&lt;=#REF!,#REF!,IF(AY36&lt;=#REF!,#REF!,IF(AY36&lt;=#REF!,#REF!,IF(AY36&lt;=#REF!,#REF!,IF(AY36&lt;=#REF!,#REF!,0.05)))))))</f>
        <v/>
      </c>
      <c r="BJ36" s="2472">
        <f>BI36*AY36</f>
        <v/>
      </c>
      <c r="BK36" s="192" t="n"/>
      <c r="BL36" s="192">
        <f>IF(BB36&lt;=#REF!,#REF!,IF(BB36&lt;=#REF!,#REF!,IF(BB36&lt;=#REF!,#REF!,IF(BB36&lt;=#REF!,#REF!,IF(BB36&lt;=#REF!,#REF!,IF(BB36&lt;=#REF!,#REF!,IF(BB36&lt;=#REF!,#REF!,0.05)))))))</f>
        <v/>
      </c>
      <c r="BM36" s="2472">
        <f>BL36*SUM(BJ36,BG36,BB36)</f>
        <v/>
      </c>
      <c r="BN36" s="192" t="n"/>
      <c r="BO36" s="2473">
        <f>IF(BE36&lt;=#REF!,#REF!,IF(BE36&lt;=#REF!,#REF!,IF(BE36&lt;=#REF!,#REF!,IF(BE36&lt;=#REF!,#REF!,IF(BE36&lt;=#REF!,#REF!,IF(BE36&lt;=#REF!,#REF!,IF(BE36&lt;=#REF!,#REF!,0.05)))))))</f>
        <v/>
      </c>
      <c r="BP36" s="2472">
        <f>BO36*BE36</f>
        <v/>
      </c>
      <c r="BR36" s="2474">
        <f>0.07*SUM(BB36,BG36,BJ36,BM36,BP36)</f>
        <v/>
      </c>
      <c r="BT36" s="2474">
        <f>SUM(BR36,BP36,BM36,BJ36,BG36,BB36)</f>
        <v/>
      </c>
      <c r="BU36" s="2475">
        <f>SUM(BP36,BM36,BJ36,BG36)</f>
        <v/>
      </c>
      <c r="BV36" s="192">
        <f>BU36/BT36</f>
        <v/>
      </c>
      <c r="CL36" s="2472" t="n">
        <v>28000</v>
      </c>
      <c r="CM36" s="2472" t="n"/>
      <c r="CN36" s="2472" t="n"/>
      <c r="CO36" s="2472">
        <f>CL36</f>
        <v/>
      </c>
      <c r="CP36" s="2472" t="n"/>
      <c r="CQ36" s="2472" t="n"/>
      <c r="CR36" s="2472">
        <f>CL36+CO36</f>
        <v/>
      </c>
      <c r="CS36" s="2472" t="n"/>
      <c r="CT36" s="2472" t="n"/>
      <c r="CU36" s="2472">
        <f>CR36</f>
        <v/>
      </c>
      <c r="CV36" s="192">
        <f>IF(CL36&lt;=BN$4,BM$4,IF(CL36&lt;=BN$5,BM$5,IF(CL36&lt;=BN$6,BM$6,IF(CL36&lt;=BN$7,BM$7,IF(CL36&lt;=BN$12,BM$12,IF(CL36&lt;=BN$13,BM$13,IF(CL36&lt;=BN$14,BM$14,0.05)))))))</f>
        <v/>
      </c>
      <c r="CW36" s="2472">
        <f>CV36*CL36</f>
        <v/>
      </c>
      <c r="CX36" s="192" t="n"/>
      <c r="CY36" s="192">
        <f>IF(CO36&lt;=BQ$4,BP$4,IF(CO36&lt;=BQ$5,BP$5,IF(CO36&lt;=BQ$6,BP$6,IF(CO36&lt;=BQ$7,BP$7,IF(CO36&lt;=BQ$12,BP$12,IF(CO36&lt;=BQ$13,BP$13,IF(CO36&lt;=BQ$14,BP$14,0.05)))))))</f>
        <v/>
      </c>
      <c r="CZ36" s="2472">
        <f>CY36*CO36</f>
        <v/>
      </c>
      <c r="DA36" s="192" t="n"/>
      <c r="DB36" s="192">
        <f>IF(CR36&lt;=BT$4,BS$4,IF(CR36&lt;=BT$5,BS$5,IF(CR36&lt;=BT$6,BS$6,IF(CR36&lt;=BT$7,BS$7,IF(CR36&lt;=BT$12,BS$12,IF(CR36&lt;=BT$13,BS$13,IF(CR36&lt;=BT$14,BS$14,0.05)))))))</f>
        <v/>
      </c>
      <c r="DC36" s="2472">
        <f>DB36*SUM(CZ36,CW36,CR36)</f>
        <v/>
      </c>
      <c r="DD36" s="192" t="n"/>
      <c r="DE36" s="2473">
        <f>IF(CU36&lt;=BW$4,BV$4,IF(CU36&lt;=BW$5,BV$5,IF(CU36&lt;=BW$6,BV$6,IF(CU36&lt;=BW$7,BV$7,IF(CU36&lt;=BW$12,BV$12,IF(CU36&lt;=BW$13,BV$13,IF(CU36&lt;=BW$14,BV$14,0.05)))))))</f>
        <v/>
      </c>
      <c r="DF36" s="2472">
        <f>DE36*CU36</f>
        <v/>
      </c>
      <c r="DH36" s="2474">
        <f>0.07*SUM(CR36,CW36,CZ36,DC36,DF36)</f>
        <v/>
      </c>
      <c r="DJ36" s="2474">
        <f>SUM(DH36,DF36,DC36,CZ36,CW36,CR36)</f>
        <v/>
      </c>
      <c r="DK36" s="2475">
        <f>SUM(DF36,DC36,CZ36,CW36)</f>
        <v/>
      </c>
      <c r="DL36" s="192">
        <f>DK36/DJ36</f>
        <v/>
      </c>
    </row>
    <row r="37" ht="16.05" customHeight="1">
      <c r="A37" s="1786" t="inlineStr">
        <is>
          <t>Material Sub Total</t>
        </is>
      </c>
      <c r="B37" s="1787" t="n"/>
      <c r="C37" s="2334" t="n"/>
      <c r="D37" s="2335">
        <f>ROUNDUP(SUM(D18:D36),0)</f>
        <v/>
      </c>
      <c r="E37" s="1" t="n"/>
      <c r="F37" s="1" t="n"/>
      <c r="G37" s="1" t="n"/>
      <c r="H37" s="1" t="n"/>
      <c r="Q37" s="1916" t="n"/>
      <c r="AV37" s="2472" t="n">
        <v>29000</v>
      </c>
      <c r="AW37" s="2472" t="n"/>
      <c r="AX37" s="2472" t="n"/>
      <c r="AY37" s="2472">
        <f>AV37</f>
        <v/>
      </c>
      <c r="AZ37" s="2472" t="n"/>
      <c r="BA37" s="2472" t="n"/>
      <c r="BB37" s="2472">
        <f>AV37+AY37</f>
        <v/>
      </c>
      <c r="BC37" s="2472" t="n"/>
      <c r="BD37" s="2472" t="n"/>
      <c r="BE37" s="2472">
        <f>BB37</f>
        <v/>
      </c>
      <c r="BF37" s="192">
        <f>IF(AV37&lt;=#REF!,#REF!,IF(AV37&lt;=#REF!,#REF!,IF(AV37&lt;=#REF!,#REF!,IF(AV37&lt;=#REF!,#REF!,IF(AV37&lt;=#REF!,#REF!,IF(AV37&lt;=#REF!,#REF!,IF(AV37&lt;=#REF!,#REF!,0.05)))))))</f>
        <v/>
      </c>
      <c r="BG37" s="2472">
        <f>BF37*AV37</f>
        <v/>
      </c>
      <c r="BH37" s="192" t="n"/>
      <c r="BI37" s="192">
        <f>IF(AY37&lt;=#REF!,#REF!,IF(AY37&lt;=#REF!,#REF!,IF(AY37&lt;=#REF!,#REF!,IF(AY37&lt;=#REF!,#REF!,IF(AY37&lt;=#REF!,#REF!,IF(AY37&lt;=#REF!,#REF!,IF(AY37&lt;=#REF!,#REF!,0.05)))))))</f>
        <v/>
      </c>
      <c r="BJ37" s="2472">
        <f>BI37*AY37</f>
        <v/>
      </c>
      <c r="BK37" s="192" t="n"/>
      <c r="BL37" s="192">
        <f>IF(BB37&lt;=#REF!,#REF!,IF(BB37&lt;=#REF!,#REF!,IF(BB37&lt;=#REF!,#REF!,IF(BB37&lt;=#REF!,#REF!,IF(BB37&lt;=#REF!,#REF!,IF(BB37&lt;=#REF!,#REF!,IF(BB37&lt;=#REF!,#REF!,0.05)))))))</f>
        <v/>
      </c>
      <c r="BM37" s="2472">
        <f>BL37*SUM(BJ37,BG37,BB37)</f>
        <v/>
      </c>
      <c r="BN37" s="192" t="n"/>
      <c r="BO37" s="2473">
        <f>IF(BE37&lt;=#REF!,#REF!,IF(BE37&lt;=#REF!,#REF!,IF(BE37&lt;=#REF!,#REF!,IF(BE37&lt;=#REF!,#REF!,IF(BE37&lt;=#REF!,#REF!,IF(BE37&lt;=#REF!,#REF!,IF(BE37&lt;=#REF!,#REF!,0.05)))))))</f>
        <v/>
      </c>
      <c r="BP37" s="2472">
        <f>BO37*BE37</f>
        <v/>
      </c>
      <c r="BR37" s="2474">
        <f>0.07*SUM(BB37,BG37,BJ37,BM37,BP37)</f>
        <v/>
      </c>
      <c r="BT37" s="2474">
        <f>SUM(BR37,BP37,BM37,BJ37,BG37,BB37)</f>
        <v/>
      </c>
      <c r="BU37" s="2475">
        <f>SUM(BP37,BM37,BJ37,BG37)</f>
        <v/>
      </c>
      <c r="BV37" s="192">
        <f>BU37/BT37</f>
        <v/>
      </c>
      <c r="CL37" s="2472" t="n">
        <v>29000</v>
      </c>
      <c r="CM37" s="2472" t="n"/>
      <c r="CN37" s="2472" t="n"/>
      <c r="CO37" s="2472">
        <f>CL37</f>
        <v/>
      </c>
      <c r="CP37" s="2472" t="n"/>
      <c r="CQ37" s="2472" t="n"/>
      <c r="CR37" s="2472">
        <f>CL37+CO37</f>
        <v/>
      </c>
      <c r="CS37" s="2472" t="n"/>
      <c r="CT37" s="2472" t="n"/>
      <c r="CU37" s="2472">
        <f>CR37</f>
        <v/>
      </c>
      <c r="CV37" s="192">
        <f>IF(CL37&lt;=BN$4,BM$4,IF(CL37&lt;=BN$5,BM$5,IF(CL37&lt;=BN$6,BM$6,IF(CL37&lt;=BN$7,BM$7,IF(CL37&lt;=BN$12,BM$12,IF(CL37&lt;=BN$13,BM$13,IF(CL37&lt;=BN$14,BM$14,0.05)))))))</f>
        <v/>
      </c>
      <c r="CW37" s="2472">
        <f>CV37*CL37</f>
        <v/>
      </c>
      <c r="CX37" s="192" t="n"/>
      <c r="CY37" s="192">
        <f>IF(CO37&lt;=BQ$4,BP$4,IF(CO37&lt;=BQ$5,BP$5,IF(CO37&lt;=BQ$6,BP$6,IF(CO37&lt;=BQ$7,BP$7,IF(CO37&lt;=BQ$12,BP$12,IF(CO37&lt;=BQ$13,BP$13,IF(CO37&lt;=BQ$14,BP$14,0.05)))))))</f>
        <v/>
      </c>
      <c r="CZ37" s="2472">
        <f>CY37*CO37</f>
        <v/>
      </c>
      <c r="DA37" s="192" t="n"/>
      <c r="DB37" s="192">
        <f>IF(CR37&lt;=BT$4,BS$4,IF(CR37&lt;=BT$5,BS$5,IF(CR37&lt;=BT$6,BS$6,IF(CR37&lt;=BT$7,BS$7,IF(CR37&lt;=BT$12,BS$12,IF(CR37&lt;=BT$13,BS$13,IF(CR37&lt;=BT$14,BS$14,0.05)))))))</f>
        <v/>
      </c>
      <c r="DC37" s="2472">
        <f>DB37*SUM(CZ37,CW37,CR37)</f>
        <v/>
      </c>
      <c r="DD37" s="192" t="n"/>
      <c r="DE37" s="2473">
        <f>IF(CU37&lt;=BW$4,BV$4,IF(CU37&lt;=BW$5,BV$5,IF(CU37&lt;=BW$6,BV$6,IF(CU37&lt;=BW$7,BV$7,IF(CU37&lt;=BW$12,BV$12,IF(CU37&lt;=BW$13,BV$13,IF(CU37&lt;=BW$14,BV$14,0.05)))))))</f>
        <v/>
      </c>
      <c r="DF37" s="2472">
        <f>DE37*CU37</f>
        <v/>
      </c>
      <c r="DH37" s="2474">
        <f>0.07*SUM(CR37,CW37,CZ37,DC37,DF37)</f>
        <v/>
      </c>
      <c r="DJ37" s="2474">
        <f>SUM(DH37,DF37,DC37,CZ37,CW37,CR37)</f>
        <v/>
      </c>
      <c r="DK37" s="2475">
        <f>SUM(DF37,DC37,CZ37,CW37)</f>
        <v/>
      </c>
      <c r="DL37" s="192">
        <f>DK37/DJ37</f>
        <v/>
      </c>
    </row>
    <row r="38">
      <c r="A38" s="20" t="inlineStr">
        <is>
          <t>Discount / Overage</t>
        </is>
      </c>
      <c r="B38" s="270" t="n">
        <v>0</v>
      </c>
      <c r="C38" s="2483" t="n"/>
      <c r="D38" s="2383">
        <f>ROUNDUP(SUM(D21:D27)*B38,0)</f>
        <v/>
      </c>
      <c r="E38" s="1" t="n"/>
      <c r="F38" s="1" t="n"/>
      <c r="G38" s="1891" t="n"/>
      <c r="J38" s="219" t="n"/>
      <c r="AV38" s="2472" t="n">
        <v>30000</v>
      </c>
      <c r="AW38" s="2472" t="n"/>
      <c r="AX38" s="2472" t="n"/>
      <c r="AY38" s="2472">
        <f>AV38</f>
        <v/>
      </c>
      <c r="AZ38" s="2472" t="n"/>
      <c r="BA38" s="2472" t="n"/>
      <c r="BB38" s="2472">
        <f>AV38+AY38</f>
        <v/>
      </c>
      <c r="BC38" s="2472" t="n"/>
      <c r="BD38" s="2472" t="n"/>
      <c r="BE38" s="2472">
        <f>BB38</f>
        <v/>
      </c>
      <c r="BF38" s="192">
        <f>IF(AV38&lt;=#REF!,#REF!,IF(AV38&lt;=#REF!,#REF!,IF(AV38&lt;=#REF!,#REF!,IF(AV38&lt;=#REF!,#REF!,IF(AV38&lt;=#REF!,#REF!,IF(AV38&lt;=#REF!,#REF!,IF(AV38&lt;=#REF!,#REF!,0.05)))))))</f>
        <v/>
      </c>
      <c r="BG38" s="2472">
        <f>BF38*AV38</f>
        <v/>
      </c>
      <c r="BH38" s="192" t="n"/>
      <c r="BI38" s="192">
        <f>IF(AY38&lt;=#REF!,#REF!,IF(AY38&lt;=#REF!,#REF!,IF(AY38&lt;=#REF!,#REF!,IF(AY38&lt;=#REF!,#REF!,IF(AY38&lt;=#REF!,#REF!,IF(AY38&lt;=#REF!,#REF!,IF(AY38&lt;=#REF!,#REF!,0.05)))))))</f>
        <v/>
      </c>
      <c r="BJ38" s="2472">
        <f>BI38*AY38</f>
        <v/>
      </c>
      <c r="BK38" s="192" t="n"/>
      <c r="BL38" s="192">
        <f>IF(BB38&lt;=#REF!,#REF!,IF(BB38&lt;=#REF!,#REF!,IF(BB38&lt;=#REF!,#REF!,IF(BB38&lt;=#REF!,#REF!,IF(BB38&lt;=#REF!,#REF!,IF(BB38&lt;=#REF!,#REF!,IF(BB38&lt;=#REF!,#REF!,0.05)))))))</f>
        <v/>
      </c>
      <c r="BM38" s="2472">
        <f>BL38*SUM(BJ38,BG38,BB38)</f>
        <v/>
      </c>
      <c r="BN38" s="192" t="n"/>
      <c r="BO38" s="2473">
        <f>IF(BE38&lt;=#REF!,#REF!,IF(BE38&lt;=#REF!,#REF!,IF(BE38&lt;=#REF!,#REF!,IF(BE38&lt;=#REF!,#REF!,IF(BE38&lt;=#REF!,#REF!,IF(BE38&lt;=#REF!,#REF!,IF(BE38&lt;=#REF!,#REF!,0.05)))))))</f>
        <v/>
      </c>
      <c r="BP38" s="2472">
        <f>BO38*BE38</f>
        <v/>
      </c>
      <c r="BR38" s="2474">
        <f>0.07*SUM(BB38,BG38,BJ38,BM38,BP38)</f>
        <v/>
      </c>
      <c r="BT38" s="2474">
        <f>SUM(BR38,BP38,BM38,BJ38,BG38,BB38)</f>
        <v/>
      </c>
      <c r="BU38" s="2475">
        <f>SUM(BP38,BM38,BJ38,BG38)</f>
        <v/>
      </c>
      <c r="BV38" s="192">
        <f>BU38/BT38</f>
        <v/>
      </c>
      <c r="CL38" s="2472" t="n">
        <v>30000</v>
      </c>
      <c r="CM38" s="2472" t="n"/>
      <c r="CN38" s="2472" t="n"/>
      <c r="CO38" s="2472">
        <f>CL38</f>
        <v/>
      </c>
      <c r="CP38" s="2472" t="n"/>
      <c r="CQ38" s="2472" t="n"/>
      <c r="CR38" s="2472">
        <f>CL38+CO38</f>
        <v/>
      </c>
      <c r="CS38" s="2472" t="n"/>
      <c r="CT38" s="2472" t="n"/>
      <c r="CU38" s="2472">
        <f>CR38</f>
        <v/>
      </c>
      <c r="CV38" s="192">
        <f>IF(CL38&lt;=BN$4,BM$4,IF(CL38&lt;=BN$5,BM$5,IF(CL38&lt;=BN$6,BM$6,IF(CL38&lt;=BN$7,BM$7,IF(CL38&lt;=BN$12,BM$12,IF(CL38&lt;=BN$13,BM$13,IF(CL38&lt;=BN$14,BM$14,0.05)))))))</f>
        <v/>
      </c>
      <c r="CW38" s="2472">
        <f>CV38*CL38</f>
        <v/>
      </c>
      <c r="CX38" s="192" t="n"/>
      <c r="CY38" s="192">
        <f>IF(CO38&lt;=BQ$4,BP$4,IF(CO38&lt;=BQ$5,BP$5,IF(CO38&lt;=BQ$6,BP$6,IF(CO38&lt;=BQ$7,BP$7,IF(CO38&lt;=BQ$12,BP$12,IF(CO38&lt;=BQ$13,BP$13,IF(CO38&lt;=BQ$14,BP$14,0.05)))))))</f>
        <v/>
      </c>
      <c r="CZ38" s="2472">
        <f>CY38*CO38</f>
        <v/>
      </c>
      <c r="DA38" s="192" t="n"/>
      <c r="DB38" s="192">
        <f>IF(CR38&lt;=BT$4,BS$4,IF(CR38&lt;=BT$5,BS$5,IF(CR38&lt;=BT$6,BS$6,IF(CR38&lt;=BT$7,BS$7,IF(CR38&lt;=BT$12,BS$12,IF(CR38&lt;=BT$13,BS$13,IF(CR38&lt;=BT$14,BS$14,0.05)))))))</f>
        <v/>
      </c>
      <c r="DC38" s="2472">
        <f>DB38*SUM(CZ38,CW38,CR38)</f>
        <v/>
      </c>
      <c r="DD38" s="192" t="n"/>
      <c r="DE38" s="2473">
        <f>IF(CU38&lt;=BW$4,BV$4,IF(CU38&lt;=BW$5,BV$5,IF(CU38&lt;=BW$6,BV$6,IF(CU38&lt;=BW$7,BV$7,IF(CU38&lt;=BW$12,BV$12,IF(CU38&lt;=BW$13,BV$13,IF(CU38&lt;=BW$14,BV$14,0.05)))))))</f>
        <v/>
      </c>
      <c r="DF38" s="2472">
        <f>DE38*CU38</f>
        <v/>
      </c>
      <c r="DH38" s="2474">
        <f>0.07*SUM(CR38,CW38,CZ38,DC38,DF38)</f>
        <v/>
      </c>
      <c r="DJ38" s="2474">
        <f>SUM(DH38,DF38,DC38,CZ38,CW38,CR38)</f>
        <v/>
      </c>
      <c r="DK38" s="2475">
        <f>SUM(DF38,DC38,CZ38,CW38)</f>
        <v/>
      </c>
      <c r="DL38" s="192">
        <f>DK38/DJ38</f>
        <v/>
      </c>
    </row>
    <row r="39">
      <c r="A39" s="446" t="inlineStr">
        <is>
          <t>Shipping + Mat. Esc.</t>
        </is>
      </c>
      <c r="B39" s="447">
        <f>0.05+IF(D37&lt;=5000,0.1,IF(D37&lt;=10000,0.06,0.04))</f>
        <v/>
      </c>
      <c r="C39" s="2384" t="n"/>
      <c r="D39" s="2338">
        <f>ROUNDUP(D37*B39,0)</f>
        <v/>
      </c>
      <c r="E39" s="1" t="n"/>
      <c r="G39" s="38" t="n"/>
      <c r="H39" s="230" t="inlineStr">
        <is>
          <t>Material Budget</t>
        </is>
      </c>
      <c r="I39" s="133" t="n"/>
      <c r="K39" s="1095" t="inlineStr">
        <is>
          <t>divided SF</t>
        </is>
      </c>
      <c r="L39" s="2336">
        <f>B42/M39</f>
        <v/>
      </c>
      <c r="M39" s="2484" t="n">
        <v>2</v>
      </c>
      <c r="N39" s="1097" t="inlineStr">
        <is>
          <t># divided by</t>
        </is>
      </c>
      <c r="AV39" s="2472" t="n">
        <v>31000</v>
      </c>
      <c r="AW39" s="2472" t="n"/>
      <c r="AX39" s="2472" t="n"/>
      <c r="AY39" s="2472">
        <f>AV39</f>
        <v/>
      </c>
      <c r="AZ39" s="2472" t="n"/>
      <c r="BA39" s="2472" t="n"/>
      <c r="BB39" s="2472">
        <f>AV39+AY39</f>
        <v/>
      </c>
      <c r="BC39" s="2472" t="n"/>
      <c r="BD39" s="2472" t="n"/>
      <c r="BE39" s="2472">
        <f>BB39</f>
        <v/>
      </c>
      <c r="BF39" s="192">
        <f>IF(AV39&lt;=#REF!,#REF!,IF(AV39&lt;=#REF!,#REF!,IF(AV39&lt;=#REF!,#REF!,IF(AV39&lt;=#REF!,#REF!,IF(AV39&lt;=#REF!,#REF!,IF(AV39&lt;=#REF!,#REF!,IF(AV39&lt;=#REF!,#REF!,0.05)))))))</f>
        <v/>
      </c>
      <c r="BG39" s="2472">
        <f>BF39*AV39</f>
        <v/>
      </c>
      <c r="BH39" s="192" t="n"/>
      <c r="BI39" s="192">
        <f>IF(AY39&lt;=#REF!,#REF!,IF(AY39&lt;=#REF!,#REF!,IF(AY39&lt;=#REF!,#REF!,IF(AY39&lt;=#REF!,#REF!,IF(AY39&lt;=#REF!,#REF!,IF(AY39&lt;=#REF!,#REF!,IF(AY39&lt;=#REF!,#REF!,0.05)))))))</f>
        <v/>
      </c>
      <c r="BJ39" s="2472">
        <f>BI39*AY39</f>
        <v/>
      </c>
      <c r="BK39" s="192" t="n"/>
      <c r="BL39" s="192">
        <f>IF(BB39&lt;=#REF!,#REF!,IF(BB39&lt;=#REF!,#REF!,IF(BB39&lt;=#REF!,#REF!,IF(BB39&lt;=#REF!,#REF!,IF(BB39&lt;=#REF!,#REF!,IF(BB39&lt;=#REF!,#REF!,IF(BB39&lt;=#REF!,#REF!,0.05)))))))</f>
        <v/>
      </c>
      <c r="BM39" s="2472">
        <f>BL39*SUM(BJ39,BG39,BB39)</f>
        <v/>
      </c>
      <c r="BN39" s="192" t="n"/>
      <c r="BO39" s="2473">
        <f>IF(BE39&lt;=#REF!,#REF!,IF(BE39&lt;=#REF!,#REF!,IF(BE39&lt;=#REF!,#REF!,IF(BE39&lt;=#REF!,#REF!,IF(BE39&lt;=#REF!,#REF!,IF(BE39&lt;=#REF!,#REF!,IF(BE39&lt;=#REF!,#REF!,0.05)))))))</f>
        <v/>
      </c>
      <c r="BP39" s="2472">
        <f>BO39*BE39</f>
        <v/>
      </c>
      <c r="BR39" s="2474">
        <f>0.07*SUM(BB39,BG39,BJ39,BM39,BP39)</f>
        <v/>
      </c>
      <c r="BT39" s="2474">
        <f>SUM(BR39,BP39,BM39,BJ39,BG39,BB39)</f>
        <v/>
      </c>
      <c r="BU39" s="2475">
        <f>SUM(BP39,BM39,BJ39,BG39)</f>
        <v/>
      </c>
      <c r="BV39" s="192">
        <f>BU39/BT39</f>
        <v/>
      </c>
      <c r="CL39" s="2472" t="n">
        <v>31000</v>
      </c>
      <c r="CM39" s="2472" t="n"/>
      <c r="CN39" s="2472" t="n"/>
      <c r="CO39" s="2472">
        <f>CL39</f>
        <v/>
      </c>
      <c r="CP39" s="2472" t="n"/>
      <c r="CQ39" s="2472" t="n"/>
      <c r="CR39" s="2472">
        <f>CL39+CO39</f>
        <v/>
      </c>
      <c r="CS39" s="2472" t="n"/>
      <c r="CT39" s="2472" t="n"/>
      <c r="CU39" s="2472">
        <f>CR39</f>
        <v/>
      </c>
      <c r="CV39" s="192">
        <f>IF(CL39&lt;=BN$4,BM$4,IF(CL39&lt;=BN$5,BM$5,IF(CL39&lt;=BN$6,BM$6,IF(CL39&lt;=BN$7,BM$7,IF(CL39&lt;=BN$12,BM$12,IF(CL39&lt;=BN$13,BM$13,IF(CL39&lt;=BN$14,BM$14,0.05)))))))</f>
        <v/>
      </c>
      <c r="CW39" s="2472">
        <f>CV39*CL39</f>
        <v/>
      </c>
      <c r="CX39" s="192" t="n"/>
      <c r="CY39" s="192">
        <f>IF(CO39&lt;=BQ$4,BP$4,IF(CO39&lt;=BQ$5,BP$5,IF(CO39&lt;=BQ$6,BP$6,IF(CO39&lt;=BQ$7,BP$7,IF(CO39&lt;=BQ$12,BP$12,IF(CO39&lt;=BQ$13,BP$13,IF(CO39&lt;=BQ$14,BP$14,0.05)))))))</f>
        <v/>
      </c>
      <c r="CZ39" s="2472">
        <f>CY39*CO39</f>
        <v/>
      </c>
      <c r="DA39" s="192" t="n"/>
      <c r="DB39" s="192">
        <f>IF(CR39&lt;=BT$4,BS$4,IF(CR39&lt;=BT$5,BS$5,IF(CR39&lt;=BT$6,BS$6,IF(CR39&lt;=BT$7,BS$7,IF(CR39&lt;=BT$12,BS$12,IF(CR39&lt;=BT$13,BS$13,IF(CR39&lt;=BT$14,BS$14,0.05)))))))</f>
        <v/>
      </c>
      <c r="DC39" s="2472">
        <f>DB39*SUM(CZ39,CW39,CR39)</f>
        <v/>
      </c>
      <c r="DD39" s="192" t="n"/>
      <c r="DE39" s="2473">
        <f>IF(CU39&lt;=BW$4,BV$4,IF(CU39&lt;=BW$5,BV$5,IF(CU39&lt;=BW$6,BV$6,IF(CU39&lt;=BW$7,BV$7,IF(CU39&lt;=BW$12,BV$12,IF(CU39&lt;=BW$13,BV$13,IF(CU39&lt;=BW$14,BV$14,0.05)))))))</f>
        <v/>
      </c>
      <c r="DF39" s="2472">
        <f>DE39*CU39</f>
        <v/>
      </c>
      <c r="DH39" s="2474">
        <f>0.07*SUM(CR39,CW39,CZ39,DC39,DF39)</f>
        <v/>
      </c>
      <c r="DJ39" s="2474">
        <f>SUM(DH39,DF39,DC39,CZ39,CW39,CR39)</f>
        <v/>
      </c>
      <c r="DK39" s="2475">
        <f>SUM(DF39,DC39,CZ39,CW39)</f>
        <v/>
      </c>
      <c r="DL39" s="192">
        <f>DK39/DJ39</f>
        <v/>
      </c>
    </row>
    <row r="40">
      <c r="A40" s="228" t="inlineStr">
        <is>
          <t>Material Total</t>
        </is>
      </c>
      <c r="B40" s="36" t="n"/>
      <c r="C40" s="2339" t="n"/>
      <c r="D40" s="2339">
        <f>SUM(D37:D39)</f>
        <v/>
      </c>
      <c r="E40" s="123">
        <f>D40/B42</f>
        <v/>
      </c>
      <c r="F40" s="124" t="inlineStr">
        <is>
          <t>Material $/SF</t>
        </is>
      </c>
      <c r="G40" s="2282" t="n"/>
      <c r="H40" s="2485">
        <f>D40</f>
        <v/>
      </c>
      <c r="I40" s="192" t="n"/>
      <c r="J40" s="1" t="n"/>
      <c r="K40" s="1" t="n"/>
      <c r="AV40" s="2472" t="n">
        <v>32000</v>
      </c>
      <c r="AW40" s="2472" t="n"/>
      <c r="AX40" s="2472" t="n"/>
      <c r="AY40" s="2472">
        <f>AV40</f>
        <v/>
      </c>
      <c r="AZ40" s="2472" t="n"/>
      <c r="BA40" s="2472" t="n"/>
      <c r="BB40" s="2472">
        <f>AV40+AY40</f>
        <v/>
      </c>
      <c r="BC40" s="2472" t="n"/>
      <c r="BD40" s="2472" t="n"/>
      <c r="BE40" s="2472">
        <f>BB40</f>
        <v/>
      </c>
      <c r="BF40" s="192">
        <f>IF(AV40&lt;=#REF!,#REF!,IF(AV40&lt;=#REF!,#REF!,IF(AV40&lt;=#REF!,#REF!,IF(AV40&lt;=#REF!,#REF!,IF(AV40&lt;=#REF!,#REF!,IF(AV40&lt;=#REF!,#REF!,IF(AV40&lt;=#REF!,#REF!,0.05)))))))</f>
        <v/>
      </c>
      <c r="BG40" s="2472">
        <f>BF40*AV40</f>
        <v/>
      </c>
      <c r="BH40" s="192" t="n"/>
      <c r="BI40" s="192">
        <f>IF(AY40&lt;=#REF!,#REF!,IF(AY40&lt;=#REF!,#REF!,IF(AY40&lt;=#REF!,#REF!,IF(AY40&lt;=#REF!,#REF!,IF(AY40&lt;=#REF!,#REF!,IF(AY40&lt;=#REF!,#REF!,IF(AY40&lt;=#REF!,#REF!,0.05)))))))</f>
        <v/>
      </c>
      <c r="BJ40" s="2472">
        <f>BI40*AY40</f>
        <v/>
      </c>
      <c r="BK40" s="192" t="n"/>
      <c r="BL40" s="192">
        <f>IF(BB40&lt;=#REF!,#REF!,IF(BB40&lt;=#REF!,#REF!,IF(BB40&lt;=#REF!,#REF!,IF(BB40&lt;=#REF!,#REF!,IF(BB40&lt;=#REF!,#REF!,IF(BB40&lt;=#REF!,#REF!,IF(BB40&lt;=#REF!,#REF!,0.05)))))))</f>
        <v/>
      </c>
      <c r="BM40" s="2472">
        <f>BL40*SUM(BJ40,BG40,BB40)</f>
        <v/>
      </c>
      <c r="BN40" s="192" t="n"/>
      <c r="BO40" s="2473">
        <f>IF(BE40&lt;=#REF!,#REF!,IF(BE40&lt;=#REF!,#REF!,IF(BE40&lt;=#REF!,#REF!,IF(BE40&lt;=#REF!,#REF!,IF(BE40&lt;=#REF!,#REF!,IF(BE40&lt;=#REF!,#REF!,IF(BE40&lt;=#REF!,#REF!,0.05)))))))</f>
        <v/>
      </c>
      <c r="BP40" s="2472">
        <f>BO40*BE40</f>
        <v/>
      </c>
      <c r="BR40" s="2474">
        <f>0.07*SUM(BB40,BG40,BJ40,BM40,BP40)</f>
        <v/>
      </c>
      <c r="BT40" s="2474">
        <f>SUM(BR40,BP40,BM40,BJ40,BG40,BB40)</f>
        <v/>
      </c>
      <c r="BU40" s="2475">
        <f>SUM(BP40,BM40,BJ40,BG40)</f>
        <v/>
      </c>
      <c r="BV40" s="192">
        <f>BU40/BT40</f>
        <v/>
      </c>
      <c r="CL40" s="2472" t="n">
        <v>32000</v>
      </c>
      <c r="CM40" s="2472" t="n"/>
      <c r="CN40" s="2472" t="n"/>
      <c r="CO40" s="2472">
        <f>CL40</f>
        <v/>
      </c>
      <c r="CP40" s="2472" t="n"/>
      <c r="CQ40" s="2472" t="n"/>
      <c r="CR40" s="2472">
        <f>CL40+CO40</f>
        <v/>
      </c>
      <c r="CS40" s="2472" t="n"/>
      <c r="CT40" s="2472" t="n"/>
      <c r="CU40" s="2472">
        <f>CR40</f>
        <v/>
      </c>
      <c r="CV40" s="192">
        <f>IF(CL40&lt;=BN$4,BM$4,IF(CL40&lt;=BN$5,BM$5,IF(CL40&lt;=BN$6,BM$6,IF(CL40&lt;=BN$7,BM$7,IF(CL40&lt;=BN$12,BM$12,IF(CL40&lt;=BN$13,BM$13,IF(CL40&lt;=BN$14,BM$14,0.05)))))))</f>
        <v/>
      </c>
      <c r="CW40" s="2472">
        <f>CV40*CL40</f>
        <v/>
      </c>
      <c r="CX40" s="192" t="n"/>
      <c r="CY40" s="192">
        <f>IF(CO40&lt;=BQ$4,BP$4,IF(CO40&lt;=BQ$5,BP$5,IF(CO40&lt;=BQ$6,BP$6,IF(CO40&lt;=BQ$7,BP$7,IF(CO40&lt;=BQ$12,BP$12,IF(CO40&lt;=BQ$13,BP$13,IF(CO40&lt;=BQ$14,BP$14,0.05)))))))</f>
        <v/>
      </c>
      <c r="CZ40" s="2472">
        <f>CY40*CO40</f>
        <v/>
      </c>
      <c r="DA40" s="192" t="n"/>
      <c r="DB40" s="192">
        <f>IF(CR40&lt;=BT$4,BS$4,IF(CR40&lt;=BT$5,BS$5,IF(CR40&lt;=BT$6,BS$6,IF(CR40&lt;=BT$7,BS$7,IF(CR40&lt;=BT$12,BS$12,IF(CR40&lt;=BT$13,BS$13,IF(CR40&lt;=BT$14,BS$14,0.05)))))))</f>
        <v/>
      </c>
      <c r="DC40" s="2472">
        <f>DB40*SUM(CZ40,CW40,CR40)</f>
        <v/>
      </c>
      <c r="DD40" s="192" t="n"/>
      <c r="DE40" s="2473">
        <f>IF(CU40&lt;=BW$4,BV$4,IF(CU40&lt;=BW$5,BV$5,IF(CU40&lt;=BW$6,BV$6,IF(CU40&lt;=BW$7,BV$7,IF(CU40&lt;=BW$12,BV$12,IF(CU40&lt;=BW$13,BV$13,IF(CU40&lt;=BW$14,BV$14,0.05)))))))</f>
        <v/>
      </c>
      <c r="DF40" s="2472">
        <f>DE40*CU40</f>
        <v/>
      </c>
      <c r="DH40" s="2474">
        <f>0.07*SUM(CR40,CW40,CZ40,DC40,DF40)</f>
        <v/>
      </c>
      <c r="DJ40" s="2474">
        <f>SUM(DH40,DF40,DC40,CZ40,CW40,CR40)</f>
        <v/>
      </c>
      <c r="DK40" s="2475">
        <f>SUM(DF40,DC40,CZ40,CW40)</f>
        <v/>
      </c>
      <c r="DL40" s="192">
        <f>DK40/DJ40</f>
        <v/>
      </c>
    </row>
    <row r="41">
      <c r="A41" s="482" t="inlineStr">
        <is>
          <t>Floor ONLY SF:</t>
        </is>
      </c>
      <c r="B41" s="2486">
        <f>E20</f>
        <v/>
      </c>
      <c r="C41" s="2282" t="n"/>
      <c r="D41" s="2282" t="n"/>
      <c r="E41" s="1" t="n"/>
      <c r="G41" s="233" t="n"/>
      <c r="H41" s="1" t="n"/>
      <c r="I41" s="1" t="n"/>
      <c r="L41" s="567" t="inlineStr">
        <is>
          <t xml:space="preserve">             # of Guys (epoxy)</t>
        </is>
      </c>
      <c r="AV41" s="2472" t="n">
        <v>33000</v>
      </c>
      <c r="AW41" s="2472" t="n"/>
      <c r="AX41" s="2472" t="n"/>
      <c r="AY41" s="2472">
        <f>AV41</f>
        <v/>
      </c>
      <c r="AZ41" s="2472" t="n"/>
      <c r="BA41" s="2472" t="n"/>
      <c r="BB41" s="2472">
        <f>AV41+AY41</f>
        <v/>
      </c>
      <c r="BC41" s="2472" t="n"/>
      <c r="BD41" s="2472" t="n"/>
      <c r="BE41" s="2472">
        <f>BB41</f>
        <v/>
      </c>
      <c r="BF41" s="192">
        <f>IF(AV41&lt;=#REF!,#REF!,IF(AV41&lt;=#REF!,#REF!,IF(AV41&lt;=#REF!,#REF!,IF(AV41&lt;=#REF!,#REF!,IF(AV41&lt;=#REF!,#REF!,IF(AV41&lt;=#REF!,#REF!,IF(AV41&lt;=#REF!,#REF!,0.05)))))))</f>
        <v/>
      </c>
      <c r="BG41" s="2472">
        <f>BF41*AV41</f>
        <v/>
      </c>
      <c r="BH41" s="192" t="n"/>
      <c r="BI41" s="192">
        <f>IF(AY41&lt;=#REF!,#REF!,IF(AY41&lt;=#REF!,#REF!,IF(AY41&lt;=#REF!,#REF!,IF(AY41&lt;=#REF!,#REF!,IF(AY41&lt;=#REF!,#REF!,IF(AY41&lt;=#REF!,#REF!,IF(AY41&lt;=#REF!,#REF!,0.05)))))))</f>
        <v/>
      </c>
      <c r="BJ41" s="2472">
        <f>BI41*AY41</f>
        <v/>
      </c>
      <c r="BK41" s="192" t="n"/>
      <c r="BL41" s="192">
        <f>IF(BB41&lt;=#REF!,#REF!,IF(BB41&lt;=#REF!,#REF!,IF(BB41&lt;=#REF!,#REF!,IF(BB41&lt;=#REF!,#REF!,IF(BB41&lt;=#REF!,#REF!,IF(BB41&lt;=#REF!,#REF!,IF(BB41&lt;=#REF!,#REF!,0.05)))))))</f>
        <v/>
      </c>
      <c r="BM41" s="2472">
        <f>BL41*SUM(BJ41,BG41,BB41)</f>
        <v/>
      </c>
      <c r="BN41" s="192" t="n"/>
      <c r="BO41" s="2473">
        <f>IF(BE41&lt;=#REF!,#REF!,IF(BE41&lt;=#REF!,#REF!,IF(BE41&lt;=#REF!,#REF!,IF(BE41&lt;=#REF!,#REF!,IF(BE41&lt;=#REF!,#REF!,IF(BE41&lt;=#REF!,#REF!,IF(BE41&lt;=#REF!,#REF!,0.05)))))))</f>
        <v/>
      </c>
      <c r="BP41" s="2472">
        <f>BO41*BE41</f>
        <v/>
      </c>
      <c r="BR41" s="2474">
        <f>0.07*SUM(BB41,BG41,BJ41,BM41,BP41)</f>
        <v/>
      </c>
      <c r="BT41" s="2474">
        <f>SUM(BR41,BP41,BM41,BJ41,BG41,BB41)</f>
        <v/>
      </c>
      <c r="BU41" s="2475">
        <f>SUM(BP41,BM41,BJ41,BG41)</f>
        <v/>
      </c>
      <c r="BV41" s="192">
        <f>BU41/BT41</f>
        <v/>
      </c>
      <c r="CL41" s="2472" t="n">
        <v>33000</v>
      </c>
      <c r="CM41" s="2472" t="n"/>
      <c r="CN41" s="2472" t="n"/>
      <c r="CO41" s="2472">
        <f>CL41</f>
        <v/>
      </c>
      <c r="CP41" s="2472" t="n"/>
      <c r="CQ41" s="2472" t="n"/>
      <c r="CR41" s="2472">
        <f>CL41+CO41</f>
        <v/>
      </c>
      <c r="CS41" s="2472" t="n"/>
      <c r="CT41" s="2472" t="n"/>
      <c r="CU41" s="2472">
        <f>CR41</f>
        <v/>
      </c>
      <c r="CV41" s="192">
        <f>IF(CL41&lt;=BN$4,BM$4,IF(CL41&lt;=BN$5,BM$5,IF(CL41&lt;=BN$6,BM$6,IF(CL41&lt;=BN$7,BM$7,IF(CL41&lt;=BN$12,BM$12,IF(CL41&lt;=BN$13,BM$13,IF(CL41&lt;=BN$14,BM$14,0.05)))))))</f>
        <v/>
      </c>
      <c r="CW41" s="2472">
        <f>CV41*CL41</f>
        <v/>
      </c>
      <c r="CX41" s="192" t="n"/>
      <c r="CY41" s="192">
        <f>IF(CO41&lt;=BQ$4,BP$4,IF(CO41&lt;=BQ$5,BP$5,IF(CO41&lt;=BQ$6,BP$6,IF(CO41&lt;=BQ$7,BP$7,IF(CO41&lt;=BQ$12,BP$12,IF(CO41&lt;=BQ$13,BP$13,IF(CO41&lt;=BQ$14,BP$14,0.05)))))))</f>
        <v/>
      </c>
      <c r="CZ41" s="2472">
        <f>CY41*CO41</f>
        <v/>
      </c>
      <c r="DA41" s="192" t="n"/>
      <c r="DB41" s="192">
        <f>IF(CR41&lt;=BT$4,BS$4,IF(CR41&lt;=BT$5,BS$5,IF(CR41&lt;=BT$6,BS$6,IF(CR41&lt;=BT$7,BS$7,IF(CR41&lt;=BT$12,BS$12,IF(CR41&lt;=BT$13,BS$13,IF(CR41&lt;=BT$14,BS$14,0.05)))))))</f>
        <v/>
      </c>
      <c r="DC41" s="2472">
        <f>DB41*SUM(CZ41,CW41,CR41)</f>
        <v/>
      </c>
      <c r="DD41" s="192" t="n"/>
      <c r="DE41" s="2473">
        <f>IF(CU41&lt;=BW$4,BV$4,IF(CU41&lt;=BW$5,BV$5,IF(CU41&lt;=BW$6,BV$6,IF(CU41&lt;=BW$7,BV$7,IF(CU41&lt;=BW$12,BV$12,IF(CU41&lt;=BW$13,BV$13,IF(CU41&lt;=BW$14,BV$14,0.05)))))))</f>
        <v/>
      </c>
      <c r="DF41" s="2472">
        <f>DE41*CU41</f>
        <v/>
      </c>
      <c r="DH41" s="2474">
        <f>0.07*SUM(CR41,CW41,CZ41,DC41,DF41)</f>
        <v/>
      </c>
      <c r="DJ41" s="2474">
        <f>SUM(DH41,DF41,DC41,CZ41,CW41,CR41)</f>
        <v/>
      </c>
      <c r="DK41" s="2475">
        <f>SUM(DF41,DC41,CZ41,CW41)</f>
        <v/>
      </c>
      <c r="DL41" s="192">
        <f>DK41/DJ41</f>
        <v/>
      </c>
    </row>
    <row r="42">
      <c r="A42" s="215" t="inlineStr">
        <is>
          <t>Square Footage:</t>
        </is>
      </c>
      <c r="B42" s="2487">
        <f>E20</f>
        <v/>
      </c>
      <c r="C42" s="215" t="inlineStr">
        <is>
          <t>Linear Footage:</t>
        </is>
      </c>
      <c r="D42" s="2488">
        <f>E32</f>
        <v/>
      </c>
      <c r="E42" s="561" t="inlineStr">
        <is>
          <t>10 hour days</t>
        </is>
      </c>
      <c r="F42" s="159">
        <f>D42/B42</f>
        <v/>
      </c>
      <c r="G42" s="125" t="inlineStr">
        <is>
          <t>: Ratio of Cove-Floor</t>
        </is>
      </c>
      <c r="H42" s="126" t="inlineStr">
        <is>
          <t>15%-25% = Normal</t>
        </is>
      </c>
      <c r="I42" s="525" t="inlineStr">
        <is>
          <t>SF for MH Calc</t>
        </is>
      </c>
      <c r="J42" s="526" t="inlineStr">
        <is>
          <t>LF</t>
        </is>
      </c>
      <c r="K42" s="527" t="inlineStr">
        <is>
          <t>Cove Ratio %</t>
        </is>
      </c>
      <c r="L42" s="566" t="inlineStr">
        <is>
          <t>Flake or lesser</t>
        </is>
      </c>
      <c r="M42" s="566" t="inlineStr">
        <is>
          <t>Qrtz/SLB or +</t>
        </is>
      </c>
      <c r="AV42" s="2472" t="n">
        <v>34000</v>
      </c>
      <c r="AW42" s="2472" t="n"/>
      <c r="AX42" s="2472" t="n"/>
      <c r="AY42" s="2472">
        <f>AV42</f>
        <v/>
      </c>
      <c r="AZ42" s="2472" t="n"/>
      <c r="BA42" s="2472" t="n"/>
      <c r="BB42" s="2472">
        <f>AV42+AY42</f>
        <v/>
      </c>
      <c r="BC42" s="2472" t="n"/>
      <c r="BD42" s="2472" t="n"/>
      <c r="BE42" s="2472">
        <f>BB42</f>
        <v/>
      </c>
      <c r="BF42" s="192">
        <f>IF(AV42&lt;=#REF!,#REF!,IF(AV42&lt;=#REF!,#REF!,IF(AV42&lt;=#REF!,#REF!,IF(AV42&lt;=#REF!,#REF!,IF(AV42&lt;=#REF!,#REF!,IF(AV42&lt;=#REF!,#REF!,IF(AV42&lt;=#REF!,#REF!,0.05)))))))</f>
        <v/>
      </c>
      <c r="BG42" s="2472">
        <f>BF42*AV42</f>
        <v/>
      </c>
      <c r="BH42" s="192" t="n"/>
      <c r="BI42" s="192">
        <f>IF(AY42&lt;=#REF!,#REF!,IF(AY42&lt;=#REF!,#REF!,IF(AY42&lt;=#REF!,#REF!,IF(AY42&lt;=#REF!,#REF!,IF(AY42&lt;=#REF!,#REF!,IF(AY42&lt;=#REF!,#REF!,IF(AY42&lt;=#REF!,#REF!,0.05)))))))</f>
        <v/>
      </c>
      <c r="BJ42" s="2472">
        <f>BI42*AY42</f>
        <v/>
      </c>
      <c r="BK42" s="192" t="n"/>
      <c r="BL42" s="192">
        <f>IF(BB42&lt;=#REF!,#REF!,IF(BB42&lt;=#REF!,#REF!,IF(BB42&lt;=#REF!,#REF!,IF(BB42&lt;=#REF!,#REF!,IF(BB42&lt;=#REF!,#REF!,IF(BB42&lt;=#REF!,#REF!,IF(BB42&lt;=#REF!,#REF!,0.05)))))))</f>
        <v/>
      </c>
      <c r="BM42" s="2472">
        <f>BL42*SUM(BJ42,BG42,BB42)</f>
        <v/>
      </c>
      <c r="BN42" s="192" t="n"/>
      <c r="BO42" s="2473">
        <f>IF(BE42&lt;=#REF!,#REF!,IF(BE42&lt;=#REF!,#REF!,IF(BE42&lt;=#REF!,#REF!,IF(BE42&lt;=#REF!,#REF!,IF(BE42&lt;=#REF!,#REF!,IF(BE42&lt;=#REF!,#REF!,IF(BE42&lt;=#REF!,#REF!,0.05)))))))</f>
        <v/>
      </c>
      <c r="BP42" s="2472">
        <f>BO42*BE42</f>
        <v/>
      </c>
      <c r="BR42" s="2474">
        <f>0.07*SUM(BB42,BG42,BJ42,BM42,BP42)</f>
        <v/>
      </c>
      <c r="BT42" s="2474">
        <f>SUM(BR42,BP42,BM42,BJ42,BG42,BB42)</f>
        <v/>
      </c>
      <c r="BU42" s="2475">
        <f>SUM(BP42,BM42,BJ42,BG42)</f>
        <v/>
      </c>
      <c r="BV42" s="192">
        <f>BU42/BT42</f>
        <v/>
      </c>
      <c r="CL42" s="2472" t="n">
        <v>34000</v>
      </c>
      <c r="CM42" s="2472" t="n"/>
      <c r="CN42" s="2472" t="n"/>
      <c r="CO42" s="2472">
        <f>CL42</f>
        <v/>
      </c>
      <c r="CP42" s="2472" t="n"/>
      <c r="CQ42" s="2472" t="n"/>
      <c r="CR42" s="2472">
        <f>CL42+CO42</f>
        <v/>
      </c>
      <c r="CS42" s="2472" t="n"/>
      <c r="CT42" s="2472" t="n"/>
      <c r="CU42" s="2472">
        <f>CR42</f>
        <v/>
      </c>
      <c r="CV42" s="192">
        <f>IF(CL42&lt;=BN$4,BM$4,IF(CL42&lt;=BN$5,BM$5,IF(CL42&lt;=BN$6,BM$6,IF(CL42&lt;=BN$7,BM$7,IF(CL42&lt;=BN$12,BM$12,IF(CL42&lt;=BN$13,BM$13,IF(CL42&lt;=BN$14,BM$14,0.05)))))))</f>
        <v/>
      </c>
      <c r="CW42" s="2472">
        <f>CV42*CL42</f>
        <v/>
      </c>
      <c r="CX42" s="192" t="n"/>
      <c r="CY42" s="192">
        <f>IF(CO42&lt;=BQ$4,BP$4,IF(CO42&lt;=BQ$5,BP$5,IF(CO42&lt;=BQ$6,BP$6,IF(CO42&lt;=BQ$7,BP$7,IF(CO42&lt;=BQ$12,BP$12,IF(CO42&lt;=BQ$13,BP$13,IF(CO42&lt;=BQ$14,BP$14,0.05)))))))</f>
        <v/>
      </c>
      <c r="CZ42" s="2472">
        <f>CY42*CO42</f>
        <v/>
      </c>
      <c r="DA42" s="192" t="n"/>
      <c r="DB42" s="192">
        <f>IF(CR42&lt;=BT$4,BS$4,IF(CR42&lt;=BT$5,BS$5,IF(CR42&lt;=BT$6,BS$6,IF(CR42&lt;=BT$7,BS$7,IF(CR42&lt;=BT$12,BS$12,IF(CR42&lt;=BT$13,BS$13,IF(CR42&lt;=BT$14,BS$14,0.05)))))))</f>
        <v/>
      </c>
      <c r="DC42" s="2472">
        <f>DB42*SUM(CZ42,CW42,CR42)</f>
        <v/>
      </c>
      <c r="DD42" s="192" t="n"/>
      <c r="DE42" s="2473">
        <f>IF(CU42&lt;=BW$4,BV$4,IF(CU42&lt;=BW$5,BV$5,IF(CU42&lt;=BW$6,BV$6,IF(CU42&lt;=BW$7,BV$7,IF(CU42&lt;=BW$12,BV$12,IF(CU42&lt;=BW$13,BV$13,IF(CU42&lt;=BW$14,BV$14,0.05)))))))</f>
        <v/>
      </c>
      <c r="DF42" s="2472">
        <f>DE42*CU42</f>
        <v/>
      </c>
      <c r="DH42" s="2474">
        <f>0.07*SUM(CR42,CW42,CZ42,DC42,DF42)</f>
        <v/>
      </c>
      <c r="DJ42" s="2474">
        <f>SUM(DH42,DF42,DC42,CZ42,CW42,CR42)</f>
        <v/>
      </c>
      <c r="DK42" s="2475">
        <f>SUM(DF42,DC42,CZ42,CW42)</f>
        <v/>
      </c>
      <c r="DL42" s="192">
        <f>DK42/DJ42</f>
        <v/>
      </c>
    </row>
    <row r="43">
      <c r="A43" s="85" t="inlineStr">
        <is>
          <t>Labor:              Guys</t>
        </is>
      </c>
      <c r="B43" s="68" t="inlineStr">
        <is>
          <t>Days</t>
        </is>
      </c>
      <c r="C43" s="68" t="inlineStr">
        <is>
          <t>Rate (PW?)</t>
        </is>
      </c>
      <c r="D43" s="87" t="inlineStr">
        <is>
          <t>Totals</t>
        </is>
      </c>
      <c r="E43" s="1877">
        <f>(IF(D5="Yes","PW","-"))</f>
        <v/>
      </c>
      <c r="F43" s="156" t="inlineStr">
        <is>
          <t>Estimated SF/MH</t>
        </is>
      </c>
      <c r="G43" s="127" t="inlineStr">
        <is>
          <t>SF/MH Benchmark (1K sf - 3K sf)</t>
        </is>
      </c>
      <c r="H43" s="128" t="n"/>
      <c r="K43" s="530" t="n"/>
      <c r="L43" s="568" t="n">
        <v>2</v>
      </c>
      <c r="M43" s="568" t="n">
        <v>2</v>
      </c>
      <c r="N43" t="inlineStr">
        <is>
          <t>&lt; 500 sf</t>
        </is>
      </c>
      <c r="AV43" s="2472" t="n">
        <v>35000</v>
      </c>
      <c r="AW43" s="2472" t="n"/>
      <c r="AX43" s="2472" t="n"/>
      <c r="AY43" s="2472">
        <f>AV43</f>
        <v/>
      </c>
      <c r="AZ43" s="2472" t="n"/>
      <c r="BA43" s="2472" t="n"/>
      <c r="BB43" s="2472">
        <f>AV43+AY43</f>
        <v/>
      </c>
      <c r="BC43" s="2472" t="n"/>
      <c r="BD43" s="2472" t="n"/>
      <c r="BE43" s="2472">
        <f>BB43</f>
        <v/>
      </c>
      <c r="BF43" s="192">
        <f>IF(AV43&lt;=#REF!,#REF!,IF(AV43&lt;=#REF!,#REF!,IF(AV43&lt;=#REF!,#REF!,IF(AV43&lt;=#REF!,#REF!,IF(AV43&lt;=#REF!,#REF!,IF(AV43&lt;=#REF!,#REF!,IF(AV43&lt;=#REF!,#REF!,0.05)))))))</f>
        <v/>
      </c>
      <c r="BG43" s="2472">
        <f>BF43*AV43</f>
        <v/>
      </c>
      <c r="BH43" s="192" t="n"/>
      <c r="BI43" s="192">
        <f>IF(AY43&lt;=#REF!,#REF!,IF(AY43&lt;=#REF!,#REF!,IF(AY43&lt;=#REF!,#REF!,IF(AY43&lt;=#REF!,#REF!,IF(AY43&lt;=#REF!,#REF!,IF(AY43&lt;=#REF!,#REF!,IF(AY43&lt;=#REF!,#REF!,0.05)))))))</f>
        <v/>
      </c>
      <c r="BJ43" s="2472">
        <f>BI43*AY43</f>
        <v/>
      </c>
      <c r="BK43" s="192" t="n"/>
      <c r="BL43" s="192">
        <f>IF(BB43&lt;=#REF!,#REF!,IF(BB43&lt;=#REF!,#REF!,IF(BB43&lt;=#REF!,#REF!,IF(BB43&lt;=#REF!,#REF!,IF(BB43&lt;=#REF!,#REF!,IF(BB43&lt;=#REF!,#REF!,IF(BB43&lt;=#REF!,#REF!,0.05)))))))</f>
        <v/>
      </c>
      <c r="BM43" s="2472">
        <f>BL43*SUM(BJ43,BG43,BB43)</f>
        <v/>
      </c>
      <c r="BN43" s="192" t="n"/>
      <c r="BO43" s="2473">
        <f>IF(BE43&lt;=#REF!,#REF!,IF(BE43&lt;=#REF!,#REF!,IF(BE43&lt;=#REF!,#REF!,IF(BE43&lt;=#REF!,#REF!,IF(BE43&lt;=#REF!,#REF!,IF(BE43&lt;=#REF!,#REF!,IF(BE43&lt;=#REF!,#REF!,0.05)))))))</f>
        <v/>
      </c>
      <c r="BP43" s="2472">
        <f>BO43*BE43</f>
        <v/>
      </c>
      <c r="BR43" s="2474">
        <f>0.07*SUM(BB43,BG43,BJ43,BM43,BP43)</f>
        <v/>
      </c>
      <c r="BT43" s="2474">
        <f>SUM(BR43,BP43,BM43,BJ43,BG43,BB43)</f>
        <v/>
      </c>
      <c r="BU43" s="2475">
        <f>SUM(BP43,BM43,BJ43,BG43)</f>
        <v/>
      </c>
      <c r="BV43" s="192">
        <f>BU43/BT43</f>
        <v/>
      </c>
      <c r="CL43" s="2472" t="n">
        <v>35000</v>
      </c>
      <c r="CM43" s="2472" t="n"/>
      <c r="CN43" s="2472" t="n"/>
      <c r="CO43" s="2472">
        <f>CL43</f>
        <v/>
      </c>
      <c r="CP43" s="2472" t="n"/>
      <c r="CQ43" s="2472" t="n"/>
      <c r="CR43" s="2472">
        <f>CL43+CO43</f>
        <v/>
      </c>
      <c r="CS43" s="2472" t="n"/>
      <c r="CT43" s="2472" t="n"/>
      <c r="CU43" s="2472">
        <f>CR43</f>
        <v/>
      </c>
      <c r="CV43" s="192">
        <f>IF(CL43&lt;=BN$4,BM$4,IF(CL43&lt;=BN$5,BM$5,IF(CL43&lt;=BN$6,BM$6,IF(CL43&lt;=BN$7,BM$7,IF(CL43&lt;=BN$12,BM$12,IF(CL43&lt;=BN$13,BM$13,IF(CL43&lt;=BN$14,BM$14,0.05)))))))</f>
        <v/>
      </c>
      <c r="CW43" s="2472">
        <f>CV43*CL43</f>
        <v/>
      </c>
      <c r="CX43" s="192" t="n"/>
      <c r="CY43" s="192">
        <f>IF(CO43&lt;=BQ$4,BP$4,IF(CO43&lt;=BQ$5,BP$5,IF(CO43&lt;=BQ$6,BP$6,IF(CO43&lt;=BQ$7,BP$7,IF(CO43&lt;=BQ$12,BP$12,IF(CO43&lt;=BQ$13,BP$13,IF(CO43&lt;=BQ$14,BP$14,0.05)))))))</f>
        <v/>
      </c>
      <c r="CZ43" s="2472">
        <f>CY43*CO43</f>
        <v/>
      </c>
      <c r="DA43" s="192" t="n"/>
      <c r="DB43" s="192">
        <f>IF(CR43&lt;=BT$4,BS$4,IF(CR43&lt;=BT$5,BS$5,IF(CR43&lt;=BT$6,BS$6,IF(CR43&lt;=BT$7,BS$7,IF(CR43&lt;=BT$12,BS$12,IF(CR43&lt;=BT$13,BS$13,IF(CR43&lt;=BT$14,BS$14,0.05)))))))</f>
        <v/>
      </c>
      <c r="DC43" s="2472">
        <f>DB43*SUM(CZ43,CW43,CR43)</f>
        <v/>
      </c>
      <c r="DD43" s="192" t="n"/>
      <c r="DE43" s="2473">
        <f>IF(CU43&lt;=BW$4,BV$4,IF(CU43&lt;=BW$5,BV$5,IF(CU43&lt;=BW$6,BV$6,IF(CU43&lt;=BW$7,BV$7,IF(CU43&lt;=BW$12,BV$12,IF(CU43&lt;=BW$13,BV$13,IF(CU43&lt;=BW$14,BV$14,0.05)))))))</f>
        <v/>
      </c>
      <c r="DF43" s="2472">
        <f>DE43*CU43</f>
        <v/>
      </c>
      <c r="DH43" s="2474">
        <f>0.07*SUM(CR43,CW43,CZ43,DC43,DF43)</f>
        <v/>
      </c>
      <c r="DJ43" s="2474">
        <f>SUM(DH43,DF43,DC43,CZ43,CW43,CR43)</f>
        <v/>
      </c>
      <c r="DK43" s="2475">
        <f>SUM(DF43,DC43,CZ43,CW43)</f>
        <v/>
      </c>
      <c r="DL43" s="192">
        <f>DK43/DJ43</f>
        <v/>
      </c>
    </row>
    <row r="44">
      <c r="A44" s="69" t="n">
        <v>6</v>
      </c>
      <c r="B44" s="1" t="n">
        <v>1</v>
      </c>
      <c r="C44" s="2489" t="n">
        <v>33.66</v>
      </c>
      <c r="D44" s="70">
        <f>(A44*B44*C44)*IF($E$42="8 hour days",8,10)</f>
        <v/>
      </c>
      <c r="E44" s="453" t="n"/>
      <c r="F44" s="157">
        <f>I44/(D44/C44)</f>
        <v/>
      </c>
      <c r="G44" s="129" t="inlineStr">
        <is>
          <t>Floor Type</t>
        </is>
      </c>
      <c r="H44" s="130" t="n"/>
      <c r="I44" s="2490">
        <f>B42</f>
        <v/>
      </c>
      <c r="J44" s="2490">
        <f>D42</f>
        <v/>
      </c>
      <c r="K44" s="530">
        <f>J44/I44</f>
        <v/>
      </c>
      <c r="L44" s="44" t="n">
        <v>3</v>
      </c>
      <c r="M44" s="44" t="n">
        <v>3</v>
      </c>
      <c r="N44" s="1" t="inlineStr">
        <is>
          <t>500 - 1500 sf</t>
        </is>
      </c>
      <c r="AV44" s="2472" t="n">
        <v>36000</v>
      </c>
      <c r="AW44" s="2472" t="n"/>
      <c r="AX44" s="2472" t="n"/>
      <c r="AY44" s="2472">
        <f>AV44</f>
        <v/>
      </c>
      <c r="AZ44" s="2472" t="n"/>
      <c r="BA44" s="2472" t="n"/>
      <c r="BB44" s="2472">
        <f>AV44+AY44</f>
        <v/>
      </c>
      <c r="BC44" s="2472" t="n"/>
      <c r="BD44" s="2472" t="n"/>
      <c r="BE44" s="2472">
        <f>BB44</f>
        <v/>
      </c>
      <c r="BF44" s="192">
        <f>IF(AV44&lt;=#REF!,#REF!,IF(AV44&lt;=#REF!,#REF!,IF(AV44&lt;=#REF!,#REF!,IF(AV44&lt;=#REF!,#REF!,IF(AV44&lt;=#REF!,#REF!,IF(AV44&lt;=#REF!,#REF!,IF(AV44&lt;=#REF!,#REF!,0.05)))))))</f>
        <v/>
      </c>
      <c r="BG44" s="2472">
        <f>BF44*AV44</f>
        <v/>
      </c>
      <c r="BH44" s="192" t="n"/>
      <c r="BI44" s="192">
        <f>IF(AY44&lt;=#REF!,#REF!,IF(AY44&lt;=#REF!,#REF!,IF(AY44&lt;=#REF!,#REF!,IF(AY44&lt;=#REF!,#REF!,IF(AY44&lt;=#REF!,#REF!,IF(AY44&lt;=#REF!,#REF!,IF(AY44&lt;=#REF!,#REF!,0.05)))))))</f>
        <v/>
      </c>
      <c r="BJ44" s="2472">
        <f>BI44*AY44</f>
        <v/>
      </c>
      <c r="BK44" s="192" t="n"/>
      <c r="BL44" s="192">
        <f>IF(BB44&lt;=#REF!,#REF!,IF(BB44&lt;=#REF!,#REF!,IF(BB44&lt;=#REF!,#REF!,IF(BB44&lt;=#REF!,#REF!,IF(BB44&lt;=#REF!,#REF!,IF(BB44&lt;=#REF!,#REF!,IF(BB44&lt;=#REF!,#REF!,0.05)))))))</f>
        <v/>
      </c>
      <c r="BM44" s="2472">
        <f>BL44*SUM(BJ44,BG44,BB44)</f>
        <v/>
      </c>
      <c r="BN44" s="192" t="n"/>
      <c r="BO44" s="2473">
        <f>IF(BE44&lt;=#REF!,#REF!,IF(BE44&lt;=#REF!,#REF!,IF(BE44&lt;=#REF!,#REF!,IF(BE44&lt;=#REF!,#REF!,IF(BE44&lt;=#REF!,#REF!,IF(BE44&lt;=#REF!,#REF!,IF(BE44&lt;=#REF!,#REF!,0.05)))))))</f>
        <v/>
      </c>
      <c r="BP44" s="2472">
        <f>BO44*BE44</f>
        <v/>
      </c>
      <c r="BR44" s="2474">
        <f>0.07*SUM(BB44,BG44,BJ44,BM44,BP44)</f>
        <v/>
      </c>
      <c r="BT44" s="2474">
        <f>SUM(BR44,BP44,BM44,BJ44,BG44,BB44)</f>
        <v/>
      </c>
      <c r="BU44" s="2475">
        <f>SUM(BP44,BM44,BJ44,BG44)</f>
        <v/>
      </c>
      <c r="BV44" s="192">
        <f>BU44/BT44</f>
        <v/>
      </c>
      <c r="CL44" s="2472" t="n">
        <v>36000</v>
      </c>
      <c r="CM44" s="2472" t="n"/>
      <c r="CN44" s="2472" t="n"/>
      <c r="CO44" s="2472">
        <f>CL44</f>
        <v/>
      </c>
      <c r="CP44" s="2472" t="n"/>
      <c r="CQ44" s="2472" t="n"/>
      <c r="CR44" s="2472">
        <f>CL44+CO44</f>
        <v/>
      </c>
      <c r="CS44" s="2472" t="n"/>
      <c r="CT44" s="2472" t="n"/>
      <c r="CU44" s="2472">
        <f>CR44</f>
        <v/>
      </c>
      <c r="CV44" s="192">
        <f>IF(CL44&lt;=BN$4,BM$4,IF(CL44&lt;=BN$5,BM$5,IF(CL44&lt;=BN$6,BM$6,IF(CL44&lt;=BN$7,BM$7,IF(CL44&lt;=BN$12,BM$12,IF(CL44&lt;=BN$13,BM$13,IF(CL44&lt;=BN$14,BM$14,0.05)))))))</f>
        <v/>
      </c>
      <c r="CW44" s="2472">
        <f>CV44*CL44</f>
        <v/>
      </c>
      <c r="CX44" s="192" t="n"/>
      <c r="CY44" s="192">
        <f>IF(CO44&lt;=BQ$4,BP$4,IF(CO44&lt;=BQ$5,BP$5,IF(CO44&lt;=BQ$6,BP$6,IF(CO44&lt;=BQ$7,BP$7,IF(CO44&lt;=BQ$12,BP$12,IF(CO44&lt;=BQ$13,BP$13,IF(CO44&lt;=BQ$14,BP$14,0.05)))))))</f>
        <v/>
      </c>
      <c r="CZ44" s="2472">
        <f>CY44*CO44</f>
        <v/>
      </c>
      <c r="DA44" s="192" t="n"/>
      <c r="DB44" s="192">
        <f>IF(CR44&lt;=BT$4,BS$4,IF(CR44&lt;=BT$5,BS$5,IF(CR44&lt;=BT$6,BS$6,IF(CR44&lt;=BT$7,BS$7,IF(CR44&lt;=BT$12,BS$12,IF(CR44&lt;=BT$13,BS$13,IF(CR44&lt;=BT$14,BS$14,0.05)))))))</f>
        <v/>
      </c>
      <c r="DC44" s="2472">
        <f>DB44*SUM(CZ44,CW44,CR44)</f>
        <v/>
      </c>
      <c r="DD44" s="192" t="n"/>
      <c r="DE44" s="2473">
        <f>IF(CU44&lt;=BW$4,BV$4,IF(CU44&lt;=BW$5,BV$5,IF(CU44&lt;=BW$6,BV$6,IF(CU44&lt;=BW$7,BV$7,IF(CU44&lt;=BW$12,BV$12,IF(CU44&lt;=BW$13,BV$13,IF(CU44&lt;=BW$14,BV$14,0.05)))))))</f>
        <v/>
      </c>
      <c r="DF44" s="2472">
        <f>DE44*CU44</f>
        <v/>
      </c>
      <c r="DH44" s="2474">
        <f>0.07*SUM(CR44,CW44,CZ44,DC44,DF44)</f>
        <v/>
      </c>
      <c r="DJ44" s="2474">
        <f>SUM(DH44,DF44,DC44,CZ44,CW44,CR44)</f>
        <v/>
      </c>
      <c r="DK44" s="2475">
        <f>SUM(DF44,DC44,CZ44,CW44)</f>
        <v/>
      </c>
      <c r="DL44" s="192">
        <f>DK44/DJ44</f>
        <v/>
      </c>
    </row>
    <row r="45">
      <c r="A45" s="69" t="n"/>
      <c r="B45" s="1" t="n"/>
      <c r="C45" s="2409">
        <f>C44</f>
        <v/>
      </c>
      <c r="D45" s="70">
        <f>(A45*B45*C45)*IF($E$42="8 hour days",8,10)</f>
        <v/>
      </c>
      <c r="E45" s="453" t="n"/>
      <c r="F45" s="157">
        <f>I45/(D45/C45)</f>
        <v/>
      </c>
      <c r="G45" s="129" t="inlineStr">
        <is>
          <t>Floor Type</t>
        </is>
      </c>
      <c r="H45" s="130" t="n"/>
      <c r="I45" s="2490">
        <f>H26</f>
        <v/>
      </c>
      <c r="J45" s="2490">
        <f>I26</f>
        <v/>
      </c>
      <c r="K45" s="531">
        <f>J45/I45</f>
        <v/>
      </c>
      <c r="L45" s="568" t="n">
        <v>3</v>
      </c>
      <c r="M45" s="568" t="n">
        <v>3.5</v>
      </c>
      <c r="N45" t="inlineStr">
        <is>
          <t>1,500 sf - 2,500</t>
        </is>
      </c>
      <c r="AV45" s="2472" t="n">
        <v>37000</v>
      </c>
      <c r="AW45" s="2472" t="n"/>
      <c r="AX45" s="2472" t="n"/>
      <c r="AY45" s="2472">
        <f>AV45</f>
        <v/>
      </c>
      <c r="AZ45" s="2472" t="n"/>
      <c r="BA45" s="2472" t="n"/>
      <c r="BB45" s="2472">
        <f>AV45+AY45</f>
        <v/>
      </c>
      <c r="BC45" s="2472" t="n"/>
      <c r="BD45" s="2472" t="n"/>
      <c r="BE45" s="2472">
        <f>BB45</f>
        <v/>
      </c>
      <c r="BF45" s="192">
        <f>IF(AV45&lt;=#REF!,#REF!,IF(AV45&lt;=#REF!,#REF!,IF(AV45&lt;=#REF!,#REF!,IF(AV45&lt;=#REF!,#REF!,IF(AV45&lt;=#REF!,#REF!,IF(AV45&lt;=#REF!,#REF!,IF(AV45&lt;=#REF!,#REF!,0.05)))))))</f>
        <v/>
      </c>
      <c r="BG45" s="2472">
        <f>BF45*AV45</f>
        <v/>
      </c>
      <c r="BH45" s="192" t="n"/>
      <c r="BI45" s="192">
        <f>IF(AY45&lt;=#REF!,#REF!,IF(AY45&lt;=#REF!,#REF!,IF(AY45&lt;=#REF!,#REF!,IF(AY45&lt;=#REF!,#REF!,IF(AY45&lt;=#REF!,#REF!,IF(AY45&lt;=#REF!,#REF!,IF(AY45&lt;=#REF!,#REF!,0.05)))))))</f>
        <v/>
      </c>
      <c r="BJ45" s="2472">
        <f>BI45*AY45</f>
        <v/>
      </c>
      <c r="BK45" s="192" t="n"/>
      <c r="BL45" s="192">
        <f>IF(BB45&lt;=#REF!,#REF!,IF(BB45&lt;=#REF!,#REF!,IF(BB45&lt;=#REF!,#REF!,IF(BB45&lt;=#REF!,#REF!,IF(BB45&lt;=#REF!,#REF!,IF(BB45&lt;=#REF!,#REF!,IF(BB45&lt;=#REF!,#REF!,0.05)))))))</f>
        <v/>
      </c>
      <c r="BM45" s="2472">
        <f>BL45*SUM(BJ45,BG45,BB45)</f>
        <v/>
      </c>
      <c r="BN45" s="192" t="n"/>
      <c r="BO45" s="2473">
        <f>IF(BE45&lt;=#REF!,#REF!,IF(BE45&lt;=#REF!,#REF!,IF(BE45&lt;=#REF!,#REF!,IF(BE45&lt;=#REF!,#REF!,IF(BE45&lt;=#REF!,#REF!,IF(BE45&lt;=#REF!,#REF!,IF(BE45&lt;=#REF!,#REF!,0.05)))))))</f>
        <v/>
      </c>
      <c r="BP45" s="2472">
        <f>BO45*BE45</f>
        <v/>
      </c>
      <c r="BR45" s="2474">
        <f>0.07*SUM(BB45,BG45,BJ45,BM45,BP45)</f>
        <v/>
      </c>
      <c r="BT45" s="2474">
        <f>SUM(BR45,BP45,BM45,BJ45,BG45,BB45)</f>
        <v/>
      </c>
      <c r="BU45" s="2475">
        <f>SUM(BP45,BM45,BJ45,BG45)</f>
        <v/>
      </c>
      <c r="BV45" s="192">
        <f>BU45/BT45</f>
        <v/>
      </c>
      <c r="CL45" s="2472" t="n">
        <v>37000</v>
      </c>
      <c r="CM45" s="2472" t="n"/>
      <c r="CN45" s="2472" t="n"/>
      <c r="CO45" s="2472">
        <f>CL45</f>
        <v/>
      </c>
      <c r="CP45" s="2472" t="n"/>
      <c r="CQ45" s="2472" t="n"/>
      <c r="CR45" s="2472">
        <f>CL45+CO45</f>
        <v/>
      </c>
      <c r="CS45" s="2472" t="n"/>
      <c r="CT45" s="2472" t="n"/>
      <c r="CU45" s="2472">
        <f>CR45</f>
        <v/>
      </c>
      <c r="CV45" s="192">
        <f>IF(CL45&lt;=BN$4,BM$4,IF(CL45&lt;=BN$5,BM$5,IF(CL45&lt;=BN$6,BM$6,IF(CL45&lt;=BN$7,BM$7,IF(CL45&lt;=BN$12,BM$12,IF(CL45&lt;=BN$13,BM$13,IF(CL45&lt;=BN$14,BM$14,0.05)))))))</f>
        <v/>
      </c>
      <c r="CW45" s="2472">
        <f>CV45*CL45</f>
        <v/>
      </c>
      <c r="CX45" s="192" t="n"/>
      <c r="CY45" s="192">
        <f>IF(CO45&lt;=BQ$4,BP$4,IF(CO45&lt;=BQ$5,BP$5,IF(CO45&lt;=BQ$6,BP$6,IF(CO45&lt;=BQ$7,BP$7,IF(CO45&lt;=BQ$12,BP$12,IF(CO45&lt;=BQ$13,BP$13,IF(CO45&lt;=BQ$14,BP$14,0.05)))))))</f>
        <v/>
      </c>
      <c r="CZ45" s="2472">
        <f>CY45*CO45</f>
        <v/>
      </c>
      <c r="DA45" s="192" t="n"/>
      <c r="DB45" s="192">
        <f>IF(CR45&lt;=BT$4,BS$4,IF(CR45&lt;=BT$5,BS$5,IF(CR45&lt;=BT$6,BS$6,IF(CR45&lt;=BT$7,BS$7,IF(CR45&lt;=BT$12,BS$12,IF(CR45&lt;=BT$13,BS$13,IF(CR45&lt;=BT$14,BS$14,0.05)))))))</f>
        <v/>
      </c>
      <c r="DC45" s="2472">
        <f>DB45*SUM(CZ45,CW45,CR45)</f>
        <v/>
      </c>
      <c r="DD45" s="192" t="n"/>
      <c r="DE45" s="2473">
        <f>IF(CU45&lt;=BW$4,BV$4,IF(CU45&lt;=BW$5,BV$5,IF(CU45&lt;=BW$6,BV$6,IF(CU45&lt;=BW$7,BV$7,IF(CU45&lt;=BW$12,BV$12,IF(CU45&lt;=BW$13,BV$13,IF(CU45&lt;=BW$14,BV$14,0.05)))))))</f>
        <v/>
      </c>
      <c r="DF45" s="2472">
        <f>DE45*CU45</f>
        <v/>
      </c>
      <c r="DH45" s="2474">
        <f>0.07*SUM(CR45,CW45,CZ45,DC45,DF45)</f>
        <v/>
      </c>
      <c r="DJ45" s="2474">
        <f>SUM(DH45,DF45,DC45,CZ45,CW45,CR45)</f>
        <v/>
      </c>
      <c r="DK45" s="2475">
        <f>SUM(DF45,DC45,CZ45,CW45)</f>
        <v/>
      </c>
      <c r="DL45" s="192">
        <f>DK45/DJ45</f>
        <v/>
      </c>
    </row>
    <row r="46">
      <c r="A46" s="69" t="n"/>
      <c r="B46" s="1" t="n"/>
      <c r="C46" s="2409">
        <f>C44</f>
        <v/>
      </c>
      <c r="D46" s="70">
        <f>(A46*B46*C46)*IF($E$42="8 hour days",8,10)</f>
        <v/>
      </c>
      <c r="E46" s="453" t="n"/>
      <c r="F46" s="157">
        <f>I46/(D46/C46)</f>
        <v/>
      </c>
      <c r="G46" s="129" t="inlineStr">
        <is>
          <t>Floor Type</t>
        </is>
      </c>
      <c r="H46" s="130" t="n"/>
      <c r="I46" s="2491">
        <f>H26</f>
        <v/>
      </c>
      <c r="J46" s="2492">
        <f>I26</f>
        <v/>
      </c>
      <c r="K46" s="531">
        <f>J46/I46</f>
        <v/>
      </c>
      <c r="L46" s="568" t="n">
        <v>4</v>
      </c>
      <c r="M46" s="568" t="n">
        <v>4.5</v>
      </c>
      <c r="N46" t="inlineStr">
        <is>
          <t>2,500 to 3,000</t>
        </is>
      </c>
      <c r="AV46" s="2472" t="n">
        <v>37000</v>
      </c>
      <c r="AW46" s="2472" t="n"/>
      <c r="AX46" s="2472" t="n"/>
      <c r="AY46" s="2472">
        <f>AV46</f>
        <v/>
      </c>
      <c r="AZ46" s="2472" t="n"/>
      <c r="BA46" s="2472" t="n"/>
      <c r="BB46" s="2472">
        <f>AV46+AY46</f>
        <v/>
      </c>
      <c r="BC46" s="2472" t="n"/>
      <c r="BD46" s="2472" t="n"/>
      <c r="BE46" s="2472">
        <f>BB46</f>
        <v/>
      </c>
      <c r="BF46" s="192">
        <f>IF(AV46&lt;=#REF!,#REF!,IF(AV46&lt;=#REF!,#REF!,IF(AV46&lt;=#REF!,#REF!,IF(AV46&lt;=#REF!,#REF!,IF(AV46&lt;=#REF!,#REF!,IF(AV46&lt;=#REF!,#REF!,IF(AV46&lt;=#REF!,#REF!,0.05)))))))</f>
        <v/>
      </c>
      <c r="BG46" s="2472">
        <f>BF46*AV46</f>
        <v/>
      </c>
      <c r="BH46" s="192" t="n"/>
      <c r="BI46" s="192">
        <f>IF(AY46&lt;=#REF!,#REF!,IF(AY46&lt;=#REF!,#REF!,IF(AY46&lt;=#REF!,#REF!,IF(AY46&lt;=#REF!,#REF!,IF(AY46&lt;=#REF!,#REF!,IF(AY46&lt;=#REF!,#REF!,IF(AY46&lt;=#REF!,#REF!,0.05)))))))</f>
        <v/>
      </c>
      <c r="BJ46" s="2472">
        <f>BI46*AY46</f>
        <v/>
      </c>
      <c r="BK46" s="192" t="n"/>
      <c r="BL46" s="192">
        <f>IF(BB46&lt;=#REF!,#REF!,IF(BB46&lt;=#REF!,#REF!,IF(BB46&lt;=#REF!,#REF!,IF(BB46&lt;=#REF!,#REF!,IF(BB46&lt;=#REF!,#REF!,IF(BB46&lt;=#REF!,#REF!,IF(BB46&lt;=#REF!,#REF!,0.05)))))))</f>
        <v/>
      </c>
      <c r="BM46" s="2472">
        <f>BL46*SUM(BJ46,BG46,BB46)</f>
        <v/>
      </c>
      <c r="BN46" s="192" t="n"/>
      <c r="BO46" s="2473">
        <f>IF(BE46&lt;=#REF!,#REF!,IF(BE46&lt;=#REF!,#REF!,IF(BE46&lt;=#REF!,#REF!,IF(BE46&lt;=#REF!,#REF!,IF(BE46&lt;=#REF!,#REF!,IF(BE46&lt;=#REF!,#REF!,IF(BE46&lt;=#REF!,#REF!,0.05)))))))</f>
        <v/>
      </c>
      <c r="BP46" s="2472">
        <f>BO46*BE46</f>
        <v/>
      </c>
      <c r="BR46" s="2474">
        <f>0.07*SUM(BB46,BG46,BJ46,BM46,BP46)</f>
        <v/>
      </c>
      <c r="BT46" s="2474">
        <f>SUM(BR46,BP46,BM46,BJ46,BG46,BB46)</f>
        <v/>
      </c>
      <c r="BU46" s="2475">
        <f>SUM(BP46,BM46,BJ46,BG46)</f>
        <v/>
      </c>
      <c r="BV46" s="192">
        <f>BU46/BT46</f>
        <v/>
      </c>
      <c r="CL46" s="2472" t="n">
        <v>37000</v>
      </c>
      <c r="CM46" s="2472" t="n"/>
      <c r="CN46" s="2472" t="n"/>
      <c r="CO46" s="2472">
        <f>CL46</f>
        <v/>
      </c>
      <c r="CP46" s="2472" t="n"/>
      <c r="CQ46" s="2472" t="n"/>
      <c r="CR46" s="2472">
        <f>CL46+CO46</f>
        <v/>
      </c>
      <c r="CS46" s="2472" t="n"/>
      <c r="CT46" s="2472" t="n"/>
      <c r="CU46" s="2472">
        <f>CR46</f>
        <v/>
      </c>
      <c r="CV46" s="192">
        <f>IF(CL46&lt;=BN$4,BM$4,IF(CL46&lt;=BN$5,BM$5,IF(CL46&lt;=BN$6,BM$6,IF(CL46&lt;=BN$7,BM$7,IF(CL46&lt;=BN$12,BM$12,IF(CL46&lt;=BN$13,BM$13,IF(CL46&lt;=BN$14,BM$14,0.05)))))))</f>
        <v/>
      </c>
      <c r="CW46" s="2472">
        <f>CV46*CL46</f>
        <v/>
      </c>
      <c r="CX46" s="192" t="n"/>
      <c r="CY46" s="192">
        <f>IF(CO46&lt;=BQ$4,BP$4,IF(CO46&lt;=BQ$5,BP$5,IF(CO46&lt;=BQ$6,BP$6,IF(CO46&lt;=BQ$7,BP$7,IF(CO46&lt;=BQ$12,BP$12,IF(CO46&lt;=BQ$13,BP$13,IF(CO46&lt;=BQ$14,BP$14,0.05)))))))</f>
        <v/>
      </c>
      <c r="CZ46" s="2472">
        <f>CY46*CO46</f>
        <v/>
      </c>
      <c r="DA46" s="192" t="n"/>
      <c r="DB46" s="192">
        <f>IF(CR46&lt;=BT$4,BS$4,IF(CR46&lt;=BT$5,BS$5,IF(CR46&lt;=BT$6,BS$6,IF(CR46&lt;=BT$7,BS$7,IF(CR46&lt;=BT$12,BS$12,IF(CR46&lt;=BT$13,BS$13,IF(CR46&lt;=BT$14,BS$14,0.05)))))))</f>
        <v/>
      </c>
      <c r="DC46" s="2472">
        <f>DB46*SUM(CZ46,CW46,CR46)</f>
        <v/>
      </c>
      <c r="DD46" s="192" t="n"/>
      <c r="DE46" s="2473">
        <f>IF(CU46&lt;=BW$4,BV$4,IF(CU46&lt;=BW$5,BV$5,IF(CU46&lt;=BW$6,BV$6,IF(CU46&lt;=BW$7,BV$7,IF(CU46&lt;=BW$12,BV$12,IF(CU46&lt;=BW$13,BV$13,IF(CU46&lt;=BW$14,BV$14,0.05)))))))</f>
        <v/>
      </c>
      <c r="DF46" s="2472">
        <f>DE46*CU46</f>
        <v/>
      </c>
      <c r="DH46" s="2474">
        <f>0.07*SUM(CR46,CW46,CZ46,DC46,DF46)</f>
        <v/>
      </c>
      <c r="DJ46" s="2474">
        <f>SUM(DH46,DF46,DC46,CZ46,CW46,CR46)</f>
        <v/>
      </c>
      <c r="DK46" s="2475">
        <f>SUM(DF46,DC46,CZ46,CW46)</f>
        <v/>
      </c>
      <c r="DL46" s="192">
        <f>DK46/DJ46</f>
        <v/>
      </c>
    </row>
    <row r="47">
      <c r="A47" s="86" t="inlineStr">
        <is>
          <t>Travel:             Guys</t>
        </is>
      </c>
      <c r="B47" s="67" t="inlineStr">
        <is>
          <t>Hours</t>
        </is>
      </c>
      <c r="C47" s="67" t="inlineStr">
        <is>
          <t>Rate</t>
        </is>
      </c>
      <c r="D47" s="71" t="n"/>
      <c r="E47" s="453" t="n"/>
      <c r="F47" s="189" t="n"/>
      <c r="G47" s="1" t="n"/>
      <c r="H47" s="528" t="inlineStr">
        <is>
          <t>Sum of Above SF:</t>
        </is>
      </c>
      <c r="I47" s="2493">
        <f>SUM(I44:I46)</f>
        <v/>
      </c>
      <c r="J47" s="2493">
        <f>SUM(J44:J46)</f>
        <v/>
      </c>
      <c r="K47" s="2282" t="n"/>
      <c r="L47" s="568" t="n">
        <v>4.5</v>
      </c>
      <c r="M47" s="568" t="n">
        <v>5</v>
      </c>
      <c r="N47" t="inlineStr">
        <is>
          <t>3,000 +</t>
        </is>
      </c>
      <c r="AV47" s="2472" t="n">
        <v>38000</v>
      </c>
      <c r="AW47" s="2472" t="n"/>
      <c r="AX47" s="2472" t="n"/>
      <c r="AY47" s="2472">
        <f>AV47</f>
        <v/>
      </c>
      <c r="AZ47" s="2472" t="n"/>
      <c r="BA47" s="2472" t="n"/>
      <c r="BB47" s="2472">
        <f>AV47+AY47</f>
        <v/>
      </c>
      <c r="BC47" s="2472" t="n"/>
      <c r="BD47" s="2472" t="n"/>
      <c r="BE47" s="2472">
        <f>BB47</f>
        <v/>
      </c>
      <c r="BF47" s="192">
        <f>IF(AV47&lt;=#REF!,#REF!,IF(AV47&lt;=#REF!,#REF!,IF(AV47&lt;=#REF!,#REF!,IF(AV47&lt;=#REF!,#REF!,IF(AV47&lt;=#REF!,#REF!,IF(AV47&lt;=#REF!,#REF!,IF(AV47&lt;=#REF!,#REF!,0.05)))))))</f>
        <v/>
      </c>
      <c r="BG47" s="2472">
        <f>BF47*AV47</f>
        <v/>
      </c>
      <c r="BH47" s="192" t="n"/>
      <c r="BI47" s="192">
        <f>IF(AY47&lt;=#REF!,#REF!,IF(AY47&lt;=#REF!,#REF!,IF(AY47&lt;=#REF!,#REF!,IF(AY47&lt;=#REF!,#REF!,IF(AY47&lt;=#REF!,#REF!,IF(AY47&lt;=#REF!,#REF!,IF(AY47&lt;=#REF!,#REF!,0.05)))))))</f>
        <v/>
      </c>
      <c r="BJ47" s="2472">
        <f>BI47*AY47</f>
        <v/>
      </c>
      <c r="BK47" s="192" t="n"/>
      <c r="BL47" s="192">
        <f>IF(BB47&lt;=#REF!,#REF!,IF(BB47&lt;=#REF!,#REF!,IF(BB47&lt;=#REF!,#REF!,IF(BB47&lt;=#REF!,#REF!,IF(BB47&lt;=#REF!,#REF!,IF(BB47&lt;=#REF!,#REF!,IF(BB47&lt;=#REF!,#REF!,0.05)))))))</f>
        <v/>
      </c>
      <c r="BM47" s="2472">
        <f>BL47*SUM(BJ47,BG47,BB47)</f>
        <v/>
      </c>
      <c r="BN47" s="192" t="n"/>
      <c r="BO47" s="2473">
        <f>IF(BE47&lt;=#REF!,#REF!,IF(BE47&lt;=#REF!,#REF!,IF(BE47&lt;=#REF!,#REF!,IF(BE47&lt;=#REF!,#REF!,IF(BE47&lt;=#REF!,#REF!,IF(BE47&lt;=#REF!,#REF!,IF(BE47&lt;=#REF!,#REF!,0.05)))))))</f>
        <v/>
      </c>
      <c r="BP47" s="2472">
        <f>BO47*BE47</f>
        <v/>
      </c>
      <c r="BR47" s="2474">
        <f>0.07*SUM(BB47,BG47,BJ47,BM47,BP47)</f>
        <v/>
      </c>
      <c r="BT47" s="2474">
        <f>SUM(BR47,BP47,BM47,BJ47,BG47,BB47)</f>
        <v/>
      </c>
      <c r="BU47" s="2475">
        <f>SUM(BP47,BM47,BJ47,BG47)</f>
        <v/>
      </c>
      <c r="BV47" s="192">
        <f>BU47/BT47</f>
        <v/>
      </c>
      <c r="CL47" s="2472" t="n">
        <v>38000</v>
      </c>
      <c r="CM47" s="2472" t="n"/>
      <c r="CN47" s="2472" t="n"/>
      <c r="CO47" s="2472">
        <f>CL47</f>
        <v/>
      </c>
      <c r="CP47" s="2472" t="n"/>
      <c r="CQ47" s="2472" t="n"/>
      <c r="CR47" s="2472">
        <f>CL47+CO47</f>
        <v/>
      </c>
      <c r="CS47" s="2472" t="n"/>
      <c r="CT47" s="2472" t="n"/>
      <c r="CU47" s="2472">
        <f>CR47</f>
        <v/>
      </c>
      <c r="CV47" s="192">
        <f>IF(CL47&lt;=BN$4,BM$4,IF(CL47&lt;=BN$5,BM$5,IF(CL47&lt;=BN$6,BM$6,IF(CL47&lt;=BN$7,BM$7,IF(CL47&lt;=BN$12,BM$12,IF(CL47&lt;=BN$13,BM$13,IF(CL47&lt;=BN$14,BM$14,0.05)))))))</f>
        <v/>
      </c>
      <c r="CW47" s="2472">
        <f>CV47*CL47</f>
        <v/>
      </c>
      <c r="CX47" s="192" t="n"/>
      <c r="CY47" s="192">
        <f>IF(CO47&lt;=BQ$4,BP$4,IF(CO47&lt;=BQ$5,BP$5,IF(CO47&lt;=BQ$6,BP$6,IF(CO47&lt;=BQ$7,BP$7,IF(CO47&lt;=BQ$12,BP$12,IF(CO47&lt;=BQ$13,BP$13,IF(CO47&lt;=BQ$14,BP$14,0.05)))))))</f>
        <v/>
      </c>
      <c r="CZ47" s="2472">
        <f>CY47*CO47</f>
        <v/>
      </c>
      <c r="DA47" s="192" t="n"/>
      <c r="DB47" s="192">
        <f>IF(CR47&lt;=BT$4,BS$4,IF(CR47&lt;=BT$5,BS$5,IF(CR47&lt;=BT$6,BS$6,IF(CR47&lt;=BT$7,BS$7,IF(CR47&lt;=BT$12,BS$12,IF(CR47&lt;=BT$13,BS$13,IF(CR47&lt;=BT$14,BS$14,0.05)))))))</f>
        <v/>
      </c>
      <c r="DC47" s="2472">
        <f>DB47*SUM(CZ47,CW47,CR47)</f>
        <v/>
      </c>
      <c r="DD47" s="192" t="n"/>
      <c r="DE47" s="2473">
        <f>IF(CU47&lt;=BW$4,BV$4,IF(CU47&lt;=BW$5,BV$5,IF(CU47&lt;=BW$6,BV$6,IF(CU47&lt;=BW$7,BV$7,IF(CU47&lt;=BW$12,BV$12,IF(CU47&lt;=BW$13,BV$13,IF(CU47&lt;=BW$14,BV$14,0.05)))))))</f>
        <v/>
      </c>
      <c r="DF47" s="2472">
        <f>DE47*CU47</f>
        <v/>
      </c>
      <c r="DH47" s="2474">
        <f>0.07*SUM(CR47,CW47,CZ47,DC47,DF47)</f>
        <v/>
      </c>
      <c r="DJ47" s="2474">
        <f>SUM(DH47,DF47,DC47,CZ47,CW47,CR47)</f>
        <v/>
      </c>
      <c r="DK47" s="2475">
        <f>SUM(DF47,DC47,CZ47,CW47)</f>
        <v/>
      </c>
      <c r="DL47" s="192">
        <f>DK47/DJ47</f>
        <v/>
      </c>
    </row>
    <row r="48">
      <c r="A48" s="533">
        <f>(A44*B44)+(A45*B45)+(A46*B46)</f>
        <v/>
      </c>
      <c r="B48" s="529" t="n">
        <v>1</v>
      </c>
      <c r="C48" s="2494" t="n">
        <v>33.66</v>
      </c>
      <c r="D48" s="218">
        <f>A48*B48*C48</f>
        <v/>
      </c>
      <c r="E48" s="758" t="inlineStr">
        <is>
          <t>Drive Time: ?</t>
        </is>
      </c>
      <c r="F48" s="189" t="n"/>
      <c r="G48" s="585" t="n"/>
      <c r="H48" s="774" t="n"/>
      <c r="I48" s="1168">
        <f>(((D49-D48)/C44)/A44)/40</f>
        <v/>
      </c>
      <c r="J48" s="234" t="inlineStr">
        <is>
          <t># of 40 hour weeks</t>
        </is>
      </c>
      <c r="K48" s="2495" t="n"/>
      <c r="L48" s="76" t="n"/>
      <c r="M48" s="76" t="n"/>
      <c r="N48" s="76" t="n"/>
      <c r="AV48" s="2472" t="n">
        <v>39000</v>
      </c>
      <c r="AW48" s="2472" t="n"/>
      <c r="AX48" s="2472" t="n"/>
      <c r="AY48" s="2472">
        <f>AV48</f>
        <v/>
      </c>
      <c r="AZ48" s="2472" t="n"/>
      <c r="BA48" s="2472" t="n"/>
      <c r="BB48" s="2472">
        <f>AV48+AY48</f>
        <v/>
      </c>
      <c r="BC48" s="2472" t="n"/>
      <c r="BD48" s="2472" t="n"/>
      <c r="BE48" s="2472">
        <f>BB48</f>
        <v/>
      </c>
      <c r="BF48" s="192">
        <f>IF(AV48&lt;=#REF!,#REF!,IF(AV48&lt;=#REF!,#REF!,IF(AV48&lt;=#REF!,#REF!,IF(AV48&lt;=#REF!,#REF!,IF(AV48&lt;=#REF!,#REF!,IF(AV48&lt;=#REF!,#REF!,IF(AV48&lt;=#REF!,#REF!,0.05)))))))</f>
        <v/>
      </c>
      <c r="BG48" s="2472">
        <f>BF48*AV48</f>
        <v/>
      </c>
      <c r="BH48" s="192" t="n"/>
      <c r="BI48" s="192">
        <f>IF(AY48&lt;=#REF!,#REF!,IF(AY48&lt;=#REF!,#REF!,IF(AY48&lt;=#REF!,#REF!,IF(AY48&lt;=#REF!,#REF!,IF(AY48&lt;=#REF!,#REF!,IF(AY48&lt;=#REF!,#REF!,IF(AY48&lt;=#REF!,#REF!,0.05)))))))</f>
        <v/>
      </c>
      <c r="BJ48" s="2472">
        <f>BI48*AY48</f>
        <v/>
      </c>
      <c r="BK48" s="192" t="n"/>
      <c r="BL48" s="192">
        <f>IF(BB48&lt;=#REF!,#REF!,IF(BB48&lt;=#REF!,#REF!,IF(BB48&lt;=#REF!,#REF!,IF(BB48&lt;=#REF!,#REF!,IF(BB48&lt;=#REF!,#REF!,IF(BB48&lt;=#REF!,#REF!,IF(BB48&lt;=#REF!,#REF!,0.05)))))))</f>
        <v/>
      </c>
      <c r="BM48" s="2472">
        <f>BL48*SUM(BJ48,BG48,BB48)</f>
        <v/>
      </c>
      <c r="BN48" s="192" t="n"/>
      <c r="BO48" s="2473">
        <f>IF(BE48&lt;=#REF!,#REF!,IF(BE48&lt;=#REF!,#REF!,IF(BE48&lt;=#REF!,#REF!,IF(BE48&lt;=#REF!,#REF!,IF(BE48&lt;=#REF!,#REF!,IF(BE48&lt;=#REF!,#REF!,IF(BE48&lt;=#REF!,#REF!,0.05)))))))</f>
        <v/>
      </c>
      <c r="BP48" s="2472">
        <f>BO48*BE48</f>
        <v/>
      </c>
      <c r="BR48" s="2474">
        <f>0.07*SUM(BB48,BG48,BJ48,BM48,BP48)</f>
        <v/>
      </c>
      <c r="BT48" s="2474">
        <f>SUM(BR48,BP48,BM48,BJ48,BG48,BB48)</f>
        <v/>
      </c>
      <c r="BU48" s="2475">
        <f>SUM(BP48,BM48,BJ48,BG48)</f>
        <v/>
      </c>
      <c r="BV48" s="192">
        <f>BU48/BT48</f>
        <v/>
      </c>
      <c r="CL48" s="2472" t="n">
        <v>39000</v>
      </c>
      <c r="CM48" s="2472" t="n"/>
      <c r="CN48" s="2472" t="n"/>
      <c r="CO48" s="2472">
        <f>CL48</f>
        <v/>
      </c>
      <c r="CP48" s="2472" t="n"/>
      <c r="CQ48" s="2472" t="n"/>
      <c r="CR48" s="2472">
        <f>CL48+CO48</f>
        <v/>
      </c>
      <c r="CS48" s="2472" t="n"/>
      <c r="CT48" s="2472" t="n"/>
      <c r="CU48" s="2472">
        <f>CR48</f>
        <v/>
      </c>
      <c r="CV48" s="192">
        <f>IF(CL48&lt;=BN$4,BM$4,IF(CL48&lt;=BN$5,BM$5,IF(CL48&lt;=BN$6,BM$6,IF(CL48&lt;=BN$7,BM$7,IF(CL48&lt;=BN$12,BM$12,IF(CL48&lt;=BN$13,BM$13,IF(CL48&lt;=BN$14,BM$14,0.05)))))))</f>
        <v/>
      </c>
      <c r="CW48" s="2472">
        <f>CV48*CL48</f>
        <v/>
      </c>
      <c r="CX48" s="192" t="n"/>
      <c r="CY48" s="192">
        <f>IF(CO48&lt;=BQ$4,BP$4,IF(CO48&lt;=BQ$5,BP$5,IF(CO48&lt;=BQ$6,BP$6,IF(CO48&lt;=BQ$7,BP$7,IF(CO48&lt;=BQ$12,BP$12,IF(CO48&lt;=BQ$13,BP$13,IF(CO48&lt;=BQ$14,BP$14,0.05)))))))</f>
        <v/>
      </c>
      <c r="CZ48" s="2472">
        <f>CY48*CO48</f>
        <v/>
      </c>
      <c r="DA48" s="192" t="n"/>
      <c r="DB48" s="192">
        <f>IF(CR48&lt;=BT$4,BS$4,IF(CR48&lt;=BT$5,BS$5,IF(CR48&lt;=BT$6,BS$6,IF(CR48&lt;=BT$7,BS$7,IF(CR48&lt;=BT$12,BS$12,IF(CR48&lt;=BT$13,BS$13,IF(CR48&lt;=BT$14,BS$14,0.05)))))))</f>
        <v/>
      </c>
      <c r="DC48" s="2472">
        <f>DB48*SUM(CZ48,CW48,CR48)</f>
        <v/>
      </c>
      <c r="DD48" s="192" t="n"/>
      <c r="DE48" s="2473">
        <f>IF(CU48&lt;=BW$4,BV$4,IF(CU48&lt;=BW$5,BV$5,IF(CU48&lt;=BW$6,BV$6,IF(CU48&lt;=BW$7,BV$7,IF(CU48&lt;=BW$12,BV$12,IF(CU48&lt;=BW$13,BV$13,IF(CU48&lt;=BW$14,BV$14,0.05)))))))</f>
        <v/>
      </c>
      <c r="DF48" s="2472">
        <f>DE48*CU48</f>
        <v/>
      </c>
      <c r="DH48" s="2474">
        <f>0.07*SUM(CR48,CW48,CZ48,DC48,DF48)</f>
        <v/>
      </c>
      <c r="DJ48" s="2474">
        <f>SUM(DH48,DF48,DC48,CZ48,CW48,CR48)</f>
        <v/>
      </c>
      <c r="DK48" s="2475">
        <f>SUM(DF48,DC48,CZ48,CW48)</f>
        <v/>
      </c>
      <c r="DL48" s="192">
        <f>DK48/DJ48</f>
        <v/>
      </c>
    </row>
    <row r="49">
      <c r="A49" s="224" t="inlineStr">
        <is>
          <t xml:space="preserve">Install Labor </t>
        </is>
      </c>
      <c r="B49" s="225" t="n"/>
      <c r="C49" s="164" t="n"/>
      <c r="D49" s="2496">
        <f>ROUNDUP(SUM(D44:D48),0)</f>
        <v/>
      </c>
      <c r="E49" s="164">
        <f>D49/B42</f>
        <v/>
      </c>
      <c r="F49" s="124" t="inlineStr">
        <is>
          <t>Labor $/SF</t>
        </is>
      </c>
      <c r="G49" s="705" t="n"/>
      <c r="H49" s="1143" t="n"/>
      <c r="I49" s="222">
        <f>ROUNDUP(I48,0)</f>
        <v/>
      </c>
      <c r="J49" s="236" t="inlineStr">
        <is>
          <t># of weeks rounded up</t>
        </is>
      </c>
      <c r="K49" s="2495" t="n"/>
      <c r="M49" s="571" t="inlineStr">
        <is>
          <t>Holidays - Double Time</t>
        </is>
      </c>
    </row>
    <row r="50" ht="16.2" customHeight="1" thickBot="1">
      <c r="A50" s="1527" t="inlineStr">
        <is>
          <t>Labor Escalation</t>
        </is>
      </c>
      <c r="B50" s="1533" t="inlineStr">
        <is>
          <t>(rate esc. only)</t>
        </is>
      </c>
      <c r="C50" s="1557">
        <f>IF(D5="Yes",5%,0)</f>
        <v/>
      </c>
      <c r="D50" s="2013">
        <f>ROUNDUP((D49*C50),0)</f>
        <v/>
      </c>
      <c r="E50" s="1556" t="inlineStr">
        <is>
          <t>+5%IFPWorLong Lead Job (12+ months)</t>
        </is>
      </c>
      <c r="F50" s="1558" t="n"/>
      <c r="G50" s="705" t="n"/>
      <c r="H50" s="705" t="n"/>
      <c r="I50" s="1531" t="n"/>
      <c r="J50" s="1532" t="n"/>
      <c r="K50" s="2282" t="n"/>
      <c r="M50" s="76" t="inlineStr">
        <is>
          <t>New Year's Day</t>
        </is>
      </c>
    </row>
    <row r="51">
      <c r="A51" s="226" t="inlineStr">
        <is>
          <t>Labor Burden</t>
        </is>
      </c>
      <c r="B51" s="164" t="n"/>
      <c r="C51" s="227" t="n">
        <v>0.12</v>
      </c>
      <c r="D51" s="2352">
        <f>ROUNDUP((D49+D50)*C51,0)</f>
        <v/>
      </c>
      <c r="E51" s="1" t="n"/>
      <c r="F51" s="1" t="n"/>
      <c r="G51" s="705" t="n"/>
      <c r="I51" s="1585" t="inlineStr">
        <is>
          <t xml:space="preserve">               ** Cement Mason **              </t>
        </is>
      </c>
      <c r="J51" s="1586" t="n"/>
      <c r="K51" s="1587" t="inlineStr">
        <is>
          <t xml:space="preserve">                      ** Painter **                      </t>
        </is>
      </c>
      <c r="L51" s="1588" t="n"/>
      <c r="M51" s="76" t="inlineStr">
        <is>
          <t>Memorial Day</t>
        </is>
      </c>
    </row>
    <row r="52">
      <c r="A52" s="1" t="n"/>
      <c r="B52" s="1892" t="n"/>
      <c r="C52" s="2282" t="n"/>
      <c r="D52" s="2282" t="n"/>
      <c r="E52" s="2282" t="n"/>
      <c r="F52" s="1" t="n"/>
      <c r="G52" s="1" t="n"/>
      <c r="H52" s="834" t="n"/>
      <c r="I52" s="1576" t="inlineStr">
        <is>
          <t>Prevailing Wage Rate:</t>
        </is>
      </c>
      <c r="J52" s="2018">
        <f>SUM(J53:J54)</f>
        <v/>
      </c>
      <c r="K52" s="1576" t="inlineStr">
        <is>
          <t>Prevailing Wage Rate:</t>
        </is>
      </c>
      <c r="L52" s="2018">
        <f>SUM(L53:L54)</f>
        <v/>
      </c>
      <c r="M52" s="76" t="inlineStr">
        <is>
          <t>July 4th</t>
        </is>
      </c>
    </row>
    <row r="53">
      <c r="A53" s="5" t="inlineStr">
        <is>
          <t>TOOLING &amp; CONSUMABLES</t>
        </is>
      </c>
      <c r="B53" s="30" t="inlineStr">
        <is>
          <t>Quantity</t>
        </is>
      </c>
      <c r="C53" s="11" t="inlineStr">
        <is>
          <t>Cost</t>
        </is>
      </c>
      <c r="D53" s="2019" t="inlineStr">
        <is>
          <t>Totals</t>
        </is>
      </c>
      <c r="E53" s="1" t="n"/>
      <c r="F53" s="1" t="n"/>
      <c r="G53" s="97" t="n"/>
      <c r="H53" s="834" t="n"/>
      <c r="I53" s="1578" t="inlineStr">
        <is>
          <t>rate =</t>
        </is>
      </c>
      <c r="J53" s="2020" t="n">
        <v>0</v>
      </c>
      <c r="K53" s="1578" t="inlineStr">
        <is>
          <t>rate =</t>
        </is>
      </c>
      <c r="L53" s="2020" t="n">
        <v>0</v>
      </c>
      <c r="M53" s="76" t="inlineStr">
        <is>
          <t>Labor Day</t>
        </is>
      </c>
    </row>
    <row r="54">
      <c r="A54" s="6" t="inlineStr">
        <is>
          <t>Moisture Test</t>
        </is>
      </c>
      <c r="B54" s="37">
        <f>ROUNDUP(IF(B42&gt;2000,B42/1000,2),0)</f>
        <v/>
      </c>
      <c r="C54" s="2282" t="n">
        <v>35</v>
      </c>
      <c r="D54" s="2038">
        <f>ROUNDUP(B54*C54,0)</f>
        <v/>
      </c>
      <c r="E54" s="1" t="n"/>
      <c r="F54" s="1" t="n"/>
      <c r="G54" s="2497" t="n"/>
      <c r="H54" s="93" t="n"/>
      <c r="I54" s="1580" t="inlineStr">
        <is>
          <t>+ fringes =</t>
        </is>
      </c>
      <c r="J54" s="2022" t="n">
        <v>0</v>
      </c>
      <c r="K54" s="1580" t="inlineStr">
        <is>
          <t>+ fringes =</t>
        </is>
      </c>
      <c r="L54" s="2022" t="n">
        <v>0</v>
      </c>
      <c r="M54" s="76" t="inlineStr">
        <is>
          <t>Thanksgiving</t>
        </is>
      </c>
    </row>
    <row r="55">
      <c r="A55" s="6" t="inlineStr">
        <is>
          <t>Tooling &amp; Consumables</t>
        </is>
      </c>
      <c r="B55" s="37">
        <f>B42</f>
        <v/>
      </c>
      <c r="C55" s="2282" t="n">
        <v>0.33</v>
      </c>
      <c r="D55" s="2038">
        <f>ROUNDUP(IF((B55*C55)&gt;150,(B55*C55),150),0)</f>
        <v/>
      </c>
      <c r="E55" s="1" t="n"/>
      <c r="F55" s="1" t="n"/>
      <c r="G55" s="1" t="n"/>
      <c r="H55" s="37" t="n"/>
      <c r="I55" s="864" t="inlineStr">
        <is>
          <t xml:space="preserve">    Foreman *min. $32 Cement Mason</t>
        </is>
      </c>
      <c r="J55" s="2023" t="n"/>
      <c r="K55" s="864" t="inlineStr">
        <is>
          <t xml:space="preserve">          Foreman *min. $32 Painter</t>
        </is>
      </c>
      <c r="L55" s="2023" t="n"/>
      <c r="M55" s="76" t="inlineStr">
        <is>
          <t>Christmas</t>
        </is>
      </c>
    </row>
    <row r="56" ht="16.2" customHeight="1" thickBot="1">
      <c r="A56" s="6" t="inlineStr">
        <is>
          <t>Demo Tooling (/sf)</t>
        </is>
      </c>
      <c r="B56" s="37" t="n"/>
      <c r="C56" s="2282" t="n">
        <v>0.33</v>
      </c>
      <c r="D56" s="2038">
        <f>ROUNDUP(B56*C56,0)</f>
        <v/>
      </c>
      <c r="E56" s="787" t="inlineStr">
        <is>
          <t>($0.17 glue/VCT/carpet or $0.33 demo tile)</t>
        </is>
      </c>
      <c r="F56" s="1" t="n"/>
      <c r="G56" s="74" t="inlineStr">
        <is>
          <t>If glue demo also + Citra-Kut above</t>
        </is>
      </c>
      <c r="H56" s="37" t="n"/>
      <c r="I56" s="1583" t="inlineStr">
        <is>
          <t xml:space="preserve">    (Entry *min. $23 Cement Mason)</t>
        </is>
      </c>
      <c r="J56" s="2024" t="n"/>
      <c r="K56" s="1583" t="inlineStr">
        <is>
          <t xml:space="preserve">          (Entry *min. $23 Painter)</t>
        </is>
      </c>
      <c r="L56" s="2024" t="n"/>
    </row>
    <row r="57" ht="16.2" customHeight="1" thickBot="1">
      <c r="A57" s="6" t="inlineStr">
        <is>
          <t>Plastic</t>
        </is>
      </c>
      <c r="B57" s="37" t="n"/>
      <c r="C57" s="2282" t="n"/>
      <c r="D57" s="2038">
        <f>ROUNDUP(B57*C57,0)</f>
        <v/>
      </c>
      <c r="E57" s="1" t="n"/>
      <c r="F57" s="1" t="n"/>
      <c r="G57" s="1" t="n"/>
      <c r="H57" s="93" t="n"/>
      <c r="I57" s="2025" t="inlineStr">
        <is>
          <t>1:1 "Entry" Half Wage</t>
        </is>
      </c>
      <c r="J57" s="2026">
        <f>IF((J52/2)&lt;23,23,(J52/2))</f>
        <v/>
      </c>
      <c r="K57" s="2027" t="inlineStr">
        <is>
          <t>1:1 "Entry" Half Wage</t>
        </is>
      </c>
      <c r="L57" s="2026">
        <f>IF((L52/2)&lt;23,23,(L52/2))</f>
        <v/>
      </c>
    </row>
    <row r="58" ht="16.2" customHeight="1" thickBot="1">
      <c r="A58" s="1570" t="inlineStr">
        <is>
          <t>Tooling and Consumables Total</t>
        </is>
      </c>
      <c r="B58" s="1571" t="n"/>
      <c r="C58" s="2354" t="n"/>
      <c r="D58" s="2355">
        <f>SUM(D54:D57)</f>
        <v/>
      </c>
      <c r="E58" s="1" t="n"/>
      <c r="F58" s="1" t="n"/>
      <c r="G58" s="74" t="n"/>
      <c r="H58" s="80" t="n"/>
      <c r="I58" s="1944" t="n"/>
      <c r="J58" s="1595" t="inlineStr">
        <is>
          <t xml:space="preserve"> "Entry" Laborer for MO "State" Wage ONLY</t>
        </is>
      </c>
      <c r="K58" s="1594" t="n"/>
      <c r="L58" s="590" t="inlineStr">
        <is>
          <t>NOT davis-bacon</t>
        </is>
      </c>
    </row>
    <row r="59">
      <c r="A59" s="1" t="n"/>
      <c r="B59" s="1892" t="n"/>
      <c r="C59" s="2282" t="n"/>
      <c r="D59" s="2282" t="n"/>
      <c r="E59" s="1" t="n"/>
      <c r="F59" s="1" t="n"/>
      <c r="G59" s="1" t="n"/>
      <c r="H59" s="1450">
        <f>E42</f>
        <v/>
      </c>
      <c r="I59" s="714" t="n"/>
      <c r="J59" s="2031" t="n"/>
      <c r="K59" s="585" t="n"/>
    </row>
    <row r="60">
      <c r="A60" s="5" t="inlineStr">
        <is>
          <t>TRAVEL</t>
        </is>
      </c>
      <c r="B60" s="30" t="inlineStr">
        <is>
          <t>Quantity</t>
        </is>
      </c>
      <c r="C60" s="11" t="inlineStr">
        <is>
          <t>Cost</t>
        </is>
      </c>
      <c r="D60" s="2019" t="inlineStr">
        <is>
          <t>Totals</t>
        </is>
      </c>
      <c r="E60" s="1" t="n"/>
      <c r="F60" s="1" t="n"/>
      <c r="G60" s="1409" t="inlineStr">
        <is>
          <t xml:space="preserve">Total Man Hours </t>
        </is>
      </c>
      <c r="H60" s="1410">
        <f>(((A44*B44)+(A45*B45)+(A46*B46))*IF($E$42="8 hour days",8,10))+(A48*B48)</f>
        <v/>
      </c>
      <c r="I60" s="600" t="n"/>
      <c r="J60" s="1936" t="n"/>
      <c r="K60" s="1936" t="n"/>
    </row>
    <row r="61">
      <c r="A61" s="6" t="inlineStr">
        <is>
          <t>Travel - Lodging</t>
        </is>
      </c>
      <c r="B61" s="37">
        <f>IF(B4="No",((D49-D48)/C44)/8)</f>
        <v/>
      </c>
      <c r="C61" s="2282" t="n">
        <v>70</v>
      </c>
      <c r="D61" s="2038">
        <f>ROUNDUP(B61*C61,0)</f>
        <v/>
      </c>
      <c r="E61" s="1" t="n"/>
      <c r="F61" s="1" t="n"/>
      <c r="G61" s="1048" t="inlineStr">
        <is>
          <t xml:space="preserve">Total Days </t>
        </is>
      </c>
      <c r="H61" s="1389">
        <f>H60/IF($E$42="8 hour days",8,10)/H62</f>
        <v/>
      </c>
      <c r="I61" s="1944" t="n"/>
      <c r="J61" s="1928" t="n"/>
      <c r="K61" s="585" t="n"/>
      <c r="L61" s="585" t="n"/>
    </row>
    <row r="62">
      <c r="A62" s="6" t="inlineStr">
        <is>
          <t>Travel - Food</t>
        </is>
      </c>
      <c r="B62" s="37">
        <f>B61</f>
        <v/>
      </c>
      <c r="C62" s="2282" t="n">
        <v>45</v>
      </c>
      <c r="D62" s="2038">
        <f>ROUNDUP(B62*C62,0)</f>
        <v/>
      </c>
      <c r="E62" s="43" t="n"/>
      <c r="F62" s="1" t="n"/>
      <c r="G62" s="1444" t="inlineStr">
        <is>
          <t>^based on X crew size:</t>
        </is>
      </c>
      <c r="H62" s="2030">
        <f>A44</f>
        <v/>
      </c>
      <c r="I62" s="662" t="n"/>
      <c r="J62" s="1928" t="n"/>
      <c r="K62" s="585" t="n"/>
      <c r="L62" s="585" t="n"/>
    </row>
    <row r="63">
      <c r="A63" s="6" t="n"/>
      <c r="B63" s="37" t="n"/>
      <c r="C63" s="2282" t="n"/>
      <c r="D63" s="2038" t="n"/>
      <c r="E63" s="1" t="n"/>
      <c r="F63" s="1" t="n"/>
      <c r="G63" s="1" t="n"/>
      <c r="H63" s="37" t="n"/>
      <c r="I63" s="1944" t="n"/>
      <c r="J63" s="1928" t="n"/>
      <c r="K63" s="585" t="n"/>
      <c r="L63" s="585" t="n"/>
    </row>
    <row r="64">
      <c r="A64" s="1570" t="inlineStr">
        <is>
          <t>Travel Costs Total</t>
        </is>
      </c>
      <c r="B64" s="1571" t="n"/>
      <c r="C64" s="2354" t="n"/>
      <c r="D64" s="2355">
        <f>SUM(D61:D63)</f>
        <v/>
      </c>
      <c r="E64" s="1" t="n"/>
      <c r="F64" s="1" t="n"/>
      <c r="G64" s="74" t="n"/>
      <c r="H64" s="80" t="n"/>
      <c r="I64" s="714" t="n"/>
      <c r="J64" s="2031" t="n"/>
      <c r="K64" s="585" t="n"/>
      <c r="L64" s="585" t="n"/>
    </row>
    <row r="65">
      <c r="A65" s="1" t="n"/>
      <c r="B65" s="1892" t="n"/>
      <c r="C65" s="2282" t="n"/>
      <c r="D65" s="2282" t="n"/>
      <c r="E65" s="1" t="n"/>
      <c r="F65" s="1" t="n"/>
      <c r="G65" s="1" t="n"/>
      <c r="I65" s="714" t="n"/>
      <c r="J65" s="2031" t="n"/>
      <c r="K65" s="585" t="n"/>
      <c r="L65" s="585" t="n"/>
    </row>
    <row r="66">
      <c r="A66" s="165" t="inlineStr">
        <is>
          <t>SUB-TOTAL COSTS</t>
        </is>
      </c>
      <c r="B66" s="166" t="n"/>
      <c r="C66" s="2356" t="n"/>
      <c r="D66" s="2357">
        <f>ROUNDUP(SUM(D40,D49,D58,D64,D51),0)</f>
        <v/>
      </c>
      <c r="E66" s="2358">
        <f>D66/B42</f>
        <v/>
      </c>
      <c r="F66" s="235" t="inlineStr">
        <is>
          <t>Sub-Total $/SF</t>
        </is>
      </c>
      <c r="G66" s="1" t="n"/>
    </row>
    <row r="67">
      <c r="A67" s="1" t="n"/>
      <c r="B67" s="1892" t="n"/>
      <c r="C67" s="2282" t="n"/>
      <c r="D67" s="2282" t="n"/>
      <c r="E67" s="1" t="n"/>
      <c r="F67" s="1" t="n"/>
      <c r="G67" s="1" t="n"/>
    </row>
    <row r="68">
      <c r="A68" s="621" t="inlineStr">
        <is>
          <t>MARKUP</t>
        </is>
      </c>
      <c r="B68" s="622" t="inlineStr">
        <is>
          <t>%</t>
        </is>
      </c>
      <c r="C68" s="2035" t="n"/>
      <c r="D68" s="2019" t="inlineStr">
        <is>
          <t>Totals</t>
        </is>
      </c>
      <c r="E68" s="600" t="n"/>
      <c r="F68" s="2036">
        <f>SUM(D66,D78,D81)</f>
        <v/>
      </c>
      <c r="G68" s="811" t="inlineStr">
        <is>
          <t>Total "Estimated Costs" w/taxes + fees + bond</t>
        </is>
      </c>
      <c r="H68" s="812" t="n"/>
      <c r="I68" s="2037">
        <f>F68/C83</f>
        <v/>
      </c>
    </row>
    <row r="69">
      <c r="A69" s="817" t="inlineStr">
        <is>
          <t>GP (before lines below)</t>
        </is>
      </c>
      <c r="B69" s="122">
        <f>IF(D66&lt;6500,0.52,IF(D66&lt;15000,0.45,IF(D66&lt;22500,0.35,IF(D66&lt;32500,0.32,0.3))))</f>
        <v/>
      </c>
      <c r="C69" s="1944" t="n"/>
      <c r="D69" s="2038">
        <f>ROUNDUP(SUM(D66,D76,D79)/(1-B69),0)-ROUNDUP(SUM(D66,D76,D79,),0)</f>
        <v/>
      </c>
      <c r="E69" s="600" t="n"/>
      <c r="F69" s="2039">
        <f>(((A44*B44)+(A45*B45)+(A46*B46))*IF($E$42="8 hour days",8,10))+(A48*B48)</f>
        <v/>
      </c>
      <c r="G69" s="815" t="inlineStr">
        <is>
          <t>Man Hour Budget (Raken)</t>
        </is>
      </c>
      <c r="H69" s="815" t="n"/>
      <c r="I69" s="585" t="n"/>
    </row>
    <row r="70">
      <c r="A70" s="817" t="inlineStr">
        <is>
          <t>Hard Bid Discount</t>
        </is>
      </c>
      <c r="B70" s="2040">
        <f>IF(B5="yes",IF(D66&gt;=60000,-0.04,IF(B4="yes",IF(D66&gt;=13000,-0.025,0))))</f>
        <v/>
      </c>
      <c r="C70" s="1944" t="n"/>
      <c r="D70" s="1962">
        <f>ROUNDUP(SUM(D66,D69)*B70,0)</f>
        <v/>
      </c>
      <c r="E70" s="600" t="n"/>
      <c r="F70" s="2041">
        <f>F83/H61</f>
        <v/>
      </c>
      <c r="G70" s="1447" t="inlineStr">
        <is>
          <t>GP per Day</t>
        </is>
      </c>
      <c r="H70" s="809">
        <f>E42</f>
        <v/>
      </c>
      <c r="I70" s="585" t="n"/>
    </row>
    <row r="71">
      <c r="A71" s="628" t="inlineStr">
        <is>
          <t>Superintendent &amp; PTO</t>
        </is>
      </c>
      <c r="B71" s="819" t="n">
        <v>0.03</v>
      </c>
      <c r="C71" s="2042" t="n"/>
      <c r="D71" s="1962">
        <f>ROUNDUP(SUM(D66:D70,D73,D76,D79)*B71,0)</f>
        <v/>
      </c>
      <c r="E71" s="600" t="n"/>
      <c r="F71" s="585" t="n"/>
      <c r="G71" s="585" t="n"/>
      <c r="H71" s="585" t="n"/>
      <c r="I71" s="585" t="n"/>
    </row>
    <row r="72">
      <c r="A72" s="628" t="inlineStr">
        <is>
          <t>Soft Costs</t>
        </is>
      </c>
      <c r="B72" s="819" t="n">
        <v>0.13</v>
      </c>
      <c r="C72" s="2042" t="n"/>
      <c r="D72" s="1962">
        <f>(ROUNDUP(SUM(D66:D71,D73,D76,D79)*B72,0))+0</f>
        <v/>
      </c>
      <c r="E72" s="600" t="n"/>
      <c r="F72" s="600" t="n"/>
      <c r="G72" s="1877" t="n"/>
      <c r="H72" s="585" t="n"/>
      <c r="I72" s="2043" t="n"/>
    </row>
    <row r="73">
      <c r="A73" s="820" t="inlineStr">
        <is>
          <t>Contingency</t>
        </is>
      </c>
      <c r="B73" s="1575" t="inlineStr">
        <is>
          <t>-- ?? --&gt;</t>
        </is>
      </c>
      <c r="C73" s="2044" t="n"/>
      <c r="D73" s="2045" t="n">
        <v>0</v>
      </c>
      <c r="E73" s="600" t="n"/>
      <c r="F73" s="585" t="n"/>
      <c r="G73" s="585" t="n"/>
      <c r="H73" s="585" t="n"/>
      <c r="I73" s="585" t="n"/>
      <c r="J73" s="98" t="n"/>
    </row>
    <row r="74">
      <c r="A74" s="600" t="n"/>
      <c r="B74" s="1877" t="n"/>
      <c r="C74" s="1944" t="n"/>
      <c r="D74" s="1944" t="n"/>
      <c r="E74" s="600" t="n"/>
      <c r="F74" s="585" t="n"/>
      <c r="G74" s="585" t="n"/>
      <c r="H74" s="585" t="n"/>
      <c r="I74" s="585" t="n"/>
    </row>
    <row r="75">
      <c r="A75" s="621" t="inlineStr">
        <is>
          <t>TAXES &amp; FEES</t>
        </is>
      </c>
      <c r="B75" s="622" t="inlineStr">
        <is>
          <t>%</t>
        </is>
      </c>
      <c r="C75" s="778" t="n"/>
      <c r="D75" s="2261" t="inlineStr">
        <is>
          <t>Totals</t>
        </is>
      </c>
      <c r="E75" s="600" t="n"/>
      <c r="H75" s="585" t="n"/>
      <c r="I75" s="585" t="n"/>
      <c r="J75" s="2046">
        <f>(J78-J76-J77)</f>
        <v/>
      </c>
      <c r="K75" s="590" t="n"/>
    </row>
    <row r="76">
      <c r="A76" s="628" t="inlineStr">
        <is>
          <t>Sales Tax</t>
        </is>
      </c>
      <c r="B76" s="2047">
        <f>IF($B$6="no",0,0.09475)</f>
        <v/>
      </c>
      <c r="C76" s="2042" t="n"/>
      <c r="D76" s="1962">
        <f>ROUNDUP(SUM(D40)*B76,0)</f>
        <v/>
      </c>
      <c r="E76" s="600" t="n"/>
      <c r="H76" s="585" t="n"/>
      <c r="I76" s="585" t="n"/>
      <c r="J76" s="2046" t="n"/>
      <c r="K76" s="585" t="inlineStr">
        <is>
          <t>sales tax (enter rounded)</t>
        </is>
      </c>
    </row>
    <row r="77">
      <c r="A77" s="804">
        <f>Polish!A75</f>
        <v/>
      </c>
      <c r="B77" s="2048">
        <f>IF(D6="yes",0.1,0)</f>
        <v/>
      </c>
      <c r="C77" s="1944" t="n"/>
      <c r="D77" s="1962">
        <f>ROUNDUP(SUM(D49:D51,D58,D64,D69:D73,D79)*B77,0)</f>
        <v/>
      </c>
      <c r="E77" s="758">
        <f>IF(D6="yes","*10% is placeholder. Adjust to actual if project awarded"," ")</f>
        <v/>
      </c>
      <c r="H77" s="585" t="n"/>
      <c r="I77" s="585" t="n"/>
      <c r="J77" s="2049" t="n"/>
      <c r="K77" s="784" t="inlineStr">
        <is>
          <t>ks remodel (enter rounded)</t>
        </is>
      </c>
    </row>
    <row r="78">
      <c r="A78" s="1565" t="inlineStr">
        <is>
          <t>Total Taxes</t>
        </is>
      </c>
      <c r="B78" s="1566" t="n"/>
      <c r="C78" s="2028" t="n"/>
      <c r="D78" s="2029">
        <f>SUM(D76:D77)</f>
        <v/>
      </c>
      <c r="E78" s="758" t="n"/>
      <c r="H78" s="585" t="n"/>
      <c r="I78" s="585" t="n"/>
      <c r="J78" s="2046">
        <f>D84</f>
        <v/>
      </c>
      <c r="K78" s="590" t="inlineStr">
        <is>
          <t>total</t>
        </is>
      </c>
    </row>
    <row r="79">
      <c r="A79" s="628" t="inlineStr">
        <is>
          <t>Fees + Textura + ?</t>
        </is>
      </c>
      <c r="B79" s="2047" t="n"/>
      <c r="C79" s="1944" t="n"/>
      <c r="D79" s="1962">
        <f>ROUNDUP(B79*C79,0)</f>
        <v/>
      </c>
      <c r="E79" s="600" t="n"/>
      <c r="F79" s="600" t="n"/>
      <c r="G79" s="600" t="n"/>
      <c r="H79" s="585" t="n"/>
      <c r="I79" s="585" t="n"/>
    </row>
    <row r="80">
      <c r="A80" s="635" t="inlineStr">
        <is>
          <t>Bond</t>
        </is>
      </c>
      <c r="B80" s="806" t="n">
        <v>0</v>
      </c>
      <c r="C80" s="1948" t="n"/>
      <c r="D80" s="2050">
        <f>ROUNDUP(SUM(D66,D69,D70,D71:D73,D76,D77:D79)*B80,0)</f>
        <v/>
      </c>
      <c r="E80" s="600" t="n"/>
      <c r="F80" s="600" t="n"/>
      <c r="G80" s="600" t="n"/>
      <c r="H80" s="585" t="n"/>
      <c r="I80" s="585" t="n"/>
    </row>
    <row r="81">
      <c r="A81" s="789" t="inlineStr">
        <is>
          <t>Total Fees + Bond</t>
        </is>
      </c>
      <c r="B81" s="790" t="n"/>
      <c r="C81" s="2051" t="n"/>
      <c r="D81" s="2052">
        <f>ROUNDUP(SUM(D79:D80),0)</f>
        <v/>
      </c>
      <c r="E81" s="600" t="n"/>
      <c r="F81" s="600" t="n"/>
      <c r="G81" s="585" t="n"/>
      <c r="H81" s="585" t="n"/>
      <c r="I81" s="585" t="n"/>
      <c r="J81" s="1468" t="n"/>
      <c r="K81" s="1435" t="inlineStr">
        <is>
          <t>For PM's Reference</t>
        </is>
      </c>
      <c r="L81" s="1467" t="n"/>
    </row>
    <row r="82">
      <c r="A82" s="1" t="n"/>
      <c r="B82" s="8" t="n"/>
      <c r="C82" s="2282" t="n"/>
      <c r="D82" s="2282" t="n"/>
      <c r="E82" s="1" t="n"/>
      <c r="F82" s="759" t="inlineStr">
        <is>
          <t>Mark Up + Conting.</t>
        </is>
      </c>
      <c r="G82" s="822" t="inlineStr">
        <is>
          <t>GP / MH</t>
        </is>
      </c>
      <c r="H82" s="1618" t="inlineStr">
        <is>
          <t>MarkUp + Soft Costs</t>
        </is>
      </c>
      <c r="I82" s="823" t="n"/>
      <c r="J82" s="480" t="inlineStr">
        <is>
          <t>Material + Tooling %</t>
        </is>
      </c>
      <c r="K82" s="232" t="inlineStr">
        <is>
          <t>Labor %</t>
        </is>
      </c>
      <c r="L82" s="232" t="inlineStr">
        <is>
          <t>Travel %</t>
        </is>
      </c>
    </row>
    <row r="83" ht="16.2" customHeight="1" thickBot="1">
      <c r="A83" s="1" t="n"/>
      <c r="B83" s="190" t="inlineStr">
        <is>
          <t>Square Footage:</t>
        </is>
      </c>
      <c r="C83" s="2359">
        <f>B42</f>
        <v/>
      </c>
      <c r="D83" s="2282" t="n"/>
      <c r="E83" s="38" t="inlineStr">
        <is>
          <t>Less Sales Tax</t>
        </is>
      </c>
      <c r="F83" s="2054">
        <f>SUM(D69,,D70,D73)</f>
        <v/>
      </c>
      <c r="G83" s="2055">
        <f>F83/F69</f>
        <v/>
      </c>
      <c r="H83" s="2056">
        <f>SUM(D69:D73)</f>
        <v/>
      </c>
      <c r="I83" s="585" t="n"/>
      <c r="J83" s="242">
        <f>(H40+D58)/D84</f>
        <v/>
      </c>
      <c r="K83" s="242">
        <f>(SUM(D49:D51)/D84)</f>
        <v/>
      </c>
      <c r="L83" s="242">
        <f>D64/D84</f>
        <v/>
      </c>
    </row>
    <row r="84" ht="16.2" customHeight="1" thickBot="1">
      <c r="A84" s="186" t="inlineStr">
        <is>
          <t>TOTAL</t>
        </is>
      </c>
      <c r="B84" s="187" t="n"/>
      <c r="C84" s="2362">
        <f>D84/C83</f>
        <v/>
      </c>
      <c r="D84" s="2058">
        <f>SUM(D66,D69:D73,D78,D81)</f>
        <v/>
      </c>
      <c r="E84" s="1944">
        <f>D84-(D76+D77)</f>
        <v/>
      </c>
      <c r="F84" s="2275">
        <f>F83/(D84)</f>
        <v/>
      </c>
      <c r="G84" s="2055">
        <f>C44</f>
        <v/>
      </c>
      <c r="H84" s="2060">
        <f>H83/D84</f>
        <v/>
      </c>
      <c r="I84" s="1625" t="inlineStr">
        <is>
          <t>30% = Gyp Goal</t>
        </is>
      </c>
    </row>
    <row r="85">
      <c r="A85" s="221" t="n"/>
      <c r="B85" s="1" t="inlineStr">
        <is>
          <t xml:space="preserve"> </t>
        </is>
      </c>
      <c r="C85" s="2282">
        <f>D85/C83</f>
        <v/>
      </c>
      <c r="D85" s="1944">
        <f>D84-D77</f>
        <v/>
      </c>
      <c r="E85" s="753" t="inlineStr">
        <is>
          <t>(less ks remodel tax)</t>
        </is>
      </c>
      <c r="F85" s="1876" t="n"/>
      <c r="G85" s="1621" t="inlineStr">
        <is>
          <t>LaborRate from Above</t>
        </is>
      </c>
      <c r="H85" s="590" t="n"/>
      <c r="I85" s="1631" t="inlineStr">
        <is>
          <t>(epx: 42% &amp; pol: 45%)</t>
        </is>
      </c>
      <c r="J85" s="2061">
        <f>SUM(D40,D58)</f>
        <v/>
      </c>
      <c r="K85" s="1099">
        <f>J85/J88</f>
        <v/>
      </c>
      <c r="L85" s="1100" t="inlineStr">
        <is>
          <t>Material+Tooling</t>
        </is>
      </c>
      <c r="M85" s="759" t="inlineStr">
        <is>
          <t>% Breakdown</t>
        </is>
      </c>
    </row>
    <row r="86">
      <c r="A86" s="221" t="n"/>
      <c r="B86" s="2497" t="n"/>
      <c r="C86" s="2365" t="n"/>
      <c r="D86" s="2365" t="n"/>
      <c r="E86" s="189" t="n"/>
      <c r="F86" s="585" t="n"/>
      <c r="G86" s="1391" t="inlineStr">
        <is>
          <t>* This rate is different than epoxy &amp; polish</t>
        </is>
      </c>
      <c r="H86" s="1391" t="n"/>
      <c r="I86" s="585" t="n"/>
      <c r="J86" s="2063">
        <f>SUM(D49:D51,D64)</f>
        <v/>
      </c>
      <c r="K86" s="1102">
        <f>J86/J88</f>
        <v/>
      </c>
      <c r="L86" s="1103" t="inlineStr">
        <is>
          <t>Labor + Travel</t>
        </is>
      </c>
      <c r="M86" s="600" t="n"/>
    </row>
    <row r="87">
      <c r="A87" s="221" t="n"/>
      <c r="B87" s="2497" t="n"/>
      <c r="C87" s="2365" t="n"/>
      <c r="D87" s="2365" t="n"/>
      <c r="E87" s="189" t="n"/>
      <c r="F87" s="585" t="n"/>
      <c r="G87" s="1629" t="inlineStr">
        <is>
          <t xml:space="preserve"> to account for longer project lead times.</t>
        </is>
      </c>
      <c r="H87" s="1629" t="n"/>
      <c r="I87" s="585" t="n"/>
      <c r="J87" s="2064">
        <f>SUM(D69:D73,D78,D81)</f>
        <v/>
      </c>
      <c r="K87" s="1105">
        <f>J87/J88</f>
        <v/>
      </c>
      <c r="L87" s="1106" t="inlineStr">
        <is>
          <t>Mark-Up+Tax</t>
        </is>
      </c>
      <c r="M87" s="600" t="n"/>
    </row>
    <row r="88">
      <c r="A88" s="73" t="n"/>
      <c r="B88" s="2309" t="n"/>
      <c r="C88" s="2318" t="n"/>
      <c r="D88" s="2318" t="n"/>
      <c r="E88" s="1892" t="n"/>
      <c r="J88" s="2064">
        <f>SUM(J85:J87)</f>
        <v/>
      </c>
      <c r="K88" s="1107">
        <f>SUM(K85:K87)</f>
        <v/>
      </c>
      <c r="L88" s="1106" t="inlineStr">
        <is>
          <t>Total</t>
        </is>
      </c>
      <c r="M88" s="585" t="n"/>
    </row>
    <row r="89">
      <c r="A89" s="73" t="n"/>
      <c r="B89" s="2309" t="n"/>
      <c r="C89" s="2318" t="n"/>
      <c r="D89" s="2318" t="n"/>
      <c r="E89" s="1892" t="n"/>
    </row>
    <row r="90" ht="16.05" customHeight="1">
      <c r="A90" s="560" t="n"/>
      <c r="B90" s="560" t="n"/>
      <c r="C90" s="560" t="n"/>
      <c r="D90" s="560" t="n"/>
      <c r="E90" s="560" t="n"/>
      <c r="F90" s="560" t="n"/>
      <c r="G90" s="560" t="n"/>
      <c r="H90" s="560" t="n"/>
      <c r="I90" s="560" t="n"/>
      <c r="J90" s="560" t="n"/>
      <c r="K90" s="560" t="n"/>
      <c r="L90" s="560" t="n"/>
      <c r="M90" s="560" t="n"/>
      <c r="N90" s="560" t="n"/>
    </row>
    <row r="91">
      <c r="B91" s="1891" t="n"/>
      <c r="C91" s="1891" t="n"/>
      <c r="D91" s="1891" t="n"/>
      <c r="E91" s="1891" t="n"/>
      <c r="F91" s="1891" t="n"/>
      <c r="G91" s="1891" t="n"/>
      <c r="H91" s="1891" t="n"/>
      <c r="I91" s="1891" t="n"/>
      <c r="J91" s="1891" t="n"/>
      <c r="K91" s="1891" t="n"/>
      <c r="L91" s="1891" t="n"/>
      <c r="M91" s="1891" t="n"/>
      <c r="N91" s="1891" t="n"/>
    </row>
    <row r="96">
      <c r="D96" s="220" t="n"/>
    </row>
    <row r="100">
      <c r="I100" s="2472" t="n"/>
    </row>
    <row r="102">
      <c r="A102" s="387" t="n"/>
    </row>
    <row r="103">
      <c r="A103" s="388" t="n"/>
      <c r="G103" s="2473" t="n"/>
    </row>
    <row r="104">
      <c r="A104" s="389" t="n"/>
      <c r="G104" s="246" t="n"/>
    </row>
    <row r="105">
      <c r="A105" s="390" t="n"/>
      <c r="G105" s="2473" t="n"/>
    </row>
    <row r="106">
      <c r="A106" s="391" t="n"/>
    </row>
    <row r="107">
      <c r="A107" s="392" t="n"/>
    </row>
    <row r="108">
      <c r="A108" s="448" t="n"/>
      <c r="I108" s="2472" t="n"/>
      <c r="L108" s="247" t="n"/>
      <c r="M108" s="2281" t="n"/>
    </row>
    <row r="109">
      <c r="A109" s="543" t="n"/>
      <c r="I109" s="2472" t="n"/>
      <c r="L109" s="247" t="n"/>
      <c r="M109" s="2281" t="n"/>
    </row>
    <row r="110">
      <c r="I110" s="2472" t="n"/>
      <c r="L110" s="247" t="n"/>
      <c r="M110" s="2281" t="n"/>
    </row>
    <row r="111">
      <c r="I111" s="2472" t="n"/>
      <c r="L111" s="247" t="n"/>
      <c r="M111" s="2281" t="n"/>
    </row>
    <row r="112" ht="16.05" customHeight="1">
      <c r="I112" s="2472" t="n"/>
      <c r="L112" s="247" t="n"/>
      <c r="M112" s="2281" t="n"/>
    </row>
    <row r="113">
      <c r="I113" s="2472" t="n"/>
      <c r="L113" s="247" t="n"/>
      <c r="M113" s="2281" t="n"/>
    </row>
    <row r="114">
      <c r="I114" s="2472" t="n"/>
      <c r="L114" s="247" t="n"/>
      <c r="M114" s="2281" t="n"/>
    </row>
    <row r="115">
      <c r="I115" s="2472" t="n"/>
      <c r="L115" s="247" t="n"/>
      <c r="M115" s="2281" t="n"/>
    </row>
    <row r="116">
      <c r="I116" s="2472" t="n"/>
      <c r="L116" s="247" t="n"/>
      <c r="M116" s="2281" t="n"/>
    </row>
    <row r="117">
      <c r="I117" s="2472" t="n"/>
      <c r="L117" s="247" t="n"/>
      <c r="M117" s="2281" t="n"/>
    </row>
    <row r="118">
      <c r="I118" s="2472" t="n"/>
      <c r="L118" s="247" t="n"/>
      <c r="M118" s="2281" t="n"/>
    </row>
    <row r="119">
      <c r="I119" s="2472" t="n"/>
      <c r="L119" s="247" t="n"/>
      <c r="M119" s="2281" t="n"/>
    </row>
    <row r="120">
      <c r="I120" s="2472" t="n"/>
      <c r="L120" s="247" t="n"/>
      <c r="M120" s="2281" t="n"/>
    </row>
    <row r="121">
      <c r="I121" s="2472" t="n"/>
      <c r="L121" s="247" t="n"/>
      <c r="M121" s="2281" t="n"/>
    </row>
    <row r="122">
      <c r="I122" s="2472" t="n"/>
      <c r="L122" s="247" t="n"/>
      <c r="M122" s="2281" t="n"/>
    </row>
    <row r="123">
      <c r="I123" s="2472" t="n"/>
      <c r="L123" s="247" t="n"/>
      <c r="M123" s="2281" t="n"/>
    </row>
    <row r="124">
      <c r="I124" s="2472" t="n"/>
      <c r="L124" s="247" t="n"/>
      <c r="M124" s="2281" t="n"/>
    </row>
    <row r="125">
      <c r="I125" s="2472" t="n"/>
      <c r="L125" s="247" t="n"/>
      <c r="M125" s="2281" t="n"/>
    </row>
    <row r="126">
      <c r="I126" s="2472" t="n"/>
      <c r="L126" s="247" t="n"/>
      <c r="M126" s="2281" t="n"/>
    </row>
    <row r="127">
      <c r="I127" s="2472" t="n"/>
      <c r="L127" s="247" t="n"/>
      <c r="M127" s="2281" t="n"/>
    </row>
    <row r="128">
      <c r="A128" s="2282" t="n"/>
      <c r="B128" s="2282" t="n"/>
      <c r="I128" s="2472" t="n"/>
      <c r="L128" s="247" t="n"/>
      <c r="M128" s="2281" t="n"/>
    </row>
    <row r="129">
      <c r="A129" s="2282" t="n"/>
      <c r="B129" s="2282" t="n"/>
      <c r="I129" s="2472" t="n"/>
      <c r="L129" s="247" t="n"/>
      <c r="M129" s="2281" t="n"/>
    </row>
    <row r="130">
      <c r="A130" s="2282" t="n"/>
      <c r="B130" s="2282" t="n"/>
      <c r="I130" s="2472" t="n"/>
      <c r="L130" s="247" t="n"/>
      <c r="M130" s="2281" t="n"/>
    </row>
    <row r="131">
      <c r="A131" s="2283" t="n"/>
      <c r="B131" s="2283" t="n"/>
      <c r="I131" s="2472" t="n"/>
      <c r="L131" s="247" t="n"/>
      <c r="M131" s="2281" t="n"/>
    </row>
    <row r="132">
      <c r="I132" s="2472" t="n"/>
      <c r="L132" s="247" t="n"/>
      <c r="M132" s="2281" t="n"/>
    </row>
    <row r="133">
      <c r="A133" s="2145" t="n"/>
      <c r="B133" s="2145" t="n"/>
      <c r="I133" s="2472" t="n"/>
      <c r="L133" s="247" t="n"/>
      <c r="M133" s="2281" t="n"/>
    </row>
    <row r="134">
      <c r="A134" s="2282" t="n"/>
      <c r="B134" s="2282" t="n"/>
      <c r="I134" s="2472" t="n"/>
      <c r="L134" s="247" t="n"/>
      <c r="M134" s="2281" t="n"/>
    </row>
    <row r="135">
      <c r="A135" s="2282" t="n"/>
      <c r="B135" s="2282" t="n"/>
      <c r="I135" s="2472" t="n"/>
      <c r="L135" s="247" t="n"/>
      <c r="M135" s="2281" t="n"/>
    </row>
    <row r="136">
      <c r="A136" s="2282" t="n"/>
      <c r="B136" s="2282" t="n"/>
      <c r="I136" s="2472" t="n"/>
      <c r="L136" s="247" t="n"/>
      <c r="M136" s="2281" t="n"/>
    </row>
    <row r="137">
      <c r="A137" s="2283" t="n"/>
      <c r="B137" s="2283" t="n"/>
    </row>
    <row r="145">
      <c r="A145" s="98" t="n"/>
    </row>
    <row r="157">
      <c r="E157" s="1" t="n"/>
    </row>
    <row r="158">
      <c r="E158" s="1" t="n"/>
    </row>
    <row r="159">
      <c r="E159" s="1" t="n"/>
    </row>
    <row r="160">
      <c r="E160" s="1892" t="n"/>
    </row>
    <row r="161">
      <c r="E161" s="1" t="n"/>
    </row>
    <row r="162">
      <c r="E162" s="1" t="n"/>
    </row>
    <row r="163">
      <c r="A163" s="1" t="n"/>
      <c r="B163" s="1" t="n"/>
      <c r="C163" s="2366" t="n"/>
      <c r="D163" s="2282" t="n"/>
      <c r="N163" s="1892" t="n"/>
    </row>
    <row r="164">
      <c r="A164" s="53" t="n"/>
      <c r="B164" s="53" t="n"/>
      <c r="C164" s="53" t="n"/>
      <c r="D164" s="53" t="n"/>
      <c r="E164" s="1916" t="n"/>
      <c r="F164" s="1916" t="n"/>
      <c r="G164" s="1916" t="n"/>
      <c r="H164" s="1916" t="n"/>
      <c r="I164" s="1916" t="n"/>
      <c r="J164" s="1916" t="n"/>
      <c r="K164" s="1916" t="n"/>
      <c r="L164" s="53" t="n"/>
      <c r="M164" s="53" t="n"/>
      <c r="N164" s="53" t="n"/>
      <c r="O164" s="53" t="n"/>
      <c r="P164" s="53" t="n"/>
    </row>
    <row r="165">
      <c r="A165" s="53" t="n"/>
      <c r="B165" s="53" t="n"/>
      <c r="C165" s="53" t="n"/>
      <c r="D165" s="53" t="n"/>
      <c r="E165" s="53" t="n"/>
      <c r="F165" s="53" t="n"/>
      <c r="G165" s="1916" t="n"/>
      <c r="H165" s="1916" t="n"/>
      <c r="I165" s="1916" t="n"/>
      <c r="J165" s="1916" t="n"/>
      <c r="K165" s="1916" t="n"/>
      <c r="L165" s="53" t="n"/>
      <c r="M165" s="53" t="n"/>
      <c r="N165" s="53" t="n"/>
      <c r="O165" s="53" t="n"/>
      <c r="P165" s="2145" t="n"/>
    </row>
    <row r="166">
      <c r="A166" s="53" t="n"/>
      <c r="B166" s="2155" t="n"/>
      <c r="C166" s="2145" t="n"/>
      <c r="D166" s="2145" t="n"/>
      <c r="E166" s="2156" t="n"/>
      <c r="F166" s="53" t="n"/>
      <c r="G166" s="1916" t="n"/>
      <c r="H166" s="1916" t="n"/>
      <c r="I166" s="1916" t="n"/>
      <c r="J166" s="1916" t="n"/>
      <c r="K166" s="1916" t="n"/>
      <c r="L166" s="53" t="n"/>
      <c r="M166" s="53" t="n"/>
      <c r="N166" s="2145" t="n"/>
      <c r="O166" s="2145" t="n"/>
      <c r="P166" s="2145" t="n"/>
    </row>
    <row r="167">
      <c r="A167" s="53" t="n"/>
      <c r="B167" s="53" t="n"/>
      <c r="C167" s="2145" t="n"/>
      <c r="D167" s="2145" t="n"/>
      <c r="E167" s="53" t="n"/>
      <c r="F167" s="53" t="n"/>
      <c r="G167" s="1916" t="n"/>
      <c r="H167" s="1916" t="n"/>
      <c r="I167" s="1916" t="n"/>
      <c r="J167" s="1916" t="n"/>
      <c r="K167" s="1916" t="n"/>
      <c r="L167" s="53" t="n"/>
      <c r="M167" s="53" t="n"/>
      <c r="N167" s="2145" t="n"/>
      <c r="O167" s="2156" t="n"/>
      <c r="P167" s="2145" t="n"/>
    </row>
    <row r="168" customFormat="1" s="1916">
      <c r="A168" s="53" t="n"/>
      <c r="B168" s="53" t="n"/>
      <c r="C168" s="2145" t="n"/>
      <c r="D168" s="2145" t="n"/>
      <c r="E168" s="53" t="n"/>
      <c r="F168" s="53" t="n"/>
      <c r="L168" s="53" t="n"/>
      <c r="M168" s="53" t="n"/>
      <c r="N168" s="2145" t="n"/>
      <c r="O168" s="2156" t="n"/>
      <c r="P168" s="2145" t="n"/>
    </row>
    <row r="169" customFormat="1" s="1916">
      <c r="A169" s="53" t="n"/>
      <c r="B169" s="53" t="n"/>
      <c r="C169" s="2145" t="n"/>
      <c r="D169" s="2145" t="n"/>
      <c r="E169" s="53" t="n"/>
      <c r="F169" s="53" t="n"/>
      <c r="L169" s="53" t="n"/>
      <c r="M169" s="2145" t="n"/>
      <c r="N169" s="2149" t="n"/>
      <c r="O169" s="53" t="n"/>
      <c r="P169" s="53" t="n"/>
      <c r="Q169" s="53" t="n"/>
      <c r="R169" s="53" t="n"/>
      <c r="S169" s="53" t="n"/>
    </row>
    <row r="170" customFormat="1" s="1916">
      <c r="A170" s="53" t="n"/>
      <c r="B170" s="53" t="n"/>
      <c r="C170" s="2145" t="n"/>
      <c r="D170" s="2145" t="n"/>
      <c r="E170" s="53" t="n"/>
      <c r="F170" s="53" t="n"/>
      <c r="L170" s="53" t="n"/>
      <c r="M170" s="53" t="n"/>
      <c r="N170" s="2149" t="n"/>
      <c r="O170" s="53" t="n"/>
      <c r="P170" s="53" t="n"/>
      <c r="Q170" s="2145" t="n"/>
      <c r="R170" s="2145" t="n"/>
      <c r="S170" s="53" t="n"/>
    </row>
    <row r="171" customFormat="1" s="1916">
      <c r="A171" s="53" t="n"/>
      <c r="B171" s="53" t="n"/>
      <c r="C171" s="2145" t="n"/>
      <c r="D171" s="2145" t="n"/>
      <c r="E171" s="53" t="n"/>
      <c r="F171" s="53" t="n"/>
      <c r="L171" s="53" t="n"/>
      <c r="M171" s="53" t="n"/>
      <c r="N171" s="2149" t="n"/>
      <c r="O171" s="53" t="n"/>
      <c r="P171" s="53" t="n"/>
      <c r="Q171" s="2145" t="n"/>
      <c r="R171" s="2145" t="n"/>
      <c r="S171" s="53" t="n"/>
    </row>
    <row r="172" customFormat="1" s="1916">
      <c r="A172" s="53" t="n"/>
      <c r="B172" s="53" t="n"/>
      <c r="C172" s="2145" t="n"/>
      <c r="D172" s="2145" t="n"/>
      <c r="E172" s="53" t="n"/>
      <c r="F172" s="53" t="n"/>
      <c r="L172" s="53" t="n"/>
      <c r="M172" s="53" t="n"/>
      <c r="N172" s="2149" t="n"/>
      <c r="O172" s="53" t="n"/>
      <c r="P172" s="53" t="n"/>
      <c r="Q172" s="2145" t="n"/>
      <c r="R172" s="2145" t="n"/>
      <c r="S172" s="53" t="n"/>
    </row>
    <row r="173" customFormat="1" s="1916">
      <c r="A173" s="53" t="n"/>
      <c r="B173" s="53" t="n"/>
      <c r="C173" s="2145" t="n"/>
      <c r="D173" s="2145" t="n"/>
      <c r="E173" s="53" t="n"/>
      <c r="F173" s="53" t="n"/>
      <c r="L173" s="53" t="n"/>
      <c r="M173" s="53" t="n"/>
      <c r="N173" s="2149" t="n"/>
      <c r="O173" s="53" t="n"/>
      <c r="P173" s="53" t="n"/>
      <c r="Q173" s="2145" t="n"/>
      <c r="R173" s="2145" t="n"/>
      <c r="S173" s="53" t="n"/>
    </row>
    <row r="174" customFormat="1" s="1916">
      <c r="A174" s="53" t="n"/>
      <c r="B174" s="53" t="n"/>
      <c r="C174" s="2145" t="n"/>
      <c r="D174" s="2145" t="n"/>
      <c r="E174" s="53" t="n"/>
      <c r="F174" s="53" t="n"/>
      <c r="L174" s="53" t="n"/>
      <c r="M174" s="53" t="n"/>
      <c r="N174" s="2149" t="n"/>
      <c r="O174" s="53" t="n"/>
      <c r="P174" s="53" t="n"/>
      <c r="Q174" s="53" t="n"/>
      <c r="R174" s="53" t="n"/>
      <c r="S174" s="53" t="n"/>
    </row>
    <row r="175" customFormat="1" s="1916">
      <c r="A175" s="53" t="n"/>
      <c r="B175" s="53" t="n"/>
      <c r="C175" s="2145" t="n"/>
      <c r="D175" s="2145" t="n"/>
      <c r="E175" s="53" t="n"/>
      <c r="F175" s="53" t="n"/>
      <c r="L175" s="53" t="n"/>
      <c r="M175" s="53" t="n"/>
      <c r="N175" s="2149" t="n"/>
      <c r="O175" s="53" t="n"/>
      <c r="P175" s="53" t="n"/>
      <c r="Q175" s="53" t="n"/>
      <c r="R175" s="53" t="n"/>
      <c r="S175" s="53" t="n"/>
    </row>
    <row r="176" customFormat="1" s="1916">
      <c r="A176" s="53" t="n"/>
      <c r="B176" s="53" t="n"/>
      <c r="C176" s="2145" t="n"/>
      <c r="D176" s="2145" t="n"/>
      <c r="E176" s="53" t="n"/>
      <c r="F176" s="53" t="n"/>
      <c r="Q176" s="53" t="n"/>
      <c r="R176" s="53" t="n"/>
      <c r="S176" s="53" t="n"/>
    </row>
    <row r="177" customFormat="1" s="1916">
      <c r="A177" s="53" t="n"/>
      <c r="B177" s="53" t="n"/>
      <c r="C177" s="2145" t="n"/>
      <c r="D177" s="2145" t="n"/>
      <c r="E177" s="53" t="n"/>
      <c r="F177" s="53" t="n"/>
      <c r="Q177" s="53" t="n"/>
      <c r="R177" s="53" t="n"/>
      <c r="S177" s="53" t="n"/>
    </row>
    <row r="178" customFormat="1" s="1916">
      <c r="A178" s="53" t="n"/>
      <c r="B178" s="53" t="n"/>
      <c r="C178" s="2145" t="n"/>
      <c r="D178" s="2145" t="n"/>
      <c r="E178" s="2156" t="n"/>
      <c r="F178" s="53" t="n"/>
      <c r="Q178" s="53" t="n"/>
      <c r="R178" s="53" t="n"/>
      <c r="S178" s="53" t="n"/>
    </row>
    <row r="179" customFormat="1" s="1916">
      <c r="A179" s="53" t="n"/>
      <c r="B179" s="53" t="n"/>
      <c r="C179" s="2145" t="n"/>
      <c r="D179" s="2145" t="n"/>
      <c r="E179" s="53" t="n"/>
      <c r="F179" s="53" t="n"/>
      <c r="Q179" s="53" t="n"/>
      <c r="R179" s="53" t="n"/>
      <c r="S179" s="53" t="n"/>
    </row>
    <row r="180" customFormat="1" s="1916">
      <c r="A180" s="53" t="n"/>
      <c r="B180" s="53" t="n"/>
      <c r="C180" s="2145" t="n"/>
      <c r="D180" s="2145" t="n"/>
      <c r="E180" s="53" t="n"/>
      <c r="F180" s="53" t="n"/>
      <c r="Q180" s="53" t="n"/>
      <c r="R180" s="53" t="n"/>
      <c r="S180" s="53" t="n"/>
    </row>
    <row r="181" customFormat="1" s="1916">
      <c r="A181" s="53" t="n"/>
      <c r="B181" s="53" t="n"/>
      <c r="C181" s="2145" t="n"/>
      <c r="D181" s="2145" t="n"/>
      <c r="E181" s="53" t="n"/>
      <c r="F181" s="53" t="n"/>
    </row>
    <row r="182" customFormat="1" s="1916">
      <c r="A182" s="53" t="n"/>
      <c r="B182" s="53" t="n"/>
      <c r="C182" s="2145" t="n"/>
      <c r="D182" s="2145" t="n"/>
      <c r="E182" s="53" t="n"/>
      <c r="F182" s="53" t="n"/>
    </row>
    <row r="183" customFormat="1" s="1916">
      <c r="A183" s="103" t="n"/>
      <c r="B183" s="103" t="n"/>
      <c r="C183" s="2147" t="n"/>
      <c r="D183" s="2147" t="n"/>
      <c r="E183" s="53" t="n"/>
      <c r="F183" s="53" t="n"/>
    </row>
    <row r="184" customFormat="1" s="1916">
      <c r="A184" s="103" t="n"/>
      <c r="B184" s="105" t="n"/>
      <c r="C184" s="2147" t="n"/>
      <c r="D184" s="2147" t="n"/>
      <c r="E184" s="53" t="n"/>
      <c r="F184" s="53" t="n"/>
    </row>
    <row r="185" customFormat="1" s="1916">
      <c r="A185" s="103" t="n"/>
      <c r="B185" s="103" t="n"/>
      <c r="C185" s="2147" t="n"/>
      <c r="D185" s="2147" t="n"/>
      <c r="E185" s="53" t="n"/>
      <c r="F185" s="53" t="n"/>
    </row>
    <row r="186" customFormat="1" s="1916">
      <c r="A186" s="103" t="n"/>
      <c r="B186" s="105" t="n"/>
      <c r="C186" s="2147" t="n"/>
      <c r="D186" s="2147" t="n"/>
      <c r="E186" s="53" t="n"/>
      <c r="G186" s="53" t="n"/>
      <c r="H186" s="53" t="n"/>
      <c r="I186" s="53" t="n"/>
      <c r="J186" s="53" t="n"/>
      <c r="K186" s="53" t="n"/>
      <c r="L186" s="53" t="n"/>
    </row>
    <row r="187" customFormat="1" s="1916">
      <c r="A187" s="53" t="n"/>
      <c r="B187" s="53" t="n"/>
      <c r="C187" s="2145" t="n"/>
      <c r="D187" s="2145" t="n"/>
      <c r="E187" s="53" t="n"/>
      <c r="G187" s="53" t="n"/>
      <c r="H187" s="53" t="n"/>
      <c r="I187" s="53" t="n"/>
      <c r="J187" s="106" t="n"/>
      <c r="K187" s="106" t="n"/>
      <c r="L187" s="106" t="n"/>
    </row>
    <row r="188" customFormat="1" s="1916">
      <c r="A188" s="3" t="n"/>
      <c r="B188" s="2156" t="n"/>
      <c r="C188" s="3" t="n"/>
      <c r="D188" s="2156" t="n"/>
      <c r="E188" s="107" t="n"/>
      <c r="G188" s="53" t="n"/>
      <c r="H188" s="108" t="n"/>
      <c r="I188" s="53" t="n"/>
      <c r="J188" s="106" t="n"/>
      <c r="K188" s="106" t="n"/>
      <c r="L188" s="106" t="n"/>
    </row>
    <row r="189" customFormat="1" s="1916">
      <c r="A189" s="53" t="n"/>
      <c r="B189" s="53" t="n"/>
      <c r="C189" s="53" t="n"/>
      <c r="D189" s="53" t="n"/>
      <c r="E189" s="107" t="n"/>
      <c r="G189" s="53" t="n"/>
      <c r="H189" s="53" t="n"/>
      <c r="I189" s="53" t="n"/>
      <c r="J189" s="2145" t="n"/>
      <c r="K189" s="2145" t="n"/>
      <c r="L189" s="53" t="n"/>
    </row>
    <row r="190" customFormat="1" s="1916">
      <c r="A190" s="53" t="n"/>
      <c r="B190" s="53" t="n"/>
      <c r="C190" s="53" t="n"/>
      <c r="D190" s="106" t="n"/>
      <c r="E190" s="106" t="n"/>
      <c r="G190" s="53" t="n"/>
      <c r="H190" s="93" t="n"/>
      <c r="I190" s="2145" t="n"/>
      <c r="J190" s="2145" t="n"/>
      <c r="K190" s="2145" t="n"/>
      <c r="L190" s="106" t="n"/>
    </row>
    <row r="191" customFormat="1" s="1916">
      <c r="A191" s="53" t="n"/>
      <c r="B191" s="53" t="n"/>
      <c r="C191" s="53" t="n"/>
      <c r="D191" s="53" t="n"/>
      <c r="E191" s="53" t="n"/>
      <c r="G191" s="53" t="n"/>
      <c r="H191" s="93" t="n"/>
      <c r="I191" s="2145" t="n"/>
      <c r="J191" s="2145" t="n"/>
      <c r="K191" s="2145" t="n"/>
      <c r="L191" s="53" t="n"/>
    </row>
    <row r="192" customFormat="1" s="1916">
      <c r="A192" s="53" t="n"/>
      <c r="B192" s="53" t="n"/>
      <c r="C192" s="53" t="n"/>
      <c r="D192" s="106" t="n"/>
      <c r="E192" s="106" t="n"/>
      <c r="G192" s="53" t="n"/>
      <c r="H192" s="93" t="n"/>
      <c r="I192" s="2145" t="n"/>
      <c r="J192" s="2145" t="n"/>
      <c r="K192" s="2145" t="n"/>
      <c r="L192" s="106" t="n"/>
    </row>
    <row r="193" customFormat="1" s="1916">
      <c r="A193" s="53" t="n"/>
      <c r="B193" s="53" t="n"/>
      <c r="C193" s="53" t="n"/>
      <c r="D193" s="2157" t="n"/>
      <c r="E193" s="2157" t="n"/>
      <c r="F193" s="53" t="n"/>
      <c r="G193" s="103" t="n"/>
      <c r="H193" s="103" t="n"/>
      <c r="I193" s="2147" t="n"/>
      <c r="J193" s="2147" t="n"/>
      <c r="K193" s="2145" t="n"/>
      <c r="L193" s="106" t="n"/>
    </row>
    <row r="194" customFormat="1" s="1916">
      <c r="A194" s="53" t="n"/>
      <c r="B194" s="53" t="n"/>
      <c r="C194" s="2145" t="n"/>
      <c r="D194" s="2145" t="n"/>
      <c r="E194" s="2145" t="n"/>
      <c r="F194" s="53" t="n"/>
      <c r="G194" s="53" t="n"/>
      <c r="H194" s="53" t="n"/>
    </row>
    <row r="195" customFormat="1" s="1916">
      <c r="A195" s="53" t="n"/>
      <c r="B195" s="53" t="n"/>
      <c r="C195" s="53" t="n"/>
      <c r="D195" s="2145" t="n"/>
      <c r="E195" s="53" t="n"/>
      <c r="F195" s="53" t="n"/>
      <c r="G195" s="110" t="n"/>
      <c r="H195" s="53" t="n"/>
      <c r="I195" s="53" t="n"/>
      <c r="J195" s="2145" t="n"/>
      <c r="K195" s="2145" t="n"/>
    </row>
    <row r="196" customFormat="1" s="1916">
      <c r="A196" s="53" t="n"/>
      <c r="B196" s="93" t="n"/>
      <c r="C196" s="2145" t="n"/>
      <c r="D196" s="2145" t="n"/>
      <c r="E196" s="53" t="n"/>
      <c r="F196" s="53" t="n"/>
      <c r="G196" s="2156" t="n"/>
      <c r="H196" s="93" t="n"/>
      <c r="I196" s="2145" t="n"/>
      <c r="J196" s="2145" t="n"/>
      <c r="K196" s="2145" t="n"/>
    </row>
    <row r="197" customFormat="1" s="1916">
      <c r="A197" s="53" t="n"/>
      <c r="B197" s="93" t="n"/>
      <c r="C197" s="2145" t="n"/>
      <c r="D197" s="2145" t="n"/>
      <c r="E197" s="53" t="n"/>
      <c r="F197" s="53" t="n"/>
      <c r="G197" s="53" t="n"/>
      <c r="H197" s="93" t="n"/>
      <c r="I197" s="2145" t="n"/>
      <c r="J197" s="2145" t="n"/>
      <c r="K197" s="2145" t="n"/>
    </row>
    <row r="198" customFormat="1" s="1916">
      <c r="A198" s="53" t="n"/>
      <c r="B198" s="93" t="n"/>
      <c r="C198" s="2145" t="n"/>
      <c r="D198" s="2145" t="n"/>
      <c r="E198" s="53" t="n"/>
      <c r="F198" s="53" t="n"/>
      <c r="G198" s="53" t="n"/>
      <c r="H198" s="93" t="n"/>
      <c r="I198" s="2145" t="n"/>
      <c r="J198" s="2145" t="n"/>
      <c r="K198" s="2145" t="n"/>
    </row>
    <row r="199" customFormat="1" s="1916">
      <c r="A199" s="53" t="n"/>
      <c r="B199" s="93" t="n"/>
      <c r="C199" s="2145" t="n"/>
      <c r="D199" s="2145" t="n"/>
      <c r="E199" s="111" t="n"/>
      <c r="F199" s="53" t="n"/>
      <c r="G199" s="53" t="n"/>
      <c r="H199" s="93" t="n"/>
      <c r="I199" s="2145" t="n"/>
      <c r="J199" s="2145" t="n"/>
      <c r="K199" s="2145" t="n"/>
    </row>
    <row r="200" customFormat="1" s="1916">
      <c r="A200" s="53" t="n"/>
      <c r="B200" s="93" t="n"/>
      <c r="C200" s="2145" t="n"/>
      <c r="D200" s="2145" t="n"/>
      <c r="E200" s="111" t="n"/>
      <c r="F200" s="53" t="n"/>
      <c r="G200" s="53" t="n"/>
      <c r="H200" s="93" t="n"/>
      <c r="I200" s="2145" t="n"/>
      <c r="J200" s="2145" t="n"/>
      <c r="K200" s="2145" t="n"/>
    </row>
    <row r="201" customFormat="1" s="1916">
      <c r="A201" s="53" t="n"/>
      <c r="B201" s="93" t="n"/>
      <c r="C201" s="2145" t="n"/>
      <c r="D201" s="2145" t="n"/>
      <c r="E201" s="53" t="n"/>
      <c r="F201" s="53" t="n"/>
      <c r="G201" s="53" t="n"/>
      <c r="H201" s="93" t="n"/>
      <c r="I201" s="2145" t="n"/>
      <c r="J201" s="2145" t="n"/>
      <c r="K201" s="2145" t="n"/>
    </row>
    <row r="202" customFormat="1" s="1916">
      <c r="A202" s="53" t="n"/>
      <c r="B202" s="93" t="n"/>
      <c r="C202" s="2145" t="n"/>
      <c r="D202" s="2145" t="n"/>
      <c r="E202" s="53" t="n"/>
      <c r="F202" s="53" t="n"/>
      <c r="G202" s="53" t="n"/>
      <c r="H202" s="93" t="n"/>
      <c r="I202" s="2145" t="n"/>
      <c r="J202" s="2145" t="n"/>
      <c r="K202" s="2145" t="n"/>
    </row>
    <row r="203" customFormat="1" s="1916">
      <c r="A203" s="103" t="n"/>
      <c r="B203" s="103" t="n"/>
      <c r="C203" s="2147" t="n"/>
      <c r="D203" s="2147" t="n"/>
      <c r="E203" s="53" t="n"/>
      <c r="F203" s="53" t="n"/>
      <c r="G203" s="103" t="n"/>
      <c r="H203" s="103" t="n"/>
      <c r="I203" s="2147" t="n"/>
      <c r="J203" s="2147" t="n"/>
      <c r="K203" s="2147" t="n"/>
    </row>
    <row r="204" customFormat="1" s="1916">
      <c r="A204" s="53" t="n"/>
      <c r="B204" s="53" t="n"/>
      <c r="C204" s="2145" t="n"/>
      <c r="D204" s="2145" t="n"/>
      <c r="E204" s="53" t="n"/>
      <c r="F204" s="53" t="n"/>
    </row>
    <row r="205" customFormat="1" s="1916">
      <c r="A205" s="53" t="n"/>
      <c r="B205" s="53" t="n"/>
      <c r="C205" s="2145" t="n"/>
      <c r="D205" s="2147" t="n"/>
      <c r="E205" s="53" t="n"/>
      <c r="F205" s="53" t="n"/>
    </row>
    <row r="206" customFormat="1" s="1916">
      <c r="A206" s="53" t="n"/>
      <c r="B206" s="53" t="n"/>
      <c r="C206" s="2145" t="n"/>
      <c r="D206" s="2145" t="n"/>
      <c r="E206" s="53" t="n"/>
      <c r="F206" s="53" t="n"/>
    </row>
    <row r="207" customFormat="1" s="1916">
      <c r="A207" s="53" t="n"/>
      <c r="B207" s="53" t="n"/>
      <c r="C207" s="2145" t="n"/>
      <c r="D207" s="2145" t="n"/>
      <c r="E207" s="53" t="n"/>
      <c r="F207" s="53" t="n"/>
    </row>
    <row r="208" customFormat="1" s="1916">
      <c r="A208" s="53" t="n"/>
      <c r="B208" s="112" t="n"/>
      <c r="C208" s="2145" t="n"/>
      <c r="D208" s="2145" t="n"/>
      <c r="E208" s="53" t="n"/>
      <c r="F208" s="53" t="n"/>
    </row>
    <row r="209" customFormat="1" s="1916">
      <c r="A209" s="53" t="n"/>
      <c r="B209" s="112" t="n"/>
      <c r="C209" s="2145" t="n"/>
      <c r="D209" s="2145" t="n"/>
      <c r="E209" s="53" t="n"/>
      <c r="F209" s="53" t="n"/>
    </row>
    <row r="210" customFormat="1" s="1916">
      <c r="A210" s="53" t="n"/>
      <c r="B210" s="113" t="n"/>
      <c r="C210" s="2145" t="n"/>
      <c r="D210" s="2145" t="n"/>
      <c r="E210" s="53" t="n"/>
      <c r="F210" s="53" t="n"/>
    </row>
    <row r="211" customFormat="1" s="1916">
      <c r="A211" s="53" t="n"/>
      <c r="B211" s="113" t="n"/>
      <c r="C211" s="2145" t="n"/>
      <c r="D211" s="2145" t="n"/>
      <c r="E211" s="53" t="n"/>
      <c r="F211" s="53" t="n"/>
    </row>
    <row r="212" customFormat="1" s="1916">
      <c r="A212" s="53" t="n"/>
      <c r="B212" s="113" t="n"/>
      <c r="C212" s="2145" t="n"/>
      <c r="D212" s="2145" t="n"/>
      <c r="E212" s="53" t="n"/>
      <c r="F212" s="53" t="n"/>
    </row>
    <row r="213" customFormat="1" s="1916">
      <c r="A213" s="53" t="n"/>
      <c r="B213" s="113" t="n"/>
      <c r="C213" s="2145" t="n"/>
      <c r="D213" s="2145" t="n"/>
      <c r="E213" s="53" t="n"/>
      <c r="F213" s="53" t="n"/>
    </row>
    <row r="214" customFormat="1" s="1916">
      <c r="A214" s="53" t="n"/>
      <c r="B214" s="112" t="n"/>
      <c r="C214" s="2145" t="n"/>
      <c r="D214" s="2145" t="n"/>
      <c r="E214" s="53" t="n"/>
      <c r="F214" s="53" t="n"/>
    </row>
    <row r="215" customFormat="1" s="1916">
      <c r="A215" s="53" t="n"/>
      <c r="B215" s="113" t="n"/>
      <c r="C215" s="2145" t="n"/>
      <c r="D215" s="2149" t="n"/>
      <c r="E215" s="53" t="n"/>
      <c r="F215" s="53" t="n"/>
      <c r="N215" s="53" t="n"/>
    </row>
    <row r="216" customFormat="1" s="1916">
      <c r="A216" s="53" t="n"/>
      <c r="B216" s="113" t="n"/>
      <c r="C216" s="2145" t="n"/>
      <c r="D216" s="2145" t="n"/>
      <c r="E216" s="53" t="n"/>
      <c r="F216" s="53" t="n"/>
      <c r="G216" s="53" t="n"/>
      <c r="I216" s="2154" t="n"/>
      <c r="N216" s="53" t="n"/>
    </row>
    <row r="217" customFormat="1" s="1916">
      <c r="A217" s="53" t="n"/>
      <c r="B217" s="53" t="n"/>
      <c r="C217" s="2145" t="n"/>
      <c r="D217" s="2145" t="n"/>
      <c r="E217" s="2145" t="n"/>
      <c r="F217" s="2145" t="n"/>
      <c r="N217" s="53" t="n"/>
    </row>
    <row r="218" customFormat="1" s="1916">
      <c r="A218" s="53" t="n"/>
      <c r="B218" s="53" t="n"/>
      <c r="C218" s="2145" t="n"/>
      <c r="D218" s="2145" t="n"/>
      <c r="F218" s="108" t="n"/>
      <c r="N218" s="53" t="n"/>
    </row>
    <row r="219" customFormat="1" s="1916">
      <c r="D219" s="2145" t="n"/>
      <c r="L219" s="53" t="n"/>
      <c r="M219" s="53" t="n"/>
      <c r="N219" s="53" t="n"/>
      <c r="O219" s="53" t="n"/>
      <c r="P219" s="53" t="n"/>
    </row>
    <row r="220" customFormat="1" s="1916">
      <c r="L220" s="53" t="n"/>
      <c r="M220" s="53" t="n"/>
      <c r="N220" s="53" t="n"/>
      <c r="O220" s="53" t="n"/>
      <c r="P220" s="53" t="n"/>
    </row>
    <row r="221" customFormat="1" s="1916">
      <c r="L221" s="53" t="n"/>
      <c r="M221" s="53" t="n"/>
      <c r="N221" s="53" t="n"/>
      <c r="O221" s="53" t="n"/>
      <c r="P221" s="53" t="n"/>
    </row>
    <row r="222" customFormat="1" s="1916">
      <c r="A222" s="53" t="n"/>
      <c r="B222" s="53" t="n"/>
      <c r="C222" s="53" t="n"/>
      <c r="D222" s="53" t="n"/>
      <c r="L222" s="53" t="n"/>
      <c r="M222" s="53" t="n"/>
      <c r="N222" s="53" t="n"/>
      <c r="O222" s="53" t="n"/>
      <c r="P222" s="53" t="n"/>
    </row>
    <row r="223" customFormat="1" s="1916">
      <c r="A223" s="53" t="n"/>
      <c r="B223" s="53" t="n"/>
      <c r="C223" s="53" t="n"/>
      <c r="D223" s="53" t="n"/>
      <c r="E223" s="53" t="n"/>
      <c r="F223" s="53" t="n"/>
      <c r="L223" s="53" t="n"/>
      <c r="M223" s="53" t="n"/>
      <c r="N223" s="53" t="n"/>
      <c r="O223" s="53" t="n"/>
      <c r="P223" s="2145" t="n"/>
    </row>
    <row r="224" customFormat="1" s="1916">
      <c r="A224" s="53" t="n"/>
      <c r="B224" s="2155" t="n"/>
      <c r="C224" s="2145" t="n"/>
      <c r="D224" s="2145" t="n"/>
      <c r="E224" s="2156" t="n"/>
      <c r="F224" s="53" t="n"/>
      <c r="L224" s="53" t="n"/>
      <c r="M224" s="53" t="n"/>
      <c r="N224" s="2145" t="n"/>
      <c r="O224" s="2145" t="n"/>
      <c r="P224" s="2145" t="n"/>
      <c r="Q224" s="53" t="n"/>
      <c r="R224" s="53" t="n"/>
    </row>
    <row r="225" customFormat="1" s="1916">
      <c r="A225" s="53" t="n"/>
      <c r="B225" s="53" t="n"/>
      <c r="C225" s="2145" t="n"/>
      <c r="D225" s="2145" t="n"/>
      <c r="E225" s="53" t="n"/>
      <c r="F225" s="53" t="n"/>
      <c r="L225" s="53" t="n"/>
      <c r="M225" s="53" t="n"/>
      <c r="N225" s="2145" t="n"/>
      <c r="O225" s="2156" t="n"/>
      <c r="P225" s="2145" t="n"/>
      <c r="Q225" s="53" t="n"/>
      <c r="R225" s="53" t="n"/>
    </row>
    <row r="226" customFormat="1" s="1916">
      <c r="A226" s="53" t="n"/>
      <c r="B226" s="53" t="n"/>
      <c r="C226" s="2145" t="n"/>
      <c r="D226" s="2145" t="n"/>
      <c r="E226" s="53" t="n"/>
      <c r="F226" s="53" t="n"/>
      <c r="L226" s="53" t="n"/>
      <c r="M226" s="53" t="n"/>
      <c r="N226" s="2145" t="n"/>
      <c r="O226" s="2156" t="n"/>
      <c r="P226" s="2145" t="n"/>
      <c r="Q226" s="53" t="n"/>
      <c r="R226" s="53" t="n"/>
    </row>
    <row r="227" customFormat="1" s="1916">
      <c r="A227" s="53" t="n"/>
      <c r="B227" s="53" t="n"/>
      <c r="C227" s="2145" t="n"/>
      <c r="D227" s="2145" t="n"/>
      <c r="E227" s="53" t="n"/>
      <c r="F227" s="53" t="n"/>
      <c r="L227" s="53" t="n"/>
      <c r="M227" s="2145" t="n"/>
      <c r="N227" s="2149" t="n"/>
      <c r="O227" s="53" t="n"/>
      <c r="P227" s="53" t="n"/>
      <c r="Q227" s="53" t="n"/>
      <c r="R227" s="53" t="n"/>
      <c r="S227" s="53" t="n"/>
    </row>
    <row r="228" customFormat="1" s="1916">
      <c r="A228" s="53" t="n"/>
      <c r="B228" s="53" t="n"/>
      <c r="C228" s="2145" t="n"/>
      <c r="D228" s="2145" t="n"/>
      <c r="E228" s="53" t="n"/>
      <c r="F228" s="53" t="n"/>
      <c r="L228" s="53" t="n"/>
      <c r="M228" s="53" t="n"/>
      <c r="N228" s="2149" t="n"/>
      <c r="O228" s="53" t="n"/>
      <c r="P228" s="53" t="n"/>
      <c r="Q228" s="2145" t="n"/>
      <c r="R228" s="2145" t="n"/>
      <c r="S228" s="53" t="n"/>
    </row>
    <row r="229" customFormat="1" s="1916">
      <c r="A229" s="53" t="n"/>
      <c r="B229" s="53" t="n"/>
      <c r="C229" s="2145" t="n"/>
      <c r="D229" s="2145" t="n"/>
      <c r="E229" s="53" t="n"/>
      <c r="F229" s="53" t="n"/>
      <c r="L229" s="53" t="n"/>
      <c r="M229" s="53" t="n"/>
      <c r="N229" s="2149" t="n"/>
      <c r="O229" s="53" t="n"/>
      <c r="P229" s="53" t="n"/>
      <c r="Q229" s="2145" t="n"/>
      <c r="R229" s="2145" t="n"/>
      <c r="S229" s="53" t="n"/>
    </row>
    <row r="230" customFormat="1" s="1916">
      <c r="A230" s="53" t="n"/>
      <c r="B230" s="53" t="n"/>
      <c r="C230" s="2145" t="n"/>
      <c r="D230" s="2145" t="n"/>
      <c r="E230" s="53" t="n"/>
      <c r="F230" s="53" t="n"/>
      <c r="L230" s="53" t="n"/>
      <c r="M230" s="53" t="n"/>
      <c r="N230" s="2149" t="n"/>
      <c r="O230" s="53" t="n"/>
      <c r="P230" s="53" t="n"/>
      <c r="Q230" s="2145" t="n"/>
      <c r="R230" s="2145" t="n"/>
      <c r="S230" s="53" t="n"/>
    </row>
    <row r="231" customFormat="1" s="1916">
      <c r="A231" s="53" t="n"/>
      <c r="B231" s="53" t="n"/>
      <c r="C231" s="2145" t="n"/>
      <c r="D231" s="2145" t="n"/>
      <c r="E231" s="53" t="n"/>
      <c r="F231" s="53" t="n"/>
      <c r="L231" s="53" t="n"/>
      <c r="M231" s="53" t="n"/>
      <c r="N231" s="2149" t="n"/>
      <c r="O231" s="53" t="n"/>
      <c r="P231" s="53" t="n"/>
      <c r="Q231" s="2145" t="n"/>
      <c r="R231" s="2145" t="n"/>
      <c r="S231" s="53" t="n"/>
    </row>
    <row r="232" customFormat="1" s="1916">
      <c r="A232" s="53" t="n"/>
      <c r="B232" s="53" t="n"/>
      <c r="C232" s="2145" t="n"/>
      <c r="D232" s="2145" t="n"/>
      <c r="E232" s="53" t="n"/>
      <c r="F232" s="53" t="n"/>
      <c r="L232" s="53" t="n"/>
      <c r="M232" s="53" t="n"/>
      <c r="N232" s="2149" t="n"/>
      <c r="O232" s="53" t="n"/>
      <c r="P232" s="53" t="n"/>
      <c r="Q232" s="53" t="n"/>
      <c r="R232" s="53" t="n"/>
      <c r="S232" s="53" t="n"/>
    </row>
    <row r="233" customFormat="1" s="1916">
      <c r="A233" s="53" t="n"/>
      <c r="B233" s="53" t="n"/>
      <c r="C233" s="2145" t="n"/>
      <c r="D233" s="2145" t="n"/>
      <c r="E233" s="53" t="n"/>
      <c r="F233" s="53" t="n"/>
      <c r="L233" s="53" t="n"/>
      <c r="M233" s="53" t="n"/>
      <c r="N233" s="2149" t="n"/>
      <c r="O233" s="53" t="n"/>
      <c r="P233" s="53" t="n"/>
      <c r="Q233" s="53" t="n"/>
      <c r="R233" s="53" t="n"/>
      <c r="S233" s="53" t="n"/>
    </row>
    <row r="234" customFormat="1" s="1916">
      <c r="A234" s="53" t="n"/>
      <c r="B234" s="53" t="n"/>
      <c r="C234" s="2145" t="n"/>
      <c r="D234" s="2145" t="n"/>
      <c r="E234" s="53" t="n"/>
      <c r="F234" s="53" t="n"/>
      <c r="Q234" s="53" t="n"/>
      <c r="R234" s="53" t="n"/>
      <c r="S234" s="53" t="n"/>
    </row>
    <row r="235" customFormat="1" s="1916">
      <c r="A235" s="53" t="n"/>
      <c r="B235" s="53" t="n"/>
      <c r="C235" s="2145" t="n"/>
      <c r="D235" s="2145" t="n"/>
      <c r="E235" s="53" t="n"/>
      <c r="F235" s="53" t="n"/>
      <c r="Q235" s="53" t="n"/>
      <c r="R235" s="53" t="n"/>
      <c r="S235" s="53" t="n"/>
    </row>
    <row r="236" customFormat="1" s="1916">
      <c r="A236" s="53" t="n"/>
      <c r="B236" s="53" t="n"/>
      <c r="C236" s="2145" t="n"/>
      <c r="D236" s="2145" t="n"/>
      <c r="E236" s="2156" t="n"/>
      <c r="F236" s="53" t="n"/>
      <c r="Q236" s="53" t="n"/>
      <c r="R236" s="53" t="n"/>
      <c r="S236" s="53" t="n"/>
    </row>
    <row r="237" customFormat="1" s="1916">
      <c r="A237" s="53" t="n"/>
      <c r="B237" s="53" t="n"/>
      <c r="C237" s="2145" t="n"/>
      <c r="D237" s="2145" t="n"/>
      <c r="E237" s="53" t="n"/>
      <c r="F237" s="53" t="n"/>
      <c r="Q237" s="53" t="n"/>
      <c r="R237" s="53" t="n"/>
      <c r="S237" s="53" t="n"/>
    </row>
    <row r="238" customFormat="1" s="1916">
      <c r="A238" s="53" t="n"/>
      <c r="B238" s="53" t="n"/>
      <c r="C238" s="2145" t="n"/>
      <c r="D238" s="2145" t="n"/>
      <c r="E238" s="53" t="n"/>
      <c r="F238" s="53" t="n"/>
      <c r="Q238" s="53" t="n"/>
      <c r="R238" s="53" t="n"/>
      <c r="S238" s="53" t="n"/>
    </row>
    <row r="239" customFormat="1" s="1916">
      <c r="A239" s="53" t="n"/>
      <c r="B239" s="53" t="n"/>
      <c r="C239" s="2145" t="n"/>
      <c r="D239" s="2145" t="n"/>
      <c r="E239" s="53" t="n"/>
      <c r="F239" s="53" t="n"/>
    </row>
    <row r="240" customFormat="1" s="1916">
      <c r="A240" s="53" t="n"/>
      <c r="B240" s="53" t="n"/>
      <c r="C240" s="2145" t="n"/>
      <c r="D240" s="2145" t="n"/>
      <c r="E240" s="53" t="n"/>
      <c r="F240" s="53" t="n"/>
    </row>
    <row r="241" customFormat="1" s="1916">
      <c r="A241" s="103" t="n"/>
      <c r="B241" s="103" t="n"/>
      <c r="C241" s="2147" t="n"/>
      <c r="D241" s="2147" t="n"/>
      <c r="E241" s="53" t="n"/>
      <c r="F241" s="53" t="n"/>
    </row>
    <row r="242" customFormat="1" s="1916">
      <c r="A242" s="103" t="n"/>
      <c r="B242" s="105" t="n"/>
      <c r="C242" s="2147" t="n"/>
      <c r="D242" s="2147" t="n"/>
      <c r="E242" s="53" t="n"/>
      <c r="F242" s="53" t="n"/>
    </row>
    <row r="243" customFormat="1" s="1916">
      <c r="A243" s="103" t="n"/>
      <c r="B243" s="103" t="n"/>
      <c r="C243" s="2147" t="n"/>
      <c r="D243" s="2147" t="n"/>
      <c r="E243" s="53" t="n"/>
      <c r="F243" s="53" t="n"/>
    </row>
    <row r="244" customFormat="1" s="1916">
      <c r="A244" s="103" t="n"/>
      <c r="B244" s="105" t="n"/>
      <c r="C244" s="2147" t="n"/>
      <c r="D244" s="2147" t="n"/>
      <c r="E244" s="53" t="n"/>
      <c r="G244" s="53" t="n"/>
      <c r="H244" s="53" t="n"/>
      <c r="I244" s="53" t="n"/>
      <c r="J244" s="53" t="n"/>
      <c r="K244" s="53" t="n"/>
      <c r="L244" s="53" t="n"/>
    </row>
    <row r="245" customFormat="1" s="1916">
      <c r="A245" s="53" t="n"/>
      <c r="B245" s="53" t="n"/>
      <c r="C245" s="2145" t="n"/>
      <c r="D245" s="2145" t="n"/>
      <c r="E245" s="53" t="n"/>
      <c r="G245" s="53" t="n"/>
      <c r="H245" s="53" t="n"/>
      <c r="I245" s="53" t="n"/>
      <c r="J245" s="106" t="n"/>
      <c r="K245" s="106" t="n"/>
      <c r="L245" s="106" t="n"/>
    </row>
    <row r="246" customFormat="1" s="1916">
      <c r="A246" s="3" t="n"/>
      <c r="B246" s="2156" t="n"/>
      <c r="C246" s="3" t="n"/>
      <c r="D246" s="2156" t="n"/>
      <c r="E246" s="107" t="n"/>
      <c r="G246" s="53" t="n"/>
      <c r="H246" s="108" t="n"/>
      <c r="I246" s="53" t="n"/>
      <c r="J246" s="106" t="n"/>
      <c r="K246" s="106" t="n"/>
      <c r="L246" s="106" t="n"/>
    </row>
    <row r="247" customFormat="1" s="1916">
      <c r="A247" s="53" t="n"/>
      <c r="B247" s="53" t="n"/>
      <c r="C247" s="53" t="n"/>
      <c r="D247" s="53" t="n"/>
      <c r="E247" s="107" t="n"/>
      <c r="G247" s="53" t="n"/>
      <c r="H247" s="53" t="n"/>
      <c r="I247" s="53" t="n"/>
      <c r="J247" s="2145" t="n"/>
      <c r="K247" s="2145" t="n"/>
      <c r="L247" s="53" t="n"/>
    </row>
    <row r="248" customFormat="1" s="1916">
      <c r="A248" s="53" t="n"/>
      <c r="B248" s="53" t="n"/>
      <c r="C248" s="53" t="n"/>
      <c r="D248" s="106" t="n"/>
      <c r="E248" s="106" t="n"/>
      <c r="G248" s="53" t="n"/>
      <c r="H248" s="93" t="n"/>
      <c r="I248" s="2145" t="n"/>
      <c r="J248" s="2145" t="n"/>
      <c r="K248" s="2145" t="n"/>
      <c r="L248" s="106" t="n"/>
    </row>
    <row r="249" customFormat="1" s="1916">
      <c r="A249" s="53" t="n"/>
      <c r="B249" s="53" t="n"/>
      <c r="C249" s="53" t="n"/>
      <c r="D249" s="53" t="n"/>
      <c r="E249" s="53" t="n"/>
      <c r="G249" s="53" t="n"/>
      <c r="H249" s="93" t="n"/>
      <c r="I249" s="2145" t="n"/>
      <c r="J249" s="2145" t="n"/>
      <c r="K249" s="2145" t="n"/>
      <c r="L249" s="53" t="n"/>
    </row>
    <row r="250" customFormat="1" s="1916">
      <c r="A250" s="53" t="n"/>
      <c r="B250" s="53" t="n"/>
      <c r="C250" s="53" t="n"/>
      <c r="D250" s="106" t="n"/>
      <c r="E250" s="106" t="n"/>
      <c r="G250" s="53" t="n"/>
      <c r="H250" s="93" t="n"/>
      <c r="I250" s="2145" t="n"/>
      <c r="J250" s="2145" t="n"/>
      <c r="K250" s="2145" t="n"/>
      <c r="L250" s="106" t="n"/>
    </row>
    <row r="251" customFormat="1" s="1916">
      <c r="A251" s="53" t="n"/>
      <c r="B251" s="53" t="n"/>
      <c r="C251" s="53" t="n"/>
      <c r="D251" s="2157" t="n"/>
      <c r="E251" s="2157" t="n"/>
      <c r="F251" s="53" t="n"/>
      <c r="G251" s="103" t="n"/>
      <c r="H251" s="103" t="n"/>
      <c r="I251" s="2147" t="n"/>
      <c r="J251" s="2147" t="n"/>
      <c r="K251" s="2145" t="n"/>
      <c r="L251" s="106" t="n"/>
    </row>
    <row r="252" customFormat="1" s="1916">
      <c r="A252" s="53" t="n"/>
      <c r="B252" s="53" t="n"/>
      <c r="C252" s="2145" t="n"/>
      <c r="D252" s="2145" t="n"/>
      <c r="E252" s="2145" t="n"/>
      <c r="F252" s="53" t="n"/>
      <c r="G252" s="53" t="n"/>
      <c r="H252" s="53" t="n"/>
    </row>
    <row r="253" customFormat="1" s="1916">
      <c r="A253" s="53" t="n"/>
      <c r="B253" s="53" t="n"/>
      <c r="C253" s="53" t="n"/>
      <c r="D253" s="2145" t="n"/>
      <c r="E253" s="53" t="n"/>
      <c r="F253" s="53" t="n"/>
      <c r="G253" s="110" t="n"/>
      <c r="H253" s="53" t="n"/>
      <c r="I253" s="53" t="n"/>
      <c r="J253" s="2145" t="n"/>
      <c r="K253" s="2145" t="n"/>
    </row>
    <row r="254" customFormat="1" s="1916">
      <c r="A254" s="53" t="n"/>
      <c r="B254" s="93" t="n"/>
      <c r="C254" s="2145" t="n"/>
      <c r="D254" s="2145" t="n"/>
      <c r="E254" s="53" t="n"/>
      <c r="F254" s="53" t="n"/>
      <c r="G254" s="2156" t="n"/>
      <c r="H254" s="93" t="n"/>
      <c r="I254" s="2145" t="n"/>
      <c r="J254" s="2145" t="n"/>
      <c r="K254" s="2145" t="n"/>
    </row>
    <row r="255" customFormat="1" s="1916">
      <c r="A255" s="53" t="n"/>
      <c r="B255" s="93" t="n"/>
      <c r="C255" s="2145" t="n"/>
      <c r="D255" s="2145" t="n"/>
      <c r="E255" s="53" t="n"/>
      <c r="F255" s="53" t="n"/>
      <c r="G255" s="53" t="n"/>
      <c r="H255" s="93" t="n"/>
      <c r="I255" s="2145" t="n"/>
      <c r="J255" s="2145" t="n"/>
      <c r="K255" s="2145" t="n"/>
    </row>
    <row r="256" customFormat="1" s="1916">
      <c r="A256" s="53" t="n"/>
      <c r="B256" s="93" t="n"/>
      <c r="C256" s="2145" t="n"/>
      <c r="D256" s="2145" t="n"/>
      <c r="E256" s="53" t="n"/>
      <c r="F256" s="53" t="n"/>
      <c r="G256" s="53" t="n"/>
      <c r="H256" s="93" t="n"/>
      <c r="I256" s="2145" t="n"/>
      <c r="J256" s="2145" t="n"/>
      <c r="K256" s="2145" t="n"/>
    </row>
    <row r="257" customFormat="1" s="1916">
      <c r="A257" s="53" t="n"/>
      <c r="B257" s="93" t="n"/>
      <c r="C257" s="2145" t="n"/>
      <c r="D257" s="2145" t="n"/>
      <c r="E257" s="111" t="n"/>
      <c r="F257" s="53" t="n"/>
      <c r="G257" s="53" t="n"/>
      <c r="H257" s="93" t="n"/>
      <c r="I257" s="2145" t="n"/>
      <c r="J257" s="2145" t="n"/>
      <c r="K257" s="2145" t="n"/>
    </row>
    <row r="258" customFormat="1" s="1916">
      <c r="A258" s="53" t="n"/>
      <c r="B258" s="93" t="n"/>
      <c r="C258" s="2145" t="n"/>
      <c r="D258" s="2145" t="n"/>
      <c r="E258" s="111" t="n"/>
      <c r="F258" s="53" t="n"/>
      <c r="G258" s="53" t="n"/>
      <c r="H258" s="93" t="n"/>
      <c r="I258" s="2145" t="n"/>
      <c r="J258" s="2145" t="n"/>
      <c r="K258" s="2145" t="n"/>
    </row>
    <row r="259" customFormat="1" s="1916">
      <c r="A259" s="53" t="n"/>
      <c r="B259" s="93" t="n"/>
      <c r="C259" s="2145" t="n"/>
      <c r="D259" s="2145" t="n"/>
      <c r="E259" s="53" t="n"/>
      <c r="F259" s="53" t="n"/>
      <c r="G259" s="53" t="n"/>
      <c r="H259" s="93" t="n"/>
      <c r="I259" s="2145" t="n"/>
      <c r="J259" s="2145" t="n"/>
      <c r="K259" s="2145" t="n"/>
    </row>
    <row r="260" customFormat="1" s="1916">
      <c r="A260" s="53" t="n"/>
      <c r="B260" s="93" t="n"/>
      <c r="C260" s="2145" t="n"/>
      <c r="D260" s="2145" t="n"/>
      <c r="E260" s="53" t="n"/>
      <c r="F260" s="53" t="n"/>
      <c r="G260" s="53" t="n"/>
      <c r="H260" s="93" t="n"/>
      <c r="I260" s="2145" t="n"/>
      <c r="J260" s="2145" t="n"/>
      <c r="K260" s="2145" t="n"/>
    </row>
    <row r="261" customFormat="1" s="1916">
      <c r="A261" s="103" t="n"/>
      <c r="B261" s="103" t="n"/>
      <c r="C261" s="2147" t="n"/>
      <c r="D261" s="2147" t="n"/>
      <c r="E261" s="53" t="n"/>
      <c r="F261" s="53" t="n"/>
      <c r="G261" s="103" t="n"/>
      <c r="H261" s="103" t="n"/>
      <c r="I261" s="2147" t="n"/>
      <c r="J261" s="2147" t="n"/>
      <c r="K261" s="2147" t="n"/>
    </row>
    <row r="262" customFormat="1" s="1916">
      <c r="A262" s="53" t="n"/>
      <c r="B262" s="53" t="n"/>
      <c r="C262" s="2145" t="n"/>
      <c r="D262" s="2145" t="n"/>
      <c r="E262" s="53" t="n"/>
      <c r="F262" s="53" t="n"/>
    </row>
    <row r="263" customFormat="1" s="1916">
      <c r="A263" s="53" t="n"/>
      <c r="B263" s="53" t="n"/>
      <c r="C263" s="2145" t="n"/>
      <c r="D263" s="2147" t="n"/>
      <c r="E263" s="53" t="n"/>
      <c r="F263" s="53" t="n"/>
    </row>
    <row r="264" customFormat="1" s="1916">
      <c r="A264" s="53" t="n"/>
      <c r="B264" s="53" t="n"/>
      <c r="C264" s="2145" t="n"/>
      <c r="D264" s="2145" t="n"/>
      <c r="E264" s="53" t="n"/>
      <c r="F264" s="53" t="n"/>
    </row>
    <row r="265" customFormat="1" s="1916">
      <c r="A265" s="53" t="n"/>
      <c r="B265" s="53" t="n"/>
      <c r="C265" s="2145" t="n"/>
      <c r="D265" s="2145" t="n"/>
      <c r="E265" s="53" t="n"/>
      <c r="F265" s="53" t="n"/>
    </row>
    <row r="266" customFormat="1" s="1916">
      <c r="A266" s="53" t="n"/>
      <c r="B266" s="112" t="n"/>
      <c r="C266" s="2145" t="n"/>
      <c r="D266" s="2145" t="n"/>
      <c r="E266" s="53" t="n"/>
      <c r="F266" s="53" t="n"/>
    </row>
    <row r="267" customFormat="1" s="1916">
      <c r="A267" s="53" t="n"/>
      <c r="B267" s="112" t="n"/>
      <c r="C267" s="2145" t="n"/>
      <c r="D267" s="2145" t="n"/>
      <c r="E267" s="53" t="n"/>
      <c r="F267" s="53" t="n"/>
    </row>
    <row r="268" customFormat="1" s="1916">
      <c r="A268" s="53" t="n"/>
      <c r="B268" s="113" t="n"/>
      <c r="C268" s="2145" t="n"/>
      <c r="D268" s="2145" t="n"/>
      <c r="E268" s="53" t="n"/>
      <c r="F268" s="53" t="n"/>
    </row>
    <row r="269" customFormat="1" s="1916">
      <c r="A269" s="53" t="n"/>
      <c r="B269" s="113" t="n"/>
      <c r="C269" s="2145" t="n"/>
      <c r="D269" s="2145" t="n"/>
      <c r="E269" s="53" t="n"/>
      <c r="F269" s="53" t="n"/>
    </row>
    <row r="270" customFormat="1" s="1916">
      <c r="A270" s="53" t="n"/>
      <c r="B270" s="113" t="n"/>
      <c r="C270" s="2145" t="n"/>
      <c r="D270" s="2145" t="n"/>
      <c r="E270" s="53" t="n"/>
      <c r="F270" s="53" t="n"/>
    </row>
    <row r="271" customFormat="1" s="1916">
      <c r="A271" s="53" t="n"/>
      <c r="B271" s="113" t="n"/>
      <c r="C271" s="2145" t="n"/>
      <c r="D271" s="2145" t="n"/>
      <c r="E271" s="53" t="n"/>
      <c r="F271" s="53" t="n"/>
    </row>
    <row r="272" customFormat="1" s="1916">
      <c r="A272" s="53" t="n"/>
      <c r="B272" s="112" t="n"/>
      <c r="C272" s="2145" t="n"/>
      <c r="D272" s="2145" t="n"/>
      <c r="E272" s="53" t="n"/>
      <c r="F272" s="53" t="n"/>
    </row>
    <row r="273" customFormat="1" s="1916">
      <c r="A273" s="53" t="n"/>
      <c r="B273" s="112" t="n"/>
      <c r="C273" s="2145" t="n"/>
      <c r="D273" s="2145" t="n"/>
      <c r="E273" s="53" t="n"/>
      <c r="F273" s="53" t="n"/>
    </row>
    <row r="274" customFormat="1" s="1916">
      <c r="A274" s="53" t="n"/>
      <c r="B274" s="112" t="n"/>
      <c r="C274" s="2145" t="n"/>
      <c r="D274" s="2149" t="n"/>
      <c r="E274" s="53" t="n"/>
      <c r="F274" s="53" t="n"/>
      <c r="N274" s="53" t="n"/>
    </row>
    <row r="275" customFormat="1" s="1916">
      <c r="A275" s="53" t="n"/>
      <c r="B275" s="113" t="n"/>
      <c r="C275" s="2145" t="n"/>
      <c r="D275" s="2145" t="n"/>
      <c r="E275" s="53" t="n"/>
      <c r="F275" s="53" t="n"/>
      <c r="G275" s="53" t="n"/>
      <c r="I275" s="2154" t="n"/>
      <c r="N275" s="53" t="n"/>
    </row>
    <row r="276" customFormat="1" s="1916">
      <c r="A276" s="53" t="n"/>
      <c r="B276" s="53" t="n"/>
      <c r="C276" s="2145" t="n"/>
      <c r="D276" s="2145" t="n"/>
      <c r="E276" s="2145" t="n"/>
      <c r="F276" s="2145" t="n"/>
      <c r="N276" s="53" t="n"/>
    </row>
    <row r="277" customFormat="1" s="1916">
      <c r="A277" s="53" t="n"/>
      <c r="B277" s="53" t="n"/>
      <c r="C277" s="2145" t="n"/>
      <c r="D277" s="2145" t="n"/>
      <c r="F277" s="108" t="n"/>
      <c r="N277" s="53" t="n"/>
    </row>
    <row r="278" customFormat="1" s="1916">
      <c r="D278" s="2145" t="n"/>
    </row>
    <row r="279" customFormat="1" s="1916">
      <c r="A279" s="115" t="n"/>
    </row>
    <row r="280" customFormat="1" s="1916"/>
    <row r="281" customFormat="1" s="1916">
      <c r="A281" s="53" t="n"/>
      <c r="B281" s="53" t="n"/>
      <c r="C281" s="53" t="n"/>
      <c r="D281" s="53" t="n"/>
      <c r="L281" s="53" t="n"/>
      <c r="M281" s="53" t="n"/>
      <c r="N281" s="53" t="n"/>
      <c r="O281" s="53" t="n"/>
      <c r="P281" s="53" t="n"/>
    </row>
    <row r="282" customFormat="1" s="1916">
      <c r="A282" s="53" t="n"/>
      <c r="B282" s="53" t="n"/>
      <c r="C282" s="53" t="n"/>
      <c r="D282" s="53" t="n"/>
      <c r="E282" s="53" t="n"/>
      <c r="F282" s="53" t="n"/>
      <c r="L282" s="53" t="n"/>
      <c r="M282" s="53" t="n"/>
      <c r="N282" s="53" t="n"/>
      <c r="O282" s="53" t="n"/>
      <c r="P282" s="2145" t="n"/>
    </row>
    <row r="283" customFormat="1" s="1916">
      <c r="A283" s="53" t="n"/>
      <c r="B283" s="2155" t="n"/>
      <c r="C283" s="2145" t="n"/>
      <c r="D283" s="2145" t="n"/>
      <c r="E283" s="2156" t="n"/>
      <c r="F283" s="53" t="n"/>
      <c r="L283" s="53" t="n"/>
      <c r="M283" s="53" t="n"/>
      <c r="N283" s="2145" t="n"/>
      <c r="O283" s="2145" t="n"/>
      <c r="P283" s="2145" t="n"/>
    </row>
    <row r="284" customFormat="1" s="1916">
      <c r="A284" s="53" t="n"/>
      <c r="B284" s="53" t="n"/>
      <c r="C284" s="2145" t="n"/>
      <c r="D284" s="2145" t="n"/>
      <c r="E284" s="53" t="n"/>
      <c r="F284" s="53" t="n"/>
      <c r="L284" s="53" t="n"/>
      <c r="M284" s="53" t="n"/>
      <c r="N284" s="2145" t="n"/>
      <c r="O284" s="2156" t="n"/>
      <c r="P284" s="2145" t="n"/>
    </row>
    <row r="285" customFormat="1" s="1916">
      <c r="A285" s="53" t="n"/>
      <c r="B285" s="53" t="n"/>
      <c r="C285" s="2145" t="n"/>
      <c r="D285" s="2145" t="n"/>
      <c r="E285" s="53" t="n"/>
      <c r="F285" s="53" t="n"/>
      <c r="L285" s="53" t="n"/>
      <c r="M285" s="53" t="n"/>
      <c r="N285" s="2145" t="n"/>
      <c r="O285" s="2156" t="n"/>
      <c r="P285" s="2145" t="n"/>
    </row>
    <row r="286" customFormat="1" s="1916">
      <c r="A286" s="53" t="n"/>
      <c r="B286" s="53" t="n"/>
      <c r="C286" s="2145" t="n"/>
      <c r="D286" s="2145" t="n"/>
      <c r="E286" s="53" t="n"/>
      <c r="F286" s="53" t="n"/>
      <c r="L286" s="53" t="n"/>
      <c r="M286" s="2145" t="n"/>
      <c r="N286" s="2149" t="n"/>
      <c r="O286" s="53" t="n"/>
      <c r="P286" s="53" t="n"/>
      <c r="Q286" s="53" t="n"/>
      <c r="R286" s="53" t="n"/>
      <c r="S286" s="53" t="n"/>
    </row>
    <row r="287" customFormat="1" s="1916">
      <c r="A287" s="53" t="n"/>
      <c r="B287" s="53" t="n"/>
      <c r="C287" s="2145" t="n"/>
      <c r="D287" s="2145" t="n"/>
      <c r="E287" s="53" t="n"/>
      <c r="F287" s="53" t="n"/>
      <c r="L287" s="53" t="n"/>
      <c r="M287" s="53" t="n"/>
      <c r="N287" s="2149" t="n"/>
      <c r="O287" s="53" t="n"/>
      <c r="P287" s="53" t="n"/>
      <c r="Q287" s="2145" t="n"/>
      <c r="R287" s="2145" t="n"/>
      <c r="S287" s="53" t="n"/>
    </row>
    <row r="288" customFormat="1" s="1916">
      <c r="A288" s="53" t="n"/>
      <c r="B288" s="53" t="n"/>
      <c r="C288" s="2145" t="n"/>
      <c r="D288" s="2145" t="n"/>
      <c r="E288" s="53" t="n"/>
      <c r="F288" s="53" t="n"/>
      <c r="L288" s="53" t="n"/>
      <c r="M288" s="53" t="n"/>
      <c r="N288" s="2149" t="n"/>
      <c r="O288" s="53" t="n"/>
      <c r="P288" s="53" t="n"/>
      <c r="Q288" s="2145" t="n"/>
      <c r="R288" s="2145" t="n"/>
      <c r="S288" s="53" t="n"/>
    </row>
    <row r="289" customFormat="1" s="1916">
      <c r="A289" s="53" t="n"/>
      <c r="B289" s="53" t="n"/>
      <c r="C289" s="2145" t="n"/>
      <c r="D289" s="2145" t="n"/>
      <c r="E289" s="53" t="n"/>
      <c r="F289" s="53" t="n"/>
      <c r="L289" s="53" t="n"/>
      <c r="M289" s="53" t="n"/>
      <c r="N289" s="2149" t="n"/>
      <c r="O289" s="53" t="n"/>
      <c r="P289" s="53" t="n"/>
      <c r="Q289" s="2145" t="n"/>
      <c r="R289" s="2145" t="n"/>
      <c r="S289" s="53" t="n"/>
    </row>
    <row r="290" customFormat="1" s="1916">
      <c r="A290" s="53" t="n"/>
      <c r="B290" s="53" t="n"/>
      <c r="C290" s="2145" t="n"/>
      <c r="D290" s="2145" t="n"/>
      <c r="E290" s="53" t="n"/>
      <c r="F290" s="53" t="n"/>
      <c r="L290" s="53" t="n"/>
      <c r="M290" s="53" t="n"/>
      <c r="N290" s="2149" t="n"/>
      <c r="O290" s="53" t="n"/>
      <c r="P290" s="53" t="n"/>
      <c r="Q290" s="2145" t="n"/>
      <c r="R290" s="2145" t="n"/>
      <c r="S290" s="53" t="n"/>
    </row>
    <row r="291" customFormat="1" s="1916">
      <c r="A291" s="53" t="n"/>
      <c r="B291" s="53" t="n"/>
      <c r="C291" s="2145" t="n"/>
      <c r="D291" s="2145" t="n"/>
      <c r="E291" s="53" t="n"/>
      <c r="F291" s="53" t="n"/>
      <c r="L291" s="53" t="n"/>
      <c r="M291" s="53" t="n"/>
      <c r="N291" s="2149" t="n"/>
      <c r="O291" s="53" t="n"/>
      <c r="P291" s="53" t="n"/>
      <c r="Q291" s="53" t="n"/>
      <c r="R291" s="53" t="n"/>
      <c r="S291" s="53" t="n"/>
    </row>
    <row r="292" customFormat="1" s="1916">
      <c r="A292" s="53" t="n"/>
      <c r="B292" s="53" t="n"/>
      <c r="C292" s="2145" t="n"/>
      <c r="D292" s="2145" t="n"/>
      <c r="E292" s="53" t="n"/>
      <c r="F292" s="53" t="n"/>
      <c r="L292" s="53" t="n"/>
      <c r="M292" s="53" t="n"/>
      <c r="N292" s="2149" t="n"/>
      <c r="O292" s="53" t="n"/>
      <c r="P292" s="53" t="n"/>
      <c r="Q292" s="53" t="n"/>
      <c r="R292" s="53" t="n"/>
      <c r="S292" s="53" t="n"/>
    </row>
    <row r="293" customFormat="1" s="1916">
      <c r="A293" s="53" t="n"/>
      <c r="B293" s="53" t="n"/>
      <c r="C293" s="2145" t="n"/>
      <c r="D293" s="2145" t="n"/>
      <c r="E293" s="53" t="n"/>
      <c r="F293" s="53" t="n"/>
      <c r="Q293" s="53" t="n"/>
      <c r="R293" s="53" t="n"/>
      <c r="S293" s="53" t="n"/>
    </row>
    <row r="294" customFormat="1" s="1916">
      <c r="A294" s="53" t="n"/>
      <c r="B294" s="53" t="n"/>
      <c r="C294" s="2145" t="n"/>
      <c r="D294" s="2145" t="n"/>
      <c r="E294" s="53" t="n"/>
      <c r="F294" s="53" t="n"/>
      <c r="Q294" s="53" t="n"/>
      <c r="R294" s="53" t="n"/>
      <c r="S294" s="53" t="n"/>
    </row>
    <row r="295" customFormat="1" s="1916">
      <c r="A295" s="53" t="n"/>
      <c r="B295" s="53" t="n"/>
      <c r="C295" s="2145" t="n"/>
      <c r="D295" s="2145" t="n"/>
      <c r="E295" s="2156" t="n"/>
      <c r="F295" s="53" t="n"/>
      <c r="Q295" s="53" t="n"/>
      <c r="R295" s="53" t="n"/>
      <c r="S295" s="53" t="n"/>
    </row>
    <row r="296" customFormat="1" s="1916">
      <c r="A296" s="53" t="n"/>
      <c r="B296" s="53" t="n"/>
      <c r="C296" s="2145" t="n"/>
      <c r="D296" s="2145" t="n"/>
      <c r="E296" s="53" t="n"/>
      <c r="F296" s="53" t="n"/>
      <c r="Q296" s="53" t="n"/>
      <c r="R296" s="53" t="n"/>
      <c r="S296" s="53" t="n"/>
    </row>
    <row r="297" customFormat="1" s="1916">
      <c r="A297" s="53" t="n"/>
      <c r="B297" s="53" t="n"/>
      <c r="C297" s="2145" t="n"/>
      <c r="D297" s="2145" t="n"/>
      <c r="E297" s="53" t="n"/>
      <c r="F297" s="53" t="n"/>
      <c r="Q297" s="53" t="n"/>
      <c r="R297" s="53" t="n"/>
      <c r="S297" s="53" t="n"/>
    </row>
    <row r="298" customFormat="1" s="1916">
      <c r="A298" s="53" t="n"/>
      <c r="B298" s="53" t="n"/>
      <c r="C298" s="2145" t="n"/>
      <c r="D298" s="2145" t="n"/>
      <c r="E298" s="53" t="n"/>
      <c r="F298" s="53" t="n"/>
    </row>
    <row r="299" customFormat="1" s="1916">
      <c r="A299" s="53" t="n"/>
      <c r="B299" s="53" t="n"/>
      <c r="C299" s="2145" t="n"/>
      <c r="D299" s="2145" t="n"/>
      <c r="E299" s="53" t="n"/>
      <c r="F299" s="53" t="n"/>
    </row>
    <row r="300" customFormat="1" s="1916">
      <c r="A300" s="103" t="n"/>
      <c r="B300" s="103" t="n"/>
      <c r="C300" s="2147" t="n"/>
      <c r="D300" s="2147" t="n"/>
      <c r="E300" s="53" t="n"/>
      <c r="F300" s="53" t="n"/>
    </row>
    <row r="301" customFormat="1" s="1916">
      <c r="A301" s="103" t="n"/>
      <c r="B301" s="105" t="n"/>
      <c r="C301" s="2147" t="n"/>
      <c r="D301" s="2147" t="n"/>
      <c r="E301" s="53" t="n"/>
      <c r="F301" s="53" t="n"/>
    </row>
    <row r="302" customFormat="1" s="1916">
      <c r="A302" s="103" t="n"/>
      <c r="B302" s="103" t="n"/>
      <c r="C302" s="2147" t="n"/>
      <c r="D302" s="2147" t="n"/>
      <c r="E302" s="53" t="n"/>
      <c r="F302" s="53" t="n"/>
    </row>
    <row r="303" customFormat="1" s="1916">
      <c r="A303" s="103" t="n"/>
      <c r="B303" s="105" t="n"/>
      <c r="C303" s="2147" t="n"/>
      <c r="D303" s="2147" t="n"/>
      <c r="E303" s="53" t="n"/>
      <c r="G303" s="53" t="n"/>
      <c r="H303" s="53" t="n"/>
      <c r="I303" s="53" t="n"/>
      <c r="J303" s="53" t="n"/>
      <c r="K303" s="53" t="n"/>
      <c r="L303" s="53" t="n"/>
    </row>
    <row r="304" customFormat="1" s="1916">
      <c r="A304" s="53" t="n"/>
      <c r="B304" s="53" t="n"/>
      <c r="C304" s="2145" t="n"/>
      <c r="D304" s="2145" t="n"/>
      <c r="E304" s="53" t="n"/>
      <c r="G304" s="53" t="n"/>
      <c r="H304" s="53" t="n"/>
      <c r="I304" s="53" t="n"/>
      <c r="J304" s="106" t="n"/>
      <c r="K304" s="106" t="n"/>
      <c r="L304" s="106" t="n"/>
    </row>
    <row r="305" customFormat="1" s="1916">
      <c r="A305" s="3" t="n"/>
      <c r="B305" s="2156" t="n"/>
      <c r="C305" s="3" t="n"/>
      <c r="D305" s="2156" t="n"/>
      <c r="E305" s="107" t="n"/>
      <c r="G305" s="53" t="n"/>
      <c r="H305" s="108" t="n"/>
      <c r="I305" s="53" t="n"/>
      <c r="J305" s="106" t="n"/>
      <c r="K305" s="106" t="n"/>
      <c r="L305" s="106" t="n"/>
    </row>
    <row r="306" customFormat="1" s="1916">
      <c r="A306" s="53" t="n"/>
      <c r="B306" s="53" t="n"/>
      <c r="C306" s="53" t="n"/>
      <c r="D306" s="53" t="n"/>
      <c r="E306" s="107" t="n"/>
      <c r="G306" s="53" t="n"/>
      <c r="H306" s="53" t="n"/>
      <c r="I306" s="53" t="n"/>
      <c r="J306" s="2145" t="n"/>
      <c r="K306" s="2145" t="n"/>
      <c r="L306" s="53" t="n"/>
    </row>
    <row r="307" customFormat="1" s="1916">
      <c r="A307" s="53" t="n"/>
      <c r="B307" s="53" t="n"/>
      <c r="C307" s="53" t="n"/>
      <c r="D307" s="106" t="n"/>
      <c r="E307" s="106" t="n"/>
      <c r="G307" s="53" t="n"/>
      <c r="H307" s="93" t="n"/>
      <c r="I307" s="2145" t="n"/>
      <c r="J307" s="2145" t="n"/>
      <c r="K307" s="2145" t="n"/>
      <c r="L307" s="106" t="n"/>
    </row>
    <row r="308" customFormat="1" s="1916">
      <c r="A308" s="53" t="n"/>
      <c r="B308" s="53" t="n"/>
      <c r="C308" s="53" t="n"/>
      <c r="D308" s="53" t="n"/>
      <c r="E308" s="53" t="n"/>
      <c r="G308" s="53" t="n"/>
      <c r="H308" s="93" t="n"/>
      <c r="I308" s="2145" t="n"/>
      <c r="J308" s="2145" t="n"/>
      <c r="K308" s="2145" t="n"/>
      <c r="L308" s="53" t="n"/>
    </row>
    <row r="309" customFormat="1" s="1916">
      <c r="A309" s="53" t="n"/>
      <c r="B309" s="53" t="n"/>
      <c r="C309" s="53" t="n"/>
      <c r="D309" s="106" t="n"/>
      <c r="E309" s="106" t="n"/>
      <c r="G309" s="53" t="n"/>
      <c r="H309" s="93" t="n"/>
      <c r="I309" s="2145" t="n"/>
      <c r="J309" s="2145" t="n"/>
      <c r="K309" s="2145" t="n"/>
      <c r="L309" s="106" t="n"/>
    </row>
    <row r="310" customFormat="1" s="1916">
      <c r="A310" s="53" t="n"/>
      <c r="B310" s="53" t="n"/>
      <c r="C310" s="53" t="n"/>
      <c r="D310" s="2157" t="n"/>
      <c r="E310" s="2157" t="n"/>
      <c r="F310" s="53" t="n"/>
      <c r="G310" s="103" t="n"/>
      <c r="H310" s="103" t="n"/>
      <c r="I310" s="2147" t="n"/>
      <c r="J310" s="2147" t="n"/>
      <c r="K310" s="2145" t="n"/>
      <c r="L310" s="106" t="n"/>
    </row>
    <row r="311" customFormat="1" s="1916">
      <c r="A311" s="53" t="n"/>
      <c r="B311" s="53" t="n"/>
      <c r="C311" s="2145" t="n"/>
      <c r="D311" s="2145" t="n"/>
      <c r="E311" s="2145" t="n"/>
      <c r="F311" s="53" t="n"/>
      <c r="G311" s="53" t="n"/>
      <c r="H311" s="53" t="n"/>
    </row>
    <row r="312" customFormat="1" s="1916">
      <c r="A312" s="53" t="n"/>
      <c r="B312" s="53" t="n"/>
      <c r="C312" s="53" t="n"/>
      <c r="D312" s="2145" t="n"/>
      <c r="E312" s="53" t="n"/>
      <c r="F312" s="53" t="n"/>
      <c r="G312" s="110" t="n"/>
      <c r="H312" s="53" t="n"/>
      <c r="I312" s="53" t="n"/>
      <c r="J312" s="2145" t="n"/>
      <c r="K312" s="2145" t="n"/>
    </row>
    <row r="313" customFormat="1" s="1916">
      <c r="A313" s="53" t="n"/>
      <c r="B313" s="93" t="n"/>
      <c r="C313" s="2145" t="n"/>
      <c r="D313" s="2145" t="n"/>
      <c r="E313" s="53" t="n"/>
      <c r="F313" s="53" t="n"/>
      <c r="G313" s="2156" t="n"/>
      <c r="H313" s="93" t="n"/>
      <c r="I313" s="2145" t="n"/>
      <c r="J313" s="2145" t="n"/>
      <c r="K313" s="2145" t="n"/>
    </row>
    <row r="314" customFormat="1" s="1916">
      <c r="A314" s="53" t="n"/>
      <c r="B314" s="93" t="n"/>
      <c r="C314" s="2145" t="n"/>
      <c r="D314" s="2145" t="n"/>
      <c r="E314" s="53" t="n"/>
      <c r="F314" s="53" t="n"/>
      <c r="G314" s="53" t="n"/>
      <c r="H314" s="93" t="n"/>
      <c r="I314" s="2145" t="n"/>
      <c r="J314" s="2145" t="n"/>
      <c r="K314" s="2145" t="n"/>
    </row>
    <row r="315" customFormat="1" s="1916">
      <c r="A315" s="53" t="n"/>
      <c r="B315" s="93" t="n"/>
      <c r="C315" s="2145" t="n"/>
      <c r="D315" s="2145" t="n"/>
      <c r="E315" s="53" t="n"/>
      <c r="F315" s="53" t="n"/>
      <c r="G315" s="53" t="n"/>
      <c r="H315" s="93" t="n"/>
      <c r="I315" s="2145" t="n"/>
      <c r="J315" s="2145" t="n"/>
      <c r="K315" s="2145" t="n"/>
    </row>
    <row r="316" customFormat="1" s="1916">
      <c r="A316" s="53" t="n"/>
      <c r="B316" s="93" t="n"/>
      <c r="C316" s="2145" t="n"/>
      <c r="D316" s="2145" t="n"/>
      <c r="E316" s="111" t="n"/>
      <c r="F316" s="53" t="n"/>
      <c r="G316" s="53" t="n"/>
      <c r="H316" s="93" t="n"/>
      <c r="I316" s="2145" t="n"/>
      <c r="J316" s="2145" t="n"/>
      <c r="K316" s="2145" t="n"/>
    </row>
    <row r="317" customFormat="1" s="1916">
      <c r="A317" s="53" t="n"/>
      <c r="B317" s="93" t="n"/>
      <c r="C317" s="2145" t="n"/>
      <c r="D317" s="2145" t="n"/>
      <c r="E317" s="111" t="n"/>
      <c r="F317" s="53" t="n"/>
      <c r="G317" s="53" t="n"/>
      <c r="H317" s="93" t="n"/>
      <c r="I317" s="2145" t="n"/>
      <c r="J317" s="2145" t="n"/>
      <c r="K317" s="2145" t="n"/>
    </row>
    <row r="318" customFormat="1" s="1916">
      <c r="A318" s="53" t="n"/>
      <c r="B318" s="93" t="n"/>
      <c r="C318" s="2145" t="n"/>
      <c r="D318" s="2145" t="n"/>
      <c r="E318" s="53" t="n"/>
      <c r="F318" s="53" t="n"/>
      <c r="G318" s="53" t="n"/>
      <c r="H318" s="93" t="n"/>
      <c r="I318" s="2145" t="n"/>
      <c r="J318" s="2145" t="n"/>
      <c r="K318" s="2145" t="n"/>
    </row>
    <row r="319" customFormat="1" s="1916">
      <c r="A319" s="53" t="n"/>
      <c r="B319" s="93" t="n"/>
      <c r="C319" s="2145" t="n"/>
      <c r="D319" s="2145" t="n"/>
      <c r="E319" s="53" t="n"/>
      <c r="F319" s="53" t="n"/>
      <c r="G319" s="53" t="n"/>
      <c r="H319" s="93" t="n"/>
      <c r="I319" s="2145" t="n"/>
      <c r="J319" s="2145" t="n"/>
      <c r="K319" s="2145" t="n"/>
    </row>
    <row r="320" customFormat="1" s="1916">
      <c r="A320" s="103" t="n"/>
      <c r="B320" s="103" t="n"/>
      <c r="C320" s="2147" t="n"/>
      <c r="D320" s="2147" t="n"/>
      <c r="E320" s="53" t="n"/>
      <c r="F320" s="53" t="n"/>
      <c r="G320" s="103" t="n"/>
      <c r="H320" s="103" t="n"/>
      <c r="I320" s="2147" t="n"/>
      <c r="J320" s="2147" t="n"/>
      <c r="K320" s="2147" t="n"/>
    </row>
    <row r="321" customFormat="1" s="1916">
      <c r="A321" s="53" t="n"/>
      <c r="B321" s="53" t="n"/>
      <c r="C321" s="2145" t="n"/>
      <c r="D321" s="2145" t="n"/>
      <c r="E321" s="53" t="n"/>
      <c r="F321" s="53" t="n"/>
    </row>
    <row r="322" customFormat="1" s="1916">
      <c r="A322" s="53" t="n"/>
      <c r="B322" s="53" t="n"/>
      <c r="C322" s="2145" t="n"/>
      <c r="D322" s="2147" t="n"/>
      <c r="E322" s="53" t="n"/>
      <c r="F322" s="53" t="n"/>
    </row>
    <row r="323" customFormat="1" s="1916">
      <c r="A323" s="53" t="n"/>
      <c r="B323" s="53" t="n"/>
      <c r="C323" s="2145" t="n"/>
      <c r="D323" s="2145" t="n"/>
      <c r="E323" s="53" t="n"/>
      <c r="F323" s="53" t="n"/>
    </row>
    <row r="324" customFormat="1" s="1916">
      <c r="A324" s="53" t="n"/>
      <c r="B324" s="53" t="n"/>
      <c r="C324" s="2145" t="n"/>
      <c r="D324" s="2145" t="n"/>
      <c r="E324" s="53" t="n"/>
      <c r="F324" s="53" t="n"/>
    </row>
    <row r="325" customFormat="1" s="1916">
      <c r="A325" s="53" t="n"/>
      <c r="B325" s="112" t="n"/>
      <c r="C325" s="2145" t="n"/>
      <c r="D325" s="2145" t="n"/>
      <c r="E325" s="53" t="n"/>
      <c r="F325" s="53" t="n"/>
    </row>
    <row r="326" customFormat="1" s="1916">
      <c r="A326" s="53" t="n"/>
      <c r="B326" s="112" t="n"/>
      <c r="C326" s="2145" t="n"/>
      <c r="D326" s="2145" t="n"/>
      <c r="E326" s="53" t="n"/>
      <c r="F326" s="53" t="n"/>
    </row>
    <row r="327" customFormat="1" s="1916">
      <c r="A327" s="53" t="n"/>
      <c r="B327" s="113" t="n"/>
      <c r="C327" s="2145" t="n"/>
      <c r="D327" s="2145" t="n"/>
      <c r="E327" s="53" t="n"/>
      <c r="F327" s="53" t="n"/>
    </row>
    <row r="328" customFormat="1" s="1916">
      <c r="A328" s="53" t="n"/>
      <c r="B328" s="113" t="n"/>
      <c r="C328" s="2145" t="n"/>
      <c r="D328" s="2145" t="n"/>
      <c r="E328" s="53" t="n"/>
      <c r="F328" s="53" t="n"/>
    </row>
    <row r="329" customFormat="1" s="1916">
      <c r="A329" s="53" t="n"/>
      <c r="B329" s="113" t="n"/>
      <c r="C329" s="2145" t="n"/>
      <c r="D329" s="2145" t="n"/>
      <c r="E329" s="53" t="n"/>
      <c r="F329" s="53" t="n"/>
    </row>
    <row r="330" customFormat="1" s="1916">
      <c r="A330" s="53" t="n"/>
      <c r="B330" s="113" t="n"/>
      <c r="C330" s="2145" t="n"/>
      <c r="D330" s="2145" t="n"/>
      <c r="E330" s="53" t="n"/>
      <c r="F330" s="53" t="n"/>
    </row>
    <row r="331" customFormat="1" s="1916">
      <c r="A331" s="53" t="n"/>
      <c r="B331" s="112" t="n"/>
      <c r="C331" s="2145" t="n"/>
      <c r="D331" s="2145" t="n"/>
      <c r="E331" s="53" t="n"/>
      <c r="F331" s="53" t="n"/>
    </row>
    <row r="332" customFormat="1" s="1916">
      <c r="A332" s="53" t="n"/>
      <c r="B332" s="112" t="n"/>
      <c r="C332" s="2145" t="n"/>
      <c r="D332" s="2145" t="n"/>
      <c r="E332" s="53" t="n"/>
      <c r="F332" s="53" t="n"/>
    </row>
    <row r="333" customFormat="1" s="1916">
      <c r="A333" s="53" t="n"/>
      <c r="B333" s="112" t="n"/>
      <c r="C333" s="2145" t="n"/>
      <c r="D333" s="2149" t="n"/>
      <c r="E333" s="53" t="n"/>
      <c r="F333" s="53" t="n"/>
      <c r="N333" s="53" t="n"/>
    </row>
    <row r="334" customFormat="1" s="1916">
      <c r="A334" s="53" t="n"/>
      <c r="B334" s="113" t="n"/>
      <c r="C334" s="2145" t="n"/>
      <c r="D334" s="2145" t="n"/>
      <c r="E334" s="53" t="n"/>
      <c r="F334" s="53" t="n"/>
      <c r="G334" s="53" t="n"/>
      <c r="I334" s="2154" t="n"/>
      <c r="N334" s="53" t="n"/>
    </row>
    <row r="335" customFormat="1" s="1916">
      <c r="A335" s="53" t="n"/>
      <c r="B335" s="53" t="n"/>
      <c r="C335" s="2145" t="n"/>
      <c r="D335" s="2145" t="n"/>
      <c r="E335" s="2145" t="n"/>
      <c r="F335" s="2145" t="n"/>
      <c r="N335" s="53" t="n"/>
    </row>
    <row r="336" customFormat="1" s="1916">
      <c r="A336" s="53" t="n"/>
      <c r="B336" s="53" t="n"/>
      <c r="C336" s="2145" t="n"/>
      <c r="D336" s="2145" t="n"/>
      <c r="F336" s="108" t="n"/>
      <c r="N336" s="53" t="n"/>
    </row>
    <row r="337" customFormat="1" s="1916">
      <c r="A337" s="115" t="n"/>
      <c r="D337" s="2145" t="n"/>
    </row>
    <row r="338" customFormat="1" s="1916"/>
    <row r="339" customFormat="1" s="1916">
      <c r="A339" s="116" t="n"/>
    </row>
    <row r="340" customFormat="1" s="1916">
      <c r="A340" s="53" t="n"/>
      <c r="B340" s="53" t="n"/>
      <c r="C340" s="53" t="n"/>
      <c r="D340" s="53" t="n"/>
      <c r="L340" s="53" t="n"/>
      <c r="M340" s="53" t="n"/>
      <c r="N340" s="53" t="n"/>
      <c r="O340" s="53" t="n"/>
      <c r="P340" s="53" t="n"/>
    </row>
    <row r="341" customFormat="1" s="1916">
      <c r="A341" s="53" t="n"/>
      <c r="B341" s="53" t="n"/>
      <c r="C341" s="53" t="n"/>
      <c r="D341" s="53" t="n"/>
      <c r="E341" s="53" t="n"/>
      <c r="F341" s="53" t="n"/>
      <c r="L341" s="53" t="n"/>
      <c r="M341" s="53" t="n"/>
      <c r="N341" s="53" t="n"/>
      <c r="O341" s="53" t="n"/>
      <c r="P341" s="2145" t="n"/>
    </row>
    <row r="342" customFormat="1" s="1916">
      <c r="A342" s="53" t="n"/>
      <c r="B342" s="2155" t="n"/>
      <c r="C342" s="2145" t="n"/>
      <c r="D342" s="2145" t="n"/>
      <c r="E342" s="2156" t="n"/>
      <c r="F342" s="53" t="n"/>
      <c r="L342" s="53" t="n"/>
      <c r="M342" s="53" t="n"/>
      <c r="N342" s="2145" t="n"/>
      <c r="O342" s="2145" t="n"/>
      <c r="P342" s="2145" t="n"/>
    </row>
    <row r="343" customFormat="1" s="1916">
      <c r="A343" s="53" t="n"/>
      <c r="B343" s="53" t="n"/>
      <c r="C343" s="2145" t="n"/>
      <c r="D343" s="2145" t="n"/>
      <c r="E343" s="53" t="n"/>
      <c r="F343" s="53" t="n"/>
      <c r="L343" s="53" t="n"/>
      <c r="M343" s="53" t="n"/>
      <c r="N343" s="2145" t="n"/>
      <c r="O343" s="2156" t="n"/>
      <c r="P343" s="2145" t="n"/>
    </row>
    <row r="344" customFormat="1" s="1916">
      <c r="A344" s="53" t="n"/>
      <c r="B344" s="53" t="n"/>
      <c r="C344" s="2145" t="n"/>
      <c r="D344" s="2145" t="n"/>
      <c r="E344" s="53" t="n"/>
      <c r="F344" s="53" t="n"/>
      <c r="L344" s="53" t="n"/>
      <c r="M344" s="53" t="n"/>
      <c r="N344" s="2145" t="n"/>
      <c r="O344" s="2156" t="n"/>
      <c r="P344" s="2145" t="n"/>
    </row>
    <row r="345" customFormat="1" s="1916">
      <c r="A345" s="53" t="n"/>
      <c r="B345" s="53" t="n"/>
      <c r="C345" s="2145" t="n"/>
      <c r="D345" s="2145" t="n"/>
      <c r="E345" s="53" t="n"/>
      <c r="F345" s="53" t="n"/>
      <c r="L345" s="53" t="n"/>
      <c r="M345" s="2145" t="n"/>
      <c r="N345" s="2149" t="n"/>
      <c r="O345" s="53" t="n"/>
      <c r="P345" s="53" t="n"/>
      <c r="Q345" s="53" t="n"/>
      <c r="R345" s="53" t="n"/>
      <c r="S345" s="53" t="n"/>
    </row>
    <row r="346" customFormat="1" s="1916">
      <c r="A346" s="53" t="n"/>
      <c r="B346" s="53" t="n"/>
      <c r="C346" s="2145" t="n"/>
      <c r="D346" s="2145" t="n"/>
      <c r="E346" s="53" t="n"/>
      <c r="F346" s="53" t="n"/>
      <c r="L346" s="53" t="n"/>
      <c r="M346" s="53" t="n"/>
      <c r="N346" s="2149" t="n"/>
      <c r="O346" s="53" t="n"/>
      <c r="P346" s="53" t="n"/>
      <c r="Q346" s="2145" t="n"/>
      <c r="R346" s="2145" t="n"/>
      <c r="S346" s="53" t="n"/>
    </row>
    <row r="347" customFormat="1" s="1916">
      <c r="A347" s="53" t="n"/>
      <c r="B347" s="53" t="n"/>
      <c r="C347" s="2145" t="n"/>
      <c r="D347" s="2145" t="n"/>
      <c r="E347" s="53" t="n"/>
      <c r="F347" s="53" t="n"/>
      <c r="L347" s="53" t="n"/>
      <c r="M347" s="53" t="n"/>
      <c r="N347" s="2149" t="n"/>
      <c r="O347" s="53" t="n"/>
      <c r="P347" s="53" t="n"/>
      <c r="Q347" s="2145" t="n"/>
      <c r="R347" s="2145" t="n"/>
      <c r="S347" s="53" t="n"/>
    </row>
    <row r="348" customFormat="1" s="1916">
      <c r="A348" s="53" t="n"/>
      <c r="B348" s="53" t="n"/>
      <c r="C348" s="2145" t="n"/>
      <c r="D348" s="2145" t="n"/>
      <c r="E348" s="53" t="n"/>
      <c r="F348" s="53" t="n"/>
      <c r="L348" s="53" t="n"/>
      <c r="M348" s="53" t="n"/>
      <c r="N348" s="2149" t="n"/>
      <c r="O348" s="53" t="n"/>
      <c r="P348" s="53" t="n"/>
      <c r="Q348" s="2145" t="n"/>
      <c r="R348" s="2145" t="n"/>
      <c r="S348" s="53" t="n"/>
    </row>
    <row r="349" customFormat="1" s="1916">
      <c r="A349" s="53" t="n"/>
      <c r="B349" s="53" t="n"/>
      <c r="C349" s="2145" t="n"/>
      <c r="D349" s="2145" t="n"/>
      <c r="E349" s="53" t="n"/>
      <c r="F349" s="53" t="n"/>
      <c r="L349" s="53" t="n"/>
      <c r="M349" s="53" t="n"/>
      <c r="N349" s="2149" t="n"/>
      <c r="O349" s="53" t="n"/>
      <c r="P349" s="53" t="n"/>
      <c r="Q349" s="2145" t="n"/>
      <c r="R349" s="2145" t="n"/>
      <c r="S349" s="53" t="n"/>
    </row>
    <row r="350" customFormat="1" s="1916">
      <c r="A350" s="53" t="n"/>
      <c r="B350" s="53" t="n"/>
      <c r="C350" s="2145" t="n"/>
      <c r="D350" s="2145" t="n"/>
      <c r="E350" s="53" t="n"/>
      <c r="F350" s="53" t="n"/>
      <c r="L350" s="53" t="n"/>
      <c r="M350" s="53" t="n"/>
      <c r="N350" s="2149" t="n"/>
      <c r="O350" s="53" t="n"/>
      <c r="P350" s="53" t="n"/>
      <c r="Q350" s="53" t="n"/>
      <c r="R350" s="53" t="n"/>
      <c r="S350" s="53" t="n"/>
    </row>
    <row r="351" customFormat="1" s="1916">
      <c r="A351" s="53" t="n"/>
      <c r="B351" s="53" t="n"/>
      <c r="C351" s="2145" t="n"/>
      <c r="D351" s="2145" t="n"/>
      <c r="E351" s="53" t="n"/>
      <c r="F351" s="53" t="n"/>
      <c r="L351" s="53" t="n"/>
      <c r="M351" s="53" t="n"/>
      <c r="N351" s="2149" t="n"/>
      <c r="O351" s="53" t="n"/>
      <c r="P351" s="53" t="n"/>
      <c r="Q351" s="53" t="n"/>
      <c r="R351" s="53" t="n"/>
      <c r="S351" s="53" t="n"/>
    </row>
    <row r="352" customFormat="1" s="1916">
      <c r="A352" s="53" t="n"/>
      <c r="B352" s="53" t="n"/>
      <c r="C352" s="2145" t="n"/>
      <c r="D352" s="2145" t="n"/>
      <c r="E352" s="53" t="n"/>
      <c r="F352" s="53" t="n"/>
      <c r="Q352" s="53" t="n"/>
      <c r="R352" s="53" t="n"/>
      <c r="S352" s="53" t="n"/>
    </row>
    <row r="353" customFormat="1" s="1916">
      <c r="A353" s="53" t="n"/>
      <c r="B353" s="53" t="n"/>
      <c r="C353" s="2145" t="n"/>
      <c r="D353" s="2145" t="n"/>
      <c r="E353" s="53" t="n"/>
      <c r="F353" s="53" t="n"/>
      <c r="Q353" s="53" t="n"/>
      <c r="R353" s="53" t="n"/>
      <c r="S353" s="53" t="n"/>
    </row>
    <row r="354" customFormat="1" s="1916">
      <c r="A354" s="53" t="n"/>
      <c r="B354" s="53" t="n"/>
      <c r="C354" s="2145" t="n"/>
      <c r="D354" s="2145" t="n"/>
      <c r="E354" s="2156" t="n"/>
      <c r="F354" s="53" t="n"/>
      <c r="Q354" s="53" t="n"/>
      <c r="R354" s="53" t="n"/>
      <c r="S354" s="53" t="n"/>
    </row>
    <row r="355" customFormat="1" s="1916">
      <c r="A355" s="53" t="n"/>
      <c r="B355" s="53" t="n"/>
      <c r="C355" s="2145" t="n"/>
      <c r="D355" s="2145" t="n"/>
      <c r="E355" s="53" t="n"/>
      <c r="F355" s="53" t="n"/>
      <c r="Q355" s="53" t="n"/>
      <c r="R355" s="53" t="n"/>
      <c r="S355" s="53" t="n"/>
    </row>
    <row r="356" customFormat="1" s="1916">
      <c r="A356" s="53" t="n"/>
      <c r="B356" s="53" t="n"/>
      <c r="C356" s="2145" t="n"/>
      <c r="D356" s="2145" t="n"/>
      <c r="E356" s="53" t="n"/>
      <c r="F356" s="53" t="n"/>
      <c r="Q356" s="53" t="n"/>
      <c r="R356" s="53" t="n"/>
      <c r="S356" s="53" t="n"/>
    </row>
    <row r="357" customFormat="1" s="1916">
      <c r="A357" s="53" t="n"/>
      <c r="B357" s="53" t="n"/>
      <c r="C357" s="2145" t="n"/>
      <c r="D357" s="2145" t="n"/>
      <c r="E357" s="53" t="n"/>
      <c r="F357" s="53" t="n"/>
    </row>
    <row r="358" customFormat="1" s="1916">
      <c r="A358" s="53" t="n"/>
      <c r="B358" s="53" t="n"/>
      <c r="C358" s="2145" t="n"/>
      <c r="D358" s="2145" t="n"/>
      <c r="E358" s="53" t="n"/>
      <c r="F358" s="53" t="n"/>
    </row>
    <row r="359" customFormat="1" s="1916">
      <c r="A359" s="103" t="n"/>
      <c r="B359" s="103" t="n"/>
      <c r="C359" s="2147" t="n"/>
      <c r="D359" s="2147" t="n"/>
      <c r="E359" s="53" t="n"/>
      <c r="F359" s="53" t="n"/>
    </row>
    <row r="360" customFormat="1" s="1916">
      <c r="A360" s="103" t="n"/>
      <c r="B360" s="105" t="n"/>
      <c r="C360" s="2147" t="n"/>
      <c r="D360" s="2147" t="n"/>
      <c r="E360" s="53" t="n"/>
      <c r="F360" s="53" t="n"/>
    </row>
    <row r="361" customFormat="1" s="1916">
      <c r="A361" s="103" t="n"/>
      <c r="B361" s="103" t="n"/>
      <c r="C361" s="2147" t="n"/>
      <c r="D361" s="2147" t="n"/>
      <c r="E361" s="53" t="n"/>
      <c r="F361" s="53" t="n"/>
    </row>
    <row r="362" customFormat="1" s="1916">
      <c r="A362" s="103" t="n"/>
      <c r="B362" s="105" t="n"/>
      <c r="C362" s="2147" t="n"/>
      <c r="D362" s="2147" t="n"/>
      <c r="E362" s="53" t="n"/>
      <c r="G362" s="53" t="n"/>
      <c r="H362" s="53" t="n"/>
      <c r="I362" s="53" t="n"/>
      <c r="J362" s="53" t="n"/>
      <c r="K362" s="53" t="n"/>
      <c r="L362" s="53" t="n"/>
    </row>
    <row r="363" customFormat="1" s="1916">
      <c r="A363" s="53" t="n"/>
      <c r="B363" s="53" t="n"/>
      <c r="C363" s="2145" t="n"/>
      <c r="D363" s="2145" t="n"/>
      <c r="E363" s="53" t="n"/>
      <c r="G363" s="53" t="n"/>
      <c r="H363" s="53" t="n"/>
      <c r="I363" s="53" t="n"/>
      <c r="J363" s="106" t="n"/>
      <c r="K363" s="106" t="n"/>
      <c r="L363" s="106" t="n"/>
    </row>
    <row r="364" customFormat="1" s="1916">
      <c r="A364" s="3" t="n"/>
      <c r="B364" s="2156" t="n"/>
      <c r="C364" s="3" t="n"/>
      <c r="D364" s="2156" t="n"/>
      <c r="E364" s="107" t="n"/>
      <c r="G364" s="53" t="n"/>
      <c r="H364" s="108" t="n"/>
      <c r="I364" s="53" t="n"/>
      <c r="J364" s="106" t="n"/>
      <c r="K364" s="106" t="n"/>
      <c r="L364" s="106" t="n"/>
    </row>
    <row r="365" customFormat="1" s="1916">
      <c r="A365" s="53" t="n"/>
      <c r="B365" s="53" t="n"/>
      <c r="C365" s="53" t="n"/>
      <c r="D365" s="53" t="n"/>
      <c r="E365" s="107" t="n"/>
      <c r="G365" s="53" t="n"/>
      <c r="H365" s="53" t="n"/>
      <c r="I365" s="53" t="n"/>
      <c r="J365" s="2145" t="n"/>
      <c r="K365" s="2145" t="n"/>
      <c r="L365" s="53" t="n"/>
    </row>
    <row r="366" customFormat="1" s="1916">
      <c r="A366" s="53" t="n"/>
      <c r="B366" s="53" t="n"/>
      <c r="C366" s="53" t="n"/>
      <c r="D366" s="106" t="n"/>
      <c r="E366" s="106" t="n"/>
      <c r="G366" s="53" t="n"/>
      <c r="H366" s="93" t="n"/>
      <c r="I366" s="2145" t="n"/>
      <c r="J366" s="2145" t="n"/>
      <c r="K366" s="2145" t="n"/>
      <c r="L366" s="106" t="n"/>
    </row>
    <row r="367" customFormat="1" s="1916">
      <c r="A367" s="53" t="n"/>
      <c r="B367" s="53" t="n"/>
      <c r="C367" s="53" t="n"/>
      <c r="D367" s="53" t="n"/>
      <c r="E367" s="53" t="n"/>
      <c r="G367" s="53" t="n"/>
      <c r="H367" s="93" t="n"/>
      <c r="I367" s="2145" t="n"/>
      <c r="J367" s="2145" t="n"/>
      <c r="K367" s="2145" t="n"/>
      <c r="L367" s="53" t="n"/>
    </row>
    <row r="368" customFormat="1" s="1916">
      <c r="A368" s="53" t="n"/>
      <c r="B368" s="53" t="n"/>
      <c r="C368" s="53" t="n"/>
      <c r="D368" s="106" t="n"/>
      <c r="E368" s="106" t="n"/>
      <c r="G368" s="53" t="n"/>
      <c r="H368" s="93" t="n"/>
      <c r="I368" s="2145" t="n"/>
      <c r="J368" s="2145" t="n"/>
      <c r="K368" s="2145" t="n"/>
      <c r="L368" s="106" t="n"/>
    </row>
    <row r="369" customFormat="1" s="1916">
      <c r="A369" s="53" t="n"/>
      <c r="B369" s="53" t="n"/>
      <c r="C369" s="53" t="n"/>
      <c r="D369" s="2157" t="n"/>
      <c r="E369" s="2157" t="n"/>
      <c r="F369" s="53" t="n"/>
      <c r="G369" s="103" t="n"/>
      <c r="H369" s="103" t="n"/>
      <c r="I369" s="2147" t="n"/>
      <c r="J369" s="2147" t="n"/>
      <c r="K369" s="2145" t="n"/>
      <c r="L369" s="106" t="n"/>
    </row>
    <row r="370" customFormat="1" s="1916">
      <c r="A370" s="53" t="n"/>
      <c r="B370" s="53" t="n"/>
      <c r="C370" s="2145" t="n"/>
      <c r="D370" s="2145" t="n"/>
      <c r="E370" s="2145" t="n"/>
      <c r="F370" s="53" t="n"/>
      <c r="G370" s="53" t="n"/>
      <c r="H370" s="53" t="n"/>
    </row>
    <row r="371" customFormat="1" s="1916">
      <c r="A371" s="53" t="n"/>
      <c r="B371" s="53" t="n"/>
      <c r="C371" s="53" t="n"/>
      <c r="D371" s="2145" t="n"/>
      <c r="E371" s="53" t="n"/>
      <c r="F371" s="53" t="n"/>
      <c r="G371" s="110" t="n"/>
      <c r="H371" s="53" t="n"/>
      <c r="I371" s="53" t="n"/>
      <c r="J371" s="2145" t="n"/>
      <c r="K371" s="2145" t="n"/>
    </row>
    <row r="372" customFormat="1" s="1916">
      <c r="A372" s="53" t="n"/>
      <c r="B372" s="93" t="n"/>
      <c r="C372" s="2145" t="n"/>
      <c r="D372" s="2145" t="n"/>
      <c r="E372" s="53" t="n"/>
      <c r="F372" s="53" t="n"/>
      <c r="G372" s="2156" t="n"/>
      <c r="H372" s="93" t="n"/>
      <c r="I372" s="2145" t="n"/>
      <c r="J372" s="2145" t="n"/>
      <c r="K372" s="2145" t="n"/>
    </row>
    <row r="373" customFormat="1" s="1916">
      <c r="A373" s="53" t="n"/>
      <c r="B373" s="93" t="n"/>
      <c r="C373" s="2145" t="n"/>
      <c r="D373" s="2145" t="n"/>
      <c r="E373" s="53" t="n"/>
      <c r="F373" s="53" t="n"/>
      <c r="G373" s="53" t="n"/>
      <c r="H373" s="93" t="n"/>
      <c r="I373" s="2145" t="n"/>
      <c r="J373" s="2145" t="n"/>
      <c r="K373" s="2145" t="n"/>
    </row>
    <row r="374" customFormat="1" s="1916">
      <c r="A374" s="53" t="n"/>
      <c r="B374" s="93" t="n"/>
      <c r="C374" s="2145" t="n"/>
      <c r="D374" s="2145" t="n"/>
      <c r="E374" s="53" t="n"/>
      <c r="F374" s="53" t="n"/>
      <c r="G374" s="53" t="n"/>
      <c r="H374" s="93" t="n"/>
      <c r="I374" s="2145" t="n"/>
      <c r="J374" s="2145" t="n"/>
      <c r="K374" s="2145" t="n"/>
    </row>
    <row r="375" customFormat="1" s="1916">
      <c r="A375" s="53" t="n"/>
      <c r="B375" s="93" t="n"/>
      <c r="C375" s="2145" t="n"/>
      <c r="D375" s="2145" t="n"/>
      <c r="E375" s="111" t="n"/>
      <c r="F375" s="53" t="n"/>
      <c r="G375" s="53" t="n"/>
      <c r="H375" s="93" t="n"/>
      <c r="I375" s="2145" t="n"/>
      <c r="J375" s="2145" t="n"/>
      <c r="K375" s="2145" t="n"/>
    </row>
    <row r="376" customFormat="1" s="1916">
      <c r="A376" s="53" t="n"/>
      <c r="B376" s="93" t="n"/>
      <c r="C376" s="2145" t="n"/>
      <c r="D376" s="2145" t="n"/>
      <c r="E376" s="53" t="n"/>
      <c r="F376" s="53" t="n"/>
      <c r="G376" s="53" t="n"/>
      <c r="H376" s="93" t="n"/>
      <c r="I376" s="2145" t="n"/>
      <c r="J376" s="2145" t="n"/>
      <c r="K376" s="2145" t="n"/>
    </row>
    <row r="377" customFormat="1" s="1916">
      <c r="A377" s="53" t="n"/>
      <c r="B377" s="93" t="n"/>
      <c r="C377" s="2145" t="n"/>
      <c r="D377" s="2145" t="n"/>
      <c r="E377" s="53" t="n"/>
      <c r="F377" s="53" t="n"/>
      <c r="G377" s="53" t="n"/>
      <c r="H377" s="93" t="n"/>
      <c r="I377" s="2145" t="n"/>
      <c r="J377" s="2145" t="n"/>
      <c r="K377" s="2145" t="n"/>
    </row>
    <row r="378" customFormat="1" s="1916">
      <c r="A378" s="53" t="n"/>
      <c r="B378" s="93" t="n"/>
      <c r="C378" s="2145" t="n"/>
      <c r="D378" s="2145" t="n"/>
      <c r="E378" s="53" t="n"/>
      <c r="F378" s="53" t="n"/>
      <c r="G378" s="53" t="n"/>
      <c r="H378" s="93" t="n"/>
      <c r="I378" s="2145" t="n"/>
      <c r="J378" s="2145" t="n"/>
      <c r="K378" s="2145" t="n"/>
    </row>
    <row r="379" customFormat="1" s="1916">
      <c r="A379" s="103" t="n"/>
      <c r="B379" s="103" t="n"/>
      <c r="C379" s="2147" t="n"/>
      <c r="D379" s="2147" t="n"/>
      <c r="E379" s="53" t="n"/>
      <c r="F379" s="53" t="n"/>
      <c r="G379" s="103" t="n"/>
      <c r="H379" s="103" t="n"/>
      <c r="I379" s="2147" t="n"/>
      <c r="J379" s="2147" t="n"/>
      <c r="K379" s="2147" t="n"/>
    </row>
    <row r="380" customFormat="1" s="1916">
      <c r="A380" s="53" t="n"/>
      <c r="B380" s="53" t="n"/>
      <c r="C380" s="2145" t="n"/>
      <c r="D380" s="2145" t="n"/>
      <c r="E380" s="53" t="n"/>
      <c r="F380" s="53" t="n"/>
    </row>
    <row r="381" customFormat="1" s="1916">
      <c r="A381" s="53" t="n"/>
      <c r="B381" s="53" t="n"/>
      <c r="C381" s="2145" t="n"/>
      <c r="D381" s="2147" t="n"/>
      <c r="E381" s="53" t="n"/>
      <c r="F381" s="53" t="n"/>
    </row>
    <row r="382" customFormat="1" s="1916">
      <c r="A382" s="53" t="n"/>
      <c r="B382" s="53" t="n"/>
      <c r="C382" s="2145" t="n"/>
      <c r="D382" s="2145" t="n"/>
      <c r="E382" s="53" t="n"/>
      <c r="F382" s="53" t="n"/>
    </row>
    <row r="383" customFormat="1" s="1916">
      <c r="A383" s="53" t="n"/>
      <c r="B383" s="53" t="n"/>
      <c r="C383" s="2145" t="n"/>
      <c r="D383" s="2145" t="n"/>
      <c r="E383" s="53" t="n"/>
      <c r="F383" s="53" t="n"/>
    </row>
    <row r="384" customFormat="1" s="1916">
      <c r="A384" s="53" t="n"/>
      <c r="B384" s="112" t="n"/>
      <c r="C384" s="2145" t="n"/>
      <c r="D384" s="2145" t="n"/>
      <c r="E384" s="53" t="n"/>
      <c r="F384" s="53" t="n"/>
    </row>
    <row r="385" customFormat="1" s="1916">
      <c r="A385" s="53" t="n"/>
      <c r="B385" s="112" t="n"/>
      <c r="C385" s="2145" t="n"/>
      <c r="D385" s="2145" t="n"/>
      <c r="E385" s="53" t="n"/>
      <c r="F385" s="53" t="n"/>
    </row>
    <row r="386" customFormat="1" s="1916">
      <c r="A386" s="53" t="n"/>
      <c r="B386" s="113" t="n"/>
      <c r="C386" s="2145" t="n"/>
      <c r="D386" s="2145" t="n"/>
      <c r="E386" s="53" t="n"/>
      <c r="F386" s="53" t="n"/>
    </row>
    <row r="387" customFormat="1" s="1916">
      <c r="A387" s="53" t="n"/>
      <c r="B387" s="113" t="n"/>
      <c r="C387" s="2145" t="n"/>
      <c r="D387" s="2145" t="n"/>
      <c r="E387" s="53" t="n"/>
      <c r="F387" s="53" t="n"/>
    </row>
    <row r="388" customFormat="1" s="1916">
      <c r="A388" s="53" t="n"/>
      <c r="B388" s="113" t="n"/>
      <c r="C388" s="2145" t="n"/>
      <c r="D388" s="2145" t="n"/>
      <c r="E388" s="53" t="n"/>
      <c r="F388" s="53" t="n"/>
    </row>
    <row r="389" customFormat="1" s="1916">
      <c r="A389" s="53" t="n"/>
      <c r="B389" s="113" t="n"/>
      <c r="C389" s="2145" t="n"/>
      <c r="D389" s="2145" t="n"/>
      <c r="E389" s="53" t="n"/>
      <c r="F389" s="53" t="n"/>
    </row>
    <row r="390" customFormat="1" s="1916">
      <c r="A390" s="53" t="n"/>
      <c r="B390" s="112" t="n"/>
      <c r="C390" s="2145" t="n"/>
      <c r="D390" s="2145" t="n"/>
      <c r="E390" s="53" t="n"/>
      <c r="F390" s="53" t="n"/>
    </row>
    <row r="391" customFormat="1" s="1916">
      <c r="A391" s="53" t="n"/>
      <c r="B391" s="112" t="n"/>
      <c r="C391" s="2145" t="n"/>
      <c r="D391" s="2145" t="n"/>
      <c r="E391" s="53" t="n"/>
      <c r="F391" s="53" t="n"/>
    </row>
    <row r="392" customFormat="1" s="1916">
      <c r="A392" s="53" t="n"/>
      <c r="B392" s="112" t="n"/>
      <c r="C392" s="2145" t="n"/>
      <c r="D392" s="2149" t="n"/>
      <c r="E392" s="53" t="n"/>
      <c r="F392" s="53" t="n"/>
      <c r="N392" s="53" t="n"/>
    </row>
    <row r="393" customFormat="1" s="1916">
      <c r="A393" s="53" t="n"/>
      <c r="B393" s="113" t="n"/>
      <c r="C393" s="2145" t="n"/>
      <c r="D393" s="2145" t="n"/>
      <c r="E393" s="53" t="n"/>
      <c r="F393" s="53" t="n"/>
      <c r="G393" s="53" t="n"/>
      <c r="I393" s="2154" t="n"/>
      <c r="N393" s="53" t="n"/>
    </row>
    <row r="394" customFormat="1" s="1916">
      <c r="A394" s="53" t="n"/>
      <c r="B394" s="53" t="n"/>
      <c r="C394" s="2145" t="n"/>
      <c r="D394" s="2145" t="n"/>
      <c r="E394" s="2145" t="n"/>
      <c r="F394" s="2145" t="n"/>
      <c r="N394" s="53" t="n"/>
    </row>
    <row r="395" customFormat="1" s="1916">
      <c r="A395" s="53" t="n"/>
      <c r="B395" s="53" t="n"/>
      <c r="C395" s="2145" t="n"/>
      <c r="D395" s="2145" t="n"/>
      <c r="F395" s="108" t="n"/>
      <c r="N395" s="53" t="n"/>
    </row>
    <row r="396" customFormat="1" s="1916">
      <c r="D396" s="2145" t="n"/>
    </row>
    <row r="397" customFormat="1" s="1916">
      <c r="A397" s="115" t="n"/>
    </row>
    <row r="398" customFormat="1" s="1916"/>
    <row r="399" customFormat="1" s="1916">
      <c r="A399" s="53" t="n"/>
      <c r="B399" s="53" t="n"/>
      <c r="C399" s="53" t="n"/>
      <c r="D399" s="53" t="n"/>
      <c r="L399" s="53" t="n"/>
      <c r="M399" s="53" t="n"/>
      <c r="N399" s="53" t="n"/>
      <c r="O399" s="53" t="n"/>
      <c r="P399" s="53" t="n"/>
    </row>
    <row r="400" customFormat="1" s="1916">
      <c r="A400" s="53" t="n"/>
      <c r="B400" s="53" t="n"/>
      <c r="C400" s="53" t="n"/>
      <c r="D400" s="53" t="n"/>
      <c r="E400" s="53" t="n"/>
      <c r="F400" s="53" t="n"/>
      <c r="L400" s="53" t="n"/>
      <c r="M400" s="53" t="n"/>
      <c r="N400" s="53" t="n"/>
      <c r="O400" s="53" t="n"/>
      <c r="P400" s="2145" t="n"/>
    </row>
    <row r="401" customFormat="1" s="1916">
      <c r="A401" s="53" t="n"/>
      <c r="B401" s="2155" t="n"/>
      <c r="C401" s="2145" t="n"/>
      <c r="D401" s="2145" t="n"/>
      <c r="E401" s="2156" t="n"/>
      <c r="F401" s="53" t="n"/>
      <c r="L401" s="53" t="n"/>
      <c r="M401" s="53" t="n"/>
      <c r="N401" s="2145" t="n"/>
      <c r="O401" s="2145" t="n"/>
      <c r="P401" s="2145" t="n"/>
    </row>
    <row r="402" customFormat="1" s="1916">
      <c r="A402" s="53" t="n"/>
      <c r="B402" s="53" t="n"/>
      <c r="C402" s="2145" t="n"/>
      <c r="D402" s="2145" t="n"/>
      <c r="E402" s="53" t="n"/>
      <c r="F402" s="53" t="n"/>
      <c r="L402" s="53" t="n"/>
      <c r="M402" s="53" t="n"/>
      <c r="N402" s="2145" t="n"/>
      <c r="O402" s="2156" t="n"/>
      <c r="P402" s="2145" t="n"/>
    </row>
    <row r="403" customFormat="1" s="1916">
      <c r="A403" s="53" t="n"/>
      <c r="B403" s="53" t="n"/>
      <c r="C403" s="2145" t="n"/>
      <c r="D403" s="2145" t="n"/>
      <c r="E403" s="53" t="n"/>
      <c r="F403" s="53" t="n"/>
      <c r="L403" s="53" t="n"/>
      <c r="M403" s="53" t="n"/>
      <c r="N403" s="2145" t="n"/>
      <c r="O403" s="2156" t="n"/>
      <c r="P403" s="2145" t="n"/>
    </row>
    <row r="404" customFormat="1" s="1916">
      <c r="A404" s="53" t="n"/>
      <c r="B404" s="53" t="n"/>
      <c r="C404" s="2145" t="n"/>
      <c r="D404" s="2145" t="n"/>
      <c r="E404" s="53" t="n"/>
      <c r="F404" s="53" t="n"/>
      <c r="L404" s="53" t="n"/>
      <c r="M404" s="2145" t="n"/>
      <c r="N404" s="2149" t="n"/>
      <c r="O404" s="53" t="n"/>
      <c r="P404" s="53" t="n"/>
      <c r="Q404" s="53" t="n"/>
      <c r="R404" s="53" t="n"/>
      <c r="S404" s="53" t="n"/>
    </row>
    <row r="405" customFormat="1" s="1916">
      <c r="A405" s="53" t="n"/>
      <c r="B405" s="53" t="n"/>
      <c r="C405" s="2145" t="n"/>
      <c r="D405" s="2145" t="n"/>
      <c r="E405" s="53" t="n"/>
      <c r="F405" s="53" t="n"/>
      <c r="L405" s="53" t="n"/>
      <c r="M405" s="53" t="n"/>
      <c r="N405" s="2149" t="n"/>
      <c r="O405" s="53" t="n"/>
      <c r="P405" s="53" t="n"/>
      <c r="Q405" s="2145" t="n"/>
      <c r="R405" s="2145" t="n"/>
      <c r="S405" s="53" t="n"/>
    </row>
    <row r="406" customFormat="1" s="1916">
      <c r="A406" s="53" t="n"/>
      <c r="B406" s="53" t="n"/>
      <c r="C406" s="2145" t="n"/>
      <c r="D406" s="2145" t="n"/>
      <c r="E406" s="53" t="n"/>
      <c r="F406" s="53" t="n"/>
      <c r="L406" s="53" t="n"/>
      <c r="M406" s="53" t="n"/>
      <c r="N406" s="2149" t="n"/>
      <c r="O406" s="53" t="n"/>
      <c r="P406" s="53" t="n"/>
      <c r="Q406" s="2145" t="n"/>
      <c r="R406" s="2145" t="n"/>
      <c r="S406" s="53" t="n"/>
    </row>
    <row r="407" customFormat="1" s="1916">
      <c r="A407" s="53" t="n"/>
      <c r="B407" s="53" t="n"/>
      <c r="C407" s="2145" t="n"/>
      <c r="D407" s="2145" t="n"/>
      <c r="E407" s="53" t="n"/>
      <c r="F407" s="53" t="n"/>
      <c r="L407" s="53" t="n"/>
      <c r="M407" s="53" t="n"/>
      <c r="N407" s="2149" t="n"/>
      <c r="O407" s="53" t="n"/>
      <c r="P407" s="53" t="n"/>
      <c r="Q407" s="2145" t="n"/>
      <c r="R407" s="2145" t="n"/>
      <c r="S407" s="53" t="n"/>
    </row>
    <row r="408" customFormat="1" s="1916">
      <c r="A408" s="53" t="n"/>
      <c r="B408" s="53" t="n"/>
      <c r="C408" s="2145" t="n"/>
      <c r="D408" s="2145" t="n"/>
      <c r="E408" s="53" t="n"/>
      <c r="F408" s="53" t="n"/>
      <c r="L408" s="53" t="n"/>
      <c r="M408" s="53" t="n"/>
      <c r="N408" s="2149" t="n"/>
      <c r="O408" s="53" t="n"/>
      <c r="P408" s="53" t="n"/>
      <c r="Q408" s="2145" t="n"/>
      <c r="R408" s="2145" t="n"/>
      <c r="S408" s="53" t="n"/>
    </row>
    <row r="409" customFormat="1" s="1916">
      <c r="A409" s="53" t="n"/>
      <c r="B409" s="53" t="n"/>
      <c r="C409" s="2145" t="n"/>
      <c r="D409" s="2145" t="n"/>
      <c r="E409" s="53" t="n"/>
      <c r="F409" s="53" t="n"/>
      <c r="L409" s="53" t="n"/>
      <c r="M409" s="53" t="n"/>
      <c r="N409" s="2149" t="n"/>
      <c r="O409" s="53" t="n"/>
      <c r="P409" s="53" t="n"/>
      <c r="Q409" s="53" t="n"/>
      <c r="R409" s="53" t="n"/>
      <c r="S409" s="53" t="n"/>
    </row>
    <row r="410" customFormat="1" s="1916">
      <c r="A410" s="53" t="n"/>
      <c r="B410" s="53" t="n"/>
      <c r="C410" s="2145" t="n"/>
      <c r="D410" s="2145" t="n"/>
      <c r="E410" s="53" t="n"/>
      <c r="F410" s="53" t="n"/>
      <c r="L410" s="53" t="n"/>
      <c r="M410" s="53" t="n"/>
      <c r="N410" s="2149" t="n"/>
      <c r="O410" s="53" t="n"/>
      <c r="P410" s="53" t="n"/>
      <c r="Q410" s="53" t="n"/>
      <c r="R410" s="53" t="n"/>
      <c r="S410" s="53" t="n"/>
    </row>
    <row r="411" customFormat="1" s="1916">
      <c r="A411" s="53" t="n"/>
      <c r="B411" s="53" t="n"/>
      <c r="C411" s="2145" t="n"/>
      <c r="D411" s="2145" t="n"/>
      <c r="E411" s="53" t="n"/>
      <c r="F411" s="53" t="n"/>
      <c r="Q411" s="53" t="n"/>
      <c r="R411" s="53" t="n"/>
      <c r="S411" s="53" t="n"/>
    </row>
    <row r="412" customFormat="1" s="1916">
      <c r="A412" s="53" t="n"/>
      <c r="B412" s="53" t="n"/>
      <c r="C412" s="2145" t="n"/>
      <c r="D412" s="2145" t="n"/>
      <c r="E412" s="53" t="n"/>
      <c r="F412" s="53" t="n"/>
      <c r="Q412" s="53" t="n"/>
      <c r="R412" s="53" t="n"/>
      <c r="S412" s="53" t="n"/>
    </row>
    <row r="413" customFormat="1" s="1916">
      <c r="A413" s="53" t="n"/>
      <c r="B413" s="53" t="n"/>
      <c r="C413" s="2145" t="n"/>
      <c r="D413" s="2145" t="n"/>
      <c r="E413" s="2156" t="n"/>
      <c r="F413" s="53" t="n"/>
      <c r="Q413" s="53" t="n"/>
      <c r="R413" s="53" t="n"/>
      <c r="S413" s="53" t="n"/>
    </row>
    <row r="414" customFormat="1" s="1916">
      <c r="A414" s="53" t="n"/>
      <c r="B414" s="53" t="n"/>
      <c r="C414" s="2145" t="n"/>
      <c r="D414" s="2145" t="n"/>
      <c r="E414" s="53" t="n"/>
      <c r="F414" s="53" t="n"/>
      <c r="Q414" s="53" t="n"/>
      <c r="R414" s="53" t="n"/>
      <c r="S414" s="53" t="n"/>
    </row>
    <row r="415" customFormat="1" s="1916">
      <c r="A415" s="53" t="n"/>
      <c r="B415" s="53" t="n"/>
      <c r="C415" s="2145" t="n"/>
      <c r="D415" s="2145" t="n"/>
      <c r="E415" s="53" t="n"/>
      <c r="F415" s="53" t="n"/>
      <c r="Q415" s="53" t="n"/>
      <c r="R415" s="53" t="n"/>
      <c r="S415" s="53" t="n"/>
    </row>
    <row r="416" customFormat="1" s="1916">
      <c r="A416" s="53" t="n"/>
      <c r="B416" s="53" t="n"/>
      <c r="C416" s="2145" t="n"/>
      <c r="D416" s="2145" t="n"/>
      <c r="E416" s="53" t="n"/>
      <c r="F416" s="53" t="n"/>
    </row>
    <row r="417" customFormat="1" s="1916">
      <c r="A417" s="53" t="n"/>
      <c r="B417" s="53" t="n"/>
      <c r="C417" s="2145" t="n"/>
      <c r="D417" s="2145" t="n"/>
      <c r="E417" s="53" t="n"/>
      <c r="F417" s="53" t="n"/>
    </row>
    <row r="418" customFormat="1" s="1916">
      <c r="A418" s="103" t="n"/>
      <c r="B418" s="103" t="n"/>
      <c r="C418" s="2147" t="n"/>
      <c r="D418" s="2147" t="n"/>
      <c r="E418" s="53" t="n"/>
      <c r="F418" s="53" t="n"/>
    </row>
    <row r="419" customFormat="1" s="1916">
      <c r="A419" s="103" t="n"/>
      <c r="B419" s="105" t="n"/>
      <c r="C419" s="2147" t="n"/>
      <c r="D419" s="2147" t="n"/>
      <c r="E419" s="53" t="n"/>
      <c r="F419" s="53" t="n"/>
    </row>
    <row r="420" customFormat="1" s="1916">
      <c r="A420" s="103" t="n"/>
      <c r="B420" s="103" t="n"/>
      <c r="C420" s="2147" t="n"/>
      <c r="D420" s="2147" t="n"/>
      <c r="E420" s="53" t="n"/>
      <c r="F420" s="53" t="n"/>
    </row>
    <row r="421" customFormat="1" s="1916">
      <c r="A421" s="103" t="n"/>
      <c r="B421" s="105" t="n"/>
      <c r="C421" s="2147" t="n"/>
      <c r="D421" s="2147" t="n"/>
      <c r="E421" s="53" t="n"/>
      <c r="G421" s="53" t="n"/>
      <c r="H421" s="53" t="n"/>
      <c r="I421" s="53" t="n"/>
      <c r="J421" s="53" t="n"/>
      <c r="K421" s="53" t="n"/>
      <c r="L421" s="53" t="n"/>
    </row>
    <row r="422" customFormat="1" s="1916">
      <c r="A422" s="53" t="n"/>
      <c r="B422" s="53" t="n"/>
      <c r="C422" s="2145" t="n"/>
      <c r="D422" s="2145" t="n"/>
      <c r="E422" s="53" t="n"/>
      <c r="G422" s="53" t="n"/>
      <c r="H422" s="53" t="n"/>
      <c r="I422" s="53" t="n"/>
      <c r="J422" s="106" t="n"/>
      <c r="K422" s="106" t="n"/>
      <c r="L422" s="106" t="n"/>
    </row>
    <row r="423" customFormat="1" s="1916">
      <c r="A423" s="3" t="n"/>
      <c r="B423" s="2156" t="n"/>
      <c r="C423" s="3" t="n"/>
      <c r="D423" s="2156" t="n"/>
      <c r="E423" s="107" t="n"/>
      <c r="G423" s="53" t="n"/>
      <c r="H423" s="108" t="n"/>
      <c r="I423" s="53" t="n"/>
      <c r="J423" s="106" t="n"/>
      <c r="K423" s="106" t="n"/>
      <c r="L423" s="106" t="n"/>
    </row>
    <row r="424" customFormat="1" s="1916">
      <c r="A424" s="53" t="n"/>
      <c r="B424" s="53" t="n"/>
      <c r="C424" s="53" t="n"/>
      <c r="D424" s="53" t="n"/>
      <c r="E424" s="107" t="n"/>
      <c r="G424" s="53" t="n"/>
      <c r="H424" s="53" t="n"/>
      <c r="I424" s="53" t="n"/>
      <c r="J424" s="2145" t="n"/>
      <c r="K424" s="2145" t="n"/>
      <c r="L424" s="53" t="n"/>
    </row>
    <row r="425" customFormat="1" s="1916">
      <c r="A425" s="53" t="n"/>
      <c r="B425" s="53" t="n"/>
      <c r="C425" s="53" t="n"/>
      <c r="D425" s="106" t="n"/>
      <c r="E425" s="106" t="n"/>
      <c r="G425" s="53" t="n"/>
      <c r="H425" s="93" t="n"/>
      <c r="I425" s="2145" t="n"/>
      <c r="J425" s="2145" t="n"/>
      <c r="K425" s="2145" t="n"/>
      <c r="L425" s="106" t="n"/>
    </row>
    <row r="426" customFormat="1" s="1916">
      <c r="A426" s="53" t="n"/>
      <c r="B426" s="53" t="n"/>
      <c r="C426" s="53" t="n"/>
      <c r="D426" s="53" t="n"/>
      <c r="E426" s="53" t="n"/>
      <c r="G426" s="53" t="n"/>
      <c r="H426" s="93" t="n"/>
      <c r="I426" s="2145" t="n"/>
      <c r="J426" s="2145" t="n"/>
      <c r="K426" s="2145" t="n"/>
      <c r="L426" s="53" t="n"/>
    </row>
    <row r="427" customFormat="1" s="1916">
      <c r="A427" s="53" t="n"/>
      <c r="B427" s="53" t="n"/>
      <c r="C427" s="53" t="n"/>
      <c r="D427" s="106" t="n"/>
      <c r="E427" s="106" t="n"/>
      <c r="G427" s="53" t="n"/>
      <c r="H427" s="93" t="n"/>
      <c r="I427" s="2145" t="n"/>
      <c r="J427" s="2145" t="n"/>
      <c r="K427" s="2145" t="n"/>
      <c r="L427" s="106" t="n"/>
    </row>
    <row r="428" customFormat="1" s="1916">
      <c r="A428" s="53" t="n"/>
      <c r="B428" s="53" t="n"/>
      <c r="C428" s="53" t="n"/>
      <c r="D428" s="2157" t="n"/>
      <c r="E428" s="2157" t="n"/>
      <c r="F428" s="53" t="n"/>
      <c r="G428" s="103" t="n"/>
      <c r="H428" s="103" t="n"/>
      <c r="I428" s="2147" t="n"/>
      <c r="J428" s="2147" t="n"/>
      <c r="K428" s="2145" t="n"/>
      <c r="L428" s="106" t="n"/>
    </row>
    <row r="429" customFormat="1" s="1916">
      <c r="A429" s="53" t="n"/>
      <c r="B429" s="53" t="n"/>
      <c r="C429" s="2145" t="n"/>
      <c r="D429" s="2145" t="n"/>
      <c r="E429" s="2145" t="n"/>
      <c r="F429" s="53" t="n"/>
      <c r="G429" s="53" t="n"/>
      <c r="H429" s="53" t="n"/>
    </row>
    <row r="430" customFormat="1" s="1916">
      <c r="A430" s="53" t="n"/>
      <c r="B430" s="53" t="n"/>
      <c r="C430" s="53" t="n"/>
      <c r="D430" s="2145" t="n"/>
      <c r="E430" s="53" t="n"/>
      <c r="F430" s="53" t="n"/>
      <c r="G430" s="110" t="n"/>
      <c r="H430" s="53" t="n"/>
      <c r="I430" s="53" t="n"/>
      <c r="J430" s="2145" t="n"/>
      <c r="K430" s="2145" t="n"/>
    </row>
    <row r="431" customFormat="1" s="1916">
      <c r="A431" s="53" t="n"/>
      <c r="B431" s="93" t="n"/>
      <c r="C431" s="2145" t="n"/>
      <c r="D431" s="2145" t="n"/>
      <c r="E431" s="53" t="n"/>
      <c r="F431" s="53" t="n"/>
      <c r="G431" s="2156" t="n"/>
      <c r="H431" s="93" t="n"/>
      <c r="I431" s="2145" t="n"/>
      <c r="J431" s="2145" t="n"/>
      <c r="K431" s="2145" t="n"/>
    </row>
    <row r="432" customFormat="1" s="1916">
      <c r="A432" s="53" t="n"/>
      <c r="B432" s="93" t="n"/>
      <c r="C432" s="2145" t="n"/>
      <c r="D432" s="2145" t="n"/>
      <c r="E432" s="53" t="n"/>
      <c r="F432" s="53" t="n"/>
      <c r="G432" s="53" t="n"/>
      <c r="H432" s="93" t="n"/>
      <c r="I432" s="2145" t="n"/>
      <c r="J432" s="2145" t="n"/>
      <c r="K432" s="2145" t="n"/>
    </row>
    <row r="433" customFormat="1" s="1916">
      <c r="A433" s="53" t="n"/>
      <c r="B433" s="93" t="n"/>
      <c r="C433" s="2145" t="n"/>
      <c r="D433" s="2145" t="n"/>
      <c r="E433" s="53" t="n"/>
      <c r="F433" s="53" t="n"/>
      <c r="G433" s="53" t="n"/>
      <c r="H433" s="93" t="n"/>
      <c r="I433" s="2145" t="n"/>
      <c r="J433" s="2145" t="n"/>
      <c r="K433" s="2145" t="n"/>
    </row>
    <row r="434" customFormat="1" s="1916">
      <c r="A434" s="53" t="n"/>
      <c r="B434" s="93" t="n"/>
      <c r="C434" s="2145" t="n"/>
      <c r="D434" s="2145" t="n"/>
      <c r="E434" s="111" t="n"/>
      <c r="F434" s="53" t="n"/>
      <c r="G434" s="53" t="n"/>
      <c r="H434" s="93" t="n"/>
      <c r="I434" s="2145" t="n"/>
      <c r="J434" s="2145" t="n"/>
      <c r="K434" s="2145" t="n"/>
    </row>
    <row r="435" customFormat="1" s="1916">
      <c r="A435" s="53" t="n"/>
      <c r="B435" s="93" t="n"/>
      <c r="C435" s="2145" t="n"/>
      <c r="D435" s="2145" t="n"/>
      <c r="E435" s="53" t="n"/>
      <c r="F435" s="53" t="n"/>
      <c r="G435" s="53" t="n"/>
      <c r="H435" s="93" t="n"/>
      <c r="I435" s="2145" t="n"/>
      <c r="J435" s="2145" t="n"/>
      <c r="K435" s="2145" t="n"/>
    </row>
    <row r="436" customFormat="1" s="1916">
      <c r="A436" s="53" t="n"/>
      <c r="B436" s="93" t="n"/>
      <c r="C436" s="2145" t="n"/>
      <c r="D436" s="2145" t="n"/>
      <c r="E436" s="53" t="n"/>
      <c r="F436" s="53" t="n"/>
      <c r="G436" s="53" t="n"/>
      <c r="H436" s="93" t="n"/>
      <c r="I436" s="2145" t="n"/>
      <c r="J436" s="2145" t="n"/>
      <c r="K436" s="2145" t="n"/>
    </row>
    <row r="437" customFormat="1" s="1916">
      <c r="A437" s="53" t="n"/>
      <c r="B437" s="93" t="n"/>
      <c r="C437" s="2145" t="n"/>
      <c r="D437" s="2145" t="n"/>
      <c r="E437" s="53" t="n"/>
      <c r="F437" s="53" t="n"/>
      <c r="G437" s="53" t="n"/>
      <c r="H437" s="93" t="n"/>
      <c r="I437" s="2145" t="n"/>
      <c r="J437" s="2145" t="n"/>
      <c r="K437" s="2145" t="n"/>
    </row>
    <row r="438" customFormat="1" s="1916">
      <c r="A438" s="103" t="n"/>
      <c r="B438" s="103" t="n"/>
      <c r="C438" s="2147" t="n"/>
      <c r="D438" s="2147" t="n"/>
      <c r="E438" s="53" t="n"/>
      <c r="F438" s="53" t="n"/>
      <c r="G438" s="103" t="n"/>
      <c r="H438" s="103" t="n"/>
      <c r="I438" s="2147" t="n"/>
      <c r="J438" s="2147" t="n"/>
      <c r="K438" s="2147" t="n"/>
    </row>
    <row r="439" customFormat="1" s="1916">
      <c r="A439" s="53" t="n"/>
      <c r="B439" s="53" t="n"/>
      <c r="C439" s="2145" t="n"/>
      <c r="D439" s="2145" t="n"/>
      <c r="E439" s="53" t="n"/>
      <c r="F439" s="53" t="n"/>
    </row>
    <row r="440" customFormat="1" s="1916">
      <c r="A440" s="53" t="n"/>
      <c r="B440" s="53" t="n"/>
      <c r="C440" s="2145" t="n"/>
      <c r="D440" s="2147" t="n"/>
      <c r="E440" s="53" t="n"/>
      <c r="F440" s="53" t="n"/>
    </row>
    <row r="441" customFormat="1" s="1916">
      <c r="A441" s="53" t="n"/>
      <c r="B441" s="53" t="n"/>
      <c r="C441" s="2145" t="n"/>
      <c r="D441" s="2145" t="n"/>
      <c r="E441" s="53" t="n"/>
      <c r="F441" s="53" t="n"/>
    </row>
    <row r="442" customFormat="1" s="1916">
      <c r="A442" s="53" t="n"/>
      <c r="B442" s="53" t="n"/>
      <c r="C442" s="2145" t="n"/>
      <c r="D442" s="2145" t="n"/>
      <c r="E442" s="53" t="n"/>
      <c r="F442" s="53" t="n"/>
    </row>
    <row r="443" customFormat="1" s="1916">
      <c r="A443" s="53" t="n"/>
      <c r="B443" s="112" t="n"/>
      <c r="C443" s="2145" t="n"/>
      <c r="D443" s="2145" t="n"/>
      <c r="E443" s="53" t="n"/>
      <c r="F443" s="53" t="n"/>
    </row>
    <row r="444" customFormat="1" s="1916">
      <c r="A444" s="53" t="n"/>
      <c r="B444" s="112" t="n"/>
      <c r="C444" s="2145" t="n"/>
      <c r="D444" s="2145" t="n"/>
      <c r="E444" s="53" t="n"/>
      <c r="F444" s="53" t="n"/>
    </row>
    <row r="445" customFormat="1" s="1916">
      <c r="A445" s="53" t="n"/>
      <c r="B445" s="113" t="n"/>
      <c r="C445" s="2145" t="n"/>
      <c r="D445" s="2145" t="n"/>
      <c r="E445" s="53" t="n"/>
      <c r="F445" s="53" t="n"/>
    </row>
    <row r="446" customFormat="1" s="1916">
      <c r="A446" s="53" t="n"/>
      <c r="B446" s="113" t="n"/>
      <c r="C446" s="2145" t="n"/>
      <c r="D446" s="2145" t="n"/>
      <c r="E446" s="53" t="n"/>
      <c r="F446" s="53" t="n"/>
    </row>
    <row r="447" customFormat="1" s="1916">
      <c r="A447" s="53" t="n"/>
      <c r="B447" s="113" t="n"/>
      <c r="C447" s="2145" t="n"/>
      <c r="D447" s="2145" t="n"/>
      <c r="E447" s="53" t="n"/>
      <c r="F447" s="53" t="n"/>
    </row>
    <row r="448" customFormat="1" s="1916">
      <c r="A448" s="53" t="n"/>
      <c r="B448" s="113" t="n"/>
      <c r="C448" s="2145" t="n"/>
      <c r="D448" s="2145" t="n"/>
      <c r="E448" s="53" t="n"/>
      <c r="F448" s="53" t="n"/>
    </row>
    <row r="449" customFormat="1" s="1916">
      <c r="A449" s="53" t="n"/>
      <c r="B449" s="112" t="n"/>
      <c r="C449" s="2145" t="n"/>
      <c r="D449" s="2145" t="n"/>
      <c r="E449" s="53" t="n"/>
      <c r="F449" s="53" t="n"/>
    </row>
    <row r="450" customFormat="1" s="1916">
      <c r="A450" s="53" t="n"/>
      <c r="B450" s="112" t="n"/>
      <c r="C450" s="2145" t="n"/>
      <c r="D450" s="2145" t="n"/>
      <c r="E450" s="53" t="n"/>
      <c r="F450" s="53" t="n"/>
    </row>
    <row r="451" customFormat="1" s="1916">
      <c r="A451" s="53" t="n"/>
      <c r="B451" s="112" t="n"/>
      <c r="C451" s="2145" t="n"/>
      <c r="D451" s="2149" t="n"/>
      <c r="E451" s="53" t="n"/>
      <c r="F451" s="53" t="n"/>
      <c r="N451" s="53" t="n"/>
    </row>
    <row r="452" customFormat="1" s="1916">
      <c r="A452" s="53" t="n"/>
      <c r="B452" s="113" t="n"/>
      <c r="C452" s="2145" t="n"/>
      <c r="D452" s="2145" t="n"/>
      <c r="E452" s="53" t="n"/>
      <c r="F452" s="53" t="n"/>
      <c r="G452" s="53" t="n"/>
      <c r="I452" s="2154" t="n"/>
      <c r="N452" s="53" t="n"/>
    </row>
    <row r="453" customFormat="1" s="1916">
      <c r="A453" s="53" t="n"/>
      <c r="B453" s="53" t="n"/>
      <c r="C453" s="2145" t="n"/>
      <c r="D453" s="2145" t="n"/>
      <c r="E453" s="2145" t="n"/>
      <c r="F453" s="2145" t="n"/>
      <c r="N453" s="53" t="n"/>
    </row>
    <row r="454" customFormat="1" s="1916">
      <c r="A454" s="53" t="n"/>
      <c r="B454" s="53" t="n"/>
      <c r="C454" s="2145" t="n"/>
      <c r="D454" s="2145" t="n"/>
      <c r="F454" s="108" t="n"/>
      <c r="N454" s="53" t="n"/>
    </row>
    <row r="455" customFormat="1" s="1916">
      <c r="D455" s="2145" t="n"/>
    </row>
    <row r="456" customFormat="1" s="1916"/>
    <row r="457" customFormat="1" s="1916"/>
    <row r="458" customFormat="1" s="1916">
      <c r="A458" s="53" t="n"/>
      <c r="B458" s="53" t="n"/>
      <c r="C458" s="53" t="n"/>
      <c r="D458" s="53" t="n"/>
      <c r="L458" s="53" t="n"/>
      <c r="M458" s="53" t="n"/>
      <c r="N458" s="53" t="n"/>
      <c r="O458" s="53" t="n"/>
      <c r="P458" s="53" t="n"/>
    </row>
    <row r="459" customFormat="1" s="1916">
      <c r="A459" s="53" t="n"/>
      <c r="B459" s="53" t="n"/>
      <c r="C459" s="53" t="n"/>
      <c r="D459" s="53" t="n"/>
      <c r="E459" s="53" t="n"/>
      <c r="F459" s="53" t="n"/>
      <c r="L459" s="53" t="n"/>
      <c r="M459" s="53" t="n"/>
      <c r="N459" s="53" t="n"/>
      <c r="O459" s="53" t="n"/>
      <c r="P459" s="2145" t="n"/>
    </row>
    <row r="460" customFormat="1" s="1916">
      <c r="A460" s="53" t="n"/>
      <c r="B460" s="2155" t="n"/>
      <c r="C460" s="2145" t="n"/>
      <c r="D460" s="2145" t="n"/>
      <c r="E460" s="2156" t="n"/>
      <c r="F460" s="53" t="n"/>
      <c r="L460" s="53" t="n"/>
      <c r="M460" s="53" t="n"/>
      <c r="N460" s="2145" t="n"/>
      <c r="O460" s="2145" t="n"/>
      <c r="P460" s="2145" t="n"/>
    </row>
    <row r="461" customFormat="1" s="1916">
      <c r="A461" s="53" t="n"/>
      <c r="B461" s="53" t="n"/>
      <c r="C461" s="2145" t="n"/>
      <c r="D461" s="2145" t="n"/>
      <c r="E461" s="53" t="n"/>
      <c r="F461" s="53" t="n"/>
      <c r="L461" s="53" t="n"/>
      <c r="M461" s="53" t="n"/>
      <c r="N461" s="2145" t="n"/>
      <c r="O461" s="2156" t="n"/>
      <c r="P461" s="2145" t="n"/>
    </row>
    <row r="462" customFormat="1" s="1916">
      <c r="A462" s="53" t="n"/>
      <c r="B462" s="53" t="n"/>
      <c r="C462" s="2145" t="n"/>
      <c r="D462" s="2145" t="n"/>
      <c r="E462" s="53" t="n"/>
      <c r="F462" s="53" t="n"/>
      <c r="L462" s="53" t="n"/>
      <c r="M462" s="53" t="n"/>
      <c r="N462" s="2145" t="n"/>
      <c r="O462" s="2156" t="n"/>
      <c r="P462" s="2145" t="n"/>
    </row>
    <row r="463" customFormat="1" s="1916">
      <c r="A463" s="53" t="n"/>
      <c r="B463" s="53" t="n"/>
      <c r="C463" s="2145" t="n"/>
      <c r="D463" s="2145" t="n"/>
      <c r="E463" s="53" t="n"/>
      <c r="F463" s="53" t="n"/>
      <c r="L463" s="53" t="n"/>
      <c r="M463" s="2145" t="n"/>
      <c r="N463" s="2149" t="n"/>
      <c r="O463" s="53" t="n"/>
      <c r="P463" s="53" t="n"/>
      <c r="Q463" s="53" t="n"/>
      <c r="R463" s="53" t="n"/>
      <c r="S463" s="53" t="n"/>
    </row>
    <row r="464" customFormat="1" s="1916">
      <c r="A464" s="53" t="n"/>
      <c r="B464" s="53" t="n"/>
      <c r="C464" s="2145" t="n"/>
      <c r="D464" s="2145" t="n"/>
      <c r="E464" s="53" t="n"/>
      <c r="F464" s="53" t="n"/>
      <c r="L464" s="53" t="n"/>
      <c r="M464" s="53" t="n"/>
      <c r="N464" s="2149" t="n"/>
      <c r="O464" s="53" t="n"/>
      <c r="P464" s="53" t="n"/>
      <c r="Q464" s="2145" t="n"/>
      <c r="R464" s="2145" t="n"/>
      <c r="S464" s="53" t="n"/>
    </row>
    <row r="465" customFormat="1" s="1916">
      <c r="A465" s="53" t="n"/>
      <c r="B465" s="53" t="n"/>
      <c r="C465" s="2145" t="n"/>
      <c r="D465" s="2145" t="n"/>
      <c r="E465" s="53" t="n"/>
      <c r="F465" s="53" t="n"/>
      <c r="L465" s="53" t="n"/>
      <c r="M465" s="53" t="n"/>
      <c r="N465" s="2149" t="n"/>
      <c r="O465" s="53" t="n"/>
      <c r="P465" s="53" t="n"/>
      <c r="Q465" s="2145" t="n"/>
      <c r="R465" s="2145" t="n"/>
      <c r="S465" s="53" t="n"/>
    </row>
    <row r="466" customFormat="1" s="1916">
      <c r="A466" s="53" t="n"/>
      <c r="B466" s="53" t="n"/>
      <c r="C466" s="2145" t="n"/>
      <c r="D466" s="2145" t="n"/>
      <c r="E466" s="53" t="n"/>
      <c r="F466" s="53" t="n"/>
      <c r="L466" s="53" t="n"/>
      <c r="M466" s="53" t="n"/>
      <c r="N466" s="2149" t="n"/>
      <c r="O466" s="53" t="n"/>
      <c r="P466" s="53" t="n"/>
      <c r="Q466" s="2145" t="n"/>
      <c r="R466" s="2145" t="n"/>
      <c r="S466" s="53" t="n"/>
    </row>
    <row r="467" customFormat="1" s="1916">
      <c r="A467" s="53" t="n"/>
      <c r="B467" s="53" t="n"/>
      <c r="C467" s="2145" t="n"/>
      <c r="D467" s="2145" t="n"/>
      <c r="E467" s="53" t="n"/>
      <c r="F467" s="53" t="n"/>
      <c r="L467" s="53" t="n"/>
      <c r="M467" s="53" t="n"/>
      <c r="N467" s="2149" t="n"/>
      <c r="O467" s="53" t="n"/>
      <c r="P467" s="53" t="n"/>
      <c r="Q467" s="2145" t="n"/>
      <c r="R467" s="2145" t="n"/>
      <c r="S467" s="53" t="n"/>
    </row>
    <row r="468" customFormat="1" s="1916">
      <c r="A468" s="53" t="n"/>
      <c r="B468" s="53" t="n"/>
      <c r="C468" s="2145" t="n"/>
      <c r="D468" s="2145" t="n"/>
      <c r="E468" s="53" t="n"/>
      <c r="F468" s="53" t="n"/>
      <c r="L468" s="53" t="n"/>
      <c r="M468" s="53" t="n"/>
      <c r="N468" s="2149" t="n"/>
      <c r="O468" s="53" t="n"/>
      <c r="P468" s="53" t="n"/>
      <c r="Q468" s="53" t="n"/>
      <c r="R468" s="53" t="n"/>
      <c r="S468" s="53" t="n"/>
    </row>
    <row r="469" customFormat="1" s="1916">
      <c r="A469" s="53" t="n"/>
      <c r="B469" s="53" t="n"/>
      <c r="C469" s="2145" t="n"/>
      <c r="D469" s="2145" t="n"/>
      <c r="E469" s="53" t="n"/>
      <c r="F469" s="53" t="n"/>
      <c r="L469" s="53" t="n"/>
      <c r="M469" s="53" t="n"/>
      <c r="N469" s="2149" t="n"/>
      <c r="O469" s="53" t="n"/>
      <c r="P469" s="53" t="n"/>
      <c r="Q469" s="53" t="n"/>
      <c r="R469" s="53" t="n"/>
      <c r="S469" s="53" t="n"/>
    </row>
    <row r="470" customFormat="1" s="1916">
      <c r="A470" s="53" t="n"/>
      <c r="B470" s="53" t="n"/>
      <c r="C470" s="2145" t="n"/>
      <c r="D470" s="2145" t="n"/>
      <c r="E470" s="53" t="n"/>
      <c r="F470" s="53" t="n"/>
      <c r="Q470" s="53" t="n"/>
      <c r="R470" s="53" t="n"/>
      <c r="S470" s="53" t="n"/>
    </row>
    <row r="471" customFormat="1" s="1916">
      <c r="A471" s="53" t="n"/>
      <c r="B471" s="53" t="n"/>
      <c r="C471" s="2145" t="n"/>
      <c r="D471" s="2145" t="n"/>
      <c r="E471" s="53" t="n"/>
      <c r="F471" s="53" t="n"/>
      <c r="Q471" s="53" t="n"/>
      <c r="R471" s="53" t="n"/>
      <c r="S471" s="53" t="n"/>
    </row>
    <row r="472" customFormat="1" s="1916">
      <c r="A472" s="53" t="n"/>
      <c r="B472" s="53" t="n"/>
      <c r="C472" s="2145" t="n"/>
      <c r="D472" s="2145" t="n"/>
      <c r="E472" s="2156" t="n"/>
      <c r="F472" s="53" t="n"/>
      <c r="Q472" s="53" t="n"/>
      <c r="R472" s="53" t="n"/>
      <c r="S472" s="53" t="n"/>
    </row>
    <row r="473" customFormat="1" s="1916">
      <c r="A473" s="53" t="n"/>
      <c r="B473" s="53" t="n"/>
      <c r="C473" s="2145" t="n"/>
      <c r="D473" s="2145" t="n"/>
      <c r="E473" s="53" t="n"/>
      <c r="F473" s="53" t="n"/>
      <c r="Q473" s="53" t="n"/>
      <c r="R473" s="53" t="n"/>
      <c r="S473" s="53" t="n"/>
    </row>
    <row r="474" customFormat="1" s="1916">
      <c r="A474" s="53" t="n"/>
      <c r="B474" s="53" t="n"/>
      <c r="C474" s="2145" t="n"/>
      <c r="D474" s="2145" t="n"/>
      <c r="E474" s="53" t="n"/>
      <c r="F474" s="53" t="n"/>
      <c r="Q474" s="53" t="n"/>
      <c r="R474" s="53" t="n"/>
      <c r="S474" s="53" t="n"/>
    </row>
    <row r="475" customFormat="1" s="1916">
      <c r="A475" s="53" t="n"/>
      <c r="B475" s="53" t="n"/>
      <c r="C475" s="2145" t="n"/>
      <c r="D475" s="2145" t="n"/>
      <c r="E475" s="53" t="n"/>
      <c r="F475" s="53" t="n"/>
    </row>
    <row r="476" customFormat="1" s="1916">
      <c r="A476" s="53" t="n"/>
      <c r="B476" s="53" t="n"/>
      <c r="C476" s="2145" t="n"/>
      <c r="D476" s="2145" t="n"/>
      <c r="E476" s="53" t="n"/>
      <c r="F476" s="53" t="n"/>
    </row>
    <row r="477" customFormat="1" s="1916">
      <c r="A477" s="103" t="n"/>
      <c r="B477" s="103" t="n"/>
      <c r="C477" s="2147" t="n"/>
      <c r="D477" s="2147" t="n"/>
      <c r="E477" s="53" t="n"/>
      <c r="F477" s="53" t="n"/>
    </row>
    <row r="478" customFormat="1" s="1916">
      <c r="A478" s="103" t="n"/>
      <c r="B478" s="105" t="n"/>
      <c r="C478" s="2147" t="n"/>
      <c r="D478" s="2147" t="n"/>
      <c r="E478" s="53" t="n"/>
      <c r="F478" s="53" t="n"/>
    </row>
    <row r="479" customFormat="1" s="1916">
      <c r="A479" s="103" t="n"/>
      <c r="B479" s="103" t="n"/>
      <c r="C479" s="2147" t="n"/>
      <c r="D479" s="2147" t="n"/>
      <c r="E479" s="53" t="n"/>
      <c r="F479" s="53" t="n"/>
    </row>
    <row r="480" customFormat="1" s="1916">
      <c r="A480" s="103" t="n"/>
      <c r="B480" s="105" t="n"/>
      <c r="C480" s="2147" t="n"/>
      <c r="D480" s="2147" t="n"/>
      <c r="E480" s="53" t="n"/>
      <c r="G480" s="53" t="n"/>
      <c r="H480" s="53" t="n"/>
      <c r="I480" s="53" t="n"/>
      <c r="J480" s="53" t="n"/>
      <c r="K480" s="53" t="n"/>
      <c r="L480" s="53" t="n"/>
    </row>
    <row r="481" customFormat="1" s="1916">
      <c r="A481" s="53" t="n"/>
      <c r="B481" s="53" t="n"/>
      <c r="C481" s="2145" t="n"/>
      <c r="D481" s="2145" t="n"/>
      <c r="E481" s="53" t="n"/>
      <c r="G481" s="53" t="n"/>
      <c r="H481" s="53" t="n"/>
      <c r="I481" s="53" t="n"/>
      <c r="J481" s="106" t="n"/>
      <c r="K481" s="106" t="n"/>
      <c r="L481" s="106" t="n"/>
    </row>
    <row r="482" customFormat="1" s="1916">
      <c r="A482" s="3" t="n"/>
      <c r="B482" s="2156" t="n"/>
      <c r="C482" s="3" t="n"/>
      <c r="D482" s="2156" t="n"/>
      <c r="E482" s="107" t="n"/>
      <c r="G482" s="53" t="n"/>
      <c r="H482" s="108" t="n"/>
      <c r="I482" s="53" t="n"/>
      <c r="J482" s="106" t="n"/>
      <c r="K482" s="106" t="n"/>
      <c r="L482" s="106" t="n"/>
    </row>
    <row r="483" customFormat="1" s="1916">
      <c r="A483" s="53" t="n"/>
      <c r="B483" s="53" t="n"/>
      <c r="C483" s="53" t="n"/>
      <c r="D483" s="53" t="n"/>
      <c r="E483" s="107" t="n"/>
      <c r="G483" s="53" t="n"/>
      <c r="H483" s="53" t="n"/>
      <c r="I483" s="53" t="n"/>
      <c r="J483" s="2145" t="n"/>
      <c r="K483" s="2145" t="n"/>
      <c r="L483" s="53" t="n"/>
    </row>
    <row r="484" customFormat="1" s="1916">
      <c r="A484" s="53" t="n"/>
      <c r="B484" s="53" t="n"/>
      <c r="C484" s="53" t="n"/>
      <c r="D484" s="106" t="n"/>
      <c r="E484" s="106" t="n"/>
      <c r="G484" s="53" t="n"/>
      <c r="H484" s="93" t="n"/>
      <c r="I484" s="2145" t="n"/>
      <c r="J484" s="2145" t="n"/>
      <c r="K484" s="2145" t="n"/>
      <c r="L484" s="106" t="n"/>
    </row>
    <row r="485" customFormat="1" s="1916">
      <c r="A485" s="53" t="n"/>
      <c r="B485" s="53" t="n"/>
      <c r="C485" s="53" t="n"/>
      <c r="D485" s="53" t="n"/>
      <c r="E485" s="53" t="n"/>
      <c r="G485" s="53" t="n"/>
      <c r="H485" s="93" t="n"/>
      <c r="I485" s="2145" t="n"/>
      <c r="J485" s="2145" t="n"/>
      <c r="K485" s="2145" t="n"/>
      <c r="L485" s="53" t="n"/>
    </row>
    <row r="486" customFormat="1" s="1916">
      <c r="A486" s="53" t="n"/>
      <c r="B486" s="53" t="n"/>
      <c r="C486" s="53" t="n"/>
      <c r="D486" s="106" t="n"/>
      <c r="E486" s="106" t="n"/>
      <c r="G486" s="53" t="n"/>
      <c r="H486" s="93" t="n"/>
      <c r="I486" s="2145" t="n"/>
      <c r="J486" s="2145" t="n"/>
      <c r="K486" s="2145" t="n"/>
      <c r="L486" s="106" t="n"/>
    </row>
    <row r="487" customFormat="1" s="1916">
      <c r="A487" s="53" t="n"/>
      <c r="B487" s="53" t="n"/>
      <c r="C487" s="53" t="n"/>
      <c r="D487" s="2157" t="n"/>
      <c r="E487" s="2157" t="n"/>
      <c r="F487" s="53" t="n"/>
      <c r="G487" s="103" t="n"/>
      <c r="H487" s="103" t="n"/>
      <c r="I487" s="2147" t="n"/>
      <c r="J487" s="2147" t="n"/>
      <c r="K487" s="2145" t="n"/>
      <c r="L487" s="106" t="n"/>
    </row>
    <row r="488" customFormat="1" s="1916">
      <c r="A488" s="53" t="n"/>
      <c r="B488" s="53" t="n"/>
      <c r="C488" s="2145" t="n"/>
      <c r="D488" s="2145" t="n"/>
      <c r="E488" s="2145" t="n"/>
      <c r="F488" s="53" t="n"/>
      <c r="G488" s="53" t="n"/>
      <c r="H488" s="53" t="n"/>
    </row>
    <row r="489" customFormat="1" s="1916">
      <c r="A489" s="53" t="n"/>
      <c r="B489" s="53" t="n"/>
      <c r="C489" s="53" t="n"/>
      <c r="D489" s="2145" t="n"/>
      <c r="E489" s="53" t="n"/>
      <c r="F489" s="53" t="n"/>
      <c r="G489" s="110" t="n"/>
      <c r="H489" s="53" t="n"/>
      <c r="I489" s="53" t="n"/>
      <c r="J489" s="2145" t="n"/>
      <c r="K489" s="2145" t="n"/>
    </row>
    <row r="490" customFormat="1" s="1916">
      <c r="A490" s="53" t="n"/>
      <c r="B490" s="93" t="n"/>
      <c r="C490" s="2145" t="n"/>
      <c r="D490" s="2145" t="n"/>
      <c r="E490" s="53" t="n"/>
      <c r="F490" s="53" t="n"/>
      <c r="G490" s="2156" t="n"/>
      <c r="H490" s="93" t="n"/>
      <c r="I490" s="2145" t="n"/>
      <c r="J490" s="2145" t="n"/>
      <c r="K490" s="2145" t="n"/>
    </row>
    <row r="491" customFormat="1" s="1916">
      <c r="A491" s="53" t="n"/>
      <c r="B491" s="93" t="n"/>
      <c r="C491" s="2145" t="n"/>
      <c r="D491" s="2145" t="n"/>
      <c r="E491" s="53" t="n"/>
      <c r="F491" s="53" t="n"/>
      <c r="G491" s="53" t="n"/>
      <c r="H491" s="93" t="n"/>
      <c r="I491" s="2145" t="n"/>
      <c r="J491" s="2145" t="n"/>
      <c r="K491" s="2145" t="n"/>
    </row>
    <row r="492" customFormat="1" s="1916">
      <c r="A492" s="53" t="n"/>
      <c r="B492" s="93" t="n"/>
      <c r="C492" s="2145" t="n"/>
      <c r="D492" s="2145" t="n"/>
      <c r="E492" s="53" t="n"/>
      <c r="F492" s="53" t="n"/>
      <c r="G492" s="53" t="n"/>
      <c r="H492" s="93" t="n"/>
      <c r="I492" s="2145" t="n"/>
      <c r="J492" s="2145" t="n"/>
      <c r="K492" s="2145" t="n"/>
    </row>
    <row r="493" customFormat="1" s="1916">
      <c r="A493" s="53" t="n"/>
      <c r="B493" s="93" t="n"/>
      <c r="C493" s="2145" t="n"/>
      <c r="D493" s="2145" t="n"/>
      <c r="E493" s="111" t="n"/>
      <c r="F493" s="53" t="n"/>
      <c r="G493" s="53" t="n"/>
      <c r="H493" s="93" t="n"/>
      <c r="I493" s="2145" t="n"/>
      <c r="J493" s="2145" t="n"/>
      <c r="K493" s="2145" t="n"/>
    </row>
    <row r="494" customFormat="1" s="1916">
      <c r="A494" s="53" t="n"/>
      <c r="B494" s="93" t="n"/>
      <c r="C494" s="2145" t="n"/>
      <c r="D494" s="2145" t="n"/>
      <c r="E494" s="111" t="n"/>
      <c r="F494" s="53" t="n"/>
      <c r="G494" s="53" t="n"/>
      <c r="H494" s="93" t="n"/>
      <c r="I494" s="2145" t="n"/>
      <c r="J494" s="2145" t="n"/>
      <c r="K494" s="2145" t="n"/>
    </row>
    <row r="495" customFormat="1" s="1916">
      <c r="A495" s="53" t="n"/>
      <c r="B495" s="93" t="n"/>
      <c r="C495" s="2145" t="n"/>
      <c r="D495" s="2145" t="n"/>
      <c r="E495" s="53" t="n"/>
      <c r="F495" s="53" t="n"/>
      <c r="G495" s="53" t="n"/>
      <c r="H495" s="93" t="n"/>
      <c r="I495" s="2145" t="n"/>
      <c r="J495" s="2145" t="n"/>
      <c r="K495" s="2145" t="n"/>
    </row>
    <row r="496" customFormat="1" s="1916">
      <c r="A496" s="53" t="n"/>
      <c r="B496" s="93" t="n"/>
      <c r="C496" s="2145" t="n"/>
      <c r="D496" s="2145" t="n"/>
      <c r="E496" s="53" t="n"/>
      <c r="F496" s="53" t="n"/>
      <c r="G496" s="53" t="n"/>
      <c r="H496" s="93" t="n"/>
      <c r="I496" s="2145" t="n"/>
      <c r="J496" s="2145" t="n"/>
      <c r="K496" s="2145" t="n"/>
    </row>
    <row r="497" customFormat="1" s="1916">
      <c r="A497" s="103" t="n"/>
      <c r="B497" s="103" t="n"/>
      <c r="C497" s="2147" t="n"/>
      <c r="D497" s="2147" t="n"/>
      <c r="E497" s="53" t="n"/>
      <c r="F497" s="53" t="n"/>
      <c r="G497" s="103" t="n"/>
      <c r="H497" s="103" t="n"/>
      <c r="I497" s="2147" t="n"/>
      <c r="J497" s="2147" t="n"/>
      <c r="K497" s="2147" t="n"/>
    </row>
    <row r="498" customFormat="1" s="1916">
      <c r="A498" s="53" t="n"/>
      <c r="B498" s="53" t="n"/>
      <c r="C498" s="2145" t="n"/>
      <c r="D498" s="2145" t="n"/>
      <c r="E498" s="53" t="n"/>
      <c r="F498" s="53" t="n"/>
    </row>
    <row r="499" customFormat="1" s="1916">
      <c r="A499" s="53" t="n"/>
      <c r="B499" s="53" t="n"/>
      <c r="C499" s="2145" t="n"/>
      <c r="D499" s="2147" t="n"/>
      <c r="E499" s="53" t="n"/>
      <c r="F499" s="53" t="n"/>
    </row>
    <row r="500" customFormat="1" s="1916">
      <c r="A500" s="53" t="n"/>
      <c r="B500" s="53" t="n"/>
      <c r="C500" s="2145" t="n"/>
      <c r="D500" s="2145" t="n"/>
      <c r="E500" s="53" t="n"/>
      <c r="F500" s="53" t="n"/>
    </row>
    <row r="501" customFormat="1" s="1916">
      <c r="A501" s="53" t="n"/>
      <c r="B501" s="53" t="n"/>
      <c r="C501" s="2145" t="n"/>
      <c r="D501" s="2145" t="n"/>
      <c r="E501" s="53" t="n"/>
      <c r="F501" s="53" t="n"/>
    </row>
    <row r="502" customFormat="1" s="1916">
      <c r="A502" s="53" t="n"/>
      <c r="B502" s="112" t="n"/>
      <c r="C502" s="2145" t="n"/>
      <c r="D502" s="2145" t="n"/>
      <c r="E502" s="53" t="n"/>
      <c r="F502" s="53" t="n"/>
    </row>
    <row r="503" customFormat="1" s="1916">
      <c r="A503" s="53" t="n"/>
      <c r="B503" s="112" t="n"/>
      <c r="C503" s="2145" t="n"/>
      <c r="D503" s="2145" t="n"/>
      <c r="E503" s="53" t="n"/>
      <c r="F503" s="53" t="n"/>
    </row>
    <row r="504" customFormat="1" s="1916">
      <c r="A504" s="53" t="n"/>
      <c r="B504" s="113" t="n"/>
      <c r="C504" s="2145" t="n"/>
      <c r="D504" s="2145" t="n"/>
      <c r="E504" s="53" t="n"/>
      <c r="F504" s="53" t="n"/>
    </row>
    <row r="505" customFormat="1" s="1916">
      <c r="A505" s="53" t="n"/>
      <c r="B505" s="113" t="n"/>
      <c r="C505" s="2145" t="n"/>
      <c r="D505" s="2145" t="n"/>
      <c r="E505" s="53" t="n"/>
      <c r="F505" s="53" t="n"/>
    </row>
    <row r="506" customFormat="1" s="1916">
      <c r="A506" s="53" t="n"/>
      <c r="B506" s="113" t="n"/>
      <c r="C506" s="2145" t="n"/>
      <c r="D506" s="2145" t="n"/>
      <c r="E506" s="53" t="n"/>
      <c r="F506" s="53" t="n"/>
    </row>
    <row r="507" customFormat="1" s="1916">
      <c r="A507" s="53" t="n"/>
      <c r="B507" s="113" t="n"/>
      <c r="C507" s="2145" t="n"/>
      <c r="D507" s="2145" t="n"/>
      <c r="E507" s="53" t="n"/>
      <c r="F507" s="53" t="n"/>
    </row>
    <row r="508" customFormat="1" s="1916">
      <c r="A508" s="53" t="n"/>
      <c r="B508" s="112" t="n"/>
      <c r="C508" s="2145" t="n"/>
      <c r="D508" s="2145" t="n"/>
      <c r="E508" s="53" t="n"/>
      <c r="F508" s="53" t="n"/>
    </row>
    <row r="509" customFormat="1" s="1916">
      <c r="A509" s="53" t="n"/>
      <c r="B509" s="112" t="n"/>
      <c r="C509" s="2145" t="n"/>
      <c r="D509" s="2145" t="n"/>
      <c r="E509" s="53" t="n"/>
      <c r="F509" s="53" t="n"/>
    </row>
    <row r="510" customFormat="1" s="1916">
      <c r="A510" s="53" t="n"/>
      <c r="B510" s="112" t="n"/>
      <c r="C510" s="2145" t="n"/>
      <c r="D510" s="2149" t="n"/>
      <c r="E510" s="53" t="n"/>
      <c r="F510" s="53" t="n"/>
      <c r="N510" s="53" t="n"/>
    </row>
    <row r="511" customFormat="1" s="1916">
      <c r="A511" s="53" t="n"/>
      <c r="B511" s="113" t="n"/>
      <c r="C511" s="2145" t="n"/>
      <c r="D511" s="2145" t="n"/>
      <c r="E511" s="53" t="n"/>
      <c r="F511" s="53" t="n"/>
      <c r="G511" s="53" t="n"/>
      <c r="I511" s="2154" t="n"/>
      <c r="N511" s="53" t="n"/>
    </row>
    <row r="512" customFormat="1" s="1916">
      <c r="A512" s="53" t="n"/>
      <c r="B512" s="53" t="n"/>
      <c r="C512" s="2145" t="n"/>
      <c r="D512" s="2145" t="n"/>
      <c r="E512" s="2145" t="n"/>
      <c r="F512" s="2145" t="n"/>
      <c r="N512" s="53" t="n"/>
    </row>
    <row r="513" customFormat="1" s="1916">
      <c r="A513" s="53" t="n"/>
      <c r="B513" s="53" t="n"/>
      <c r="C513" s="2145" t="n"/>
      <c r="D513" s="2145" t="n"/>
      <c r="F513" s="108" t="n"/>
      <c r="N513" s="53" t="n"/>
    </row>
    <row r="514" customFormat="1" s="1916">
      <c r="D514" s="2145" t="n"/>
    </row>
    <row r="515" customFormat="1" s="1916"/>
    <row r="516" customFormat="1" s="1916"/>
    <row r="517" customFormat="1" s="1916">
      <c r="A517" s="53" t="n"/>
      <c r="B517" s="53" t="n"/>
      <c r="C517" s="53" t="n"/>
      <c r="D517" s="53" t="n"/>
      <c r="L517" s="53" t="n"/>
      <c r="M517" s="53" t="n"/>
      <c r="N517" s="53" t="n"/>
      <c r="O517" s="53" t="n"/>
      <c r="P517" s="53" t="n"/>
    </row>
    <row r="518" customFormat="1" s="1916">
      <c r="A518" s="53" t="n"/>
      <c r="B518" s="53" t="n"/>
      <c r="C518" s="53" t="n"/>
      <c r="D518" s="53" t="n"/>
      <c r="E518" s="53" t="n"/>
      <c r="F518" s="53" t="n"/>
      <c r="L518" s="53" t="n"/>
      <c r="M518" s="53" t="n"/>
      <c r="N518" s="53" t="n"/>
      <c r="O518" s="53" t="n"/>
      <c r="P518" s="2145" t="n"/>
    </row>
    <row r="519" customFormat="1" s="1916">
      <c r="A519" s="53" t="n"/>
      <c r="B519" s="2155" t="n"/>
      <c r="C519" s="2145" t="n"/>
      <c r="D519" s="2145" t="n"/>
      <c r="E519" s="2156" t="n"/>
      <c r="F519" s="53" t="n"/>
      <c r="L519" s="53" t="n"/>
      <c r="M519" s="53" t="n"/>
      <c r="N519" s="2145" t="n"/>
      <c r="O519" s="2145" t="n"/>
      <c r="P519" s="2145" t="n"/>
    </row>
    <row r="520" customFormat="1" s="1916">
      <c r="A520" s="53" t="n"/>
      <c r="B520" s="53" t="n"/>
      <c r="C520" s="2145" t="n"/>
      <c r="D520" s="2145" t="n"/>
      <c r="E520" s="53" t="n"/>
      <c r="F520" s="53" t="n"/>
      <c r="L520" s="53" t="n"/>
      <c r="M520" s="53" t="n"/>
      <c r="N520" s="2145" t="n"/>
      <c r="O520" s="2156" t="n"/>
      <c r="P520" s="2145" t="n"/>
    </row>
    <row r="521" customFormat="1" s="1916">
      <c r="A521" s="53" t="n"/>
      <c r="B521" s="53" t="n"/>
      <c r="C521" s="2145" t="n"/>
      <c r="D521" s="2145" t="n"/>
      <c r="E521" s="53" t="n"/>
      <c r="F521" s="53" t="n"/>
      <c r="L521" s="53" t="n"/>
      <c r="M521" s="53" t="n"/>
      <c r="N521" s="2145" t="n"/>
      <c r="O521" s="2156" t="n"/>
      <c r="P521" s="2145" t="n"/>
    </row>
    <row r="522" customFormat="1" s="1916">
      <c r="A522" s="53" t="n"/>
      <c r="B522" s="53" t="n"/>
      <c r="C522" s="2145" t="n"/>
      <c r="D522" s="2145" t="n"/>
      <c r="E522" s="53" t="n"/>
      <c r="F522" s="53" t="n"/>
      <c r="L522" s="53" t="n"/>
      <c r="M522" s="2145" t="n"/>
      <c r="N522" s="2149" t="n"/>
      <c r="O522" s="53" t="n"/>
      <c r="P522" s="53" t="n"/>
      <c r="Q522" s="53" t="n"/>
      <c r="R522" s="53" t="n"/>
      <c r="S522" s="53" t="n"/>
    </row>
    <row r="523" customFormat="1" s="1916">
      <c r="A523" s="53" t="n"/>
      <c r="B523" s="53" t="n"/>
      <c r="C523" s="2145" t="n"/>
      <c r="D523" s="2145" t="n"/>
      <c r="E523" s="53" t="n"/>
      <c r="F523" s="53" t="n"/>
      <c r="L523" s="53" t="n"/>
      <c r="M523" s="53" t="n"/>
      <c r="N523" s="2149" t="n"/>
      <c r="O523" s="53" t="n"/>
      <c r="P523" s="53" t="n"/>
      <c r="Q523" s="2145" t="n"/>
      <c r="R523" s="2145" t="n"/>
      <c r="S523" s="53" t="n"/>
    </row>
    <row r="524" customFormat="1" s="1916">
      <c r="A524" s="53" t="n"/>
      <c r="B524" s="53" t="n"/>
      <c r="C524" s="2145" t="n"/>
      <c r="D524" s="2145" t="n"/>
      <c r="E524" s="53" t="n"/>
      <c r="F524" s="53" t="n"/>
      <c r="L524" s="53" t="n"/>
      <c r="M524" s="53" t="n"/>
      <c r="N524" s="2149" t="n"/>
      <c r="O524" s="53" t="n"/>
      <c r="P524" s="53" t="n"/>
      <c r="Q524" s="2145" t="n"/>
      <c r="R524" s="2145" t="n"/>
      <c r="S524" s="53" t="n"/>
    </row>
    <row r="525" customFormat="1" s="1916">
      <c r="A525" s="53" t="n"/>
      <c r="B525" s="53" t="n"/>
      <c r="C525" s="2145" t="n"/>
      <c r="D525" s="2145" t="n"/>
      <c r="E525" s="53" t="n"/>
      <c r="F525" s="53" t="n"/>
      <c r="L525" s="53" t="n"/>
      <c r="M525" s="53" t="n"/>
      <c r="N525" s="2149" t="n"/>
      <c r="O525" s="53" t="n"/>
      <c r="P525" s="53" t="n"/>
      <c r="Q525" s="2145" t="n"/>
      <c r="R525" s="2145" t="n"/>
      <c r="S525" s="53" t="n"/>
    </row>
    <row r="526" customFormat="1" s="1916">
      <c r="A526" s="53" t="n"/>
      <c r="B526" s="53" t="n"/>
      <c r="C526" s="2145" t="n"/>
      <c r="D526" s="2145" t="n"/>
      <c r="E526" s="53" t="n"/>
      <c r="F526" s="53" t="n"/>
      <c r="L526" s="53" t="n"/>
      <c r="M526" s="53" t="n"/>
      <c r="N526" s="2149" t="n"/>
      <c r="O526" s="53" t="n"/>
      <c r="P526" s="53" t="n"/>
      <c r="Q526" s="2145" t="n"/>
      <c r="R526" s="2145" t="n"/>
      <c r="S526" s="53" t="n"/>
    </row>
    <row r="527" customFormat="1" s="1916">
      <c r="A527" s="53" t="n"/>
      <c r="B527" s="53" t="n"/>
      <c r="C527" s="2145" t="n"/>
      <c r="D527" s="2145" t="n"/>
      <c r="E527" s="53" t="n"/>
      <c r="F527" s="53" t="n"/>
      <c r="L527" s="53" t="n"/>
      <c r="M527" s="53" t="n"/>
      <c r="N527" s="2149" t="n"/>
      <c r="O527" s="53" t="n"/>
      <c r="P527" s="53" t="n"/>
      <c r="Q527" s="53" t="n"/>
      <c r="R527" s="53" t="n"/>
      <c r="S527" s="53" t="n"/>
    </row>
    <row r="528" customFormat="1" s="1916">
      <c r="A528" s="53" t="n"/>
      <c r="B528" s="53" t="n"/>
      <c r="C528" s="2145" t="n"/>
      <c r="D528" s="2145" t="n"/>
      <c r="E528" s="53" t="n"/>
      <c r="F528" s="53" t="n"/>
      <c r="L528" s="53" t="n"/>
      <c r="M528" s="53" t="n"/>
      <c r="N528" s="2149" t="n"/>
      <c r="O528" s="53" t="n"/>
      <c r="P528" s="53" t="n"/>
      <c r="Q528" s="53" t="n"/>
      <c r="R528" s="53" t="n"/>
      <c r="S528" s="53" t="n"/>
    </row>
    <row r="529" customFormat="1" s="1916">
      <c r="A529" s="53" t="n"/>
      <c r="B529" s="53" t="n"/>
      <c r="C529" s="2145" t="n"/>
      <c r="D529" s="2145" t="n"/>
      <c r="E529" s="53" t="n"/>
      <c r="F529" s="53" t="n"/>
      <c r="Q529" s="53" t="n"/>
      <c r="R529" s="53" t="n"/>
      <c r="S529" s="53" t="n"/>
    </row>
    <row r="530" customFormat="1" s="1916">
      <c r="A530" s="53" t="n"/>
      <c r="B530" s="53" t="n"/>
      <c r="C530" s="2145" t="n"/>
      <c r="D530" s="2145" t="n"/>
      <c r="E530" s="53" t="n"/>
      <c r="F530" s="53" t="n"/>
      <c r="Q530" s="53" t="n"/>
      <c r="R530" s="53" t="n"/>
      <c r="S530" s="53" t="n"/>
    </row>
    <row r="531" customFormat="1" s="1916">
      <c r="A531" s="53" t="n"/>
      <c r="B531" s="53" t="n"/>
      <c r="C531" s="2145" t="n"/>
      <c r="D531" s="2145" t="n"/>
      <c r="E531" s="2156" t="n"/>
      <c r="F531" s="53" t="n"/>
      <c r="Q531" s="53" t="n"/>
      <c r="R531" s="53" t="n"/>
      <c r="S531" s="53" t="n"/>
    </row>
    <row r="532" customFormat="1" s="1916">
      <c r="A532" s="53" t="n"/>
      <c r="B532" s="53" t="n"/>
      <c r="C532" s="2145" t="n"/>
      <c r="D532" s="2145" t="n"/>
      <c r="E532" s="53" t="n"/>
      <c r="F532" s="53" t="n"/>
      <c r="Q532" s="53" t="n"/>
      <c r="R532" s="53" t="n"/>
      <c r="S532" s="53" t="n"/>
    </row>
    <row r="533" customFormat="1" s="1916">
      <c r="A533" s="53" t="n"/>
      <c r="B533" s="53" t="n"/>
      <c r="C533" s="2145" t="n"/>
      <c r="D533" s="2145" t="n"/>
      <c r="E533" s="53" t="n"/>
      <c r="F533" s="53" t="n"/>
      <c r="Q533" s="53" t="n"/>
      <c r="R533" s="53" t="n"/>
      <c r="S533" s="53" t="n"/>
    </row>
    <row r="534" customFormat="1" s="1916">
      <c r="A534" s="53" t="n"/>
      <c r="B534" s="53" t="n"/>
      <c r="C534" s="2145" t="n"/>
      <c r="D534" s="2145" t="n"/>
      <c r="E534" s="53" t="n"/>
      <c r="F534" s="53" t="n"/>
    </row>
    <row r="535" customFormat="1" s="1916">
      <c r="A535" s="53" t="n"/>
      <c r="B535" s="53" t="n"/>
      <c r="C535" s="2145" t="n"/>
      <c r="D535" s="2145" t="n"/>
      <c r="E535" s="53" t="n"/>
      <c r="F535" s="53" t="n"/>
    </row>
    <row r="536" customFormat="1" s="1916">
      <c r="A536" s="103" t="n"/>
      <c r="B536" s="103" t="n"/>
      <c r="C536" s="2147" t="n"/>
      <c r="D536" s="2147" t="n"/>
      <c r="E536" s="53" t="n"/>
      <c r="F536" s="53" t="n"/>
    </row>
    <row r="537" customFormat="1" s="1916">
      <c r="A537" s="103" t="n"/>
      <c r="B537" s="105" t="n"/>
      <c r="C537" s="2147" t="n"/>
      <c r="D537" s="2147" t="n"/>
      <c r="E537" s="53" t="n"/>
      <c r="F537" s="53" t="n"/>
    </row>
    <row r="538" customFormat="1" s="1916">
      <c r="A538" s="103" t="n"/>
      <c r="B538" s="103" t="n"/>
      <c r="C538" s="2147" t="n"/>
      <c r="D538" s="2147" t="n"/>
      <c r="E538" s="53" t="n"/>
      <c r="F538" s="53" t="n"/>
    </row>
    <row r="539" customFormat="1" s="1916">
      <c r="A539" s="103" t="n"/>
      <c r="B539" s="105" t="n"/>
      <c r="C539" s="2147" t="n"/>
      <c r="D539" s="2147" t="n"/>
      <c r="E539" s="53" t="n"/>
      <c r="G539" s="53" t="n"/>
      <c r="H539" s="53" t="n"/>
      <c r="I539" s="53" t="n"/>
      <c r="J539" s="53" t="n"/>
      <c r="K539" s="53" t="n"/>
      <c r="L539" s="53" t="n"/>
    </row>
    <row r="540" customFormat="1" s="1916">
      <c r="A540" s="53" t="n"/>
      <c r="B540" s="53" t="n"/>
      <c r="C540" s="2145" t="n"/>
      <c r="D540" s="2145" t="n"/>
      <c r="E540" s="53" t="n"/>
      <c r="G540" s="53" t="n"/>
      <c r="H540" s="53" t="n"/>
      <c r="I540" s="53" t="n"/>
      <c r="J540" s="106" t="n"/>
      <c r="K540" s="106" t="n"/>
      <c r="L540" s="106" t="n"/>
    </row>
    <row r="541" customFormat="1" s="1916">
      <c r="A541" s="3" t="n"/>
      <c r="B541" s="2156" t="n"/>
      <c r="C541" s="3" t="n"/>
      <c r="D541" s="2156" t="n"/>
      <c r="E541" s="107" t="n"/>
      <c r="G541" s="53" t="n"/>
      <c r="H541" s="108" t="n"/>
      <c r="I541" s="53" t="n"/>
      <c r="J541" s="106" t="n"/>
      <c r="K541" s="106" t="n"/>
      <c r="L541" s="106" t="n"/>
    </row>
    <row r="542" customFormat="1" s="1916">
      <c r="A542" s="53" t="n"/>
      <c r="B542" s="53" t="n"/>
      <c r="C542" s="53" t="n"/>
      <c r="D542" s="53" t="n"/>
      <c r="E542" s="107" t="n"/>
      <c r="G542" s="53" t="n"/>
      <c r="H542" s="53" t="n"/>
      <c r="I542" s="53" t="n"/>
      <c r="J542" s="2145" t="n"/>
      <c r="K542" s="2145" t="n"/>
      <c r="L542" s="53" t="n"/>
    </row>
    <row r="543" customFormat="1" s="1916">
      <c r="A543" s="53" t="n"/>
      <c r="B543" s="53" t="n"/>
      <c r="C543" s="53" t="n"/>
      <c r="D543" s="106" t="n"/>
      <c r="E543" s="106" t="n"/>
      <c r="G543" s="53" t="n"/>
      <c r="H543" s="93" t="n"/>
      <c r="I543" s="2145" t="n"/>
      <c r="J543" s="2145" t="n"/>
      <c r="K543" s="2145" t="n"/>
      <c r="L543" s="106" t="n"/>
    </row>
    <row r="544" customFormat="1" s="1916">
      <c r="A544" s="53" t="n"/>
      <c r="B544" s="53" t="n"/>
      <c r="C544" s="53" t="n"/>
      <c r="D544" s="53" t="n"/>
      <c r="E544" s="53" t="n"/>
      <c r="G544" s="53" t="n"/>
      <c r="H544" s="93" t="n"/>
      <c r="I544" s="2145" t="n"/>
      <c r="J544" s="2145" t="n"/>
      <c r="K544" s="2145" t="n"/>
      <c r="L544" s="53" t="n"/>
    </row>
    <row r="545" customFormat="1" s="1916">
      <c r="A545" s="53" t="n"/>
      <c r="B545" s="53" t="n"/>
      <c r="C545" s="53" t="n"/>
      <c r="D545" s="106" t="n"/>
      <c r="E545" s="106" t="n"/>
      <c r="G545" s="53" t="n"/>
      <c r="H545" s="93" t="n"/>
      <c r="I545" s="2145" t="n"/>
      <c r="J545" s="2145" t="n"/>
      <c r="K545" s="2145" t="n"/>
      <c r="L545" s="106" t="n"/>
    </row>
    <row r="546" customFormat="1" s="1916">
      <c r="A546" s="53" t="n"/>
      <c r="B546" s="53" t="n"/>
      <c r="C546" s="53" t="n"/>
      <c r="D546" s="2157" t="n"/>
      <c r="E546" s="2157" t="n"/>
      <c r="F546" s="53" t="n"/>
      <c r="G546" s="103" t="n"/>
      <c r="H546" s="103" t="n"/>
      <c r="I546" s="2147" t="n"/>
      <c r="J546" s="2147" t="n"/>
      <c r="K546" s="2145" t="n"/>
      <c r="L546" s="106" t="n"/>
    </row>
    <row r="547" customFormat="1" s="1916">
      <c r="A547" s="53" t="n"/>
      <c r="B547" s="53" t="n"/>
      <c r="C547" s="2145" t="n"/>
      <c r="D547" s="2145" t="n"/>
      <c r="E547" s="2145" t="n"/>
      <c r="F547" s="53" t="n"/>
      <c r="G547" s="53" t="n"/>
      <c r="H547" s="53" t="n"/>
    </row>
    <row r="548" customFormat="1" s="1916">
      <c r="A548" s="53" t="n"/>
      <c r="B548" s="53" t="n"/>
      <c r="C548" s="53" t="n"/>
      <c r="D548" s="2145" t="n"/>
      <c r="E548" s="53" t="n"/>
      <c r="F548" s="53" t="n"/>
      <c r="G548" s="110" t="n"/>
      <c r="H548" s="53" t="n"/>
      <c r="I548" s="53" t="n"/>
      <c r="J548" s="2145" t="n"/>
      <c r="K548" s="2145" t="n"/>
    </row>
    <row r="549" customFormat="1" s="1916">
      <c r="A549" s="53" t="n"/>
      <c r="B549" s="93" t="n"/>
      <c r="C549" s="2145" t="n"/>
      <c r="D549" s="2145" t="n"/>
      <c r="E549" s="53" t="n"/>
      <c r="F549" s="53" t="n"/>
      <c r="G549" s="2156" t="n"/>
      <c r="H549" s="93" t="n"/>
      <c r="I549" s="2145" t="n"/>
      <c r="J549" s="2145" t="n"/>
      <c r="K549" s="2145" t="n"/>
    </row>
    <row r="550" customFormat="1" s="1916">
      <c r="A550" s="53" t="n"/>
      <c r="B550" s="93" t="n"/>
      <c r="C550" s="2145" t="n"/>
      <c r="D550" s="2145" t="n"/>
      <c r="E550" s="53" t="n"/>
      <c r="F550" s="53" t="n"/>
      <c r="G550" s="53" t="n"/>
      <c r="H550" s="93" t="n"/>
      <c r="I550" s="2145" t="n"/>
      <c r="J550" s="2145" t="n"/>
      <c r="K550" s="2145" t="n"/>
    </row>
    <row r="551" customFormat="1" s="1916">
      <c r="A551" s="53" t="n"/>
      <c r="B551" s="93" t="n"/>
      <c r="C551" s="2145" t="n"/>
      <c r="D551" s="2145" t="n"/>
      <c r="E551" s="53" t="n"/>
      <c r="F551" s="53" t="n"/>
      <c r="G551" s="53" t="n"/>
      <c r="H551" s="93" t="n"/>
      <c r="I551" s="2145" t="n"/>
      <c r="J551" s="2145" t="n"/>
      <c r="K551" s="2145" t="n"/>
    </row>
    <row r="552" customFormat="1" s="1916">
      <c r="A552" s="53" t="n"/>
      <c r="B552" s="93" t="n"/>
      <c r="C552" s="2145" t="n"/>
      <c r="D552" s="2145" t="n"/>
      <c r="E552" s="111" t="n"/>
      <c r="F552" s="53" t="n"/>
      <c r="G552" s="53" t="n"/>
      <c r="H552" s="93" t="n"/>
      <c r="I552" s="2145" t="n"/>
      <c r="J552" s="2145" t="n"/>
      <c r="K552" s="2145" t="n"/>
    </row>
    <row r="553" customFormat="1" s="1916">
      <c r="A553" s="53" t="n"/>
      <c r="B553" s="93" t="n"/>
      <c r="C553" s="2145" t="n"/>
      <c r="D553" s="2145" t="n"/>
      <c r="E553" s="111" t="n"/>
      <c r="F553" s="53" t="n"/>
      <c r="G553" s="53" t="n"/>
      <c r="H553" s="93" t="n"/>
      <c r="I553" s="2145" t="n"/>
      <c r="J553" s="2145" t="n"/>
      <c r="K553" s="2145" t="n"/>
    </row>
    <row r="554" customFormat="1" s="1916">
      <c r="A554" s="53" t="n"/>
      <c r="B554" s="93" t="n"/>
      <c r="C554" s="2145" t="n"/>
      <c r="D554" s="2145" t="n"/>
      <c r="E554" s="53" t="n"/>
      <c r="F554" s="53" t="n"/>
      <c r="G554" s="53" t="n"/>
      <c r="H554" s="93" t="n"/>
      <c r="I554" s="2145" t="n"/>
      <c r="J554" s="2145" t="n"/>
      <c r="K554" s="2145" t="n"/>
    </row>
    <row r="555" customFormat="1" s="1916">
      <c r="A555" s="53" t="n"/>
      <c r="B555" s="93" t="n"/>
      <c r="C555" s="2145" t="n"/>
      <c r="D555" s="2145" t="n"/>
      <c r="E555" s="53" t="n"/>
      <c r="F555" s="53" t="n"/>
      <c r="G555" s="53" t="n"/>
      <c r="H555" s="93" t="n"/>
      <c r="I555" s="2145" t="n"/>
      <c r="J555" s="2145" t="n"/>
      <c r="K555" s="2145" t="n"/>
    </row>
    <row r="556" customFormat="1" s="1916">
      <c r="A556" s="103" t="n"/>
      <c r="B556" s="103" t="n"/>
      <c r="C556" s="2147" t="n"/>
      <c r="D556" s="2147" t="n"/>
      <c r="E556" s="53" t="n"/>
      <c r="F556" s="53" t="n"/>
      <c r="G556" s="103" t="n"/>
      <c r="H556" s="103" t="n"/>
      <c r="I556" s="2147" t="n"/>
      <c r="J556" s="2147" t="n"/>
      <c r="K556" s="2147" t="n"/>
    </row>
    <row r="557" customFormat="1" s="1916">
      <c r="A557" s="53" t="n"/>
      <c r="B557" s="53" t="n"/>
      <c r="C557" s="2145" t="n"/>
      <c r="D557" s="2145" t="n"/>
      <c r="E557" s="53" t="n"/>
      <c r="F557" s="53" t="n"/>
    </row>
    <row r="558" customFormat="1" s="1916">
      <c r="A558" s="53" t="n"/>
      <c r="B558" s="53" t="n"/>
      <c r="C558" s="2145" t="n"/>
      <c r="D558" s="2147" t="n"/>
      <c r="E558" s="53" t="n"/>
      <c r="F558" s="53" t="n"/>
    </row>
    <row r="559" customFormat="1" s="1916">
      <c r="A559" s="53" t="n"/>
      <c r="B559" s="53" t="n"/>
      <c r="C559" s="2145" t="n"/>
      <c r="D559" s="2145" t="n"/>
      <c r="E559" s="53" t="n"/>
      <c r="F559" s="53" t="n"/>
    </row>
    <row r="560" customFormat="1" s="1916">
      <c r="A560" s="53" t="n"/>
      <c r="B560" s="53" t="n"/>
      <c r="C560" s="2145" t="n"/>
      <c r="D560" s="2145" t="n"/>
      <c r="E560" s="53" t="n"/>
      <c r="F560" s="53" t="n"/>
    </row>
    <row r="561" customFormat="1" s="1916">
      <c r="A561" s="53" t="n"/>
      <c r="B561" s="112" t="n"/>
      <c r="C561" s="2145" t="n"/>
      <c r="D561" s="2145" t="n"/>
      <c r="E561" s="53" t="n"/>
      <c r="F561" s="53" t="n"/>
    </row>
    <row r="562" customFormat="1" s="1916">
      <c r="A562" s="53" t="n"/>
      <c r="B562" s="112" t="n"/>
      <c r="C562" s="2145" t="n"/>
      <c r="D562" s="2145" t="n"/>
      <c r="E562" s="53" t="n"/>
      <c r="F562" s="53" t="n"/>
    </row>
    <row r="563" customFormat="1" s="1916">
      <c r="A563" s="53" t="n"/>
      <c r="B563" s="113" t="n"/>
      <c r="C563" s="2145" t="n"/>
      <c r="D563" s="2145" t="n"/>
      <c r="E563" s="53" t="n"/>
      <c r="F563" s="53" t="n"/>
    </row>
    <row r="564" customFormat="1" s="1916">
      <c r="A564" s="53" t="n"/>
      <c r="B564" s="113" t="n"/>
      <c r="C564" s="2145" t="n"/>
      <c r="D564" s="2145" t="n"/>
      <c r="E564" s="53" t="n"/>
      <c r="F564" s="53" t="n"/>
    </row>
    <row r="565" customFormat="1" s="1916">
      <c r="A565" s="53" t="n"/>
      <c r="B565" s="113" t="n"/>
      <c r="C565" s="2145" t="n"/>
      <c r="D565" s="2145" t="n"/>
      <c r="E565" s="53" t="n"/>
      <c r="F565" s="53" t="n"/>
    </row>
    <row r="566" customFormat="1" s="1916">
      <c r="A566" s="53" t="n"/>
      <c r="B566" s="113" t="n"/>
      <c r="C566" s="2145" t="n"/>
      <c r="D566" s="2145" t="n"/>
      <c r="E566" s="53" t="n"/>
      <c r="F566" s="53" t="n"/>
    </row>
    <row r="567" customFormat="1" s="1916">
      <c r="A567" s="53" t="n"/>
      <c r="B567" s="112" t="n"/>
      <c r="C567" s="2145" t="n"/>
      <c r="D567" s="2145" t="n"/>
      <c r="E567" s="53" t="n"/>
      <c r="F567" s="53" t="n"/>
    </row>
    <row r="568" customFormat="1" s="1916">
      <c r="A568" s="53" t="n"/>
      <c r="B568" s="112" t="n"/>
      <c r="C568" s="2145" t="n"/>
      <c r="D568" s="2145" t="n"/>
      <c r="E568" s="53" t="n"/>
      <c r="F568" s="53" t="n"/>
    </row>
    <row r="569" customFormat="1" s="1916">
      <c r="A569" s="53" t="n"/>
      <c r="B569" s="112" t="n"/>
      <c r="C569" s="2145" t="n"/>
      <c r="D569" s="2149" t="n"/>
      <c r="E569" s="53" t="n"/>
      <c r="F569" s="53" t="n"/>
      <c r="N569" s="53" t="n"/>
    </row>
    <row r="570" customFormat="1" s="1916">
      <c r="A570" s="53" t="n"/>
      <c r="B570" s="113" t="n"/>
      <c r="C570" s="2145" t="n"/>
      <c r="D570" s="2145" t="n"/>
      <c r="E570" s="53" t="n"/>
      <c r="F570" s="53" t="n"/>
      <c r="G570" s="53" t="n"/>
      <c r="I570" s="2154" t="n"/>
      <c r="N570" s="53" t="n"/>
    </row>
    <row r="571" customFormat="1" s="1916">
      <c r="A571" s="53" t="n"/>
      <c r="B571" s="53" t="n"/>
      <c r="C571" s="2145" t="n"/>
      <c r="D571" s="2145" t="n"/>
      <c r="E571" s="2145" t="n"/>
      <c r="F571" s="2145" t="n"/>
      <c r="N571" s="53" t="n"/>
    </row>
    <row r="572" customFormat="1" s="1916">
      <c r="A572" s="53" t="n"/>
      <c r="B572" s="53" t="n"/>
      <c r="C572" s="2145" t="n"/>
      <c r="D572" s="2145" t="n"/>
      <c r="F572" s="108" t="n"/>
      <c r="N572" s="53" t="n"/>
    </row>
    <row r="573" customFormat="1" s="1916">
      <c r="D573" s="2145" t="n"/>
    </row>
    <row r="574" customFormat="1" s="1916"/>
    <row r="575" customFormat="1" s="1916"/>
    <row r="576" customFormat="1" s="1916"/>
    <row r="577" customFormat="1" s="1916"/>
    <row r="578" customFormat="1" s="1916"/>
    <row r="579" customFormat="1" s="1916"/>
    <row r="580" customFormat="1" s="1916"/>
    <row r="581">
      <c r="Q581" s="1916" t="n"/>
      <c r="R581" s="1916" t="n"/>
      <c r="S581" s="1916" t="n"/>
      <c r="T581" s="1916" t="n"/>
    </row>
  </sheetData>
  <mergeCells count="4">
    <mergeCell ref="Q34:R34"/>
    <mergeCell ref="Q35:R35"/>
    <mergeCell ref="Q37:R37"/>
    <mergeCell ref="Q36:R36"/>
  </mergeCells>
  <conditionalFormatting sqref="A77:B77 D77">
    <cfRule type="expression" priority="2" dxfId="4">
      <formula>$D$6="yes"</formula>
    </cfRule>
  </conditionalFormatting>
  <conditionalFormatting sqref="D5">
    <cfRule type="expression" priority="3" dxfId="65">
      <formula>"$C$44"</formula>
    </cfRule>
    <cfRule type="cellIs" priority="6" operator="equal" dxfId="2">
      <formula>"Yes"</formula>
    </cfRule>
  </conditionalFormatting>
  <conditionalFormatting sqref="D6">
    <cfRule type="containsText" priority="12" operator="containsText" dxfId="10" text="Yes">
      <formula>NOT(ISERROR(SEARCH("Yes",D6)))</formula>
    </cfRule>
  </conditionalFormatting>
  <conditionalFormatting sqref="E42">
    <cfRule type="containsText" priority="7" operator="containsText" dxfId="2" text="10 hour days">
      <formula>NOT(ISERROR(SEARCH("10 hour days",E42)))</formula>
    </cfRule>
    <cfRule type="containsText" priority="8" operator="containsText" dxfId="4" text="8 hour days">
      <formula>NOT(ISERROR(SEARCH("8 hour days",E42)))</formula>
    </cfRule>
  </conditionalFormatting>
  <conditionalFormatting sqref="E43">
    <cfRule type="cellIs" priority="5" operator="equal" dxfId="9" stopIfTrue="1">
      <formula>"PW"</formula>
    </cfRule>
  </conditionalFormatting>
  <conditionalFormatting sqref="F42">
    <cfRule type="cellIs" priority="13" operator="greaterThan" dxfId="2">
      <formula>0.25</formula>
    </cfRule>
    <cfRule type="cellIs" priority="14" operator="lessThan" dxfId="1">
      <formula>0.15</formula>
    </cfRule>
  </conditionalFormatting>
  <conditionalFormatting sqref="F85">
    <cfRule type="containsText" priority="1" operator="containsText" dxfId="2" text="owner">
      <formula>NOT(ISERROR(SEARCH("owner",F85)))</formula>
    </cfRule>
  </conditionalFormatting>
  <conditionalFormatting sqref="G38:H38">
    <cfRule type="cellIs" priority="10" operator="notEqual" dxfId="0">
      <formula>FALSE</formula>
    </cfRule>
  </conditionalFormatting>
  <hyperlinks>
    <hyperlink xmlns:r="http://schemas.openxmlformats.org/officeDocument/2006/relationships" ref="A77" display="Kansas Remodel Tax" r:id="rId1"/>
  </hyperlinks>
  <pageMargins left="0.75" right="0.75" top="0.5" bottom="0.25" header="0.5" footer="0.5"/>
  <pageSetup orientation="portrait" scale="61" horizontalDpi="4294967292" verticalDpi="4294967292"/>
  <colBreaks count="1" manualBreakCount="1">
    <brk id="6" min="0" max="1048575" man="1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O584"/>
  <sheetViews>
    <sheetView zoomScaleNormal="100" workbookViewId="0">
      <selection activeCell="D12" sqref="D12"/>
    </sheetView>
  </sheetViews>
  <sheetFormatPr baseColWidth="8" defaultColWidth="11" defaultRowHeight="15.6"/>
  <cols>
    <col width="20.296875" customWidth="1" min="1" max="1"/>
    <col width="13.796875" customWidth="1" min="2" max="2"/>
    <col width="13.296875" customWidth="1" min="3" max="4"/>
    <col width="14.296875" customWidth="1" min="5" max="5"/>
    <col width="32.296875" customWidth="1" min="6" max="6"/>
    <col width="18" customWidth="1" min="7" max="7"/>
    <col width="17.796875" customWidth="1" min="8" max="8"/>
    <col width="19.5" customWidth="1" min="9" max="9"/>
    <col width="21.5" customWidth="1" min="10" max="10"/>
    <col width="19.296875" customWidth="1" min="11" max="12"/>
    <col width="12.69921875" customWidth="1" min="13" max="14"/>
    <col width="17.69921875" customWidth="1" min="15" max="15"/>
    <col width="16.69921875" customWidth="1" min="16" max="18"/>
    <col width="15.69921875" bestFit="1" customWidth="1" min="19" max="19"/>
    <col width="12" customWidth="1" min="20" max="20"/>
    <col width="13.796875" customWidth="1" min="21" max="23"/>
    <col width="19" bestFit="1" customWidth="1" min="24" max="24"/>
    <col width="2.69921875" customWidth="1" min="25" max="25"/>
    <col width="13.69921875" bestFit="1" customWidth="1" min="26" max="26"/>
    <col width="22.5" bestFit="1" customWidth="1" min="27" max="27"/>
    <col width="3.296875" customWidth="1" min="28" max="28"/>
    <col width="15.69921875" bestFit="1" customWidth="1" min="29" max="29"/>
    <col width="22.5" bestFit="1" customWidth="1" min="30" max="30"/>
    <col width="11.5" bestFit="1" customWidth="1" min="31" max="31"/>
    <col width="21.69921875" bestFit="1" customWidth="1" min="39" max="39"/>
    <col width="19" bestFit="1" customWidth="1" min="42" max="42"/>
    <col width="22.5" bestFit="1" customWidth="1" min="45" max="45"/>
    <col width="22.5" bestFit="1" customWidth="1" min="48" max="48"/>
    <col width="11.69921875" bestFit="1" customWidth="1" min="51" max="51"/>
    <col width="2.296875" customWidth="1" min="52" max="52"/>
    <col width="2.796875" customWidth="1" min="53" max="53"/>
    <col width="11.69921875" bestFit="1" customWidth="1" min="54" max="54"/>
    <col width="3" customWidth="1" min="55" max="55"/>
    <col width="3.296875" customWidth="1" min="56" max="56"/>
    <col width="11.69921875" bestFit="1" customWidth="1" min="57" max="57"/>
    <col width="2.19921875" customWidth="1" min="58" max="59"/>
    <col width="9" bestFit="1" customWidth="1" min="60" max="60"/>
    <col width="14.796875" bestFit="1" customWidth="1" min="61" max="61"/>
    <col width="9" bestFit="1" customWidth="1" min="62" max="62"/>
    <col width="2.796875" customWidth="1" min="63" max="63"/>
    <col width="12.5" bestFit="1" customWidth="1" min="64" max="64"/>
    <col width="7.69921875" bestFit="1" customWidth="1" min="65" max="65"/>
    <col width="3.296875" customWidth="1" min="66" max="66"/>
    <col width="13.69921875" bestFit="1" customWidth="1" min="67" max="67"/>
    <col width="9" bestFit="1" customWidth="1" min="68" max="68"/>
    <col width="3.296875" customWidth="1" min="69" max="69"/>
    <col width="15.69921875" bestFit="1" customWidth="1" min="70" max="70"/>
    <col width="21.69921875" bestFit="1" customWidth="1" min="81" max="81"/>
    <col width="19" bestFit="1" customWidth="1" min="84" max="84"/>
    <col width="22.5" bestFit="1" customWidth="1" min="87" max="87"/>
    <col width="22.5" bestFit="1" customWidth="1" min="90" max="90"/>
    <col width="11.69921875" bestFit="1" customWidth="1" min="93" max="93"/>
    <col width="2.296875" customWidth="1" min="94" max="94"/>
    <col width="2.796875" customWidth="1" min="95" max="95"/>
    <col width="11.69921875" bestFit="1" customWidth="1" min="96" max="96"/>
    <col width="3" customWidth="1" min="97" max="97"/>
    <col width="3.296875" customWidth="1" min="98" max="98"/>
    <col width="11.69921875" bestFit="1" customWidth="1" min="99" max="99"/>
    <col width="2.19921875" customWidth="1" min="100" max="101"/>
    <col width="9" bestFit="1" customWidth="1" min="102" max="102"/>
    <col width="14.796875" bestFit="1" customWidth="1" min="103" max="103"/>
    <col width="9" bestFit="1" customWidth="1" min="104" max="104"/>
    <col width="2.796875" customWidth="1" min="105" max="105"/>
    <col width="12.5" bestFit="1" customWidth="1" min="106" max="106"/>
    <col width="7.69921875" bestFit="1" customWidth="1" min="107" max="107"/>
    <col width="3.296875" customWidth="1" min="108" max="108"/>
    <col width="13.69921875" bestFit="1" customWidth="1" min="109" max="109"/>
    <col width="9" bestFit="1" customWidth="1" min="110" max="110"/>
    <col width="3.296875" customWidth="1" min="111" max="111"/>
    <col width="15.69921875" bestFit="1" customWidth="1" min="112" max="112"/>
  </cols>
  <sheetData>
    <row r="1" customFormat="1" s="585">
      <c r="A1" s="1661">
        <f>B16</f>
        <v/>
      </c>
      <c r="G1" s="586" t="inlineStr">
        <is>
          <t>Bidding Contacts:</t>
        </is>
      </c>
      <c r="M1" s="823" t="inlineStr">
        <is>
          <t xml:space="preserve">Layout </t>
        </is>
      </c>
      <c r="N1" s="823" t="inlineStr">
        <is>
          <t xml:space="preserve">Layout </t>
        </is>
      </c>
      <c r="O1" s="584" t="n"/>
      <c r="P1" s="584" t="n"/>
      <c r="Q1" s="584" t="n"/>
      <c r="R1" s="584" t="n"/>
    </row>
    <row r="2" ht="16.2" customFormat="1" customHeight="1" s="585" thickBot="1">
      <c r="A2" s="584" t="inlineStr">
        <is>
          <t>Project</t>
        </is>
      </c>
      <c r="B2" s="585">
        <f>'Gyp (USG 1-8")'!B2</f>
        <v/>
      </c>
      <c r="G2" s="588">
        <f>'Gyp (USG 1-8")'!G2</f>
        <v/>
      </c>
      <c r="H2" s="585">
        <f>'Gyp (USG 1-8")'!H2</f>
        <v/>
      </c>
      <c r="I2" s="585">
        <f>'Gyp (USG 1-8")'!I2</f>
        <v/>
      </c>
      <c r="M2" s="969" t="inlineStr">
        <is>
          <t xml:space="preserve">Building # </t>
        </is>
      </c>
      <c r="N2" s="969" t="inlineStr">
        <is>
          <t xml:space="preserve">Floor # </t>
        </is>
      </c>
      <c r="O2" s="969" t="inlineStr">
        <is>
          <t>Total SF per Floor</t>
        </is>
      </c>
      <c r="P2" s="1289" t="inlineStr">
        <is>
          <t xml:space="preserve">SF-Soft Surfaces </t>
        </is>
      </c>
      <c r="Q2" s="1290" t="inlineStr">
        <is>
          <t xml:space="preserve">SF-Hard Surfaces </t>
        </is>
      </c>
      <c r="R2" s="1291" t="inlineStr">
        <is>
          <t>SF-Corridors</t>
        </is>
      </c>
      <c r="S2" s="969" t="inlineStr">
        <is>
          <t>Bags</t>
        </is>
      </c>
      <c r="T2" s="969" t="inlineStr">
        <is>
          <t>Mobilizations</t>
        </is>
      </c>
      <c r="U2" s="969" t="inlineStr">
        <is>
          <t xml:space="preserve">Alt Mobs. </t>
        </is>
      </c>
      <c r="V2" s="969" t="inlineStr">
        <is>
          <t>Days per Area</t>
        </is>
      </c>
      <c r="W2" s="1331" t="inlineStr">
        <is>
          <t>Mat Totals</t>
        </is>
      </c>
      <c r="X2" s="1331" t="inlineStr">
        <is>
          <t>Bag Totals</t>
        </is>
      </c>
    </row>
    <row r="3" customFormat="1" s="585">
      <c r="A3" s="584" t="inlineStr">
        <is>
          <t>Bid Date</t>
        </is>
      </c>
      <c r="B3" s="587">
        <f>'Gyp (USG 1-8")'!B3</f>
        <v/>
      </c>
      <c r="G3" s="588">
        <f>'Gyp (USG 1-8")'!G3</f>
        <v/>
      </c>
      <c r="H3" s="585">
        <f>'Gyp (USG 1-8")'!H3</f>
        <v/>
      </c>
      <c r="I3" s="585">
        <f>'Gyp (USG 1-8")'!I3</f>
        <v/>
      </c>
      <c r="L3" s="633" t="n"/>
      <c r="N3" s="1292" t="n"/>
      <c r="O3" s="1393">
        <f>SUM(P3:R3)</f>
        <v/>
      </c>
      <c r="P3" s="1394" t="n"/>
      <c r="Q3" s="1395" t="n"/>
      <c r="R3" s="1396" t="n"/>
      <c r="S3" s="1337">
        <f>((P3+Q3+R3)/F22)*H33</f>
        <v/>
      </c>
      <c r="T3" s="970" t="n"/>
      <c r="U3" s="633" t="n"/>
    </row>
    <row r="4" customFormat="1" s="585">
      <c r="A4" s="584" t="inlineStr">
        <is>
          <t>Address</t>
        </is>
      </c>
      <c r="B4" s="585">
        <f>'Gyp (USG 1-8")'!B4</f>
        <v/>
      </c>
      <c r="G4" s="588">
        <f>'Gyp (USG 1-8")'!G4</f>
        <v/>
      </c>
      <c r="H4" s="585">
        <f>'Gyp (USG 1-8")'!H4</f>
        <v/>
      </c>
      <c r="I4" s="585">
        <f>'Gyp (USG 1-8")'!I4</f>
        <v/>
      </c>
      <c r="J4" s="594" t="n"/>
      <c r="L4" s="633" t="n"/>
      <c r="N4" s="1292" t="n"/>
      <c r="O4" s="1393">
        <f>SUM(P4:R4)</f>
        <v/>
      </c>
      <c r="P4" s="1394" t="n"/>
      <c r="Q4" s="1395" t="n"/>
      <c r="R4" s="1396" t="n"/>
      <c r="S4" s="1337">
        <f>((P4+Q4+R4)/F22)*H33</f>
        <v/>
      </c>
      <c r="T4" s="970" t="n"/>
      <c r="U4" s="633" t="n"/>
    </row>
    <row r="5" customFormat="1" s="585">
      <c r="A5" s="1637" t="inlineStr">
        <is>
          <t>Local?</t>
        </is>
      </c>
      <c r="B5" s="585">
        <f>'Gyp (USG 1-8")'!B5</f>
        <v/>
      </c>
      <c r="C5" s="590" t="inlineStr">
        <is>
          <t>&lt; 70 miles?</t>
        </is>
      </c>
      <c r="D5" s="1412" t="inlineStr">
        <is>
          <t xml:space="preserve">     Look-Up on Google Earth</t>
        </is>
      </c>
      <c r="E5" s="1413" t="n"/>
      <c r="G5" s="588">
        <f>'Gyp (USG 1-8")'!G5</f>
        <v/>
      </c>
      <c r="H5" s="585">
        <f>'Gyp (USG 1-8")'!H5</f>
        <v/>
      </c>
      <c r="I5" s="585">
        <f>'Gyp (USG 1-8")'!I5</f>
        <v/>
      </c>
      <c r="J5" s="594" t="n"/>
      <c r="L5" s="633" t="n"/>
      <c r="N5" s="1292" t="n"/>
      <c r="O5" s="1393">
        <f>SUM(P5:R5)</f>
        <v/>
      </c>
      <c r="P5" s="1394" t="n"/>
      <c r="Q5" s="1395" t="n"/>
      <c r="R5" s="1396" t="n"/>
      <c r="S5" s="1337">
        <f>((P5+Q5+R5)/F22)*H33</f>
        <v/>
      </c>
      <c r="T5" s="970" t="n"/>
      <c r="U5" s="633" t="n"/>
    </row>
    <row r="6" ht="16.2" customFormat="1" customHeight="1" s="585" thickBot="1">
      <c r="A6" s="584" t="inlineStr">
        <is>
          <t xml:space="preserve">Miles Away </t>
        </is>
      </c>
      <c r="B6" s="840">
        <f>'Gyp (USG 1-8")'!B6</f>
        <v/>
      </c>
      <c r="G6" s="588">
        <f>'Gyp (USG 1-8")'!G6</f>
        <v/>
      </c>
      <c r="H6" s="585">
        <f>'Gyp (USG 1-8")'!H6</f>
        <v/>
      </c>
      <c r="I6" s="585">
        <f>'Gyp (USG 1-8")'!I6</f>
        <v/>
      </c>
      <c r="J6" s="594" t="n"/>
      <c r="L6" s="633" t="n"/>
      <c r="M6" s="1650" t="inlineStr">
        <is>
          <t>Total from</t>
        </is>
      </c>
      <c r="N6" s="1651" t="inlineStr">
        <is>
          <t>Base Bid</t>
        </is>
      </c>
      <c r="O6" s="1393">
        <f>SUM(P6:R6)</f>
        <v/>
      </c>
      <c r="P6" s="1394">
        <f>'Gyp (USG 1-8")'!P28</f>
        <v/>
      </c>
      <c r="Q6" s="1395">
        <f>'Gyp (USG 1-8")'!Q28</f>
        <v/>
      </c>
      <c r="R6" s="1396">
        <f>'Gyp (USG 1-8")'!R28</f>
        <v/>
      </c>
      <c r="S6" s="1337">
        <f>((P6+Q6+R6)/F22)*H33</f>
        <v/>
      </c>
      <c r="T6" s="1652">
        <f>'Gyp (USG 1-8")'!T28</f>
        <v/>
      </c>
      <c r="U6" s="1650" t="inlineStr">
        <is>
          <t xml:space="preserve">Total from </t>
        </is>
      </c>
      <c r="V6" s="1653" t="inlineStr">
        <is>
          <t>Base Bid</t>
        </is>
      </c>
      <c r="AM6" s="2193" t="n">
        <v>1000</v>
      </c>
      <c r="AN6" s="2193" t="n"/>
      <c r="AO6" s="2193" t="n"/>
      <c r="AP6" s="2193">
        <f>AM6</f>
        <v/>
      </c>
      <c r="AQ6" s="2193" t="n"/>
      <c r="AR6" s="2193" t="n"/>
      <c r="AS6" s="2193">
        <f>AM6+AP6</f>
        <v/>
      </c>
      <c r="AT6" s="2193" t="n"/>
      <c r="AU6" s="2193" t="n"/>
      <c r="AV6" s="2193">
        <f>AS6</f>
        <v/>
      </c>
      <c r="AW6" s="1051">
        <f>IF(AM6&lt;=#REF!,#REF!,IF(AM6&lt;=#REF!,#REF!,IF(AM6&lt;=#REF!,#REF!,IF(AM6&lt;=#REF!,#REF!,IF(AM6&lt;=#REF!,#REF!,IF(AM6&lt;=#REF!,#REF!,IF(AM6&lt;=#REF!,#REF!,0.05)))))))</f>
        <v/>
      </c>
      <c r="AX6" s="2193">
        <f>AW6*AM6</f>
        <v/>
      </c>
      <c r="AY6" s="1051" t="n"/>
      <c r="AZ6" s="1051">
        <f>IF(AP6&lt;=#REF!,#REF!,IF(AP6&lt;=#REF!,#REF!,IF(AP6&lt;=#REF!,#REF!,IF(AP6&lt;=#REF!,#REF!,IF(AP6&lt;=#REF!,#REF!,IF(AP6&lt;=#REF!,#REF!,IF(AP6&lt;=#REF!,#REF!,0.05)))))))</f>
        <v/>
      </c>
      <c r="BA6" s="2193">
        <f>AZ6*AP6</f>
        <v/>
      </c>
      <c r="BB6" s="1051" t="n"/>
      <c r="BC6" s="1051">
        <f>IF(AS6&lt;=#REF!,#REF!,IF(AS6&lt;=#REF!,#REF!,IF(AS6&lt;=#REF!,#REF!,IF(AS6&lt;=#REF!,#REF!,IF(AS6&lt;=#REF!,#REF!,IF(AS6&lt;=#REF!,#REF!,IF(AS6&lt;=#REF!,#REF!,0.05)))))))</f>
        <v/>
      </c>
      <c r="BD6" s="2193">
        <f>BC6*SUM(BA6,AX6,AS6)</f>
        <v/>
      </c>
      <c r="BE6" s="1051" t="n"/>
      <c r="BF6" s="2194">
        <f>IF(AV6&lt;=#REF!,#REF!,IF(AV6&lt;=#REF!,#REF!,IF(AV6&lt;=#REF!,#REF!,IF(AV6&lt;=#REF!,#REF!,IF(AV6&lt;=#REF!,#REF!,IF(AV6&lt;=#REF!,#REF!,IF(AV6&lt;=#REF!,#REF!,0.05)))))))</f>
        <v/>
      </c>
      <c r="BG6" s="2193">
        <f>BF6*AV6</f>
        <v/>
      </c>
      <c r="BI6" s="1932">
        <f>0.07*SUM(AS6,AX6,BA6,BD6,BG6)</f>
        <v/>
      </c>
      <c r="BK6" s="1932">
        <f>SUM(BI6,BG6,BD6,BA6,AX6,AS6)</f>
        <v/>
      </c>
      <c r="BL6" s="1933">
        <f>SUM(BG6,BD6,BA6,AX6)</f>
        <v/>
      </c>
      <c r="BM6" s="1051">
        <f>BL6/BK6</f>
        <v/>
      </c>
      <c r="BP6" s="1051" t="n">
        <v>0.1</v>
      </c>
      <c r="BQ6" s="2193" t="n">
        <v>5000</v>
      </c>
      <c r="BS6" s="1051" t="n">
        <v>0.35</v>
      </c>
      <c r="BT6" s="2193" t="n">
        <v>2000</v>
      </c>
      <c r="BU6" s="2193" t="n"/>
      <c r="BV6" s="1051" t="n">
        <v>0.28</v>
      </c>
      <c r="BW6" s="2193" t="n">
        <v>9000</v>
      </c>
      <c r="BY6" s="2194" t="n">
        <v>0</v>
      </c>
      <c r="BZ6" s="2193" t="n">
        <v>9000</v>
      </c>
      <c r="CC6" s="2193" t="n">
        <v>1000</v>
      </c>
      <c r="CD6" s="2193" t="n"/>
      <c r="CE6" s="2193" t="n"/>
      <c r="CF6" s="2193">
        <f>CC6</f>
        <v/>
      </c>
      <c r="CG6" s="2193" t="n"/>
      <c r="CH6" s="2193" t="n"/>
      <c r="CI6" s="2193">
        <f>CC6+CF6</f>
        <v/>
      </c>
      <c r="CJ6" s="2193" t="n"/>
      <c r="CK6" s="2193" t="n"/>
      <c r="CL6" s="2193">
        <f>CI6</f>
        <v/>
      </c>
      <c r="CM6" s="1051">
        <f>IF(CC6&lt;=BQ$6,BP$6,IF(CC6&lt;=BQ$7,BP$7,IF(CC6&lt;=BQ$8,BP$8,IF(CC6&lt;=BQ$9,BP$9,IF(CC6&lt;=BQ$14,BP$14,IF(CC6&lt;=BQ$15,BP$15,IF(CC6&lt;=BQ$16,BP$16,0.05)))))))</f>
        <v/>
      </c>
      <c r="CN6" s="2193">
        <f>CM6*CC6</f>
        <v/>
      </c>
      <c r="CO6" s="1051" t="n"/>
      <c r="CP6" s="1051">
        <f>IF(CF6&lt;=BT$6,BS$6,IF(CF6&lt;=BT$7,BS$7,IF(CF6&lt;=BT$8,BS$8,IF(CF6&lt;=BT$9,BS$9,IF(CF6&lt;=BT$14,BS$14,IF(CF6&lt;=BT$15,BS$15,IF(CF6&lt;=BT$16,BS$16,0.05)))))))</f>
        <v/>
      </c>
      <c r="CQ6" s="2193">
        <f>CP6*CF6</f>
        <v/>
      </c>
      <c r="CR6" s="1051" t="n"/>
      <c r="CS6" s="1051">
        <f>IF(CI6&lt;=BW$6,BV$6,IF(CI6&lt;=BW$7,BV$7,IF(CI6&lt;=BW$8,BV$8,IF(CI6&lt;=BW$9,BV$9,IF(CI6&lt;=BW$14,BV$14,IF(CI6&lt;=BW$15,BV$15,IF(CI6&lt;=BW$16,BV$16,0.05)))))))</f>
        <v/>
      </c>
      <c r="CT6" s="2193">
        <f>CS6*SUM(CQ6,CN6,CI6)</f>
        <v/>
      </c>
      <c r="CU6" s="1051" t="n"/>
      <c r="CV6" s="2194">
        <f>IF(CL6&lt;=BZ$6,BY$6,IF(CL6&lt;=BZ$7,BY$7,IF(CL6&lt;=BZ$8,BY$8,IF(CL6&lt;=BZ$9,BY$9,IF(CL6&lt;=BZ$14,BY$14,IF(CL6&lt;=BZ$15,BY$15,IF(CL6&lt;=BZ$16,BY$16,0.05)))))))</f>
        <v/>
      </c>
      <c r="CW6" s="2193">
        <f>CV6*CL6</f>
        <v/>
      </c>
      <c r="CY6" s="1932">
        <f>0.07*SUM(CI6,CN6,CQ6,CT6,CW6)</f>
        <v/>
      </c>
      <c r="DA6" s="1932">
        <f>SUM(CY6,CW6,CT6,CQ6,CN6,CI6)</f>
        <v/>
      </c>
      <c r="DB6" s="1933">
        <f>SUM(CW6,CT6,CQ6,CN6)</f>
        <v/>
      </c>
      <c r="DC6" s="1051">
        <f>DB6/DA6</f>
        <v/>
      </c>
    </row>
    <row r="7" ht="16.2" customFormat="1" customHeight="1" s="585" thickBot="1">
      <c r="A7" s="589" t="inlineStr">
        <is>
          <t>Hard Bid?</t>
        </is>
      </c>
      <c r="B7" s="585" t="inlineStr">
        <is>
          <t>No</t>
        </is>
      </c>
      <c r="C7" s="1010" t="inlineStr">
        <is>
          <t>PrevailingWage?</t>
        </is>
      </c>
      <c r="D7" s="591">
        <f>'Gyp (USG 1-8")'!D7</f>
        <v/>
      </c>
      <c r="E7" s="591" t="n"/>
      <c r="F7" s="974" t="inlineStr">
        <is>
          <t>Total SF:</t>
        </is>
      </c>
      <c r="G7" s="1283">
        <f>G9+I9+K9</f>
        <v/>
      </c>
      <c r="H7" s="593" t="n"/>
      <c r="I7" s="594" t="n"/>
      <c r="J7" s="594" t="n"/>
      <c r="K7" s="594" t="n"/>
      <c r="L7" s="633" t="n"/>
      <c r="N7" s="1292" t="n"/>
      <c r="O7" s="1393">
        <f>SUM(P7:R7)</f>
        <v/>
      </c>
      <c r="P7" s="1394" t="n"/>
      <c r="Q7" s="1395" t="n"/>
      <c r="R7" s="1396" t="n"/>
      <c r="S7" s="1337">
        <f>((P7+Q7+R7)/F22)*H33</f>
        <v/>
      </c>
      <c r="T7" s="970" t="n"/>
      <c r="AM7" s="2193" t="n">
        <v>2000</v>
      </c>
      <c r="AN7" s="2193" t="n"/>
      <c r="AO7" s="2193" t="n"/>
      <c r="AP7" s="2193">
        <f>AM7</f>
        <v/>
      </c>
      <c r="AQ7" s="2193" t="n"/>
      <c r="AR7" s="2193" t="n"/>
      <c r="AS7" s="2193">
        <f>AM7+AP7</f>
        <v/>
      </c>
      <c r="AT7" s="2193" t="n"/>
      <c r="AU7" s="2193" t="n"/>
      <c r="AV7" s="2193">
        <f>AS7</f>
        <v/>
      </c>
      <c r="AW7" s="1051">
        <f>IF(AM7&lt;=#REF!,#REF!,IF(AM7&lt;=#REF!,#REF!,IF(AM7&lt;=#REF!,#REF!,IF(AM7&lt;=#REF!,#REF!,IF(AM7&lt;=#REF!,#REF!,IF(AM7&lt;=#REF!,#REF!,IF(AM7&lt;=#REF!,#REF!,0.05)))))))</f>
        <v/>
      </c>
      <c r="AX7" s="2193">
        <f>AW7*AM7</f>
        <v/>
      </c>
      <c r="AY7" s="1051" t="n"/>
      <c r="AZ7" s="1051">
        <f>IF(AP7&lt;=#REF!,#REF!,IF(AP7&lt;=#REF!,#REF!,IF(AP7&lt;=#REF!,#REF!,IF(AP7&lt;=#REF!,#REF!,IF(AP7&lt;=#REF!,#REF!,IF(AP7&lt;=#REF!,#REF!,IF(AP7&lt;=#REF!,#REF!,0.05)))))))</f>
        <v/>
      </c>
      <c r="BA7" s="2193">
        <f>AZ7*AP7</f>
        <v/>
      </c>
      <c r="BB7" s="1051" t="n"/>
      <c r="BC7" s="1051">
        <f>IF(AS7&lt;=#REF!,#REF!,IF(AS7&lt;=#REF!,#REF!,IF(AS7&lt;=#REF!,#REF!,IF(AS7&lt;=#REF!,#REF!,IF(AS7&lt;=#REF!,#REF!,IF(AS7&lt;=#REF!,#REF!,IF(AS7&lt;=#REF!,#REF!,0.05)))))))</f>
        <v/>
      </c>
      <c r="BD7" s="2193">
        <f>BC7*SUM(BA7,AX7,AS7)</f>
        <v/>
      </c>
      <c r="BE7" s="1051" t="n"/>
      <c r="BF7" s="2194">
        <f>IF(AV7&lt;=#REF!,#REF!,IF(AV7&lt;=#REF!,#REF!,IF(AV7&lt;=#REF!,#REF!,IF(AV7&lt;=#REF!,#REF!,IF(AV7&lt;=#REF!,#REF!,IF(AV7&lt;=#REF!,#REF!,IF(AV7&lt;=#REF!,#REF!,0.05)))))))</f>
        <v/>
      </c>
      <c r="BG7" s="2193">
        <f>BF7*AV7</f>
        <v/>
      </c>
      <c r="BI7" s="1932">
        <f>0.07*SUM(AS7,AX7,BA7,BD7,BG7)</f>
        <v/>
      </c>
      <c r="BK7" s="1932">
        <f>SUM(BI7,BG7,BD7,BA7,AX7,AS7)</f>
        <v/>
      </c>
      <c r="BL7" s="1933">
        <f>SUM(BG7,BD7,BA7,AX7)</f>
        <v/>
      </c>
      <c r="BM7" s="1051">
        <f>BL7/BK7</f>
        <v/>
      </c>
      <c r="BP7" s="1051" t="n">
        <v>0.05</v>
      </c>
      <c r="BQ7" s="2193" t="n">
        <v>1000000000</v>
      </c>
      <c r="BS7" s="1051" t="n">
        <v>0.3</v>
      </c>
      <c r="BT7" s="2193" t="n">
        <v>3000</v>
      </c>
      <c r="BU7" s="2193" t="n"/>
      <c r="BV7" s="1051" t="n">
        <v>0.24</v>
      </c>
      <c r="BW7" s="2193" t="n">
        <v>14000</v>
      </c>
      <c r="BY7" s="2194" t="n">
        <v>-0.04</v>
      </c>
      <c r="BZ7" s="2193" t="n">
        <v>14000</v>
      </c>
      <c r="CC7" s="2193" t="n">
        <v>2000</v>
      </c>
      <c r="CD7" s="2193" t="n"/>
      <c r="CE7" s="2193" t="n"/>
      <c r="CF7" s="2193">
        <f>CC7</f>
        <v/>
      </c>
      <c r="CG7" s="2193" t="n"/>
      <c r="CH7" s="2193" t="n"/>
      <c r="CI7" s="2193">
        <f>CC7+CF7</f>
        <v/>
      </c>
      <c r="CJ7" s="2193" t="n"/>
      <c r="CK7" s="2193" t="n"/>
      <c r="CL7" s="2193">
        <f>CI7</f>
        <v/>
      </c>
      <c r="CM7" s="1051">
        <f>IF(CC7&lt;=BQ$6,BP$6,IF(CC7&lt;=BQ$7,BP$7,IF(CC7&lt;=BQ$8,BP$8,IF(CC7&lt;=BQ$9,BP$9,IF(CC7&lt;=BQ$14,BP$14,IF(CC7&lt;=BQ$15,BP$15,IF(CC7&lt;=BQ$16,BP$16,0.05)))))))</f>
        <v/>
      </c>
      <c r="CN7" s="2193">
        <f>CM7*CC7</f>
        <v/>
      </c>
      <c r="CO7" s="1051" t="n"/>
      <c r="CP7" s="1051">
        <f>IF(CF7&lt;=BT$6,BS$6,IF(CF7&lt;=BT$7,BS$7,IF(CF7&lt;=BT$8,BS$8,IF(CF7&lt;=BT$9,BS$9,IF(CF7&lt;=BT$14,BS$14,IF(CF7&lt;=BT$15,BS$15,IF(CF7&lt;=BT$16,BS$16,0.05)))))))</f>
        <v/>
      </c>
      <c r="CQ7" s="2193">
        <f>CP7*CF7</f>
        <v/>
      </c>
      <c r="CR7" s="1051" t="n"/>
      <c r="CS7" s="1051">
        <f>IF(CI7&lt;=BW$6,BV$6,IF(CI7&lt;=BW$7,BV$7,IF(CI7&lt;=BW$8,BV$8,IF(CI7&lt;=BW$9,BV$9,IF(CI7&lt;=BW$14,BV$14,IF(CI7&lt;=BW$15,BV$15,IF(CI7&lt;=BW$16,BV$16,0.05)))))))</f>
        <v/>
      </c>
      <c r="CT7" s="2193">
        <f>CS7*SUM(CQ7,CN7,CI7)</f>
        <v/>
      </c>
      <c r="CU7" s="1051" t="n"/>
      <c r="CV7" s="2194">
        <f>IF(CL7&lt;=BZ$6,BY$6,IF(CL7&lt;=BZ$7,BY$7,IF(CL7&lt;=BZ$8,BY$8,IF(CL7&lt;=BZ$9,BY$9,IF(CL7&lt;=BZ$14,BY$14,IF(CL7&lt;=BZ$15,BY$15,IF(CL7&lt;=BZ$16,BY$16,0.05)))))))</f>
        <v/>
      </c>
      <c r="CW7" s="2193">
        <f>CV7*CL7</f>
        <v/>
      </c>
      <c r="CY7" s="1932">
        <f>0.07*SUM(CI7,CN7,CQ7,CT7,CW7)</f>
        <v/>
      </c>
      <c r="DA7" s="1932">
        <f>SUM(CY7,CW7,CT7,CQ7,CN7,CI7)</f>
        <v/>
      </c>
      <c r="DB7" s="1933">
        <f>SUM(CW7,CT7,CQ7,CN7)</f>
        <v/>
      </c>
      <c r="DC7" s="1051">
        <f>DB7/DA7</f>
        <v/>
      </c>
    </row>
    <row r="8" ht="16.2" customFormat="1" customHeight="1" s="585" thickBot="1">
      <c r="A8" s="589" t="inlineStr">
        <is>
          <t>Taxable?</t>
        </is>
      </c>
      <c r="B8" s="585">
        <f>'Gyp (USG 1-8")'!B8</f>
        <v/>
      </c>
      <c r="C8" s="1539" t="inlineStr">
        <is>
          <t>Remodel Tax?</t>
        </is>
      </c>
      <c r="D8" s="591">
        <f>'Gyp (USG 1-8")'!D8</f>
        <v/>
      </c>
      <c r="E8" s="591" t="n"/>
      <c r="F8" s="2195" t="inlineStr">
        <is>
          <t>Unit</t>
        </is>
      </c>
      <c r="G8" s="2126" t="n"/>
      <c r="H8" s="2196" t="inlineStr">
        <is>
          <t>Unit</t>
        </is>
      </c>
      <c r="I8" s="2126" t="n"/>
      <c r="J8" s="2197" t="inlineStr">
        <is>
          <t>Corridor</t>
        </is>
      </c>
      <c r="K8" s="2126" t="n"/>
      <c r="L8" s="633" t="n"/>
      <c r="N8" s="1292" t="n"/>
      <c r="O8" s="1393">
        <f>SUM(P8:R8)</f>
        <v/>
      </c>
      <c r="P8" s="1394" t="n"/>
      <c r="Q8" s="1395" t="n"/>
      <c r="R8" s="1396" t="n"/>
      <c r="S8" s="1337">
        <f>((P8+Q8+R8)/F22)*H33</f>
        <v/>
      </c>
      <c r="T8" s="970" t="n"/>
      <c r="AM8" s="2193" t="n">
        <v>3000</v>
      </c>
      <c r="AN8" s="2193" t="n"/>
      <c r="AO8" s="2193" t="n"/>
      <c r="AP8" s="2193">
        <f>AM8</f>
        <v/>
      </c>
      <c r="AQ8" s="2193" t="n"/>
      <c r="AR8" s="2193" t="n"/>
      <c r="AS8" s="2193">
        <f>AM8+AP8</f>
        <v/>
      </c>
      <c r="AT8" s="2193" t="n"/>
      <c r="AU8" s="2193" t="n"/>
      <c r="AV8" s="2193">
        <f>AS8</f>
        <v/>
      </c>
      <c r="AW8" s="1051">
        <f>IF(AM8&lt;=#REF!,#REF!,IF(AM8&lt;=#REF!,#REF!,IF(AM8&lt;=#REF!,#REF!,IF(AM8&lt;=#REF!,#REF!,IF(AM8&lt;=#REF!,#REF!,IF(AM8&lt;=#REF!,#REF!,IF(AM8&lt;=#REF!,#REF!,0.05)))))))</f>
        <v/>
      </c>
      <c r="AX8" s="2193">
        <f>AW8*AM8</f>
        <v/>
      </c>
      <c r="AY8" s="1051" t="n"/>
      <c r="AZ8" s="1051">
        <f>IF(AP8&lt;=#REF!,#REF!,IF(AP8&lt;=#REF!,#REF!,IF(AP8&lt;=#REF!,#REF!,IF(AP8&lt;=#REF!,#REF!,IF(AP8&lt;=#REF!,#REF!,IF(AP8&lt;=#REF!,#REF!,IF(AP8&lt;=#REF!,#REF!,0.05)))))))</f>
        <v/>
      </c>
      <c r="BA8" s="2193">
        <f>AZ8*AP8</f>
        <v/>
      </c>
      <c r="BB8" s="1051" t="n"/>
      <c r="BC8" s="1051">
        <f>IF(AS8&lt;=#REF!,#REF!,IF(AS8&lt;=#REF!,#REF!,IF(AS8&lt;=#REF!,#REF!,IF(AS8&lt;=#REF!,#REF!,IF(AS8&lt;=#REF!,#REF!,IF(AS8&lt;=#REF!,#REF!,IF(AS8&lt;=#REF!,#REF!,0.05)))))))</f>
        <v/>
      </c>
      <c r="BD8" s="2193">
        <f>BC8*SUM(BA8,AX8,AS8)</f>
        <v/>
      </c>
      <c r="BE8" s="1051" t="n"/>
      <c r="BF8" s="2194">
        <f>IF(AV8&lt;=#REF!,#REF!,IF(AV8&lt;=#REF!,#REF!,IF(AV8&lt;=#REF!,#REF!,IF(AV8&lt;=#REF!,#REF!,IF(AV8&lt;=#REF!,#REF!,IF(AV8&lt;=#REF!,#REF!,IF(AV8&lt;=#REF!,#REF!,0.05)))))))</f>
        <v/>
      </c>
      <c r="BG8" s="2193">
        <f>BF8*AV8</f>
        <v/>
      </c>
      <c r="BI8" s="1932">
        <f>0.07*SUM(AS8,AX8,BA8,BD8,BG8)</f>
        <v/>
      </c>
      <c r="BK8" s="1932">
        <f>SUM(BI8,BG8,BD8,BA8,AX8,AS8)</f>
        <v/>
      </c>
      <c r="BL8" s="1933">
        <f>SUM(BG8,BD8,BA8,AX8)</f>
        <v/>
      </c>
      <c r="BM8" s="1051">
        <f>BL8/BK8</f>
        <v/>
      </c>
      <c r="BP8" s="1051" t="n">
        <v>0.05</v>
      </c>
      <c r="BQ8" s="2193" t="n">
        <v>1000000000</v>
      </c>
      <c r="BS8" s="1051" t="n">
        <v>0.2</v>
      </c>
      <c r="BT8" s="2193" t="n">
        <v>4000</v>
      </c>
      <c r="BU8" s="2193" t="n"/>
      <c r="BV8" s="1051" t="n">
        <v>0.22</v>
      </c>
      <c r="BW8" s="2193" t="n">
        <v>19000</v>
      </c>
      <c r="BY8" s="2194" t="n">
        <v>-0.05</v>
      </c>
      <c r="BZ8" s="2193" t="n">
        <v>19000</v>
      </c>
      <c r="CC8" s="2193" t="n">
        <v>3000</v>
      </c>
      <c r="CD8" s="2193" t="n"/>
      <c r="CE8" s="2193" t="n"/>
      <c r="CF8" s="2193">
        <f>CC8</f>
        <v/>
      </c>
      <c r="CG8" s="2193" t="n"/>
      <c r="CH8" s="2193" t="n"/>
      <c r="CI8" s="2193">
        <f>CC8+CF8</f>
        <v/>
      </c>
      <c r="CJ8" s="2193" t="n"/>
      <c r="CK8" s="2193" t="n"/>
      <c r="CL8" s="2193">
        <f>CI8</f>
        <v/>
      </c>
      <c r="CM8" s="1051">
        <f>IF(CC8&lt;=BQ$6,BP$6,IF(CC8&lt;=BQ$7,BP$7,IF(CC8&lt;=BQ$8,BP$8,IF(CC8&lt;=BQ$9,BP$9,IF(CC8&lt;=BQ$14,BP$14,IF(CC8&lt;=BQ$15,BP$15,IF(CC8&lt;=BQ$16,BP$16,0.05)))))))</f>
        <v/>
      </c>
      <c r="CN8" s="2193">
        <f>CM8*CC8</f>
        <v/>
      </c>
      <c r="CO8" s="1051" t="n"/>
      <c r="CP8" s="1051">
        <f>IF(CF8&lt;=BT$6,BS$6,IF(CF8&lt;=BT$7,BS$7,IF(CF8&lt;=BT$8,BS$8,IF(CF8&lt;=BT$9,BS$9,IF(CF8&lt;=BT$14,BS$14,IF(CF8&lt;=BT$15,BS$15,IF(CF8&lt;=BT$16,BS$16,0.05)))))))</f>
        <v/>
      </c>
      <c r="CQ8" s="2193">
        <f>CP8*CF8</f>
        <v/>
      </c>
      <c r="CR8" s="1051" t="n"/>
      <c r="CS8" s="1051">
        <f>IF(CI8&lt;=BW$6,BV$6,IF(CI8&lt;=BW$7,BV$7,IF(CI8&lt;=BW$8,BV$8,IF(CI8&lt;=BW$9,BV$9,IF(CI8&lt;=BW$14,BV$14,IF(CI8&lt;=BW$15,BV$15,IF(CI8&lt;=BW$16,BV$16,0.05)))))))</f>
        <v/>
      </c>
      <c r="CT8" s="2193">
        <f>CS8*SUM(CQ8,CN8,CI8)</f>
        <v/>
      </c>
      <c r="CU8" s="1051" t="n"/>
      <c r="CV8" s="2194">
        <f>IF(CL8&lt;=BZ$6,BY$6,IF(CL8&lt;=BZ$7,BY$7,IF(CL8&lt;=BZ$8,BY$8,IF(CL8&lt;=BZ$9,BY$9,IF(CL8&lt;=BZ$14,BY$14,IF(CL8&lt;=BZ$15,BY$15,IF(CL8&lt;=BZ$16,BY$16,0.05)))))))</f>
        <v/>
      </c>
      <c r="CW8" s="2193">
        <f>CV8*CL8</f>
        <v/>
      </c>
      <c r="CY8" s="1932">
        <f>0.07*SUM(CI8,CN8,CQ8,CT8,CW8)</f>
        <v/>
      </c>
      <c r="DA8" s="1932">
        <f>SUM(CY8,CW8,CT8,CQ8,CN8,CI8)</f>
        <v/>
      </c>
      <c r="DB8" s="1933">
        <f>SUM(CW8,CT8,CQ8,CN8)</f>
        <v/>
      </c>
      <c r="DC8" s="1051">
        <f>DB8/DA8</f>
        <v/>
      </c>
    </row>
    <row r="9" customFormat="1" s="585">
      <c r="A9" s="589" t="inlineStr">
        <is>
          <t>Approx Start Date</t>
        </is>
      </c>
      <c r="B9" s="587" t="n"/>
      <c r="C9" s="591" t="n"/>
      <c r="D9" s="591" t="n"/>
      <c r="E9" s="600" t="n"/>
      <c r="F9" s="975" t="inlineStr">
        <is>
          <t xml:space="preserve">SF - Soft Surfaces: </t>
        </is>
      </c>
      <c r="G9" s="1352">
        <f>P28</f>
        <v/>
      </c>
      <c r="H9" s="976" t="inlineStr">
        <is>
          <t>SF - Hard Surfaces:</t>
        </is>
      </c>
      <c r="I9" s="1353">
        <f>Q28</f>
        <v/>
      </c>
      <c r="J9" s="977" t="inlineStr">
        <is>
          <t>SF - Corridors:</t>
        </is>
      </c>
      <c r="K9" s="1354">
        <f>R28</f>
        <v/>
      </c>
      <c r="L9" s="633" t="n"/>
      <c r="N9" s="1292" t="n"/>
      <c r="O9" s="1393">
        <f>SUM(P9:R9)</f>
        <v/>
      </c>
      <c r="P9" s="1394" t="n"/>
      <c r="Q9" s="1395" t="n"/>
      <c r="R9" s="1396" t="n"/>
      <c r="S9" s="1337">
        <f>((P9+Q9+R9)/F22)*H33</f>
        <v/>
      </c>
      <c r="T9" s="970" t="n"/>
      <c r="AM9" s="2193" t="n">
        <v>4000</v>
      </c>
      <c r="AN9" s="2193" t="n"/>
      <c r="AO9" s="2193" t="n"/>
      <c r="AP9" s="2193">
        <f>AM9</f>
        <v/>
      </c>
      <c r="AQ9" s="2193" t="n"/>
      <c r="AR9" s="2193" t="n"/>
      <c r="AS9" s="2193">
        <f>AM9+AP9</f>
        <v/>
      </c>
      <c r="AT9" s="2193" t="n"/>
      <c r="AU9" s="2193" t="n"/>
      <c r="AV9" s="2193">
        <f>AS9</f>
        <v/>
      </c>
      <c r="AW9" s="1051">
        <f>IF(AM9&lt;=#REF!,#REF!,IF(AM9&lt;=#REF!,#REF!,IF(AM9&lt;=#REF!,#REF!,IF(AM9&lt;=#REF!,#REF!,IF(AM9&lt;=#REF!,#REF!,IF(AM9&lt;=#REF!,#REF!,IF(AM9&lt;=#REF!,#REF!,0.05)))))))</f>
        <v/>
      </c>
      <c r="AX9" s="2193">
        <f>AW9*AM9</f>
        <v/>
      </c>
      <c r="AY9" s="1051" t="n"/>
      <c r="AZ9" s="1051">
        <f>IF(AP9&lt;=#REF!,#REF!,IF(AP9&lt;=#REF!,#REF!,IF(AP9&lt;=#REF!,#REF!,IF(AP9&lt;=#REF!,#REF!,IF(AP9&lt;=#REF!,#REF!,IF(AP9&lt;=#REF!,#REF!,IF(AP9&lt;=#REF!,#REF!,0.05)))))))</f>
        <v/>
      </c>
      <c r="BA9" s="2193">
        <f>AZ9*AP9</f>
        <v/>
      </c>
      <c r="BB9" s="1051" t="n"/>
      <c r="BC9" s="1051">
        <f>IF(AS9&lt;=#REF!,#REF!,IF(AS9&lt;=#REF!,#REF!,IF(AS9&lt;=#REF!,#REF!,IF(AS9&lt;=#REF!,#REF!,IF(AS9&lt;=#REF!,#REF!,IF(AS9&lt;=#REF!,#REF!,IF(AS9&lt;=#REF!,#REF!,0.05)))))))</f>
        <v/>
      </c>
      <c r="BD9" s="2193">
        <f>BC9*SUM(BA9,AX9,AS9)</f>
        <v/>
      </c>
      <c r="BE9" s="1051" t="n"/>
      <c r="BF9" s="2194">
        <f>IF(AV9&lt;=#REF!,#REF!,IF(AV9&lt;=#REF!,#REF!,IF(AV9&lt;=#REF!,#REF!,IF(AV9&lt;=#REF!,#REF!,IF(AV9&lt;=#REF!,#REF!,IF(AV9&lt;=#REF!,#REF!,IF(AV9&lt;=#REF!,#REF!,0.05)))))))</f>
        <v/>
      </c>
      <c r="BG9" s="2193">
        <f>BF9*AV9</f>
        <v/>
      </c>
      <c r="BI9" s="1932">
        <f>0.07*SUM(AS9,AX9,BA9,BD9,BG9)</f>
        <v/>
      </c>
      <c r="BK9" s="1932">
        <f>SUM(BI9,BG9,BD9,BA9,AX9,AS9)</f>
        <v/>
      </c>
      <c r="BL9" s="1933">
        <f>SUM(BG9,BD9,BA9,AX9)</f>
        <v/>
      </c>
      <c r="BM9" s="1051">
        <f>BL9/BK9</f>
        <v/>
      </c>
      <c r="BP9" s="1051" t="n">
        <v>0.05</v>
      </c>
      <c r="BQ9" s="2193" t="n">
        <v>1000000000</v>
      </c>
      <c r="BS9" s="1051" t="n">
        <v>0.1</v>
      </c>
      <c r="BT9" s="2193" t="n">
        <v>7000</v>
      </c>
      <c r="BU9" s="2193" t="n"/>
      <c r="BV9" s="1051" t="n">
        <v>0.2</v>
      </c>
      <c r="BW9" s="2193" t="n">
        <v>24000</v>
      </c>
      <c r="BY9" s="2194" t="n">
        <v>-0.05</v>
      </c>
      <c r="BZ9" s="2193" t="n">
        <v>34000</v>
      </c>
      <c r="CC9" s="2193" t="n">
        <v>4000</v>
      </c>
      <c r="CD9" s="2193" t="n"/>
      <c r="CE9" s="2193" t="n"/>
      <c r="CF9" s="2193">
        <f>CC9</f>
        <v/>
      </c>
      <c r="CG9" s="2193" t="n"/>
      <c r="CH9" s="2193" t="n"/>
      <c r="CI9" s="2193">
        <f>CC9+CF9</f>
        <v/>
      </c>
      <c r="CJ9" s="2193" t="n"/>
      <c r="CK9" s="2193" t="n"/>
      <c r="CL9" s="2193">
        <f>CI9</f>
        <v/>
      </c>
      <c r="CM9" s="1051">
        <f>IF(CC9&lt;=BQ$6,BP$6,IF(CC9&lt;=BQ$7,BP$7,IF(CC9&lt;=BQ$8,BP$8,IF(CC9&lt;=BQ$9,BP$9,IF(CC9&lt;=BQ$14,BP$14,IF(CC9&lt;=BQ$15,BP$15,IF(CC9&lt;=BQ$16,BP$16,0.05)))))))</f>
        <v/>
      </c>
      <c r="CN9" s="2193">
        <f>CM9*CC9</f>
        <v/>
      </c>
      <c r="CO9" s="1051" t="n"/>
      <c r="CP9" s="1051">
        <f>IF(CF9&lt;=BT$6,BS$6,IF(CF9&lt;=BT$7,BS$7,IF(CF9&lt;=BT$8,BS$8,IF(CF9&lt;=BT$9,BS$9,IF(CF9&lt;=BT$14,BS$14,IF(CF9&lt;=BT$15,BS$15,IF(CF9&lt;=BT$16,BS$16,0.05)))))))</f>
        <v/>
      </c>
      <c r="CQ9" s="2193">
        <f>CP9*CF9</f>
        <v/>
      </c>
      <c r="CR9" s="1051" t="n"/>
      <c r="CS9" s="1051">
        <f>IF(CI9&lt;=BW$6,BV$6,IF(CI9&lt;=BW$7,BV$7,IF(CI9&lt;=BW$8,BV$8,IF(CI9&lt;=BW$9,BV$9,IF(CI9&lt;=BW$14,BV$14,IF(CI9&lt;=BW$15,BV$15,IF(CI9&lt;=BW$16,BV$16,0.05)))))))</f>
        <v/>
      </c>
      <c r="CT9" s="2193">
        <f>CS9*SUM(CQ9,CN9,CI9)</f>
        <v/>
      </c>
      <c r="CU9" s="1051" t="n"/>
      <c r="CV9" s="2194">
        <f>IF(CL9&lt;=BZ$6,BY$6,IF(CL9&lt;=BZ$7,BY$7,IF(CL9&lt;=BZ$8,BY$8,IF(CL9&lt;=BZ$9,BY$9,IF(CL9&lt;=BZ$14,BY$14,IF(CL9&lt;=BZ$15,BY$15,IF(CL9&lt;=BZ$16,BY$16,0.05)))))))</f>
        <v/>
      </c>
      <c r="CW9" s="2193">
        <f>CV9*CL9</f>
        <v/>
      </c>
      <c r="CY9" s="1932">
        <f>0.07*SUM(CI9,CN9,CQ9,CT9,CW9)</f>
        <v/>
      </c>
      <c r="DA9" s="1932">
        <f>SUM(CY9,CW9,CT9,CQ9,CN9,CI9)</f>
        <v/>
      </c>
      <c r="DB9" s="1933">
        <f>SUM(CW9,CT9,CQ9,CN9)</f>
        <v/>
      </c>
      <c r="DC9" s="1051">
        <f>DB9/DA9</f>
        <v/>
      </c>
    </row>
    <row r="10" customFormat="1" s="585">
      <c r="A10" s="602" t="inlineStr">
        <is>
          <t>Architect</t>
        </is>
      </c>
      <c r="B10" s="603">
        <f>'Gyp (USG 1-8")'!B10</f>
        <v/>
      </c>
      <c r="C10" s="591" t="n"/>
      <c r="D10" s="591" t="n"/>
      <c r="E10" s="600" t="n"/>
      <c r="F10" s="978" t="inlineStr">
        <is>
          <t xml:space="preserve">Ave Thickness: </t>
        </is>
      </c>
      <c r="G10" s="1158" t="n">
        <v>0.75</v>
      </c>
      <c r="H10" s="979" t="inlineStr">
        <is>
          <t>Ave Thickness:</t>
        </is>
      </c>
      <c r="I10" s="1158" t="n">
        <v>0.75</v>
      </c>
      <c r="J10" s="980" t="inlineStr">
        <is>
          <t>Ave Thickness:</t>
        </is>
      </c>
      <c r="K10" s="1158">
        <f>G10</f>
        <v/>
      </c>
      <c r="N10" s="1292" t="n"/>
      <c r="O10" s="1393">
        <f>SUM(P10:R10)</f>
        <v/>
      </c>
      <c r="P10" s="1394" t="n"/>
      <c r="Q10" s="1395" t="n"/>
      <c r="R10" s="1396" t="n"/>
      <c r="S10" s="1337">
        <f>((P10+Q10+R10)/F22)*H33</f>
        <v/>
      </c>
      <c r="T10" s="970" t="n"/>
      <c r="AM10" s="2193" t="n"/>
      <c r="AN10" s="2193" t="n"/>
      <c r="AO10" s="2193" t="n"/>
      <c r="AP10" s="2193" t="n"/>
      <c r="AQ10" s="2193" t="n"/>
      <c r="AR10" s="2193" t="n"/>
      <c r="AS10" s="2193" t="n"/>
      <c r="AT10" s="2193" t="n"/>
      <c r="AU10" s="2193" t="n"/>
      <c r="AV10" s="2193" t="n"/>
      <c r="AW10" s="1051" t="n"/>
      <c r="AX10" s="2193" t="n"/>
      <c r="AY10" s="1051" t="n"/>
      <c r="AZ10" s="1051" t="n"/>
      <c r="BA10" s="2193" t="n"/>
      <c r="BB10" s="1051" t="n"/>
      <c r="BC10" s="1051" t="n"/>
      <c r="BD10" s="2193" t="n"/>
      <c r="BE10" s="1051" t="n"/>
      <c r="BF10" s="2194" t="n"/>
      <c r="BG10" s="2193" t="n"/>
      <c r="BI10" s="1932" t="n"/>
      <c r="BK10" s="1932" t="n"/>
      <c r="BL10" s="1933" t="n"/>
      <c r="BM10" s="1051" t="n"/>
      <c r="BP10" s="1051" t="n"/>
      <c r="BQ10" s="2193" t="n"/>
      <c r="BS10" s="1051" t="n"/>
      <c r="BT10" s="2193" t="n"/>
      <c r="BU10" s="2193" t="n"/>
      <c r="BV10" s="1051" t="n"/>
      <c r="BW10" s="2193" t="n"/>
      <c r="BY10" s="2194" t="n"/>
      <c r="BZ10" s="2193" t="n"/>
      <c r="CC10" s="2193" t="n"/>
      <c r="CD10" s="2193" t="n"/>
      <c r="CE10" s="2193" t="n"/>
      <c r="CF10" s="2193" t="n"/>
      <c r="CG10" s="2193" t="n"/>
      <c r="CH10" s="2193" t="n"/>
      <c r="CI10" s="2193" t="n"/>
      <c r="CJ10" s="2193" t="n"/>
      <c r="CK10" s="2193" t="n"/>
      <c r="CL10" s="2193" t="n"/>
      <c r="CM10" s="1051" t="n"/>
      <c r="CN10" s="2193" t="n"/>
      <c r="CO10" s="1051" t="n"/>
      <c r="CP10" s="1051" t="n"/>
      <c r="CQ10" s="2193" t="n"/>
      <c r="CR10" s="1051" t="n"/>
      <c r="CS10" s="1051" t="n"/>
      <c r="CT10" s="2193" t="n"/>
      <c r="CU10" s="1051" t="n"/>
      <c r="CV10" s="2194" t="n"/>
      <c r="CW10" s="2193" t="n"/>
      <c r="CY10" s="1932" t="n"/>
      <c r="DA10" s="1932" t="n"/>
      <c r="DB10" s="1933" t="n"/>
      <c r="DC10" s="1051" t="n"/>
    </row>
    <row r="11" customFormat="1" s="585">
      <c r="A11" s="602" t="inlineStr">
        <is>
          <t>Drawings Dated</t>
        </is>
      </c>
      <c r="B11" s="587">
        <f>'Gyp (USG 1-8")'!B11</f>
        <v/>
      </c>
      <c r="C11" s="591" t="n"/>
      <c r="D11" s="591" t="n"/>
      <c r="E11" s="600" t="n"/>
      <c r="F11" s="978" t="inlineStr">
        <is>
          <t>Mix Design: (default= 2500psi @1.8)</t>
        </is>
      </c>
      <c r="G11" s="1110" t="n">
        <v>1.8</v>
      </c>
      <c r="H11" s="979" t="inlineStr">
        <is>
          <t xml:space="preserve">Mix Design: </t>
        </is>
      </c>
      <c r="I11" s="1110">
        <f>G11</f>
        <v/>
      </c>
      <c r="J11" s="980" t="inlineStr">
        <is>
          <t xml:space="preserve">Mix Design: </t>
        </is>
      </c>
      <c r="K11" s="1110">
        <f>G11</f>
        <v/>
      </c>
      <c r="N11" s="1292" t="n"/>
      <c r="O11" s="1393">
        <f>SUM(P11:R11)</f>
        <v/>
      </c>
      <c r="P11" s="1394" t="n"/>
      <c r="Q11" s="1395" t="n"/>
      <c r="R11" s="1396" t="n"/>
      <c r="S11" s="1337">
        <f>((P11+Q11+R11)/F22)*H33</f>
        <v/>
      </c>
      <c r="T11" s="970" t="n"/>
      <c r="AM11" s="2193" t="n"/>
      <c r="AN11" s="2193" t="n"/>
      <c r="AO11" s="2193" t="n"/>
      <c r="AP11" s="2193" t="n"/>
      <c r="AQ11" s="2193" t="n"/>
      <c r="AR11" s="2193" t="n"/>
      <c r="AS11" s="2193" t="n"/>
      <c r="AT11" s="2193" t="n"/>
      <c r="AU11" s="2193" t="n"/>
      <c r="AV11" s="2193" t="n"/>
      <c r="AW11" s="1051" t="n"/>
      <c r="AX11" s="2193" t="n"/>
      <c r="AY11" s="1051" t="n"/>
      <c r="AZ11" s="1051" t="n"/>
      <c r="BA11" s="2193" t="n"/>
      <c r="BB11" s="1051" t="n"/>
      <c r="BC11" s="1051" t="n"/>
      <c r="BD11" s="2193" t="n"/>
      <c r="BE11" s="1051" t="n"/>
      <c r="BF11" s="2194" t="n"/>
      <c r="BG11" s="2193" t="n"/>
      <c r="BI11" s="1932" t="n"/>
      <c r="BK11" s="1932" t="n"/>
      <c r="BL11" s="1933" t="n"/>
      <c r="BM11" s="1051" t="n"/>
      <c r="BP11" s="1051" t="n"/>
      <c r="BQ11" s="2193" t="n"/>
      <c r="BS11" s="1051" t="n"/>
      <c r="BT11" s="2193" t="n"/>
      <c r="BU11" s="2193" t="n"/>
      <c r="BV11" s="1051" t="n"/>
      <c r="BW11" s="2193" t="n"/>
      <c r="BY11" s="2194" t="n"/>
      <c r="BZ11" s="2193" t="n"/>
      <c r="CC11" s="2193" t="n"/>
      <c r="CD11" s="2193" t="n"/>
      <c r="CE11" s="2193" t="n"/>
      <c r="CF11" s="2193" t="n"/>
      <c r="CG11" s="2193" t="n"/>
      <c r="CH11" s="2193" t="n"/>
      <c r="CI11" s="2193" t="n"/>
      <c r="CJ11" s="2193" t="n"/>
      <c r="CK11" s="2193" t="n"/>
      <c r="CL11" s="2193" t="n"/>
      <c r="CM11" s="1051" t="n"/>
      <c r="CN11" s="2193" t="n"/>
      <c r="CO11" s="1051" t="n"/>
      <c r="CP11" s="1051" t="n"/>
      <c r="CQ11" s="2193" t="n"/>
      <c r="CR11" s="1051" t="n"/>
      <c r="CS11" s="1051" t="n"/>
      <c r="CT11" s="2193" t="n"/>
      <c r="CU11" s="1051" t="n"/>
      <c r="CV11" s="2194" t="n"/>
      <c r="CW11" s="2193" t="n"/>
      <c r="CY11" s="1932" t="n"/>
      <c r="DA11" s="1932" t="n"/>
      <c r="DB11" s="1933" t="n"/>
      <c r="DC11" s="1051" t="n"/>
    </row>
    <row r="12" customFormat="1" s="585">
      <c r="A12" s="606" t="inlineStr">
        <is>
          <t>New / Reno:</t>
        </is>
      </c>
      <c r="B12" s="603">
        <f>'Gyp (USG 1-8")'!B12</f>
        <v/>
      </c>
      <c r="C12" s="591" t="n"/>
      <c r="D12" s="591" t="n"/>
      <c r="E12" s="600" t="n"/>
      <c r="F12" s="978" t="inlineStr">
        <is>
          <t>Yield Per Bag (1/8")</t>
        </is>
      </c>
      <c r="G12" s="981" t="n">
        <v>254.52</v>
      </c>
      <c r="H12" s="979" t="inlineStr">
        <is>
          <t>Yield Per Bag (1/8")</t>
        </is>
      </c>
      <c r="I12" s="982" t="n">
        <v>254.52</v>
      </c>
      <c r="J12" s="980" t="inlineStr">
        <is>
          <t>Yield Per Bag (1/8")</t>
        </is>
      </c>
      <c r="K12" s="983" t="n">
        <v>254.52</v>
      </c>
      <c r="L12" s="633" t="n"/>
      <c r="N12" s="1292" t="n"/>
      <c r="O12" s="1393">
        <f>SUM(P12:R12)</f>
        <v/>
      </c>
      <c r="P12" s="1394" t="n"/>
      <c r="Q12" s="1395" t="n"/>
      <c r="R12" s="1396" t="n"/>
      <c r="S12" s="1337">
        <f>((P12+Q12+R12)/F22)*H33</f>
        <v/>
      </c>
      <c r="T12" s="970" t="n"/>
      <c r="AM12" s="2193" t="n"/>
      <c r="AN12" s="2193" t="n"/>
      <c r="AO12" s="2193" t="n"/>
      <c r="AP12" s="2193" t="n"/>
      <c r="AQ12" s="2193" t="n"/>
      <c r="AR12" s="2193" t="n"/>
      <c r="AS12" s="2193" t="n"/>
      <c r="AT12" s="2193" t="n"/>
      <c r="AU12" s="2193" t="n"/>
      <c r="AV12" s="2193" t="n"/>
      <c r="AW12" s="1051" t="n"/>
      <c r="AX12" s="2193" t="n"/>
      <c r="AY12" s="1051" t="n"/>
      <c r="AZ12" s="1051" t="n"/>
      <c r="BA12" s="2193" t="n"/>
      <c r="BB12" s="1051" t="n"/>
      <c r="BC12" s="1051" t="n"/>
      <c r="BD12" s="2193" t="n"/>
      <c r="BE12" s="1051" t="n"/>
      <c r="BF12" s="2194" t="n"/>
      <c r="BG12" s="2193" t="n"/>
      <c r="BI12" s="1932" t="n"/>
      <c r="BK12" s="1932" t="n"/>
      <c r="BL12" s="1933" t="n"/>
      <c r="BM12" s="1051" t="n"/>
      <c r="BP12" s="1051" t="n"/>
      <c r="BQ12" s="2193" t="n"/>
      <c r="BS12" s="1051" t="n"/>
      <c r="BT12" s="2193" t="n"/>
      <c r="BU12" s="2193" t="n"/>
      <c r="BV12" s="1051" t="n"/>
      <c r="BW12" s="2193" t="n"/>
      <c r="BY12" s="2194" t="n"/>
      <c r="BZ12" s="2193" t="n"/>
      <c r="CC12" s="2193" t="n"/>
      <c r="CD12" s="2193" t="n"/>
      <c r="CE12" s="2193" t="n"/>
      <c r="CF12" s="2193" t="n"/>
      <c r="CG12" s="2193" t="n"/>
      <c r="CH12" s="2193" t="n"/>
      <c r="CI12" s="2193" t="n"/>
      <c r="CJ12" s="2193" t="n"/>
      <c r="CK12" s="2193" t="n"/>
      <c r="CL12" s="2193" t="n"/>
      <c r="CM12" s="1051" t="n"/>
      <c r="CN12" s="2193" t="n"/>
      <c r="CO12" s="1051" t="n"/>
      <c r="CP12" s="1051" t="n"/>
      <c r="CQ12" s="2193" t="n"/>
      <c r="CR12" s="1051" t="n"/>
      <c r="CS12" s="1051" t="n"/>
      <c r="CT12" s="2193" t="n"/>
      <c r="CU12" s="1051" t="n"/>
      <c r="CV12" s="2194" t="n"/>
      <c r="CW12" s="2193" t="n"/>
      <c r="CY12" s="1932" t="n"/>
      <c r="DA12" s="1932" t="n"/>
      <c r="DB12" s="1933" t="n"/>
      <c r="DC12" s="1051" t="n"/>
    </row>
    <row r="13" ht="16.2" customFormat="1" customHeight="1" s="585" thickBot="1">
      <c r="A13" s="606" t="inlineStr">
        <is>
          <t>Hallow Plank Subfloor:</t>
        </is>
      </c>
      <c r="B13" s="585">
        <f>'Gyp (USG 1-8")'!B13</f>
        <v/>
      </c>
      <c r="C13" s="591" t="n"/>
      <c r="D13" s="591" t="n"/>
      <c r="E13" s="600" t="n"/>
      <c r="F13" s="978" t="inlineStr">
        <is>
          <t xml:space="preserve">Bag Type: </t>
        </is>
      </c>
      <c r="G13" s="2198" t="inlineStr">
        <is>
          <t>Levelrock 2500</t>
        </is>
      </c>
      <c r="H13" s="2199" t="inlineStr">
        <is>
          <t xml:space="preserve">Bag Type: </t>
        </is>
      </c>
      <c r="I13" s="2200">
        <f>G13</f>
        <v/>
      </c>
      <c r="J13" s="2201" t="inlineStr">
        <is>
          <t xml:space="preserve">Bag Type: </t>
        </is>
      </c>
      <c r="K13" s="2202">
        <f>G13</f>
        <v/>
      </c>
      <c r="L13" s="633" t="n"/>
      <c r="N13" s="1293" t="n"/>
      <c r="O13" s="1393">
        <f>SUM(P13:R13)</f>
        <v/>
      </c>
      <c r="P13" s="1394" t="n"/>
      <c r="Q13" s="1395" t="n"/>
      <c r="R13" s="1396" t="n"/>
      <c r="S13" s="1337">
        <f>((P13+Q13+R13)/F22)*H33</f>
        <v/>
      </c>
      <c r="T13" s="970" t="n"/>
      <c r="AM13" s="2193" t="n"/>
      <c r="AN13" s="2193" t="n"/>
      <c r="AO13" s="2193" t="n"/>
      <c r="AP13" s="2193" t="n"/>
      <c r="AQ13" s="2193" t="n"/>
      <c r="AR13" s="2193" t="n"/>
      <c r="AS13" s="2193" t="n"/>
      <c r="AT13" s="2193" t="n"/>
      <c r="AU13" s="2193" t="n"/>
      <c r="AV13" s="2193" t="n"/>
      <c r="AW13" s="1051" t="n"/>
      <c r="AX13" s="2193" t="n"/>
      <c r="AY13" s="1051" t="n"/>
      <c r="AZ13" s="1051" t="n"/>
      <c r="BA13" s="2193" t="n"/>
      <c r="BB13" s="1051" t="n"/>
      <c r="BC13" s="1051" t="n"/>
      <c r="BD13" s="2193" t="n"/>
      <c r="BE13" s="1051" t="n"/>
      <c r="BF13" s="2194" t="n"/>
      <c r="BG13" s="2193" t="n"/>
      <c r="BI13" s="1932" t="n"/>
      <c r="BK13" s="1932" t="n"/>
      <c r="BL13" s="1933" t="n"/>
      <c r="BM13" s="1051" t="n"/>
      <c r="BP13" s="1051" t="n"/>
      <c r="BQ13" s="2193" t="n"/>
      <c r="BS13" s="1051" t="n"/>
      <c r="BT13" s="2193" t="n"/>
      <c r="BU13" s="2193" t="n"/>
      <c r="BV13" s="1051" t="n"/>
      <c r="BW13" s="2193" t="n"/>
      <c r="BY13" s="2194" t="n"/>
      <c r="BZ13" s="2193" t="n"/>
      <c r="CC13" s="2193" t="n"/>
      <c r="CD13" s="2193" t="n"/>
      <c r="CE13" s="2193" t="n"/>
      <c r="CF13" s="2193" t="n"/>
      <c r="CG13" s="2193" t="n"/>
      <c r="CH13" s="2193" t="n"/>
      <c r="CI13" s="2193" t="n"/>
      <c r="CJ13" s="2193" t="n"/>
      <c r="CK13" s="2193" t="n"/>
      <c r="CL13" s="2193" t="n"/>
      <c r="CM13" s="1051" t="n"/>
      <c r="CN13" s="2193" t="n"/>
      <c r="CO13" s="1051" t="n"/>
      <c r="CP13" s="1051" t="n"/>
      <c r="CQ13" s="2193" t="n"/>
      <c r="CR13" s="1051" t="n"/>
      <c r="CS13" s="1051" t="n"/>
      <c r="CT13" s="2193" t="n"/>
      <c r="CU13" s="1051" t="n"/>
      <c r="CV13" s="2194" t="n"/>
      <c r="CW13" s="2193" t="n"/>
      <c r="CY13" s="1932" t="n"/>
      <c r="DA13" s="1932" t="n"/>
      <c r="DB13" s="1933" t="n"/>
      <c r="DC13" s="1051" t="n"/>
    </row>
    <row r="14" customFormat="1" s="585">
      <c r="A14" s="606" t="inlineStr">
        <is>
          <t>ISO Strip at All Areas:</t>
        </is>
      </c>
      <c r="B14" s="585">
        <f>'Gyp (USG 1-8")'!B14</f>
        <v/>
      </c>
      <c r="C14" s="591" t="n"/>
      <c r="D14" s="591" t="n"/>
      <c r="E14" s="600" t="n"/>
      <c r="F14" s="989" t="inlineStr">
        <is>
          <t xml:space="preserve">Yield at 3/4" </t>
        </is>
      </c>
      <c r="G14" s="862" t="n">
        <v>40</v>
      </c>
      <c r="H14" s="1112" t="inlineStr">
        <is>
          <t>42 more realistic</t>
        </is>
      </c>
      <c r="I14" s="863" t="n"/>
      <c r="K14" s="1934" t="n"/>
      <c r="L14" s="633" t="n"/>
      <c r="N14" s="1292" t="n"/>
      <c r="O14" s="1393">
        <f>SUM(P14:R14)</f>
        <v/>
      </c>
      <c r="P14" s="1394" t="n"/>
      <c r="Q14" s="1395" t="n"/>
      <c r="R14" s="1396" t="n"/>
      <c r="S14" s="1337">
        <f>((P14+Q14+R14)/F22)*H33</f>
        <v/>
      </c>
      <c r="T14" s="970" t="n"/>
      <c r="AM14" s="2193" t="n">
        <v>5000</v>
      </c>
      <c r="AN14" s="2193" t="n"/>
      <c r="AO14" s="2193" t="n"/>
      <c r="AP14" s="2193">
        <f>AM14</f>
        <v/>
      </c>
      <c r="AQ14" s="2193" t="n"/>
      <c r="AR14" s="2193" t="n"/>
      <c r="AS14" s="2193">
        <f>AM14+AP14</f>
        <v/>
      </c>
      <c r="AT14" s="2193" t="n"/>
      <c r="AU14" s="2193" t="n"/>
      <c r="AV14" s="2193">
        <f>AS14</f>
        <v/>
      </c>
      <c r="AW14" s="1051">
        <f>IF(AM14&lt;=#REF!,#REF!,IF(AM14&lt;=#REF!,#REF!,IF(AM14&lt;=#REF!,#REF!,IF(AM14&lt;=#REF!,#REF!,IF(AM14&lt;=#REF!,#REF!,IF(AM14&lt;=#REF!,#REF!,IF(AM14&lt;=#REF!,#REF!,0.05)))))))</f>
        <v/>
      </c>
      <c r="AX14" s="2193">
        <f>AW14*AM14</f>
        <v/>
      </c>
      <c r="AY14" s="1051" t="n"/>
      <c r="AZ14" s="1051">
        <f>IF(AP14&lt;=#REF!,#REF!,IF(AP14&lt;=#REF!,#REF!,IF(AP14&lt;=#REF!,#REF!,IF(AP14&lt;=#REF!,#REF!,IF(AP14&lt;=#REF!,#REF!,IF(AP14&lt;=#REF!,#REF!,IF(AP14&lt;=#REF!,#REF!,0.05)))))))</f>
        <v/>
      </c>
      <c r="BA14" s="2193">
        <f>AZ14*AP14</f>
        <v/>
      </c>
      <c r="BB14" s="1051" t="n"/>
      <c r="BC14" s="1051">
        <f>IF(AS14&lt;=#REF!,#REF!,IF(AS14&lt;=#REF!,#REF!,IF(AS14&lt;=#REF!,#REF!,IF(AS14&lt;=#REF!,#REF!,IF(AS14&lt;=#REF!,#REF!,IF(AS14&lt;=#REF!,#REF!,IF(AS14&lt;=#REF!,#REF!,0.05)))))))</f>
        <v/>
      </c>
      <c r="BD14" s="2193">
        <f>BC14*SUM(BA14,AX14,AS14)</f>
        <v/>
      </c>
      <c r="BE14" s="1051" t="n"/>
      <c r="BF14" s="2194">
        <f>IF(AV14&lt;=#REF!,#REF!,IF(AV14&lt;=#REF!,#REF!,IF(AV14&lt;=#REF!,#REF!,IF(AV14&lt;=#REF!,#REF!,IF(AV14&lt;=#REF!,#REF!,IF(AV14&lt;=#REF!,#REF!,IF(AV14&lt;=#REF!,#REF!,0.05)))))))</f>
        <v/>
      </c>
      <c r="BG14" s="2193">
        <f>BF14*AV14</f>
        <v/>
      </c>
      <c r="BI14" s="1932">
        <f>0.07*SUM(AS14,AX14,BA14,BD14,BG14)</f>
        <v/>
      </c>
      <c r="BK14" s="1932">
        <f>SUM(BI14,BG14,BD14,BA14,AX14,AS14)</f>
        <v/>
      </c>
      <c r="BL14" s="1933">
        <f>SUM(BG14,BD14,BA14,AX14)</f>
        <v/>
      </c>
      <c r="BM14" s="1051">
        <f>BL14/BK14</f>
        <v/>
      </c>
      <c r="BP14" s="1051" t="n">
        <v>0.05</v>
      </c>
      <c r="BQ14" s="2193" t="n">
        <v>1000000000</v>
      </c>
      <c r="BS14" s="1051" t="n">
        <v>0.05</v>
      </c>
      <c r="BT14" s="2193" t="n">
        <v>10000</v>
      </c>
      <c r="BU14" s="2193" t="n"/>
      <c r="BV14" s="1051" t="n">
        <v>0.18</v>
      </c>
      <c r="BW14" s="2193" t="n">
        <v>1000000000</v>
      </c>
      <c r="BY14" s="2194" t="n">
        <v>-0.055</v>
      </c>
      <c r="BZ14" s="2193" t="n">
        <v>44000</v>
      </c>
      <c r="CC14" s="2193" t="n">
        <v>5000</v>
      </c>
      <c r="CD14" s="2193" t="n"/>
      <c r="CE14" s="2193" t="n"/>
      <c r="CF14" s="2193">
        <f>CC14</f>
        <v/>
      </c>
      <c r="CG14" s="2193" t="n"/>
      <c r="CH14" s="2193" t="n"/>
      <c r="CI14" s="2193">
        <f>CC14+CF14</f>
        <v/>
      </c>
      <c r="CJ14" s="2193" t="n"/>
      <c r="CK14" s="2193" t="n"/>
      <c r="CL14" s="2193">
        <f>CI14</f>
        <v/>
      </c>
      <c r="CM14" s="1051">
        <f>IF(CC14&lt;=BQ$6,BP$6,IF(CC14&lt;=BQ$7,BP$7,IF(CC14&lt;=BQ$8,BP$8,IF(CC14&lt;=BQ$9,BP$9,IF(CC14&lt;=BQ$14,BP$14,IF(CC14&lt;=BQ$15,BP$15,IF(CC14&lt;=BQ$16,BP$16,0.05)))))))</f>
        <v/>
      </c>
      <c r="CN14" s="2193">
        <f>CM14*CC14</f>
        <v/>
      </c>
      <c r="CO14" s="1051" t="n"/>
      <c r="CP14" s="1051">
        <f>IF(CF14&lt;=BT$6,BS$6,IF(CF14&lt;=BT$7,BS$7,IF(CF14&lt;=BT$8,BS$8,IF(CF14&lt;=BT$9,BS$9,IF(CF14&lt;=BT$14,BS$14,IF(CF14&lt;=BT$15,BS$15,IF(CF14&lt;=BT$16,BS$16,0.05)))))))</f>
        <v/>
      </c>
      <c r="CQ14" s="2193">
        <f>CP14*CF14</f>
        <v/>
      </c>
      <c r="CR14" s="1051" t="n"/>
      <c r="CS14" s="1051">
        <f>IF(CI14&lt;=BW$6,BV$6,IF(CI14&lt;=BW$7,BV$7,IF(CI14&lt;=BW$8,BV$8,IF(CI14&lt;=BW$9,BV$9,IF(CI14&lt;=BW$14,BV$14,IF(CI14&lt;=BW$15,BV$15,IF(CI14&lt;=BW$16,BV$16,0.05)))))))</f>
        <v/>
      </c>
      <c r="CT14" s="2193">
        <f>CS14*SUM(CQ14,CN14,CI14)</f>
        <v/>
      </c>
      <c r="CU14" s="1051" t="n"/>
      <c r="CV14" s="2194">
        <f>IF(CL14&lt;=BZ$6,BY$6,IF(CL14&lt;=BZ$7,BY$7,IF(CL14&lt;=BZ$8,BY$8,IF(CL14&lt;=BZ$9,BY$9,IF(CL14&lt;=BZ$14,BY$14,IF(CL14&lt;=BZ$15,BY$15,IF(CL14&lt;=BZ$16,BY$16,0.05)))))))</f>
        <v/>
      </c>
      <c r="CW14" s="2193">
        <f>CV14*CL14</f>
        <v/>
      </c>
      <c r="CY14" s="1932">
        <f>0.07*SUM(CI14,CN14,CQ14,CT14,CW14)</f>
        <v/>
      </c>
      <c r="DA14" s="1932">
        <f>SUM(CY14,CW14,CT14,CQ14,CN14,CI14)</f>
        <v/>
      </c>
      <c r="DB14" s="1933">
        <f>SUM(CW14,CT14,CQ14,CN14)</f>
        <v/>
      </c>
      <c r="DC14" s="1051">
        <f>DB14/DA14</f>
        <v/>
      </c>
    </row>
    <row r="15" customFormat="1" s="585">
      <c r="A15" s="606" t="inlineStr">
        <is>
          <t>Metal Lath Reinfrcmnt:</t>
        </is>
      </c>
      <c r="B15" s="585">
        <f>'Gyp (USG 1-8")'!B15</f>
        <v/>
      </c>
      <c r="C15" s="591" t="n"/>
      <c r="D15" s="591" t="n"/>
      <c r="E15" s="591" t="n"/>
      <c r="F15" s="864" t="inlineStr">
        <is>
          <t xml:space="preserve">Yield per 1/8" </t>
        </is>
      </c>
      <c r="G15" s="585">
        <f>G14*6</f>
        <v/>
      </c>
      <c r="I15" s="868" t="n"/>
      <c r="K15" s="1934" t="n"/>
      <c r="L15" s="633" t="n"/>
      <c r="N15" s="1292" t="n"/>
      <c r="O15" s="1393">
        <f>SUM(P15:R15)</f>
        <v/>
      </c>
      <c r="P15" s="1394" t="n"/>
      <c r="Q15" s="1395" t="n"/>
      <c r="R15" s="1396" t="n"/>
      <c r="S15" s="1337">
        <f>((P15+Q15+R15)/F22)*H33</f>
        <v/>
      </c>
      <c r="T15" s="970" t="n"/>
      <c r="AM15" s="2193" t="n">
        <v>6000</v>
      </c>
      <c r="AN15" s="2193" t="n"/>
      <c r="AO15" s="2193" t="n"/>
      <c r="AP15" s="2193">
        <f>AM15</f>
        <v/>
      </c>
      <c r="AQ15" s="2193" t="n"/>
      <c r="AR15" s="2193" t="n"/>
      <c r="AS15" s="2193">
        <f>AM15+AP15</f>
        <v/>
      </c>
      <c r="AT15" s="2193" t="n"/>
      <c r="AU15" s="2193" t="n"/>
      <c r="AV15" s="2193">
        <f>AS15</f>
        <v/>
      </c>
      <c r="AW15" s="1051">
        <f>IF(AM15&lt;=#REF!,#REF!,IF(AM15&lt;=#REF!,#REF!,IF(AM15&lt;=#REF!,#REF!,IF(AM15&lt;=#REF!,#REF!,IF(AM15&lt;=#REF!,#REF!,IF(AM15&lt;=#REF!,#REF!,IF(AM15&lt;=#REF!,#REF!,0.05)))))))</f>
        <v/>
      </c>
      <c r="AX15" s="2193">
        <f>AW15*AM15</f>
        <v/>
      </c>
      <c r="AY15" s="1051" t="n"/>
      <c r="AZ15" s="1051">
        <f>IF(AP15&lt;=#REF!,#REF!,IF(AP15&lt;=#REF!,#REF!,IF(AP15&lt;=#REF!,#REF!,IF(AP15&lt;=#REF!,#REF!,IF(AP15&lt;=#REF!,#REF!,IF(AP15&lt;=#REF!,#REF!,IF(AP15&lt;=#REF!,#REF!,0.05)))))))</f>
        <v/>
      </c>
      <c r="BA15" s="2193">
        <f>AZ15*AP15</f>
        <v/>
      </c>
      <c r="BB15" s="1051" t="n"/>
      <c r="BC15" s="1051">
        <f>IF(AS15&lt;=#REF!,#REF!,IF(AS15&lt;=#REF!,#REF!,IF(AS15&lt;=#REF!,#REF!,IF(AS15&lt;=#REF!,#REF!,IF(AS15&lt;=#REF!,#REF!,IF(AS15&lt;=#REF!,#REF!,IF(AS15&lt;=#REF!,#REF!,0.05)))))))</f>
        <v/>
      </c>
      <c r="BD15" s="2193">
        <f>BC15*SUM(BA15,AX15,AS15)</f>
        <v/>
      </c>
      <c r="BE15" s="1051" t="n"/>
      <c r="BF15" s="2194">
        <f>IF(AV15&lt;=#REF!,#REF!,IF(AV15&lt;=#REF!,#REF!,IF(AV15&lt;=#REF!,#REF!,IF(AV15&lt;=#REF!,#REF!,IF(AV15&lt;=#REF!,#REF!,IF(AV15&lt;=#REF!,#REF!,IF(AV15&lt;=#REF!,#REF!,0.05)))))))</f>
        <v/>
      </c>
      <c r="BG15" s="2193">
        <f>BF15*AV15</f>
        <v/>
      </c>
      <c r="BI15" s="1932">
        <f>0.07*SUM(AS15,AX15,BA15,BD15,BG15)</f>
        <v/>
      </c>
      <c r="BK15" s="1932">
        <f>SUM(BI15,BG15,BD15,BA15,AX15,AS15)</f>
        <v/>
      </c>
      <c r="BL15" s="1933">
        <f>SUM(BG15,BD15,BA15,AX15)</f>
        <v/>
      </c>
      <c r="BM15" s="1051">
        <f>BL15/BK15</f>
        <v/>
      </c>
      <c r="BP15" s="1051" t="n">
        <v>0.05</v>
      </c>
      <c r="BQ15" s="2193" t="n">
        <v>1000000000</v>
      </c>
      <c r="BS15" s="1051" t="n">
        <v>0.03</v>
      </c>
      <c r="BT15" s="2193" t="n">
        <v>1000000000</v>
      </c>
      <c r="BU15" s="2193" t="n"/>
      <c r="BV15" s="1051" t="n">
        <v>0.18</v>
      </c>
      <c r="BW15" s="2193" t="n">
        <v>1000000000</v>
      </c>
      <c r="BY15" s="2194" t="n">
        <v>-0.06</v>
      </c>
      <c r="BZ15" s="2193" t="n">
        <v>1000000000</v>
      </c>
      <c r="CC15" s="2193" t="n">
        <v>6000</v>
      </c>
      <c r="CD15" s="2193" t="n"/>
      <c r="CE15" s="2193" t="n"/>
      <c r="CF15" s="2193">
        <f>CC15</f>
        <v/>
      </c>
      <c r="CG15" s="2193" t="n"/>
      <c r="CH15" s="2193" t="n"/>
      <c r="CI15" s="2193">
        <f>CC15+CF15</f>
        <v/>
      </c>
      <c r="CJ15" s="2193" t="n"/>
      <c r="CK15" s="2193" t="n"/>
      <c r="CL15" s="2193">
        <f>CI15</f>
        <v/>
      </c>
      <c r="CM15" s="1051">
        <f>IF(CC15&lt;=BQ$6,BP$6,IF(CC15&lt;=BQ$7,BP$7,IF(CC15&lt;=BQ$8,BP$8,IF(CC15&lt;=BQ$9,BP$9,IF(CC15&lt;=BQ$14,BP$14,IF(CC15&lt;=BQ$15,BP$15,IF(CC15&lt;=BQ$16,BP$16,0.05)))))))</f>
        <v/>
      </c>
      <c r="CN15" s="2193">
        <f>CM15*CC15</f>
        <v/>
      </c>
      <c r="CO15" s="1051" t="n"/>
      <c r="CP15" s="1051">
        <f>IF(CF15&lt;=BT$6,BS$6,IF(CF15&lt;=BT$7,BS$7,IF(CF15&lt;=BT$8,BS$8,IF(CF15&lt;=BT$9,BS$9,IF(CF15&lt;=BT$14,BS$14,IF(CF15&lt;=BT$15,BS$15,IF(CF15&lt;=BT$16,BS$16,0.05)))))))</f>
        <v/>
      </c>
      <c r="CQ15" s="2193">
        <f>CP15*CF15</f>
        <v/>
      </c>
      <c r="CR15" s="1051" t="n"/>
      <c r="CS15" s="1051">
        <f>IF(CI15&lt;=BW$6,BV$6,IF(CI15&lt;=BW$7,BV$7,IF(CI15&lt;=BW$8,BV$8,IF(CI15&lt;=BW$9,BV$9,IF(CI15&lt;=BW$14,BV$14,IF(CI15&lt;=BW$15,BV$15,IF(CI15&lt;=BW$16,BV$16,0.05)))))))</f>
        <v/>
      </c>
      <c r="CT15" s="2193">
        <f>CS15*SUM(CQ15,CN15,CI15)</f>
        <v/>
      </c>
      <c r="CU15" s="1051" t="n"/>
      <c r="CV15" s="2194">
        <f>IF(CL15&lt;=BZ$6,BY$6,IF(CL15&lt;=BZ$7,BY$7,IF(CL15&lt;=BZ$8,BY$8,IF(CL15&lt;=BZ$9,BY$9,IF(CL15&lt;=BZ$14,BY$14,IF(CL15&lt;=BZ$15,BY$15,IF(CL15&lt;=BZ$16,BY$16,0.05)))))))</f>
        <v/>
      </c>
      <c r="CW15" s="2193">
        <f>CV15*CL15</f>
        <v/>
      </c>
      <c r="CY15" s="1932">
        <f>0.07*SUM(CI15,CN15,CQ15,CT15,CW15)</f>
        <v/>
      </c>
      <c r="DA15" s="1932">
        <f>SUM(CY15,CW15,CT15,CQ15,CN15,CI15)</f>
        <v/>
      </c>
      <c r="DB15" s="1933">
        <f>SUM(CW15,CT15,CQ15,CN15)</f>
        <v/>
      </c>
      <c r="DC15" s="1051">
        <f>DB15/DA15</f>
        <v/>
      </c>
    </row>
    <row r="16" customFormat="1" s="585">
      <c r="A16" s="608" t="inlineStr">
        <is>
          <t>System-    Gyp:</t>
        </is>
      </c>
      <c r="B16" s="1649" t="inlineStr">
        <is>
          <t>N12 ULTRA</t>
        </is>
      </c>
      <c r="C16" s="1654" t="inlineStr">
        <is>
          <t>+ 3/4" Gyp</t>
        </is>
      </c>
      <c r="D16" s="1655" t="inlineStr">
        <is>
          <t>1.8 Mix:2500psi</t>
        </is>
      </c>
      <c r="E16" s="591" t="n"/>
      <c r="F16" s="990" t="inlineStr">
        <is>
          <t>Eights req at Thickness</t>
        </is>
      </c>
      <c r="G16" s="1061" t="n">
        <v>6</v>
      </c>
      <c r="H16" s="991" t="inlineStr">
        <is>
          <t xml:space="preserve">*change this depending on depth, 1"=8… 3/4"=6* </t>
        </is>
      </c>
      <c r="I16" s="868" t="n"/>
      <c r="K16" s="1934" t="n"/>
      <c r="L16" s="633" t="n"/>
      <c r="N16" s="1292" t="n"/>
      <c r="O16" s="1393">
        <f>SUM(P16:R16)</f>
        <v/>
      </c>
      <c r="P16" s="1394" t="n"/>
      <c r="Q16" s="1395" t="n"/>
      <c r="R16" s="1396" t="n"/>
      <c r="S16" s="1337">
        <f>((P16+Q16+R16)/F22)*H33</f>
        <v/>
      </c>
      <c r="T16" s="970" t="n"/>
      <c r="AM16" s="2193" t="n">
        <v>7000</v>
      </c>
      <c r="AN16" s="2193" t="n"/>
      <c r="AO16" s="2193" t="n"/>
      <c r="AP16" s="2193">
        <f>AM16</f>
        <v/>
      </c>
      <c r="AQ16" s="2193" t="n"/>
      <c r="AR16" s="2193" t="n"/>
      <c r="AS16" s="2193">
        <f>AM16+AP16</f>
        <v/>
      </c>
      <c r="AT16" s="2193" t="n"/>
      <c r="AU16" s="2193" t="n"/>
      <c r="AV16" s="2193">
        <f>AS16</f>
        <v/>
      </c>
      <c r="AW16" s="1051">
        <f>IF(AM16&lt;=#REF!,#REF!,IF(AM16&lt;=#REF!,#REF!,IF(AM16&lt;=#REF!,#REF!,IF(AM16&lt;=#REF!,#REF!,IF(AM16&lt;=#REF!,#REF!,IF(AM16&lt;=#REF!,#REF!,IF(AM16&lt;=#REF!,#REF!,0.05)))))))</f>
        <v/>
      </c>
      <c r="AX16" s="2193">
        <f>AW16*AM16</f>
        <v/>
      </c>
      <c r="AY16" s="1051" t="n"/>
      <c r="AZ16" s="1051">
        <f>IF(AP16&lt;=#REF!,#REF!,IF(AP16&lt;=#REF!,#REF!,IF(AP16&lt;=#REF!,#REF!,IF(AP16&lt;=#REF!,#REF!,IF(AP16&lt;=#REF!,#REF!,IF(AP16&lt;=#REF!,#REF!,IF(AP16&lt;=#REF!,#REF!,0.05)))))))</f>
        <v/>
      </c>
      <c r="BA16" s="2193">
        <f>AZ16*AP16</f>
        <v/>
      </c>
      <c r="BB16" s="1051" t="n"/>
      <c r="BC16" s="1051">
        <f>IF(AS16&lt;=#REF!,#REF!,IF(AS16&lt;=#REF!,#REF!,IF(AS16&lt;=#REF!,#REF!,IF(AS16&lt;=#REF!,#REF!,IF(AS16&lt;=#REF!,#REF!,IF(AS16&lt;=#REF!,#REF!,IF(AS16&lt;=#REF!,#REF!,0.05)))))))</f>
        <v/>
      </c>
      <c r="BD16" s="2193">
        <f>BC16*SUM(BA16,AX16,AS16)</f>
        <v/>
      </c>
      <c r="BE16" s="1051" t="n"/>
      <c r="BF16" s="2194">
        <f>IF(AV16&lt;=#REF!,#REF!,IF(AV16&lt;=#REF!,#REF!,IF(AV16&lt;=#REF!,#REF!,IF(AV16&lt;=#REF!,#REF!,IF(AV16&lt;=#REF!,#REF!,IF(AV16&lt;=#REF!,#REF!,IF(AV16&lt;=#REF!,#REF!,0.05)))))))</f>
        <v/>
      </c>
      <c r="BG16" s="2193">
        <f>BF16*AV16</f>
        <v/>
      </c>
      <c r="BI16" s="1932">
        <f>0.07*SUM(AS16,AX16,BA16,BD16,BG16)</f>
        <v/>
      </c>
      <c r="BK16" s="1932">
        <f>SUM(BI16,BG16,BD16,BA16,AX16,AS16)</f>
        <v/>
      </c>
      <c r="BL16" s="1933">
        <f>SUM(BG16,BD16,BA16,AX16)</f>
        <v/>
      </c>
      <c r="BM16" s="1051">
        <f>BL16/BK16</f>
        <v/>
      </c>
      <c r="BP16" s="1051" t="n">
        <v>0.05</v>
      </c>
      <c r="BQ16" s="2193" t="n">
        <v>1000000000</v>
      </c>
      <c r="BS16" s="1051" t="n">
        <v>0.03</v>
      </c>
      <c r="BT16" s="2193" t="n">
        <v>1000000000</v>
      </c>
      <c r="BU16" s="2193" t="n"/>
      <c r="BV16" s="1051" t="n">
        <v>0.18</v>
      </c>
      <c r="BW16" s="2193" t="n">
        <v>1000000000</v>
      </c>
      <c r="BY16" s="2194" t="n">
        <v>0</v>
      </c>
      <c r="BZ16" s="2193" t="n">
        <v>1000000000</v>
      </c>
      <c r="CC16" s="2193" t="n">
        <v>7000</v>
      </c>
      <c r="CD16" s="2193" t="n"/>
      <c r="CE16" s="2193" t="n"/>
      <c r="CF16" s="2193">
        <f>CC16</f>
        <v/>
      </c>
      <c r="CG16" s="2193" t="n"/>
      <c r="CH16" s="2193" t="n"/>
      <c r="CI16" s="2193">
        <f>CC16+CF16</f>
        <v/>
      </c>
      <c r="CJ16" s="2193" t="n"/>
      <c r="CK16" s="2193" t="n"/>
      <c r="CL16" s="2193">
        <f>CI16</f>
        <v/>
      </c>
      <c r="CM16" s="1051">
        <f>IF(CC16&lt;=BQ$6,BP$6,IF(CC16&lt;=BQ$7,BP$7,IF(CC16&lt;=BQ$8,BP$8,IF(CC16&lt;=BQ$9,BP$9,IF(CC16&lt;=BQ$14,BP$14,IF(CC16&lt;=BQ$15,BP$15,IF(CC16&lt;=BQ$16,BP$16,0.05)))))))</f>
        <v/>
      </c>
      <c r="CN16" s="2193">
        <f>CM16*CC16</f>
        <v/>
      </c>
      <c r="CO16" s="1051" t="n"/>
      <c r="CP16" s="1051">
        <f>IF(CF16&lt;=BT$6,BS$6,IF(CF16&lt;=BT$7,BS$7,IF(CF16&lt;=BT$8,BS$8,IF(CF16&lt;=BT$9,BS$9,IF(CF16&lt;=BT$14,BS$14,IF(CF16&lt;=BT$15,BS$15,IF(CF16&lt;=BT$16,BS$16,0.05)))))))</f>
        <v/>
      </c>
      <c r="CQ16" s="2193">
        <f>CP16*CF16</f>
        <v/>
      </c>
      <c r="CR16" s="1051" t="n"/>
      <c r="CS16" s="1051">
        <f>IF(CI16&lt;=BW$6,BV$6,IF(CI16&lt;=BW$7,BV$7,IF(CI16&lt;=BW$8,BV$8,IF(CI16&lt;=BW$9,BV$9,IF(CI16&lt;=BW$14,BV$14,IF(CI16&lt;=BW$15,BV$15,IF(CI16&lt;=BW$16,BV$16,0.05)))))))</f>
        <v/>
      </c>
      <c r="CT16" s="2193">
        <f>CS16*SUM(CQ16,CN16,CI16)</f>
        <v/>
      </c>
      <c r="CU16" s="1051" t="n"/>
      <c r="CV16" s="2194">
        <f>IF(CL16&lt;=BZ$6,BY$6,IF(CL16&lt;=BZ$7,BY$7,IF(CL16&lt;=BZ$8,BY$8,IF(CL16&lt;=BZ$9,BY$9,IF(CL16&lt;=BZ$14,BY$14,IF(CL16&lt;=BZ$15,BY$15,IF(CL16&lt;=BZ$16,BY$16,0.05)))))))</f>
        <v/>
      </c>
      <c r="CW16" s="2193">
        <f>CV16*CL16</f>
        <v/>
      </c>
      <c r="CY16" s="1932">
        <f>0.07*SUM(CI16,CN16,CQ16,CT16,CW16)</f>
        <v/>
      </c>
      <c r="DA16" s="1932">
        <f>SUM(CY16,CW16,CT16,CQ16,CN16,CI16)</f>
        <v/>
      </c>
      <c r="DB16" s="1933">
        <f>SUM(CW16,CT16,CQ16,CN16)</f>
        <v/>
      </c>
      <c r="DC16" s="1051">
        <f>DB16/DA16</f>
        <v/>
      </c>
    </row>
    <row r="17" ht="16.2" customFormat="1" customHeight="1" s="585" thickBot="1">
      <c r="A17" s="1553" t="inlineStr">
        <is>
          <t>** USG **</t>
        </is>
      </c>
      <c r="B17" s="600" t="n"/>
      <c r="C17" s="591" t="n"/>
      <c r="D17" s="591" t="n"/>
      <c r="E17" s="591" t="n"/>
      <c r="F17" s="990" t="inlineStr">
        <is>
          <t xml:space="preserve">Yield/FT </t>
        </is>
      </c>
      <c r="G17" s="585">
        <f>G15/G16</f>
        <v/>
      </c>
      <c r="I17" s="868" t="n"/>
      <c r="K17" s="1934" t="n"/>
      <c r="L17" s="633" t="n"/>
      <c r="N17" s="1292" t="n"/>
      <c r="O17" s="1393">
        <f>SUM(P17:R17)</f>
        <v/>
      </c>
      <c r="P17" s="1394" t="n"/>
      <c r="Q17" s="1395" t="n"/>
      <c r="R17" s="1396" t="n"/>
      <c r="S17" s="1337">
        <f>((P17+Q17+R17)/F22)*H33</f>
        <v/>
      </c>
      <c r="T17" s="970" t="n"/>
      <c r="AM17" s="2193" t="n">
        <v>8000</v>
      </c>
      <c r="AN17" s="2193" t="n"/>
      <c r="AO17" s="2193" t="n"/>
      <c r="AP17" s="2193">
        <f>AM17</f>
        <v/>
      </c>
      <c r="AQ17" s="2193" t="n"/>
      <c r="AR17" s="2193" t="n"/>
      <c r="AS17" s="2193">
        <f>AM17+AP17</f>
        <v/>
      </c>
      <c r="AT17" s="2193" t="n"/>
      <c r="AU17" s="2193" t="n"/>
      <c r="AV17" s="2193">
        <f>AS17</f>
        <v/>
      </c>
      <c r="AW17" s="1051">
        <f>IF(AM17&lt;=#REF!,#REF!,IF(AM17&lt;=#REF!,#REF!,IF(AM17&lt;=#REF!,#REF!,IF(AM17&lt;=#REF!,#REF!,IF(AM17&lt;=#REF!,#REF!,IF(AM17&lt;=#REF!,#REF!,IF(AM17&lt;=#REF!,#REF!,0.05)))))))</f>
        <v/>
      </c>
      <c r="AX17" s="2193">
        <f>AW17*AM17</f>
        <v/>
      </c>
      <c r="AY17" s="1051" t="n"/>
      <c r="AZ17" s="1051">
        <f>IF(AP17&lt;=#REF!,#REF!,IF(AP17&lt;=#REF!,#REF!,IF(AP17&lt;=#REF!,#REF!,IF(AP17&lt;=#REF!,#REF!,IF(AP17&lt;=#REF!,#REF!,IF(AP17&lt;=#REF!,#REF!,IF(AP17&lt;=#REF!,#REF!,0.05)))))))</f>
        <v/>
      </c>
      <c r="BA17" s="2193">
        <f>AZ17*AP17</f>
        <v/>
      </c>
      <c r="BB17" s="1051" t="n"/>
      <c r="BC17" s="1051">
        <f>IF(AS17&lt;=#REF!,#REF!,IF(AS17&lt;=#REF!,#REF!,IF(AS17&lt;=#REF!,#REF!,IF(AS17&lt;=#REF!,#REF!,IF(AS17&lt;=#REF!,#REF!,IF(AS17&lt;=#REF!,#REF!,IF(AS17&lt;=#REF!,#REF!,0.05)))))))</f>
        <v/>
      </c>
      <c r="BD17" s="2193">
        <f>BC17*SUM(BA17,AX17,AS17)</f>
        <v/>
      </c>
      <c r="BE17" s="1051" t="n"/>
      <c r="BF17" s="2194">
        <f>IF(AV17&lt;=#REF!,#REF!,IF(AV17&lt;=#REF!,#REF!,IF(AV17&lt;=#REF!,#REF!,IF(AV17&lt;=#REF!,#REF!,IF(AV17&lt;=#REF!,#REF!,IF(AV17&lt;=#REF!,#REF!,IF(AV17&lt;=#REF!,#REF!,0.05)))))))</f>
        <v/>
      </c>
      <c r="BG17" s="2193">
        <f>BF17*AV17</f>
        <v/>
      </c>
      <c r="BI17" s="1932">
        <f>0.07*SUM(AS17,AX17,BA17,BD17,BG17)</f>
        <v/>
      </c>
      <c r="BK17" s="1932">
        <f>SUM(BI17,BG17,BD17,BA17,AX17,AS17)</f>
        <v/>
      </c>
      <c r="BL17" s="1933">
        <f>SUM(BG17,BD17,BA17,AX17)</f>
        <v/>
      </c>
      <c r="BM17" s="1051">
        <f>BL17/BK17</f>
        <v/>
      </c>
      <c r="CC17" s="2193" t="n">
        <v>8000</v>
      </c>
      <c r="CD17" s="2193" t="n"/>
      <c r="CE17" s="2193" t="n"/>
      <c r="CF17" s="2193">
        <f>CC17</f>
        <v/>
      </c>
      <c r="CG17" s="2193" t="n"/>
      <c r="CH17" s="2193" t="n"/>
      <c r="CI17" s="2193">
        <f>CC17+CF17</f>
        <v/>
      </c>
      <c r="CJ17" s="2193" t="n"/>
      <c r="CK17" s="2193" t="n"/>
      <c r="CL17" s="2193">
        <f>CI17</f>
        <v/>
      </c>
      <c r="CM17" s="1051">
        <f>IF(CC17&lt;=BQ$6,BP$6,IF(CC17&lt;=BQ$7,BP$7,IF(CC17&lt;=BQ$8,BP$8,IF(CC17&lt;=BQ$9,BP$9,IF(CC17&lt;=BQ$14,BP$14,IF(CC17&lt;=BQ$15,BP$15,IF(CC17&lt;=BQ$16,BP$16,0.05)))))))</f>
        <v/>
      </c>
      <c r="CN17" s="2193">
        <f>CM17*CC17</f>
        <v/>
      </c>
      <c r="CO17" s="1051" t="n"/>
      <c r="CP17" s="1051">
        <f>IF(CF17&lt;=BT$6,BS$6,IF(CF17&lt;=BT$7,BS$7,IF(CF17&lt;=BT$8,BS$8,IF(CF17&lt;=BT$9,BS$9,IF(CF17&lt;=BT$14,BS$14,IF(CF17&lt;=BT$15,BS$15,IF(CF17&lt;=BT$16,BS$16,0.05)))))))</f>
        <v/>
      </c>
      <c r="CQ17" s="2193">
        <f>CP17*CF17</f>
        <v/>
      </c>
      <c r="CR17" s="1051" t="n"/>
      <c r="CS17" s="1051">
        <f>IF(CI17&lt;=BW$6,BV$6,IF(CI17&lt;=BW$7,BV$7,IF(CI17&lt;=BW$8,BV$8,IF(CI17&lt;=BW$9,BV$9,IF(CI17&lt;=BW$14,BV$14,IF(CI17&lt;=BW$15,BV$15,IF(CI17&lt;=BW$16,BV$16,0.05)))))))</f>
        <v/>
      </c>
      <c r="CT17" s="2193">
        <f>CS17*SUM(CQ17,CN17,CI17)</f>
        <v/>
      </c>
      <c r="CU17" s="1051" t="n"/>
      <c r="CV17" s="2194">
        <f>IF(CL17&lt;=BZ$6,BY$6,IF(CL17&lt;=BZ$7,BY$7,IF(CL17&lt;=BZ$8,BY$8,IF(CL17&lt;=BZ$9,BY$9,IF(CL17&lt;=BZ$14,BY$14,IF(CL17&lt;=BZ$15,BY$15,IF(CL17&lt;=BZ$16,BY$16,0.05)))))))</f>
        <v/>
      </c>
      <c r="CW17" s="2193">
        <f>CV17*CL17</f>
        <v/>
      </c>
      <c r="CY17" s="1932">
        <f>0.07*SUM(CI17,CN17,CQ17,CT17,CW17)</f>
        <v/>
      </c>
      <c r="DA17" s="1932">
        <f>SUM(CY17,CW17,CT17,CQ17,CN17,CI17)</f>
        <v/>
      </c>
      <c r="DB17" s="1933">
        <f>SUM(CW17,CT17,CQ17,CN17)</f>
        <v/>
      </c>
      <c r="DC17" s="1051">
        <f>DB17/DA17</f>
        <v/>
      </c>
    </row>
    <row r="18" ht="16.2" customFormat="1" customHeight="1" s="585" thickBot="1">
      <c r="A18" s="612" t="inlineStr">
        <is>
          <t>Total Base Bid:</t>
        </is>
      </c>
      <c r="B18" s="1938">
        <f>E87</f>
        <v/>
      </c>
      <c r="C18" s="614" t="n"/>
      <c r="D18" s="614" t="inlineStr">
        <is>
          <t>$ / SF:</t>
        </is>
      </c>
      <c r="E18" s="1938">
        <f>C87</f>
        <v/>
      </c>
      <c r="F18" s="864" t="inlineStr">
        <is>
          <t xml:space="preserve">Gyp Waste </t>
        </is>
      </c>
      <c r="G18" s="1165" t="n">
        <v>0.03</v>
      </c>
      <c r="H18" s="585" t="inlineStr">
        <is>
          <t>*Adjust these if needed</t>
        </is>
      </c>
      <c r="I18" s="868" t="n"/>
      <c r="K18" s="617" t="n"/>
      <c r="L18" s="633" t="n"/>
      <c r="N18" s="1292" t="n"/>
      <c r="O18" s="1393">
        <f>SUM(P18:R18)</f>
        <v/>
      </c>
      <c r="P18" s="1394" t="n"/>
      <c r="Q18" s="1395" t="n"/>
      <c r="R18" s="1396" t="n"/>
      <c r="S18" s="1337">
        <f>((P18+Q18+R18)/F22)*H33</f>
        <v/>
      </c>
      <c r="T18" s="970" t="n"/>
      <c r="AM18" s="2193" t="n">
        <v>9000</v>
      </c>
      <c r="AN18" s="2193" t="n"/>
      <c r="AO18" s="2193" t="n"/>
      <c r="AP18" s="2193">
        <f>AM18</f>
        <v/>
      </c>
      <c r="AQ18" s="2193" t="n"/>
      <c r="AR18" s="2193" t="n"/>
      <c r="AS18" s="2193">
        <f>AM18+AP18</f>
        <v/>
      </c>
      <c r="AT18" s="2193" t="n"/>
      <c r="AU18" s="2193" t="n"/>
      <c r="AV18" s="2193">
        <f>AS18</f>
        <v/>
      </c>
      <c r="AW18" s="1051">
        <f>IF(AM18&lt;=#REF!,#REF!,IF(AM18&lt;=#REF!,#REF!,IF(AM18&lt;=#REF!,#REF!,IF(AM18&lt;=#REF!,#REF!,IF(AM18&lt;=#REF!,#REF!,IF(AM18&lt;=#REF!,#REF!,IF(AM18&lt;=#REF!,#REF!,0.05)))))))</f>
        <v/>
      </c>
      <c r="AX18" s="2193">
        <f>AW18*AM18</f>
        <v/>
      </c>
      <c r="AY18" s="1051" t="n"/>
      <c r="AZ18" s="1051">
        <f>IF(AP18&lt;=#REF!,#REF!,IF(AP18&lt;=#REF!,#REF!,IF(AP18&lt;=#REF!,#REF!,IF(AP18&lt;=#REF!,#REF!,IF(AP18&lt;=#REF!,#REF!,IF(AP18&lt;=#REF!,#REF!,IF(AP18&lt;=#REF!,#REF!,0.05)))))))</f>
        <v/>
      </c>
      <c r="BA18" s="2193">
        <f>AZ18*AP18</f>
        <v/>
      </c>
      <c r="BB18" s="1051" t="n"/>
      <c r="BC18" s="1051">
        <f>IF(AS18&lt;=#REF!,#REF!,IF(AS18&lt;=#REF!,#REF!,IF(AS18&lt;=#REF!,#REF!,IF(AS18&lt;=#REF!,#REF!,IF(AS18&lt;=#REF!,#REF!,IF(AS18&lt;=#REF!,#REF!,IF(AS18&lt;=#REF!,#REF!,0.05)))))))</f>
        <v/>
      </c>
      <c r="BD18" s="2193">
        <f>BC18*SUM(BA18,AX18,AS18)</f>
        <v/>
      </c>
      <c r="BE18" s="1051" t="n"/>
      <c r="BF18" s="2194">
        <f>IF(AV18&lt;=#REF!,#REF!,IF(AV18&lt;=#REF!,#REF!,IF(AV18&lt;=#REF!,#REF!,IF(AV18&lt;=#REF!,#REF!,IF(AV18&lt;=#REF!,#REF!,IF(AV18&lt;=#REF!,#REF!,IF(AV18&lt;=#REF!,#REF!,0.05)))))))</f>
        <v/>
      </c>
      <c r="BG18" s="2193">
        <f>BF18*AV18</f>
        <v/>
      </c>
      <c r="BI18" s="1932">
        <f>0.07*SUM(AS18,AX18,BA18,BD18,BG18)</f>
        <v/>
      </c>
      <c r="BK18" s="1932">
        <f>SUM(BI18,BG18,BD18,BA18,AX18,AS18)</f>
        <v/>
      </c>
      <c r="BL18" s="1933">
        <f>SUM(BG18,BD18,BA18,AX18)</f>
        <v/>
      </c>
      <c r="BM18" s="1051">
        <f>BL18/BK18</f>
        <v/>
      </c>
      <c r="CC18" s="2193" t="n">
        <v>9000</v>
      </c>
      <c r="CD18" s="2193" t="n"/>
      <c r="CE18" s="2193" t="n"/>
      <c r="CF18" s="2193">
        <f>CC18</f>
        <v/>
      </c>
      <c r="CG18" s="2193" t="n"/>
      <c r="CH18" s="2193" t="n"/>
      <c r="CI18" s="2193">
        <f>CC18+CF18</f>
        <v/>
      </c>
      <c r="CJ18" s="2193" t="n"/>
      <c r="CK18" s="2193" t="n"/>
      <c r="CL18" s="2193">
        <f>CI18</f>
        <v/>
      </c>
      <c r="CM18" s="1051">
        <f>IF(CC18&lt;=BQ$6,BP$6,IF(CC18&lt;=BQ$7,BP$7,IF(CC18&lt;=BQ$8,BP$8,IF(CC18&lt;=BQ$9,BP$9,IF(CC18&lt;=BQ$14,BP$14,IF(CC18&lt;=BQ$15,BP$15,IF(CC18&lt;=BQ$16,BP$16,0.05)))))))</f>
        <v/>
      </c>
      <c r="CN18" s="2193">
        <f>CM18*CC18</f>
        <v/>
      </c>
      <c r="CO18" s="1051" t="n"/>
      <c r="CP18" s="1051">
        <f>IF(CF18&lt;=BT$6,BS$6,IF(CF18&lt;=BT$7,BS$7,IF(CF18&lt;=BT$8,BS$8,IF(CF18&lt;=BT$9,BS$9,IF(CF18&lt;=BT$14,BS$14,IF(CF18&lt;=BT$15,BS$15,IF(CF18&lt;=BT$16,BS$16,0.05)))))))</f>
        <v/>
      </c>
      <c r="CQ18" s="2193">
        <f>CP18*CF18</f>
        <v/>
      </c>
      <c r="CR18" s="1051" t="n"/>
      <c r="CS18" s="1051">
        <f>IF(CI18&lt;=BW$6,BV$6,IF(CI18&lt;=BW$7,BV$7,IF(CI18&lt;=BW$8,BV$8,IF(CI18&lt;=BW$9,BV$9,IF(CI18&lt;=BW$14,BV$14,IF(CI18&lt;=BW$15,BV$15,IF(CI18&lt;=BW$16,BV$16,0.05)))))))</f>
        <v/>
      </c>
      <c r="CT18" s="2193">
        <f>CS18*SUM(CQ18,CN18,CI18)</f>
        <v/>
      </c>
      <c r="CU18" s="1051" t="n"/>
      <c r="CV18" s="2194">
        <f>IF(CL18&lt;=BZ$6,BY$6,IF(CL18&lt;=BZ$7,BY$7,IF(CL18&lt;=BZ$8,BY$8,IF(CL18&lt;=BZ$9,BY$9,IF(CL18&lt;=BZ$14,BY$14,IF(CL18&lt;=BZ$15,BY$15,IF(CL18&lt;=BZ$16,BY$16,0.05)))))))</f>
        <v/>
      </c>
      <c r="CW18" s="2193">
        <f>CV18*CL18</f>
        <v/>
      </c>
      <c r="CY18" s="1932">
        <f>0.07*SUM(CI18,CN18,CQ18,CT18,CW18)</f>
        <v/>
      </c>
      <c r="DA18" s="1932">
        <f>SUM(CY18,CW18,CT18,CQ18,CN18,CI18)</f>
        <v/>
      </c>
      <c r="DB18" s="1933">
        <f>SUM(CW18,CT18,CQ18,CN18)</f>
        <v/>
      </c>
      <c r="DC18" s="1051">
        <f>DB18/DA18</f>
        <v/>
      </c>
    </row>
    <row r="19" customFormat="1" s="585">
      <c r="A19" s="616" t="inlineStr">
        <is>
          <t xml:space="preserve">MATERIAL - </t>
        </is>
      </c>
      <c r="B19" s="617" t="inlineStr">
        <is>
          <t>Quantity</t>
        </is>
      </c>
      <c r="C19" s="1781" t="inlineStr">
        <is>
          <t>Units</t>
        </is>
      </c>
      <c r="D19" s="617" t="inlineStr">
        <is>
          <t>Cost/Unit</t>
        </is>
      </c>
      <c r="E19" s="992" t="inlineStr">
        <is>
          <t xml:space="preserve">Subtotal </t>
        </is>
      </c>
      <c r="F19" s="585" t="inlineStr">
        <is>
          <t xml:space="preserve">Sand Waste </t>
        </is>
      </c>
      <c r="G19" s="1165" t="n">
        <v>0.1</v>
      </c>
      <c r="H19" s="1877" t="inlineStr">
        <is>
          <t>for large bids</t>
        </is>
      </c>
      <c r="I19" s="993" t="n"/>
      <c r="K19" s="2014" t="n"/>
      <c r="L19" s="633" t="n"/>
      <c r="N19" s="1292" t="n"/>
      <c r="O19" s="1393">
        <f>SUM(P19:R19)</f>
        <v/>
      </c>
      <c r="P19" s="1394" t="n"/>
      <c r="Q19" s="1395" t="n"/>
      <c r="R19" s="1396" t="n"/>
      <c r="S19" s="1337">
        <f>((P19+Q19+R19)/F22)*H33</f>
        <v/>
      </c>
      <c r="T19" s="970" t="n"/>
      <c r="AM19" s="2193" t="n">
        <v>10000</v>
      </c>
      <c r="AN19" s="2193" t="n"/>
      <c r="AO19" s="2193" t="n"/>
      <c r="AP19" s="2193">
        <f>AM19</f>
        <v/>
      </c>
      <c r="AQ19" s="2193" t="n"/>
      <c r="AR19" s="2193" t="n"/>
      <c r="AS19" s="2193">
        <f>AM19+AP19</f>
        <v/>
      </c>
      <c r="AT19" s="2193" t="n"/>
      <c r="AU19" s="2193" t="n"/>
      <c r="AV19" s="2193">
        <f>AS19</f>
        <v/>
      </c>
      <c r="AW19" s="1051">
        <f>IF(AM19&lt;=#REF!,#REF!,IF(AM19&lt;=#REF!,#REF!,IF(AM19&lt;=#REF!,#REF!,IF(AM19&lt;=#REF!,#REF!,IF(AM19&lt;=#REF!,#REF!,IF(AM19&lt;=#REF!,#REF!,IF(AM19&lt;=#REF!,#REF!,0.05)))))))</f>
        <v/>
      </c>
      <c r="AX19" s="2193">
        <f>AW19*AM19</f>
        <v/>
      </c>
      <c r="AY19" s="1051" t="n"/>
      <c r="AZ19" s="1051">
        <f>IF(AP19&lt;=#REF!,#REF!,IF(AP19&lt;=#REF!,#REF!,IF(AP19&lt;=#REF!,#REF!,IF(AP19&lt;=#REF!,#REF!,IF(AP19&lt;=#REF!,#REF!,IF(AP19&lt;=#REF!,#REF!,IF(AP19&lt;=#REF!,#REF!,0.05)))))))</f>
        <v/>
      </c>
      <c r="BA19" s="2193">
        <f>AZ19*AP19</f>
        <v/>
      </c>
      <c r="BB19" s="1051" t="n"/>
      <c r="BC19" s="1051">
        <f>IF(AS19&lt;=#REF!,#REF!,IF(AS19&lt;=#REF!,#REF!,IF(AS19&lt;=#REF!,#REF!,IF(AS19&lt;=#REF!,#REF!,IF(AS19&lt;=#REF!,#REF!,IF(AS19&lt;=#REF!,#REF!,IF(AS19&lt;=#REF!,#REF!,0.05)))))))</f>
        <v/>
      </c>
      <c r="BD19" s="2193">
        <f>BC19*SUM(BA19,AX19,AS19)</f>
        <v/>
      </c>
      <c r="BE19" s="1051" t="n"/>
      <c r="BF19" s="2194">
        <f>IF(AV19&lt;=#REF!,#REF!,IF(AV19&lt;=#REF!,#REF!,IF(AV19&lt;=#REF!,#REF!,IF(AV19&lt;=#REF!,#REF!,IF(AV19&lt;=#REF!,#REF!,IF(AV19&lt;=#REF!,#REF!,IF(AV19&lt;=#REF!,#REF!,0.05)))))))</f>
        <v/>
      </c>
      <c r="BG19" s="2193">
        <f>BF19*AV19</f>
        <v/>
      </c>
      <c r="BI19" s="1932">
        <f>0.07*SUM(AS19,AX19,BA19,BD19,BG19)</f>
        <v/>
      </c>
      <c r="BK19" s="1932">
        <f>SUM(BI19,BG19,BD19,BA19,AX19,AS19)</f>
        <v/>
      </c>
      <c r="BL19" s="1933">
        <f>SUM(BG19,BD19,BA19,AX19)</f>
        <v/>
      </c>
      <c r="BM19" s="1051">
        <f>BL19/BK19</f>
        <v/>
      </c>
      <c r="CC19" s="2193" t="n">
        <v>10000</v>
      </c>
      <c r="CD19" s="2193" t="n"/>
      <c r="CE19" s="2193" t="n"/>
      <c r="CF19" s="2193">
        <f>CC19</f>
        <v/>
      </c>
      <c r="CG19" s="2193" t="n"/>
      <c r="CH19" s="2193" t="n"/>
      <c r="CI19" s="2193">
        <f>CC19+CF19</f>
        <v/>
      </c>
      <c r="CJ19" s="2193" t="n"/>
      <c r="CK19" s="2193" t="n"/>
      <c r="CL19" s="2193">
        <f>CI19</f>
        <v/>
      </c>
      <c r="CM19" s="1051">
        <f>IF(CC19&lt;=BQ$6,BP$6,IF(CC19&lt;=BQ$7,BP$7,IF(CC19&lt;=BQ$8,BP$8,IF(CC19&lt;=BQ$9,BP$9,IF(CC19&lt;=BQ$14,BP$14,IF(CC19&lt;=BQ$15,BP$15,IF(CC19&lt;=BQ$16,BP$16,0.05)))))))</f>
        <v/>
      </c>
      <c r="CN19" s="2193">
        <f>CM19*CC19</f>
        <v/>
      </c>
      <c r="CO19" s="1051" t="n"/>
      <c r="CP19" s="1051">
        <f>IF(CF19&lt;=BT$6,BS$6,IF(CF19&lt;=BT$7,BS$7,IF(CF19&lt;=BT$8,BS$8,IF(CF19&lt;=BT$9,BS$9,IF(CF19&lt;=BT$14,BS$14,IF(CF19&lt;=BT$15,BS$15,IF(CF19&lt;=BT$16,BS$16,0.05)))))))</f>
        <v/>
      </c>
      <c r="CQ19" s="2193">
        <f>CP19*CF19</f>
        <v/>
      </c>
      <c r="CR19" s="1051" t="n"/>
      <c r="CS19" s="1051">
        <f>IF(CI19&lt;=BW$6,BV$6,IF(CI19&lt;=BW$7,BV$7,IF(CI19&lt;=BW$8,BV$8,IF(CI19&lt;=BW$9,BV$9,IF(CI19&lt;=BW$14,BV$14,IF(CI19&lt;=BW$15,BV$15,IF(CI19&lt;=BW$16,BV$16,0.05)))))))</f>
        <v/>
      </c>
      <c r="CT19" s="2193">
        <f>CS19*SUM(CQ19,CN19,CI19)</f>
        <v/>
      </c>
      <c r="CU19" s="1051" t="n"/>
      <c r="CV19" s="2194">
        <f>IF(CL19&lt;=BZ$6,BY$6,IF(CL19&lt;=BZ$7,BY$7,IF(CL19&lt;=BZ$8,BY$8,IF(CL19&lt;=BZ$9,BY$9,IF(CL19&lt;=BZ$14,BY$14,IF(CL19&lt;=BZ$15,BY$15,IF(CL19&lt;=BZ$16,BY$16,0.05)))))))</f>
        <v/>
      </c>
      <c r="CW19" s="2193">
        <f>CV19*CL19</f>
        <v/>
      </c>
      <c r="CY19" s="1932">
        <f>0.07*SUM(CI19,CN19,CQ19,CT19,CW19)</f>
        <v/>
      </c>
      <c r="DA19" s="1932">
        <f>SUM(CY19,CW19,CT19,CQ19,CN19,CI19)</f>
        <v/>
      </c>
      <c r="DB19" s="1933">
        <f>SUM(CW19,CT19,CQ19,CN19)</f>
        <v/>
      </c>
      <c r="DC19" s="1051">
        <f>DB19/DA19</f>
        <v/>
      </c>
    </row>
    <row r="20" ht="16.2" customFormat="1" customHeight="1" s="585" thickBot="1">
      <c r="A20" s="624" t="n"/>
      <c r="B20" s="2096" t="n"/>
      <c r="C20" s="2203" t="n"/>
      <c r="D20" s="1942" t="n"/>
      <c r="E20" s="1943">
        <f>B20*D20</f>
        <v/>
      </c>
      <c r="F20" s="874" t="inlineStr">
        <is>
          <t>Sound Mat Waste</t>
        </is>
      </c>
      <c r="G20" s="1166" t="n">
        <v>0.04</v>
      </c>
      <c r="H20" s="874" t="n"/>
      <c r="I20" s="875" t="n"/>
      <c r="L20" s="633" t="n"/>
      <c r="N20" s="1292" t="n"/>
      <c r="O20" s="1393">
        <f>SUM(P20:R20)</f>
        <v/>
      </c>
      <c r="P20" s="1394" t="n"/>
      <c r="Q20" s="1395" t="n"/>
      <c r="R20" s="1396" t="n"/>
      <c r="S20" s="1337">
        <f>((P20+Q20+R20)/F22)*H33</f>
        <v/>
      </c>
      <c r="T20" s="970" t="n"/>
      <c r="AM20" s="2193" t="n">
        <v>11000</v>
      </c>
      <c r="AN20" s="2193" t="n"/>
      <c r="AO20" s="2193" t="n"/>
      <c r="AP20" s="2193">
        <f>AM20</f>
        <v/>
      </c>
      <c r="AQ20" s="2193" t="n"/>
      <c r="AR20" s="2193" t="n"/>
      <c r="AS20" s="2193">
        <f>AM20+AP20</f>
        <v/>
      </c>
      <c r="AT20" s="2193" t="n"/>
      <c r="AU20" s="2193" t="n"/>
      <c r="AV20" s="2193">
        <f>AS20</f>
        <v/>
      </c>
      <c r="AW20" s="1051">
        <f>IF(AM20&lt;=#REF!,#REF!,IF(AM20&lt;=#REF!,#REF!,IF(AM20&lt;=#REF!,#REF!,IF(AM20&lt;=#REF!,#REF!,IF(AM20&lt;=#REF!,#REF!,IF(AM20&lt;=#REF!,#REF!,IF(AM20&lt;=#REF!,#REF!,0.05)))))))</f>
        <v/>
      </c>
      <c r="AX20" s="2193">
        <f>AW20*AM20</f>
        <v/>
      </c>
      <c r="AY20" s="1051" t="n"/>
      <c r="AZ20" s="1051">
        <f>IF(AP20&lt;=#REF!,#REF!,IF(AP20&lt;=#REF!,#REF!,IF(AP20&lt;=#REF!,#REF!,IF(AP20&lt;=#REF!,#REF!,IF(AP20&lt;=#REF!,#REF!,IF(AP20&lt;=#REF!,#REF!,IF(AP20&lt;=#REF!,#REF!,0.05)))))))</f>
        <v/>
      </c>
      <c r="BA20" s="2193">
        <f>AZ20*AP20</f>
        <v/>
      </c>
      <c r="BB20" s="1051" t="n"/>
      <c r="BC20" s="1051">
        <f>IF(AS20&lt;=#REF!,#REF!,IF(AS20&lt;=#REF!,#REF!,IF(AS20&lt;=#REF!,#REF!,IF(AS20&lt;=#REF!,#REF!,IF(AS20&lt;=#REF!,#REF!,IF(AS20&lt;=#REF!,#REF!,IF(AS20&lt;=#REF!,#REF!,0.05)))))))</f>
        <v/>
      </c>
      <c r="BD20" s="2193">
        <f>BC20*SUM(BA20,AX20,AS20)</f>
        <v/>
      </c>
      <c r="BE20" s="1051" t="n"/>
      <c r="BF20" s="2194">
        <f>IF(AV20&lt;=#REF!,#REF!,IF(AV20&lt;=#REF!,#REF!,IF(AV20&lt;=#REF!,#REF!,IF(AV20&lt;=#REF!,#REF!,IF(AV20&lt;=#REF!,#REF!,IF(AV20&lt;=#REF!,#REF!,IF(AV20&lt;=#REF!,#REF!,0.05)))))))</f>
        <v/>
      </c>
      <c r="BG20" s="2193">
        <f>BF20*AV20</f>
        <v/>
      </c>
      <c r="BI20" s="1932">
        <f>0.07*SUM(AS20,AX20,BA20,BD20,BG20)</f>
        <v/>
      </c>
      <c r="BK20" s="1932">
        <f>SUM(BI20,BG20,BD20,BA20,AX20,AS20)</f>
        <v/>
      </c>
      <c r="BL20" s="1933">
        <f>SUM(BG20,BD20,BA20,AX20)</f>
        <v/>
      </c>
      <c r="BM20" s="1051">
        <f>BL20/BK20</f>
        <v/>
      </c>
      <c r="CC20" s="2193" t="n">
        <v>11000</v>
      </c>
      <c r="CD20" s="2193" t="n"/>
      <c r="CE20" s="2193" t="n"/>
      <c r="CF20" s="2193">
        <f>CC20</f>
        <v/>
      </c>
      <c r="CG20" s="2193" t="n"/>
      <c r="CH20" s="2193" t="n"/>
      <c r="CI20" s="2193">
        <f>CC20+CF20</f>
        <v/>
      </c>
      <c r="CJ20" s="2193" t="n"/>
      <c r="CK20" s="2193" t="n"/>
      <c r="CL20" s="2193">
        <f>CI20</f>
        <v/>
      </c>
      <c r="CM20" s="1051">
        <f>IF(CC20&lt;=BQ$6,BP$6,IF(CC20&lt;=BQ$7,BP$7,IF(CC20&lt;=BQ$8,BP$8,IF(CC20&lt;=BQ$9,BP$9,IF(CC20&lt;=BQ$14,BP$14,IF(CC20&lt;=BQ$15,BP$15,IF(CC20&lt;=BQ$16,BP$16,0.05)))))))</f>
        <v/>
      </c>
      <c r="CN20" s="2193">
        <f>CM20*CC20</f>
        <v/>
      </c>
      <c r="CO20" s="1051" t="n"/>
      <c r="CP20" s="1051">
        <f>IF(CF20&lt;=BT$6,BS$6,IF(CF20&lt;=BT$7,BS$7,IF(CF20&lt;=BT$8,BS$8,IF(CF20&lt;=BT$9,BS$9,IF(CF20&lt;=BT$14,BS$14,IF(CF20&lt;=BT$15,BS$15,IF(CF20&lt;=BT$16,BS$16,0.05)))))))</f>
        <v/>
      </c>
      <c r="CQ20" s="2193">
        <f>CP20*CF20</f>
        <v/>
      </c>
      <c r="CR20" s="1051" t="n"/>
      <c r="CS20" s="1051">
        <f>IF(CI20&lt;=BW$6,BV$6,IF(CI20&lt;=BW$7,BV$7,IF(CI20&lt;=BW$8,BV$8,IF(CI20&lt;=BW$9,BV$9,IF(CI20&lt;=BW$14,BV$14,IF(CI20&lt;=BW$15,BV$15,IF(CI20&lt;=BW$16,BV$16,0.05)))))))</f>
        <v/>
      </c>
      <c r="CT20" s="2193">
        <f>CS20*SUM(CQ20,CN20,CI20)</f>
        <v/>
      </c>
      <c r="CU20" s="1051" t="n"/>
      <c r="CV20" s="2194">
        <f>IF(CL20&lt;=BZ$6,BY$6,IF(CL20&lt;=BZ$7,BY$7,IF(CL20&lt;=BZ$8,BY$8,IF(CL20&lt;=BZ$9,BY$9,IF(CL20&lt;=BZ$14,BY$14,IF(CL20&lt;=BZ$15,BY$15,IF(CL20&lt;=BZ$16,BY$16,0.05)))))))</f>
        <v/>
      </c>
      <c r="CW20" s="2193">
        <f>CV20*CL20</f>
        <v/>
      </c>
      <c r="CY20" s="1932">
        <f>0.07*SUM(CI20,CN20,CQ20,CT20,CW20)</f>
        <v/>
      </c>
      <c r="DA20" s="1932">
        <f>SUM(CY20,CW20,CT20,CQ20,CN20,CI20)</f>
        <v/>
      </c>
      <c r="DB20" s="1933">
        <f>SUM(CW20,CT20,CQ20,CN20)</f>
        <v/>
      </c>
      <c r="DC20" s="1051">
        <f>DB20/DA20</f>
        <v/>
      </c>
    </row>
    <row r="21" customFormat="1" s="585">
      <c r="A21" s="1559" t="inlineStr">
        <is>
          <t>USG Levelrock</t>
        </is>
      </c>
      <c r="B21" s="2096" t="n"/>
      <c r="C21" s="2203" t="n"/>
      <c r="D21" s="1942" t="n"/>
      <c r="E21" s="1943">
        <f>B21*D21</f>
        <v/>
      </c>
      <c r="L21" s="633" t="n"/>
      <c r="N21" s="1292" t="n"/>
      <c r="O21" s="1393">
        <f>SUM(P21:R21)</f>
        <v/>
      </c>
      <c r="P21" s="1394" t="n"/>
      <c r="Q21" s="1395" t="n"/>
      <c r="R21" s="1396" t="n"/>
      <c r="S21" s="1337">
        <f>((P21+Q21+R21)/F22)*H33</f>
        <v/>
      </c>
      <c r="T21" s="970" t="n"/>
      <c r="AM21" s="2193" t="n">
        <v>12000</v>
      </c>
      <c r="AN21" s="2193" t="n"/>
      <c r="AO21" s="2193" t="n"/>
      <c r="AP21" s="2193">
        <f>AM21</f>
        <v/>
      </c>
      <c r="AQ21" s="2193" t="n"/>
      <c r="AR21" s="2193" t="n"/>
      <c r="AS21" s="2193">
        <f>AM21+AP21</f>
        <v/>
      </c>
      <c r="AT21" s="2193" t="n"/>
      <c r="AU21" s="2193" t="n"/>
      <c r="AV21" s="2193">
        <f>AS21</f>
        <v/>
      </c>
      <c r="AW21" s="1051">
        <f>IF(AM21&lt;=#REF!,#REF!,IF(AM21&lt;=#REF!,#REF!,IF(AM21&lt;=#REF!,#REF!,IF(AM21&lt;=#REF!,#REF!,IF(AM21&lt;=#REF!,#REF!,IF(AM21&lt;=#REF!,#REF!,IF(AM21&lt;=#REF!,#REF!,0.05)))))))</f>
        <v/>
      </c>
      <c r="AX21" s="2193">
        <f>AW21*AM21</f>
        <v/>
      </c>
      <c r="AY21" s="1051" t="n"/>
      <c r="AZ21" s="1051">
        <f>IF(AP21&lt;=#REF!,#REF!,IF(AP21&lt;=#REF!,#REF!,IF(AP21&lt;=#REF!,#REF!,IF(AP21&lt;=#REF!,#REF!,IF(AP21&lt;=#REF!,#REF!,IF(AP21&lt;=#REF!,#REF!,IF(AP21&lt;=#REF!,#REF!,0.05)))))))</f>
        <v/>
      </c>
      <c r="BA21" s="2193">
        <f>AZ21*AP21</f>
        <v/>
      </c>
      <c r="BB21" s="1051" t="n"/>
      <c r="BC21" s="1051">
        <f>IF(AS21&lt;=#REF!,#REF!,IF(AS21&lt;=#REF!,#REF!,IF(AS21&lt;=#REF!,#REF!,IF(AS21&lt;=#REF!,#REF!,IF(AS21&lt;=#REF!,#REF!,IF(AS21&lt;=#REF!,#REF!,IF(AS21&lt;=#REF!,#REF!,0.05)))))))</f>
        <v/>
      </c>
      <c r="BD21" s="2193">
        <f>BC21*SUM(BA21,AX21,AS21)</f>
        <v/>
      </c>
      <c r="BE21" s="1051" t="n"/>
      <c r="BF21" s="2194">
        <f>IF(AV21&lt;=#REF!,#REF!,IF(AV21&lt;=#REF!,#REF!,IF(AV21&lt;=#REF!,#REF!,IF(AV21&lt;=#REF!,#REF!,IF(AV21&lt;=#REF!,#REF!,IF(AV21&lt;=#REF!,#REF!,IF(AV21&lt;=#REF!,#REF!,0.05)))))))</f>
        <v/>
      </c>
      <c r="BG21" s="2193">
        <f>BF21*AV21</f>
        <v/>
      </c>
      <c r="BI21" s="1932">
        <f>0.07*SUM(AS21,AX21,BA21,BD21,BG21)</f>
        <v/>
      </c>
      <c r="BK21" s="1932">
        <f>SUM(BI21,BG21,BD21,BA21,AX21,AS21)</f>
        <v/>
      </c>
      <c r="BL21" s="1933">
        <f>SUM(BG21,BD21,BA21,AX21)</f>
        <v/>
      </c>
      <c r="BM21" s="1051">
        <f>BL21/BK21</f>
        <v/>
      </c>
      <c r="CC21" s="2193" t="n">
        <v>12000</v>
      </c>
      <c r="CD21" s="2193" t="n"/>
      <c r="CE21" s="2193" t="n"/>
      <c r="CF21" s="2193">
        <f>CC21</f>
        <v/>
      </c>
      <c r="CG21" s="2193" t="n"/>
      <c r="CH21" s="2193" t="n"/>
      <c r="CI21" s="2193">
        <f>CC21+CF21</f>
        <v/>
      </c>
      <c r="CJ21" s="2193" t="n"/>
      <c r="CK21" s="2193" t="n"/>
      <c r="CL21" s="2193">
        <f>CI21</f>
        <v/>
      </c>
      <c r="CM21" s="1051">
        <f>IF(CC21&lt;=BQ$6,BP$6,IF(CC21&lt;=BQ$7,BP$7,IF(CC21&lt;=BQ$8,BP$8,IF(CC21&lt;=BQ$9,BP$9,IF(CC21&lt;=BQ$14,BP$14,IF(CC21&lt;=BQ$15,BP$15,IF(CC21&lt;=BQ$16,BP$16,0.05)))))))</f>
        <v/>
      </c>
      <c r="CN21" s="2193">
        <f>CM21*CC21</f>
        <v/>
      </c>
      <c r="CO21" s="1051" t="n"/>
      <c r="CP21" s="1051">
        <f>IF(CF21&lt;=BT$6,BS$6,IF(CF21&lt;=BT$7,BS$7,IF(CF21&lt;=BT$8,BS$8,IF(CF21&lt;=BT$9,BS$9,IF(CF21&lt;=BT$14,BS$14,IF(CF21&lt;=BT$15,BS$15,IF(CF21&lt;=BT$16,BS$16,0.05)))))))</f>
        <v/>
      </c>
      <c r="CQ21" s="2193">
        <f>CP21*CF21</f>
        <v/>
      </c>
      <c r="CR21" s="1051" t="n"/>
      <c r="CS21" s="1051">
        <f>IF(CI21&lt;=BW$6,BV$6,IF(CI21&lt;=BW$7,BV$7,IF(CI21&lt;=BW$8,BV$8,IF(CI21&lt;=BW$9,BV$9,IF(CI21&lt;=BW$14,BV$14,IF(CI21&lt;=BW$15,BV$15,IF(CI21&lt;=BW$16,BV$16,0.05)))))))</f>
        <v/>
      </c>
      <c r="CT21" s="2193">
        <f>CS21*SUM(CQ21,CN21,CI21)</f>
        <v/>
      </c>
      <c r="CU21" s="1051" t="n"/>
      <c r="CV21" s="2194">
        <f>IF(CL21&lt;=BZ$6,BY$6,IF(CL21&lt;=BZ$7,BY$7,IF(CL21&lt;=BZ$8,BY$8,IF(CL21&lt;=BZ$9,BY$9,IF(CL21&lt;=BZ$14,BY$14,IF(CL21&lt;=BZ$15,BY$15,IF(CL21&lt;=BZ$16,BY$16,0.05)))))))</f>
        <v/>
      </c>
      <c r="CW21" s="2193">
        <f>CV21*CL21</f>
        <v/>
      </c>
      <c r="CY21" s="1932">
        <f>0.07*SUM(CI21,CN21,CQ21,CT21,CW21)</f>
        <v/>
      </c>
      <c r="DA21" s="1932">
        <f>SUM(CY21,CW21,CT21,CQ21,CN21,CI21)</f>
        <v/>
      </c>
      <c r="DB21" s="1933">
        <f>SUM(CW21,CT21,CQ21,CN21)</f>
        <v/>
      </c>
      <c r="DC21" s="1051">
        <f>DB21/DA21</f>
        <v/>
      </c>
    </row>
    <row r="22" customFormat="1" s="585">
      <c r="A22" s="641" t="inlineStr">
        <is>
          <t>MATERIAL - Gypsum Underlayments</t>
        </is>
      </c>
      <c r="B22" s="2204" t="n"/>
      <c r="C22" s="643" t="n"/>
      <c r="D22" s="643" t="n"/>
      <c r="E22" s="2205">
        <f>B22*D22</f>
        <v/>
      </c>
      <c r="F22" s="1284">
        <f>SUM(F23:F25)</f>
        <v/>
      </c>
      <c r="G22" s="887" t="inlineStr">
        <is>
          <t>SF Total</t>
        </is>
      </c>
      <c r="H22" s="837" t="inlineStr">
        <is>
          <t>Ave Gyp Thickness</t>
        </is>
      </c>
      <c r="I22" s="2206" t="inlineStr">
        <is>
          <t>1/8's Req at Thickness</t>
        </is>
      </c>
      <c r="J22" s="822" t="inlineStr">
        <is>
          <t xml:space="preserve">Yield/FT </t>
        </is>
      </c>
      <c r="K22" s="1140" t="inlineStr">
        <is>
          <t>1.8 = 2500 psi</t>
        </is>
      </c>
      <c r="L22" s="1140" t="inlineStr">
        <is>
          <t>1.4 = 3000 psi</t>
        </is>
      </c>
      <c r="O22" s="1393">
        <f>SUM(P22:R22)</f>
        <v/>
      </c>
      <c r="P22" s="1394" t="n"/>
      <c r="Q22" s="1395" t="n"/>
      <c r="R22" s="1396" t="n"/>
      <c r="S22" s="1337">
        <f>((P22+Q22+R22)/F22)*H33</f>
        <v/>
      </c>
      <c r="T22" s="970" t="n"/>
      <c r="AM22" s="2193" t="n">
        <v>13000</v>
      </c>
      <c r="AN22" s="2193" t="n"/>
      <c r="AO22" s="2193" t="n"/>
      <c r="AP22" s="2193">
        <f>AM22</f>
        <v/>
      </c>
      <c r="AQ22" s="2193" t="n"/>
      <c r="AR22" s="2193" t="n"/>
      <c r="AS22" s="2193">
        <f>AM22+AP22</f>
        <v/>
      </c>
      <c r="AT22" s="2193" t="n"/>
      <c r="AU22" s="2193" t="n"/>
      <c r="AV22" s="2193">
        <f>AS22</f>
        <v/>
      </c>
      <c r="AW22" s="1051">
        <f>IF(AM22&lt;=#REF!,#REF!,IF(AM22&lt;=#REF!,#REF!,IF(AM22&lt;=#REF!,#REF!,IF(AM22&lt;=#REF!,#REF!,IF(AM22&lt;=#REF!,#REF!,IF(AM22&lt;=#REF!,#REF!,IF(AM22&lt;=#REF!,#REF!,0.05)))))))</f>
        <v/>
      </c>
      <c r="AX22" s="2193">
        <f>AW22*AM22</f>
        <v/>
      </c>
      <c r="AY22" s="1051" t="n"/>
      <c r="AZ22" s="1051">
        <f>IF(AP22&lt;=#REF!,#REF!,IF(AP22&lt;=#REF!,#REF!,IF(AP22&lt;=#REF!,#REF!,IF(AP22&lt;=#REF!,#REF!,IF(AP22&lt;=#REF!,#REF!,IF(AP22&lt;=#REF!,#REF!,IF(AP22&lt;=#REF!,#REF!,0.05)))))))</f>
        <v/>
      </c>
      <c r="BA22" s="2193">
        <f>AZ22*AP22</f>
        <v/>
      </c>
      <c r="BB22" s="1051" t="n"/>
      <c r="BC22" s="1051">
        <f>IF(AS22&lt;=#REF!,#REF!,IF(AS22&lt;=#REF!,#REF!,IF(AS22&lt;=#REF!,#REF!,IF(AS22&lt;=#REF!,#REF!,IF(AS22&lt;=#REF!,#REF!,IF(AS22&lt;=#REF!,#REF!,IF(AS22&lt;=#REF!,#REF!,0.05)))))))</f>
        <v/>
      </c>
      <c r="BD22" s="2193">
        <f>BC22*SUM(BA22,AX22,AS22)</f>
        <v/>
      </c>
      <c r="BE22" s="1051" t="n"/>
      <c r="BF22" s="2194">
        <f>IF(AV22&lt;=#REF!,#REF!,IF(AV22&lt;=#REF!,#REF!,IF(AV22&lt;=#REF!,#REF!,IF(AV22&lt;=#REF!,#REF!,IF(AV22&lt;=#REF!,#REF!,IF(AV22&lt;=#REF!,#REF!,IF(AV22&lt;=#REF!,#REF!,0.05)))))))</f>
        <v/>
      </c>
      <c r="BG22" s="2193">
        <f>BF22*AV22</f>
        <v/>
      </c>
      <c r="BI22" s="1932">
        <f>0.07*SUM(AS22,AX22,BA22,BD22,BG22)</f>
        <v/>
      </c>
      <c r="BK22" s="1932">
        <f>SUM(BI22,BG22,BD22,BA22,AX22,AS22)</f>
        <v/>
      </c>
      <c r="BL22" s="1933">
        <f>SUM(BG22,BD22,BA22,AX22)</f>
        <v/>
      </c>
      <c r="BM22" s="1051">
        <f>BL22/BK22</f>
        <v/>
      </c>
      <c r="CC22" s="2193" t="n">
        <v>13000</v>
      </c>
      <c r="CD22" s="2193" t="n"/>
      <c r="CE22" s="2193" t="n"/>
      <c r="CF22" s="2193">
        <f>CC22</f>
        <v/>
      </c>
      <c r="CG22" s="2193" t="n"/>
      <c r="CH22" s="2193" t="n"/>
      <c r="CI22" s="2193">
        <f>CC22+CF22</f>
        <v/>
      </c>
      <c r="CJ22" s="2193" t="n"/>
      <c r="CK22" s="2193" t="n"/>
      <c r="CL22" s="2193">
        <f>CI22</f>
        <v/>
      </c>
      <c r="CM22" s="1051">
        <f>IF(CC22&lt;=BQ$6,BP$6,IF(CC22&lt;=BQ$7,BP$7,IF(CC22&lt;=BQ$8,BP$8,IF(CC22&lt;=BQ$9,BP$9,IF(CC22&lt;=BQ$14,BP$14,IF(CC22&lt;=BQ$15,BP$15,IF(CC22&lt;=BQ$16,BP$16,0.05)))))))</f>
        <v/>
      </c>
      <c r="CN22" s="2193">
        <f>CM22*CC22</f>
        <v/>
      </c>
      <c r="CO22" s="1051" t="n"/>
      <c r="CP22" s="1051">
        <f>IF(CF22&lt;=BT$6,BS$6,IF(CF22&lt;=BT$7,BS$7,IF(CF22&lt;=BT$8,BS$8,IF(CF22&lt;=BT$9,BS$9,IF(CF22&lt;=BT$14,BS$14,IF(CF22&lt;=BT$15,BS$15,IF(CF22&lt;=BT$16,BS$16,0.05)))))))</f>
        <v/>
      </c>
      <c r="CQ22" s="2193">
        <f>CP22*CF22</f>
        <v/>
      </c>
      <c r="CR22" s="1051" t="n"/>
      <c r="CS22" s="1051">
        <f>IF(CI22&lt;=BW$6,BV$6,IF(CI22&lt;=BW$7,BV$7,IF(CI22&lt;=BW$8,BV$8,IF(CI22&lt;=BW$9,BV$9,IF(CI22&lt;=BW$14,BV$14,IF(CI22&lt;=BW$15,BV$15,IF(CI22&lt;=BW$16,BV$16,0.05)))))))</f>
        <v/>
      </c>
      <c r="CT22" s="2193">
        <f>CS22*SUM(CQ22,CN22,CI22)</f>
        <v/>
      </c>
      <c r="CU22" s="1051" t="n"/>
      <c r="CV22" s="2194">
        <f>IF(CL22&lt;=BZ$6,BY$6,IF(CL22&lt;=BZ$7,BY$7,IF(CL22&lt;=BZ$8,BY$8,IF(CL22&lt;=BZ$9,BY$9,IF(CL22&lt;=BZ$14,BY$14,IF(CL22&lt;=BZ$15,BY$15,IF(CL22&lt;=BZ$16,BY$16,0.05)))))))</f>
        <v/>
      </c>
      <c r="CW22" s="2193">
        <f>CV22*CL22</f>
        <v/>
      </c>
      <c r="CY22" s="1932">
        <f>0.07*SUM(CI22,CN22,CQ22,CT22,CW22)</f>
        <v/>
      </c>
      <c r="DA22" s="1932">
        <f>SUM(CY22,CW22,CT22,CQ22,CN22,CI22)</f>
        <v/>
      </c>
      <c r="DB22" s="1933">
        <f>SUM(CW22,CT22,CQ22,CN22)</f>
        <v/>
      </c>
      <c r="DC22" s="1051">
        <f>DB22/DA22</f>
        <v/>
      </c>
    </row>
    <row r="23" customFormat="1" s="585">
      <c r="A23" s="647" t="inlineStr">
        <is>
          <t>Levelrock 2500 (SSA)</t>
        </is>
      </c>
      <c r="B23" s="2207">
        <f>(F23/J23)*(1+G18)</f>
        <v/>
      </c>
      <c r="C23" s="2179" t="inlineStr">
        <is>
          <t>bags w/ waste</t>
        </is>
      </c>
      <c r="D23" s="2208" t="n">
        <v>14.08</v>
      </c>
      <c r="E23" s="1962">
        <f>B23*D23</f>
        <v/>
      </c>
      <c r="F23" s="2209">
        <f>G9</f>
        <v/>
      </c>
      <c r="G23" s="996" t="inlineStr">
        <is>
          <t>SF - Soft Surfaces</t>
        </is>
      </c>
      <c r="H23" s="2210">
        <f>G10</f>
        <v/>
      </c>
      <c r="I23" s="1147">
        <f>H23*8</f>
        <v/>
      </c>
      <c r="J23" s="1162">
        <f>IF(G11=P52,R52,IF(G11=P54,R54))</f>
        <v/>
      </c>
      <c r="K23" s="590" t="n">
        <v>40</v>
      </c>
      <c r="L23" s="585" t="n">
        <v>34</v>
      </c>
      <c r="O23" s="1393">
        <f>SUM(P23:R23)</f>
        <v/>
      </c>
      <c r="P23" s="1394" t="n"/>
      <c r="Q23" s="1395" t="n"/>
      <c r="R23" s="1396" t="n"/>
      <c r="S23" s="1337">
        <f>((P23+Q23+R23)/F22)*H33</f>
        <v/>
      </c>
      <c r="T23" s="997" t="n"/>
      <c r="AM23" s="2193" t="n">
        <v>14000</v>
      </c>
      <c r="AN23" s="2193" t="n"/>
      <c r="AO23" s="2193" t="n"/>
      <c r="AP23" s="2193">
        <f>AM23</f>
        <v/>
      </c>
      <c r="AQ23" s="2193" t="n"/>
      <c r="AR23" s="2193" t="n"/>
      <c r="AS23" s="2193">
        <f>AM23+AP23</f>
        <v/>
      </c>
      <c r="AT23" s="2193" t="n"/>
      <c r="AU23" s="2193" t="n"/>
      <c r="AV23" s="2193">
        <f>AS23</f>
        <v/>
      </c>
      <c r="AW23" s="1051">
        <f>IF(AM23&lt;=#REF!,#REF!,IF(AM23&lt;=#REF!,#REF!,IF(AM23&lt;=#REF!,#REF!,IF(AM23&lt;=#REF!,#REF!,IF(AM23&lt;=#REF!,#REF!,IF(AM23&lt;=#REF!,#REF!,IF(AM23&lt;=#REF!,#REF!,0.05)))))))</f>
        <v/>
      </c>
      <c r="AX23" s="2193">
        <f>AW23*AM23</f>
        <v/>
      </c>
      <c r="AY23" s="1051" t="n"/>
      <c r="AZ23" s="1051">
        <f>IF(AP23&lt;=#REF!,#REF!,IF(AP23&lt;=#REF!,#REF!,IF(AP23&lt;=#REF!,#REF!,IF(AP23&lt;=#REF!,#REF!,IF(AP23&lt;=#REF!,#REF!,IF(AP23&lt;=#REF!,#REF!,IF(AP23&lt;=#REF!,#REF!,0.05)))))))</f>
        <v/>
      </c>
      <c r="BA23" s="2193">
        <f>AZ23*AP23</f>
        <v/>
      </c>
      <c r="BB23" s="1051" t="n"/>
      <c r="BC23" s="1051">
        <f>IF(AS23&lt;=#REF!,#REF!,IF(AS23&lt;=#REF!,#REF!,IF(AS23&lt;=#REF!,#REF!,IF(AS23&lt;=#REF!,#REF!,IF(AS23&lt;=#REF!,#REF!,IF(AS23&lt;=#REF!,#REF!,IF(AS23&lt;=#REF!,#REF!,0.05)))))))</f>
        <v/>
      </c>
      <c r="BD23" s="2193">
        <f>BC23*SUM(BA23,AX23,AS23)</f>
        <v/>
      </c>
      <c r="BE23" s="1051" t="n"/>
      <c r="BF23" s="2194">
        <f>IF(AV23&lt;=#REF!,#REF!,IF(AV23&lt;=#REF!,#REF!,IF(AV23&lt;=#REF!,#REF!,IF(AV23&lt;=#REF!,#REF!,IF(AV23&lt;=#REF!,#REF!,IF(AV23&lt;=#REF!,#REF!,IF(AV23&lt;=#REF!,#REF!,0.05)))))))</f>
        <v/>
      </c>
      <c r="BG23" s="2193">
        <f>BF23*AV23</f>
        <v/>
      </c>
      <c r="BI23" s="1932">
        <f>0.07*SUM(AS23,AX23,BA23,BD23,BG23)</f>
        <v/>
      </c>
      <c r="BK23" s="1932">
        <f>SUM(BI23,BG23,BD23,BA23,AX23,AS23)</f>
        <v/>
      </c>
      <c r="BL23" s="1933">
        <f>SUM(BG23,BD23,BA23,AX23)</f>
        <v/>
      </c>
      <c r="BM23" s="1051">
        <f>BL23/BK23</f>
        <v/>
      </c>
      <c r="CC23" s="2193" t="n">
        <v>14000</v>
      </c>
      <c r="CD23" s="2193" t="n"/>
      <c r="CE23" s="2193" t="n"/>
      <c r="CF23" s="2193">
        <f>CC23</f>
        <v/>
      </c>
      <c r="CG23" s="2193" t="n"/>
      <c r="CH23" s="2193" t="n"/>
      <c r="CI23" s="2193">
        <f>CC23+CF23</f>
        <v/>
      </c>
      <c r="CJ23" s="2193" t="n"/>
      <c r="CK23" s="2193" t="n"/>
      <c r="CL23" s="2193">
        <f>CI23</f>
        <v/>
      </c>
      <c r="CM23" s="1051">
        <f>IF(CC23&lt;=BQ$6,BP$6,IF(CC23&lt;=BQ$7,BP$7,IF(CC23&lt;=BQ$8,BP$8,IF(CC23&lt;=BQ$9,BP$9,IF(CC23&lt;=BQ$14,BP$14,IF(CC23&lt;=BQ$15,BP$15,IF(CC23&lt;=BQ$16,BP$16,0.05)))))))</f>
        <v/>
      </c>
      <c r="CN23" s="2193">
        <f>CM23*CC23</f>
        <v/>
      </c>
      <c r="CO23" s="1051" t="n"/>
      <c r="CP23" s="1051">
        <f>IF(CF23&lt;=BT$6,BS$6,IF(CF23&lt;=BT$7,BS$7,IF(CF23&lt;=BT$8,BS$8,IF(CF23&lt;=BT$9,BS$9,IF(CF23&lt;=BT$14,BS$14,IF(CF23&lt;=BT$15,BS$15,IF(CF23&lt;=BT$16,BS$16,0.05)))))))</f>
        <v/>
      </c>
      <c r="CQ23" s="2193">
        <f>CP23*CF23</f>
        <v/>
      </c>
      <c r="CR23" s="1051" t="n"/>
      <c r="CS23" s="1051">
        <f>IF(CI23&lt;=BW$6,BV$6,IF(CI23&lt;=BW$7,BV$7,IF(CI23&lt;=BW$8,BV$8,IF(CI23&lt;=BW$9,BV$9,IF(CI23&lt;=BW$14,BV$14,IF(CI23&lt;=BW$15,BV$15,IF(CI23&lt;=BW$16,BV$16,0.05)))))))</f>
        <v/>
      </c>
      <c r="CT23" s="2193">
        <f>CS23*SUM(CQ23,CN23,CI23)</f>
        <v/>
      </c>
      <c r="CU23" s="1051" t="n"/>
      <c r="CV23" s="2194">
        <f>IF(CL23&lt;=BZ$6,BY$6,IF(CL23&lt;=BZ$7,BY$7,IF(CL23&lt;=BZ$8,BY$8,IF(CL23&lt;=BZ$9,BY$9,IF(CL23&lt;=BZ$14,BY$14,IF(CL23&lt;=BZ$15,BY$15,IF(CL23&lt;=BZ$16,BY$16,0.05)))))))</f>
        <v/>
      </c>
      <c r="CW23" s="2193">
        <f>CV23*CL23</f>
        <v/>
      </c>
      <c r="CY23" s="1932">
        <f>0.07*SUM(CI23,CN23,CQ23,CT23,CW23)</f>
        <v/>
      </c>
      <c r="DA23" s="1932">
        <f>SUM(CY23,CW23,CT23,CQ23,CN23,CI23)</f>
        <v/>
      </c>
      <c r="DB23" s="1933">
        <f>SUM(CW23,CT23,CQ23,CN23)</f>
        <v/>
      </c>
      <c r="DC23" s="1051">
        <f>DB23/DA23</f>
        <v/>
      </c>
    </row>
    <row r="24" customFormat="1" s="585">
      <c r="A24" s="647" t="inlineStr">
        <is>
          <t>Levelrock 2500 (HSA)</t>
        </is>
      </c>
      <c r="B24" s="2211">
        <f>(F24/J24)*(1+G18)</f>
        <v/>
      </c>
      <c r="C24" s="2212">
        <f>C23</f>
        <v/>
      </c>
      <c r="D24" s="2212">
        <f>D23</f>
        <v/>
      </c>
      <c r="E24" s="1962">
        <f>B24*D24</f>
        <v/>
      </c>
      <c r="F24" s="2213">
        <f>I9</f>
        <v/>
      </c>
      <c r="G24" s="999" t="inlineStr">
        <is>
          <t>SF - Hard Surfaces</t>
        </is>
      </c>
      <c r="H24" s="2214">
        <f>I10</f>
        <v/>
      </c>
      <c r="I24" s="1148">
        <f>H24*8</f>
        <v/>
      </c>
      <c r="J24" s="1163">
        <f>IF(I11=P52,S52,IF(I11=P54,S54))</f>
        <v/>
      </c>
      <c r="K24" s="590" t="n">
        <v>42</v>
      </c>
      <c r="L24" s="585" t="n">
        <v>36</v>
      </c>
      <c r="O24" s="1393">
        <f>SUM(P24:R24)</f>
        <v/>
      </c>
      <c r="P24" s="1394" t="n"/>
      <c r="Q24" s="1395" t="n"/>
      <c r="R24" s="1396" t="n"/>
      <c r="S24" s="1337">
        <f>((P24+Q24+R24)/F22)*H33</f>
        <v/>
      </c>
      <c r="T24" s="970" t="n"/>
      <c r="AM24" s="2193" t="n">
        <v>15000</v>
      </c>
      <c r="AN24" s="2193" t="n"/>
      <c r="AO24" s="2193" t="n"/>
      <c r="AP24" s="2193">
        <f>AM24</f>
        <v/>
      </c>
      <c r="AQ24" s="2193" t="n"/>
      <c r="AR24" s="2193" t="n"/>
      <c r="AS24" s="2193">
        <f>AM24+AP24</f>
        <v/>
      </c>
      <c r="AT24" s="2193" t="n"/>
      <c r="AU24" s="2193" t="n"/>
      <c r="AV24" s="2193">
        <f>AS24</f>
        <v/>
      </c>
      <c r="AW24" s="1051">
        <f>IF(AM24&lt;=#REF!,#REF!,IF(AM24&lt;=#REF!,#REF!,IF(AM24&lt;=#REF!,#REF!,IF(AM24&lt;=#REF!,#REF!,IF(AM24&lt;=#REF!,#REF!,IF(AM24&lt;=#REF!,#REF!,IF(AM24&lt;=#REF!,#REF!,0.05)))))))</f>
        <v/>
      </c>
      <c r="AX24" s="2193">
        <f>AW24*AM24</f>
        <v/>
      </c>
      <c r="AY24" s="1051" t="n"/>
      <c r="AZ24" s="1051">
        <f>IF(AP24&lt;=#REF!,#REF!,IF(AP24&lt;=#REF!,#REF!,IF(AP24&lt;=#REF!,#REF!,IF(AP24&lt;=#REF!,#REF!,IF(AP24&lt;=#REF!,#REF!,IF(AP24&lt;=#REF!,#REF!,IF(AP24&lt;=#REF!,#REF!,0.05)))))))</f>
        <v/>
      </c>
      <c r="BA24" s="2193">
        <f>AZ24*AP24</f>
        <v/>
      </c>
      <c r="BB24" s="1051" t="n"/>
      <c r="BC24" s="1051">
        <f>IF(AS24&lt;=#REF!,#REF!,IF(AS24&lt;=#REF!,#REF!,IF(AS24&lt;=#REF!,#REF!,IF(AS24&lt;=#REF!,#REF!,IF(AS24&lt;=#REF!,#REF!,IF(AS24&lt;=#REF!,#REF!,IF(AS24&lt;=#REF!,#REF!,0.05)))))))</f>
        <v/>
      </c>
      <c r="BD24" s="2193">
        <f>BC24*SUM(BA24,AX24,AS24)</f>
        <v/>
      </c>
      <c r="BE24" s="1051" t="n"/>
      <c r="BF24" s="2194">
        <f>IF(AV24&lt;=#REF!,#REF!,IF(AV24&lt;=#REF!,#REF!,IF(AV24&lt;=#REF!,#REF!,IF(AV24&lt;=#REF!,#REF!,IF(AV24&lt;=#REF!,#REF!,IF(AV24&lt;=#REF!,#REF!,IF(AV24&lt;=#REF!,#REF!,0.05)))))))</f>
        <v/>
      </c>
      <c r="BG24" s="2193">
        <f>BF24*AV24</f>
        <v/>
      </c>
      <c r="BI24" s="1932">
        <f>0.07*SUM(AS24,AX24,BA24,BD24,BG24)</f>
        <v/>
      </c>
      <c r="BK24" s="1932">
        <f>SUM(BI24,BG24,BD24,BA24,AX24,AS24)</f>
        <v/>
      </c>
      <c r="BL24" s="1933">
        <f>SUM(BG24,BD24,BA24,AX24)</f>
        <v/>
      </c>
      <c r="BM24" s="1051">
        <f>BL24/BK24</f>
        <v/>
      </c>
      <c r="CC24" s="2193" t="n">
        <v>15000</v>
      </c>
      <c r="CD24" s="2193" t="n"/>
      <c r="CE24" s="2193" t="n"/>
      <c r="CF24" s="2193">
        <f>CC24</f>
        <v/>
      </c>
      <c r="CG24" s="2193" t="n"/>
      <c r="CH24" s="2193" t="n"/>
      <c r="CI24" s="2193">
        <f>CC24+CF24</f>
        <v/>
      </c>
      <c r="CJ24" s="2193" t="n"/>
      <c r="CK24" s="2193" t="n"/>
      <c r="CL24" s="2193">
        <f>CI24</f>
        <v/>
      </c>
      <c r="CM24" s="1051">
        <f>IF(CC24&lt;=BQ$6,BP$6,IF(CC24&lt;=BQ$7,BP$7,IF(CC24&lt;=BQ$8,BP$8,IF(CC24&lt;=BQ$9,BP$9,IF(CC24&lt;=BQ$14,BP$14,IF(CC24&lt;=BQ$15,BP$15,IF(CC24&lt;=BQ$16,BP$16,0.05)))))))</f>
        <v/>
      </c>
      <c r="CN24" s="2193">
        <f>CM24*CC24</f>
        <v/>
      </c>
      <c r="CO24" s="1051" t="n"/>
      <c r="CP24" s="1051">
        <f>IF(CF24&lt;=BT$6,BS$6,IF(CF24&lt;=BT$7,BS$7,IF(CF24&lt;=BT$8,BS$8,IF(CF24&lt;=BT$9,BS$9,IF(CF24&lt;=BT$14,BS$14,IF(CF24&lt;=BT$15,BS$15,IF(CF24&lt;=BT$16,BS$16,0.05)))))))</f>
        <v/>
      </c>
      <c r="CQ24" s="2193">
        <f>CP24*CF24</f>
        <v/>
      </c>
      <c r="CR24" s="1051" t="n"/>
      <c r="CS24" s="1051">
        <f>IF(CI24&lt;=BW$6,BV$6,IF(CI24&lt;=BW$7,BV$7,IF(CI24&lt;=BW$8,BV$8,IF(CI24&lt;=BW$9,BV$9,IF(CI24&lt;=BW$14,BV$14,IF(CI24&lt;=BW$15,BV$15,IF(CI24&lt;=BW$16,BV$16,0.05)))))))</f>
        <v/>
      </c>
      <c r="CT24" s="2193">
        <f>CS24*SUM(CQ24,CN24,CI24)</f>
        <v/>
      </c>
      <c r="CU24" s="1051" t="n"/>
      <c r="CV24" s="2194">
        <f>IF(CL24&lt;=BZ$6,BY$6,IF(CL24&lt;=BZ$7,BY$7,IF(CL24&lt;=BZ$8,BY$8,IF(CL24&lt;=BZ$9,BY$9,IF(CL24&lt;=BZ$14,BY$14,IF(CL24&lt;=BZ$15,BY$15,IF(CL24&lt;=BZ$16,BY$16,0.05)))))))</f>
        <v/>
      </c>
      <c r="CW24" s="2193">
        <f>CV24*CL24</f>
        <v/>
      </c>
      <c r="CY24" s="1932">
        <f>0.07*SUM(CI24,CN24,CQ24,CT24,CW24)</f>
        <v/>
      </c>
      <c r="DA24" s="1932">
        <f>SUM(CY24,CW24,CT24,CQ24,CN24,CI24)</f>
        <v/>
      </c>
      <c r="DB24" s="1933">
        <f>SUM(CW24,CT24,CQ24,CN24)</f>
        <v/>
      </c>
      <c r="DC24" s="1051">
        <f>DB24/DA24</f>
        <v/>
      </c>
    </row>
    <row r="25" customFormat="1" s="585">
      <c r="A25" s="647" t="inlineStr">
        <is>
          <t>Levelrock 2500 (Corr)</t>
        </is>
      </c>
      <c r="B25" s="2215">
        <f>(F25/J25)*(1+G18)</f>
        <v/>
      </c>
      <c r="C25" s="2216">
        <f>C23</f>
        <v/>
      </c>
      <c r="D25" s="2216">
        <f>D23</f>
        <v/>
      </c>
      <c r="E25" s="1962">
        <f>B25*D25</f>
        <v/>
      </c>
      <c r="F25" s="2217">
        <f>K9</f>
        <v/>
      </c>
      <c r="G25" s="1001" t="inlineStr">
        <is>
          <t>SF - Corridors</t>
        </is>
      </c>
      <c r="H25" s="2218">
        <f>K10</f>
        <v/>
      </c>
      <c r="I25" s="1149">
        <f>H25*8</f>
        <v/>
      </c>
      <c r="J25" s="1164">
        <f>IF(K11=P52,T52,IF(K11=P54,T54))</f>
        <v/>
      </c>
      <c r="K25" s="1142" t="n">
        <v>40</v>
      </c>
      <c r="L25" s="784" t="n">
        <v>34</v>
      </c>
      <c r="O25" s="1393">
        <f>SUM(P25:R25)</f>
        <v/>
      </c>
      <c r="P25" s="1394" t="n"/>
      <c r="Q25" s="1395" t="n"/>
      <c r="R25" s="1396" t="n"/>
      <c r="S25" s="1337">
        <f>((P25+Q25+R25)/F22)*H33</f>
        <v/>
      </c>
      <c r="T25" s="970" t="n"/>
      <c r="AM25" s="2193" t="n">
        <v>16000</v>
      </c>
      <c r="AN25" s="2193" t="n"/>
      <c r="AO25" s="2193" t="n"/>
      <c r="AP25" s="2193">
        <f>AM25</f>
        <v/>
      </c>
      <c r="AQ25" s="2193" t="n"/>
      <c r="AR25" s="2193" t="n"/>
      <c r="AS25" s="2193">
        <f>AM25+AP25</f>
        <v/>
      </c>
      <c r="AT25" s="2193" t="n"/>
      <c r="AU25" s="2193" t="n"/>
      <c r="AV25" s="2193">
        <f>AS25</f>
        <v/>
      </c>
      <c r="AW25" s="1051">
        <f>IF(AM25&lt;=#REF!,#REF!,IF(AM25&lt;=#REF!,#REF!,IF(AM25&lt;=#REF!,#REF!,IF(AM25&lt;=#REF!,#REF!,IF(AM25&lt;=#REF!,#REF!,IF(AM25&lt;=#REF!,#REF!,IF(AM25&lt;=#REF!,#REF!,0.05)))))))</f>
        <v/>
      </c>
      <c r="AX25" s="2193">
        <f>AW25*AM25</f>
        <v/>
      </c>
      <c r="AY25" s="1051" t="n"/>
      <c r="AZ25" s="1051">
        <f>IF(AP25&lt;=#REF!,#REF!,IF(AP25&lt;=#REF!,#REF!,IF(AP25&lt;=#REF!,#REF!,IF(AP25&lt;=#REF!,#REF!,IF(AP25&lt;=#REF!,#REF!,IF(AP25&lt;=#REF!,#REF!,IF(AP25&lt;=#REF!,#REF!,0.05)))))))</f>
        <v/>
      </c>
      <c r="BA25" s="2193">
        <f>AZ25*AP25</f>
        <v/>
      </c>
      <c r="BB25" s="1051" t="n"/>
      <c r="BC25" s="1051">
        <f>IF(AS25&lt;=#REF!,#REF!,IF(AS25&lt;=#REF!,#REF!,IF(AS25&lt;=#REF!,#REF!,IF(AS25&lt;=#REF!,#REF!,IF(AS25&lt;=#REF!,#REF!,IF(AS25&lt;=#REF!,#REF!,IF(AS25&lt;=#REF!,#REF!,0.05)))))))</f>
        <v/>
      </c>
      <c r="BD25" s="2193">
        <f>BC25*SUM(BA25,AX25,AS25)</f>
        <v/>
      </c>
      <c r="BE25" s="1051" t="n"/>
      <c r="BF25" s="2194">
        <f>IF(AV25&lt;=#REF!,#REF!,IF(AV25&lt;=#REF!,#REF!,IF(AV25&lt;=#REF!,#REF!,IF(AV25&lt;=#REF!,#REF!,IF(AV25&lt;=#REF!,#REF!,IF(AV25&lt;=#REF!,#REF!,IF(AV25&lt;=#REF!,#REF!,0.05)))))))</f>
        <v/>
      </c>
      <c r="BG25" s="2193">
        <f>BF25*AV25</f>
        <v/>
      </c>
      <c r="BI25" s="1932">
        <f>0.07*SUM(AS25,AX25,BA25,BD25,BG25)</f>
        <v/>
      </c>
      <c r="BK25" s="1932">
        <f>SUM(BI25,BG25,BD25,BA25,AX25,AS25)</f>
        <v/>
      </c>
      <c r="BL25" s="1933">
        <f>SUM(BG25,BD25,BA25,AX25)</f>
        <v/>
      </c>
      <c r="BM25" s="1051">
        <f>BL25/BK25</f>
        <v/>
      </c>
      <c r="CC25" s="2193" t="n">
        <v>16000</v>
      </c>
      <c r="CD25" s="2193" t="n"/>
      <c r="CE25" s="2193" t="n"/>
      <c r="CF25" s="2193">
        <f>CC25</f>
        <v/>
      </c>
      <c r="CG25" s="2193" t="n"/>
      <c r="CH25" s="2193" t="n"/>
      <c r="CI25" s="2193">
        <f>CC25+CF25</f>
        <v/>
      </c>
      <c r="CJ25" s="2193" t="n"/>
      <c r="CK25" s="2193" t="n"/>
      <c r="CL25" s="2193">
        <f>CI25</f>
        <v/>
      </c>
      <c r="CM25" s="1051">
        <f>IF(CC25&lt;=BQ$6,BP$6,IF(CC25&lt;=BQ$7,BP$7,IF(CC25&lt;=BQ$8,BP$8,IF(CC25&lt;=BQ$9,BP$9,IF(CC25&lt;=BQ$14,BP$14,IF(CC25&lt;=BQ$15,BP$15,IF(CC25&lt;=BQ$16,BP$16,0.05)))))))</f>
        <v/>
      </c>
      <c r="CN25" s="2193">
        <f>CM25*CC25</f>
        <v/>
      </c>
      <c r="CO25" s="1051" t="n"/>
      <c r="CP25" s="1051">
        <f>IF(CF25&lt;=BT$6,BS$6,IF(CF25&lt;=BT$7,BS$7,IF(CF25&lt;=BT$8,BS$8,IF(CF25&lt;=BT$9,BS$9,IF(CF25&lt;=BT$14,BS$14,IF(CF25&lt;=BT$15,BS$15,IF(CF25&lt;=BT$16,BS$16,0.05)))))))</f>
        <v/>
      </c>
      <c r="CQ25" s="2193">
        <f>CP25*CF25</f>
        <v/>
      </c>
      <c r="CR25" s="1051" t="n"/>
      <c r="CS25" s="1051">
        <f>IF(CI25&lt;=BW$6,BV$6,IF(CI25&lt;=BW$7,BV$7,IF(CI25&lt;=BW$8,BV$8,IF(CI25&lt;=BW$9,BV$9,IF(CI25&lt;=BW$14,BV$14,IF(CI25&lt;=BW$15,BV$15,IF(CI25&lt;=BW$16,BV$16,0.05)))))))</f>
        <v/>
      </c>
      <c r="CT25" s="2193">
        <f>CS25*SUM(CQ25,CN25,CI25)</f>
        <v/>
      </c>
      <c r="CU25" s="1051" t="n"/>
      <c r="CV25" s="2194">
        <f>IF(CL25&lt;=BZ$6,BY$6,IF(CL25&lt;=BZ$7,BY$7,IF(CL25&lt;=BZ$8,BY$8,IF(CL25&lt;=BZ$9,BY$9,IF(CL25&lt;=BZ$14,BY$14,IF(CL25&lt;=BZ$15,BY$15,IF(CL25&lt;=BZ$16,BY$16,0.05)))))))</f>
        <v/>
      </c>
      <c r="CW25" s="2193">
        <f>CV25*CL25</f>
        <v/>
      </c>
      <c r="CY25" s="1932">
        <f>0.07*SUM(CI25,CN25,CQ25,CT25,CW25)</f>
        <v/>
      </c>
      <c r="DA25" s="1932">
        <f>SUM(CY25,CW25,CT25,CQ25,CN25,CI25)</f>
        <v/>
      </c>
      <c r="DB25" s="1933">
        <f>SUM(CW25,CT25,CQ25,CN25)</f>
        <v/>
      </c>
      <c r="DC25" s="1051">
        <f>DB25/DA25</f>
        <v/>
      </c>
    </row>
    <row r="26" customFormat="1" s="585">
      <c r="A26" s="641" t="inlineStr">
        <is>
          <t>MATERIAL - Extras</t>
        </is>
      </c>
      <c r="B26" s="1066" t="n"/>
      <c r="C26" s="1066" t="n"/>
      <c r="D26" s="1066" t="n"/>
      <c r="E26" s="1067" t="n"/>
      <c r="F26" s="600" t="n"/>
      <c r="G26" s="600" t="n"/>
      <c r="H26" s="600" t="n"/>
      <c r="I26" s="1934" t="n"/>
      <c r="J26" s="2219" t="n"/>
      <c r="K26" s="1141" t="inlineStr">
        <is>
          <t>NO Mat = 42</t>
        </is>
      </c>
      <c r="L26" s="1141" t="inlineStr">
        <is>
          <t>NO Mat = 36</t>
        </is>
      </c>
      <c r="O26" s="1393">
        <f>SUM(P26:R26)</f>
        <v/>
      </c>
      <c r="P26" s="1394" t="n"/>
      <c r="Q26" s="1395" t="n"/>
      <c r="R26" s="1396" t="n"/>
      <c r="S26" s="1337">
        <f>((P26+Q26+R26)/F22)*H33</f>
        <v/>
      </c>
      <c r="T26" s="970" t="n"/>
      <c r="AM26" s="2220" t="n">
        <v>17000</v>
      </c>
      <c r="AN26" s="2220" t="n"/>
      <c r="AO26" s="2220" t="n"/>
      <c r="AP26" s="2220">
        <f>AM26</f>
        <v/>
      </c>
      <c r="AQ26" s="2220" t="n"/>
      <c r="AR26" s="2220" t="n"/>
      <c r="AS26" s="2220">
        <f>AM26+AP26</f>
        <v/>
      </c>
      <c r="AT26" s="2220" t="n"/>
      <c r="AU26" s="2220" t="n"/>
      <c r="AV26" s="2193">
        <f>AS26</f>
        <v/>
      </c>
      <c r="AW26" s="1004">
        <f>IF(AM26&lt;=#REF!,#REF!,IF(AM26&lt;=#REF!,#REF!,IF(AM26&lt;=#REF!,#REF!,IF(AM26&lt;=#REF!,#REF!,IF(AM26&lt;=#REF!,#REF!,IF(AM26&lt;=#REF!,#REF!,IF(AM26&lt;=#REF!,#REF!,0.05)))))))</f>
        <v/>
      </c>
      <c r="AX26" s="2220">
        <f>AW26*AM26</f>
        <v/>
      </c>
      <c r="AY26" s="1004" t="n"/>
      <c r="AZ26" s="1004">
        <f>IF(AP26&lt;=#REF!,#REF!,IF(AP26&lt;=#REF!,#REF!,IF(AP26&lt;=#REF!,#REF!,IF(AP26&lt;=#REF!,#REF!,IF(AP26&lt;=#REF!,#REF!,IF(AP26&lt;=#REF!,#REF!,IF(AP26&lt;=#REF!,#REF!,0.05)))))))</f>
        <v/>
      </c>
      <c r="BA26" s="2220">
        <f>AZ26*AP26</f>
        <v/>
      </c>
      <c r="BB26" s="1004" t="n"/>
      <c r="BC26" s="1004">
        <f>IF(AS26&lt;=#REF!,#REF!,IF(AS26&lt;=#REF!,#REF!,IF(AS26&lt;=#REF!,#REF!,IF(AS26&lt;=#REF!,#REF!,IF(AS26&lt;=#REF!,#REF!,IF(AS26&lt;=#REF!,#REF!,IF(AS26&lt;=#REF!,#REF!,0.05)))))))</f>
        <v/>
      </c>
      <c r="BD26" s="2193">
        <f>BC26*SUM(BA26,AX26,AS26)</f>
        <v/>
      </c>
      <c r="BE26" s="1004" t="n"/>
      <c r="BF26" s="2221">
        <f>IF(AV26&lt;=#REF!,#REF!,IF(AV26&lt;=#REF!,#REF!,IF(AV26&lt;=#REF!,#REF!,IF(AV26&lt;=#REF!,#REF!,IF(AV26&lt;=#REF!,#REF!,IF(AV26&lt;=#REF!,#REF!,IF(AV26&lt;=#REF!,#REF!,0.05)))))))</f>
        <v/>
      </c>
      <c r="BG26" s="2220">
        <f>BF26*AV26</f>
        <v/>
      </c>
      <c r="BH26" s="667" t="n"/>
      <c r="BI26" s="1968">
        <f>0.07*SUM(AS26,AX26,BA26,BD26,BG26)</f>
        <v/>
      </c>
      <c r="BJ26" s="667" t="n"/>
      <c r="BK26" s="1968">
        <f>SUM(BI26,BG26,BD26,BA26,AX26,AS26)</f>
        <v/>
      </c>
      <c r="BL26" s="1969">
        <f>SUM(BG26,BD26,BA26,AX26)</f>
        <v/>
      </c>
      <c r="BM26" s="1004">
        <f>BL26/BK26</f>
        <v/>
      </c>
      <c r="CC26" s="2220" t="n">
        <v>17000</v>
      </c>
      <c r="CD26" s="2220" t="n"/>
      <c r="CE26" s="2220" t="n"/>
      <c r="CF26" s="2220">
        <f>CC26</f>
        <v/>
      </c>
      <c r="CG26" s="2220" t="n"/>
      <c r="CH26" s="2220" t="n"/>
      <c r="CI26" s="2220">
        <f>CC26+CF26</f>
        <v/>
      </c>
      <c r="CJ26" s="2220" t="n"/>
      <c r="CK26" s="2220" t="n"/>
      <c r="CL26" s="2193">
        <f>CI26</f>
        <v/>
      </c>
      <c r="CM26" s="1004">
        <f>IF(CC26&lt;=BQ$6,BP$6,IF(CC26&lt;=BQ$7,BP$7,IF(CC26&lt;=BQ$8,BP$8,IF(CC26&lt;=BQ$9,BP$9,IF(CC26&lt;=BQ$14,BP$14,IF(CC26&lt;=BQ$15,BP$15,IF(CC26&lt;=BQ$16,BP$16,0.05)))))))</f>
        <v/>
      </c>
      <c r="CN26" s="2220">
        <f>CM26*CC26</f>
        <v/>
      </c>
      <c r="CO26" s="1004" t="n"/>
      <c r="CP26" s="1004">
        <f>IF(CF26&lt;=BT$6,BS$6,IF(CF26&lt;=BT$7,BS$7,IF(CF26&lt;=BT$8,BS$8,IF(CF26&lt;=BT$9,BS$9,IF(CF26&lt;=BT$14,BS$14,IF(CF26&lt;=BT$15,BS$15,IF(CF26&lt;=BT$16,BS$16,0.05)))))))</f>
        <v/>
      </c>
      <c r="CQ26" s="2220">
        <f>CP26*CF26</f>
        <v/>
      </c>
      <c r="CR26" s="1004" t="n"/>
      <c r="CS26" s="1004">
        <f>IF(CI26&lt;=BW$6,BV$6,IF(CI26&lt;=BW$7,BV$7,IF(CI26&lt;=BW$8,BV$8,IF(CI26&lt;=BW$9,BV$9,IF(CI26&lt;=BW$14,BV$14,IF(CI26&lt;=BW$15,BV$15,IF(CI26&lt;=BW$16,BV$16,0.05)))))))</f>
        <v/>
      </c>
      <c r="CT26" s="2193">
        <f>CS26*SUM(CQ26,CN26,CI26)</f>
        <v/>
      </c>
      <c r="CU26" s="1004" t="n"/>
      <c r="CV26" s="2221">
        <f>IF(CL26&lt;=BZ$6,BY$6,IF(CL26&lt;=BZ$7,BY$7,IF(CL26&lt;=BZ$8,BY$8,IF(CL26&lt;=BZ$9,BY$9,IF(CL26&lt;=BZ$14,BY$14,IF(CL26&lt;=BZ$15,BY$15,IF(CL26&lt;=BZ$16,BY$16,0.05)))))))</f>
        <v/>
      </c>
      <c r="CW26" s="2220">
        <f>CV26*CL26</f>
        <v/>
      </c>
      <c r="CX26" s="667" t="n"/>
      <c r="CY26" s="1968">
        <f>0.07*SUM(CI26,CN26,CQ26,CT26,CW26)</f>
        <v/>
      </c>
      <c r="CZ26" s="667" t="n"/>
      <c r="DA26" s="1968">
        <f>SUM(CY26,CW26,CT26,CQ26,CN26,CI26)</f>
        <v/>
      </c>
      <c r="DB26" s="1969">
        <f>SUM(CW26,CT26,CQ26,CN26)</f>
        <v/>
      </c>
      <c r="DC26" s="1004">
        <f>DB26/DA26</f>
        <v/>
      </c>
    </row>
    <row r="27" ht="16.2" customFormat="1" customHeight="1" s="585" thickBot="1">
      <c r="A27" s="1522" t="inlineStr">
        <is>
          <t>USG Primer (53gal Drum)</t>
        </is>
      </c>
      <c r="B27" s="2096">
        <f>(F23+F25)/1200</f>
        <v/>
      </c>
      <c r="C27" s="1977" t="inlineStr">
        <is>
          <t>gallons</t>
        </is>
      </c>
      <c r="D27" s="1944">
        <f>891/53</f>
        <v/>
      </c>
      <c r="E27" s="1962">
        <f>B27*D27</f>
        <v/>
      </c>
      <c r="F27" s="1176" t="inlineStr">
        <is>
          <t>*Sealer @ Soft Surfc &amp; Corridors ONLY</t>
        </is>
      </c>
      <c r="G27" s="1521" t="inlineStr">
        <is>
          <t>($21.60 = $108 /5 gal -or- $16.81 = $891 /53 gal drum)-Aug2024</t>
        </is>
      </c>
      <c r="H27" s="780" t="n"/>
      <c r="I27" s="2222" t="n"/>
      <c r="N27" s="1292" t="n"/>
      <c r="O27" s="1398">
        <f>SUM(P27:R27)</f>
        <v/>
      </c>
      <c r="P27" s="1399" t="n"/>
      <c r="Q27" s="1399" t="n"/>
      <c r="R27" s="1399" t="n"/>
      <c r="S27" s="1338">
        <f>((P27+Q27+R27)/F22)*H33</f>
        <v/>
      </c>
      <c r="T27" s="1335" t="n"/>
      <c r="U27" s="1129" t="n"/>
      <c r="V27" s="1135" t="n"/>
      <c r="W27" s="1135" t="n"/>
      <c r="X27" s="784" t="n"/>
      <c r="AM27" s="2193" t="n">
        <v>18000</v>
      </c>
      <c r="AN27" s="2193" t="n"/>
      <c r="AO27" s="2193" t="n"/>
      <c r="AP27" s="2193">
        <f>AM27</f>
        <v/>
      </c>
      <c r="AQ27" s="2193" t="n"/>
      <c r="AR27" s="2193" t="n"/>
      <c r="AS27" s="2193">
        <f>AM27+AP27</f>
        <v/>
      </c>
      <c r="AT27" s="2193" t="n"/>
      <c r="AU27" s="2193" t="n"/>
      <c r="AV27" s="2193">
        <f>AS27</f>
        <v/>
      </c>
      <c r="AW27" s="1051">
        <f>IF(AM27&lt;=#REF!,#REF!,IF(AM27&lt;=#REF!,#REF!,IF(AM27&lt;=#REF!,#REF!,IF(AM27&lt;=#REF!,#REF!,IF(AM27&lt;=#REF!,#REF!,IF(AM27&lt;=#REF!,#REF!,IF(AM27&lt;=#REF!,#REF!,0.05)))))))</f>
        <v/>
      </c>
      <c r="AX27" s="2193">
        <f>AW27*AM27</f>
        <v/>
      </c>
      <c r="AY27" s="1051" t="n"/>
      <c r="AZ27" s="1051">
        <f>IF(AP27&lt;=#REF!,#REF!,IF(AP27&lt;=#REF!,#REF!,IF(AP27&lt;=#REF!,#REF!,IF(AP27&lt;=#REF!,#REF!,IF(AP27&lt;=#REF!,#REF!,IF(AP27&lt;=#REF!,#REF!,IF(AP27&lt;=#REF!,#REF!,0.05)))))))</f>
        <v/>
      </c>
      <c r="BA27" s="2193">
        <f>AZ27*AP27</f>
        <v/>
      </c>
      <c r="BB27" s="1051" t="n"/>
      <c r="BC27" s="1051">
        <f>IF(AS27&lt;=#REF!,#REF!,IF(AS27&lt;=#REF!,#REF!,IF(AS27&lt;=#REF!,#REF!,IF(AS27&lt;=#REF!,#REF!,IF(AS27&lt;=#REF!,#REF!,IF(AS27&lt;=#REF!,#REF!,IF(AS27&lt;=#REF!,#REF!,0.05)))))))</f>
        <v/>
      </c>
      <c r="BD27" s="2193">
        <f>BC27*SUM(BA27,AX27,AS27)</f>
        <v/>
      </c>
      <c r="BE27" s="1051" t="n"/>
      <c r="BF27" s="2194">
        <f>IF(AV27&lt;=#REF!,#REF!,IF(AV27&lt;=#REF!,#REF!,IF(AV27&lt;=#REF!,#REF!,IF(AV27&lt;=#REF!,#REF!,IF(AV27&lt;=#REF!,#REF!,IF(AV27&lt;=#REF!,#REF!,IF(AV27&lt;=#REF!,#REF!,0.05)))))))</f>
        <v/>
      </c>
      <c r="BG27" s="2193">
        <f>BF27*AV27</f>
        <v/>
      </c>
      <c r="BI27" s="1932">
        <f>0.07*SUM(AS27,AX27,BA27,BD27,BG27)</f>
        <v/>
      </c>
      <c r="BK27" s="1932">
        <f>SUM(BI27,BG27,BD27,BA27,AX27,AS27)</f>
        <v/>
      </c>
      <c r="BL27" s="1933">
        <f>SUM(BG27,BD27,BA27,AX27)</f>
        <v/>
      </c>
      <c r="BM27" s="1051">
        <f>BL27/BK27</f>
        <v/>
      </c>
      <c r="CC27" s="2193" t="n">
        <v>18000</v>
      </c>
      <c r="CD27" s="2193" t="n"/>
      <c r="CE27" s="2193" t="n"/>
      <c r="CF27" s="2193">
        <f>CC27</f>
        <v/>
      </c>
      <c r="CG27" s="2193" t="n"/>
      <c r="CH27" s="2193" t="n"/>
      <c r="CI27" s="2193">
        <f>CC27+CF27</f>
        <v/>
      </c>
      <c r="CJ27" s="2193" t="n"/>
      <c r="CK27" s="2193" t="n"/>
      <c r="CL27" s="2193">
        <f>CI27</f>
        <v/>
      </c>
      <c r="CM27" s="1051">
        <f>IF(CC27&lt;=BQ$6,BP$6,IF(CC27&lt;=BQ$7,BP$7,IF(CC27&lt;=BQ$8,BP$8,IF(CC27&lt;=BQ$9,BP$9,IF(CC27&lt;=BQ$14,BP$14,IF(CC27&lt;=BQ$15,BP$15,IF(CC27&lt;=BQ$16,BP$16,0.05)))))))</f>
        <v/>
      </c>
      <c r="CN27" s="2193">
        <f>CM27*CC27</f>
        <v/>
      </c>
      <c r="CO27" s="1051" t="n"/>
      <c r="CP27" s="1051">
        <f>IF(CF27&lt;=BT$6,BS$6,IF(CF27&lt;=BT$7,BS$7,IF(CF27&lt;=BT$8,BS$8,IF(CF27&lt;=BT$9,BS$9,IF(CF27&lt;=BT$14,BS$14,IF(CF27&lt;=BT$15,BS$15,IF(CF27&lt;=BT$16,BS$16,0.05)))))))</f>
        <v/>
      </c>
      <c r="CQ27" s="2193">
        <f>CP27*CF27</f>
        <v/>
      </c>
      <c r="CR27" s="1051" t="n"/>
      <c r="CS27" s="1051">
        <f>IF(CI27&lt;=BW$6,BV$6,IF(CI27&lt;=BW$7,BV$7,IF(CI27&lt;=BW$8,BV$8,IF(CI27&lt;=BW$9,BV$9,IF(CI27&lt;=BW$14,BV$14,IF(CI27&lt;=BW$15,BV$15,IF(CI27&lt;=BW$16,BV$16,0.05)))))))</f>
        <v/>
      </c>
      <c r="CT27" s="2193">
        <f>CS27*SUM(CQ27,CN27,CI27)</f>
        <v/>
      </c>
      <c r="CU27" s="1051" t="n"/>
      <c r="CV27" s="2194">
        <f>IF(CL27&lt;=BZ$6,BY$6,IF(CL27&lt;=BZ$7,BY$7,IF(CL27&lt;=BZ$8,BY$8,IF(CL27&lt;=BZ$9,BY$9,IF(CL27&lt;=BZ$14,BY$14,IF(CL27&lt;=BZ$15,BY$15,IF(CL27&lt;=BZ$16,BY$16,0.05)))))))</f>
        <v/>
      </c>
      <c r="CW27" s="2193">
        <f>CV27*CL27</f>
        <v/>
      </c>
      <c r="CY27" s="1932">
        <f>0.07*SUM(CI27,CN27,CQ27,CT27,CW27)</f>
        <v/>
      </c>
      <c r="DA27" s="1932">
        <f>SUM(CY27,CW27,CT27,CQ27,CN27,CI27)</f>
        <v/>
      </c>
      <c r="DB27" s="1933">
        <f>SUM(CW27,CT27,CQ27,CN27)</f>
        <v/>
      </c>
      <c r="DC27" s="1051">
        <f>DB27/DA27</f>
        <v/>
      </c>
    </row>
    <row r="28" ht="16.2" customFormat="1" customHeight="1" s="585" thickBot="1">
      <c r="A28" s="1522" t="inlineStr">
        <is>
          <t>ISO Strip 3" adhsv (roll)</t>
        </is>
      </c>
      <c r="B28" s="2096">
        <f>IF(B14="Yes",((F23+F24+F25)/(1200*1.8)),(F24/(1200*1.8)))</f>
        <v/>
      </c>
      <c r="C28" s="1977" t="inlineStr">
        <is>
          <t>rolls</t>
        </is>
      </c>
      <c r="D28" s="1944" t="n">
        <v>48.75</v>
      </c>
      <c r="E28" s="1962">
        <f>B28*D28</f>
        <v/>
      </c>
      <c r="F28" s="600" t="n"/>
      <c r="G28" s="1521" t="inlineStr">
        <is>
          <t>(16 rolls /bag: $48.75 = $780 /16) = 450 LF /roll</t>
        </is>
      </c>
      <c r="H28" s="600" t="n"/>
      <c r="I28" s="1934" t="n"/>
      <c r="N28" s="1283">
        <f>SUM(P28:R28)</f>
        <v/>
      </c>
      <c r="O28" s="1403">
        <f>SUM(O3:O27)</f>
        <v/>
      </c>
      <c r="P28" s="1349">
        <f>SUM(P3:P27)</f>
        <v/>
      </c>
      <c r="Q28" s="1350">
        <f>SUM(Q3:Q27)</f>
        <v/>
      </c>
      <c r="R28" s="1351">
        <f>SUM(R3:R27)</f>
        <v/>
      </c>
      <c r="S28" s="1336">
        <f>SUM(S3:S27)</f>
        <v/>
      </c>
      <c r="T28" s="1332">
        <f>SUM(T3:T27)</f>
        <v/>
      </c>
      <c r="U28" s="1333">
        <f>SUM(U3:U27)</f>
        <v/>
      </c>
      <c r="V28" s="1333">
        <f>SUM(V3:V27)</f>
        <v/>
      </c>
      <c r="W28" s="1333">
        <f>SUM(W3:W27)</f>
        <v/>
      </c>
      <c r="X28" s="1333">
        <f>SUM(X3:X27)</f>
        <v/>
      </c>
      <c r="AM28" s="2193" t="n">
        <v>19000</v>
      </c>
      <c r="AN28" s="2193" t="n"/>
      <c r="AO28" s="2193" t="n"/>
      <c r="AP28" s="2193">
        <f>AM28</f>
        <v/>
      </c>
      <c r="AQ28" s="2193" t="n"/>
      <c r="AR28" s="2193" t="n"/>
      <c r="AS28" s="2193">
        <f>AM28+AP28</f>
        <v/>
      </c>
      <c r="AT28" s="2193" t="n"/>
      <c r="AU28" s="2193" t="n"/>
      <c r="AV28" s="2193">
        <f>AS28</f>
        <v/>
      </c>
      <c r="AW28" s="1051">
        <f>IF(AM28&lt;=#REF!,#REF!,IF(AM28&lt;=#REF!,#REF!,IF(AM28&lt;=#REF!,#REF!,IF(AM28&lt;=#REF!,#REF!,IF(AM28&lt;=#REF!,#REF!,IF(AM28&lt;=#REF!,#REF!,IF(AM28&lt;=#REF!,#REF!,0.05)))))))</f>
        <v/>
      </c>
      <c r="AX28" s="2193">
        <f>AW28*AM28</f>
        <v/>
      </c>
      <c r="AY28" s="1051" t="n"/>
      <c r="AZ28" s="1051">
        <f>IF(AP28&lt;=#REF!,#REF!,IF(AP28&lt;=#REF!,#REF!,IF(AP28&lt;=#REF!,#REF!,IF(AP28&lt;=#REF!,#REF!,IF(AP28&lt;=#REF!,#REF!,IF(AP28&lt;=#REF!,#REF!,IF(AP28&lt;=#REF!,#REF!,0.05)))))))</f>
        <v/>
      </c>
      <c r="BA28" s="2193">
        <f>AZ28*AP28</f>
        <v/>
      </c>
      <c r="BB28" s="1051" t="n"/>
      <c r="BC28" s="1051">
        <f>IF(AS28&lt;=#REF!,#REF!,IF(AS28&lt;=#REF!,#REF!,IF(AS28&lt;=#REF!,#REF!,IF(AS28&lt;=#REF!,#REF!,IF(AS28&lt;=#REF!,#REF!,IF(AS28&lt;=#REF!,#REF!,IF(AS28&lt;=#REF!,#REF!,0.05)))))))</f>
        <v/>
      </c>
      <c r="BD28" s="2193">
        <f>BC28*SUM(BA28,AX28,AS28)</f>
        <v/>
      </c>
      <c r="BE28" s="1051" t="n"/>
      <c r="BF28" s="2194">
        <f>IF(AV28&lt;=#REF!,#REF!,IF(AV28&lt;=#REF!,#REF!,IF(AV28&lt;=#REF!,#REF!,IF(AV28&lt;=#REF!,#REF!,IF(AV28&lt;=#REF!,#REF!,IF(AV28&lt;=#REF!,#REF!,IF(AV28&lt;=#REF!,#REF!,0.05)))))))</f>
        <v/>
      </c>
      <c r="BG28" s="2193">
        <f>BF28*AV28</f>
        <v/>
      </c>
      <c r="BI28" s="1932">
        <f>0.07*SUM(AS28,AX28,BA28,BD28,BG28)</f>
        <v/>
      </c>
      <c r="BK28" s="1932">
        <f>SUM(BI28,BG28,BD28,BA28,AX28,AS28)</f>
        <v/>
      </c>
      <c r="BL28" s="1933">
        <f>SUM(BG28,BD28,BA28,AX28)</f>
        <v/>
      </c>
      <c r="BM28" s="1051">
        <f>BL28/BK28</f>
        <v/>
      </c>
      <c r="CC28" s="2193" t="n">
        <v>19000</v>
      </c>
      <c r="CD28" s="2193" t="n"/>
      <c r="CE28" s="2193" t="n"/>
      <c r="CF28" s="2193">
        <f>CC28</f>
        <v/>
      </c>
      <c r="CG28" s="2193" t="n"/>
      <c r="CH28" s="2193" t="n"/>
      <c r="CI28" s="2193">
        <f>CC28+CF28</f>
        <v/>
      </c>
      <c r="CJ28" s="2193" t="n"/>
      <c r="CK28" s="2193" t="n"/>
      <c r="CL28" s="2193">
        <f>CI28</f>
        <v/>
      </c>
      <c r="CM28" s="1051">
        <f>IF(CC28&lt;=BQ$6,BP$6,IF(CC28&lt;=BQ$7,BP$7,IF(CC28&lt;=BQ$8,BP$8,IF(CC28&lt;=BQ$9,BP$9,IF(CC28&lt;=BQ$14,BP$14,IF(CC28&lt;=BQ$15,BP$15,IF(CC28&lt;=BQ$16,BP$16,0.05)))))))</f>
        <v/>
      </c>
      <c r="CN28" s="2193">
        <f>CM28*CC28</f>
        <v/>
      </c>
      <c r="CO28" s="1051" t="n"/>
      <c r="CP28" s="1051">
        <f>IF(CF28&lt;=BT$6,BS$6,IF(CF28&lt;=BT$7,BS$7,IF(CF28&lt;=BT$8,BS$8,IF(CF28&lt;=BT$9,BS$9,IF(CF28&lt;=BT$14,BS$14,IF(CF28&lt;=BT$15,BS$15,IF(CF28&lt;=BT$16,BS$16,0.05)))))))</f>
        <v/>
      </c>
      <c r="CQ28" s="2193">
        <f>CP28*CF28</f>
        <v/>
      </c>
      <c r="CR28" s="1051" t="n"/>
      <c r="CS28" s="1051">
        <f>IF(CI28&lt;=BW$6,BV$6,IF(CI28&lt;=BW$7,BV$7,IF(CI28&lt;=BW$8,BV$8,IF(CI28&lt;=BW$9,BV$9,IF(CI28&lt;=BW$14,BV$14,IF(CI28&lt;=BW$15,BV$15,IF(CI28&lt;=BW$16,BV$16,0.05)))))))</f>
        <v/>
      </c>
      <c r="CT28" s="2193">
        <f>CS28*SUM(CQ28,CN28,CI28)</f>
        <v/>
      </c>
      <c r="CU28" s="1051" t="n"/>
      <c r="CV28" s="2194">
        <f>IF(CL28&lt;=BZ$6,BY$6,IF(CL28&lt;=BZ$7,BY$7,IF(CL28&lt;=BZ$8,BY$8,IF(CL28&lt;=BZ$9,BY$9,IF(CL28&lt;=BZ$14,BY$14,IF(CL28&lt;=BZ$15,BY$15,IF(CL28&lt;=BZ$16,BY$16,0.05)))))))</f>
        <v/>
      </c>
      <c r="CW28" s="2193">
        <f>CV28*CL28</f>
        <v/>
      </c>
      <c r="CY28" s="1932">
        <f>0.07*SUM(CI28,CN28,CQ28,CT28,CW28)</f>
        <v/>
      </c>
      <c r="DA28" s="1932">
        <f>SUM(CY28,CW28,CT28,CQ28,CN28,CI28)</f>
        <v/>
      </c>
      <c r="DB28" s="1933">
        <f>SUM(CW28,CT28,CQ28,CN28)</f>
        <v/>
      </c>
      <c r="DC28" s="1051">
        <f>DB28/DA28</f>
        <v/>
      </c>
    </row>
    <row r="29" ht="16.2" customFormat="1" customHeight="1" s="585" thickBot="1">
      <c r="A29" s="1522" t="inlineStr">
        <is>
          <t>Joint Tape (rolls)</t>
        </is>
      </c>
      <c r="B29" s="2096">
        <f>F24/240</f>
        <v/>
      </c>
      <c r="C29" s="1977" t="inlineStr">
        <is>
          <t>rolls</t>
        </is>
      </c>
      <c r="D29" s="1944" t="n">
        <v>5.75</v>
      </c>
      <c r="E29" s="1962">
        <f>B29*D29</f>
        <v/>
      </c>
      <c r="F29" s="600" t="n"/>
      <c r="G29" s="600" t="n"/>
      <c r="H29" s="600" t="n"/>
      <c r="I29" s="600" t="n"/>
      <c r="O29" s="1046" t="inlineStr">
        <is>
          <t>Soft Surf + Corrs.</t>
        </is>
      </c>
      <c r="R29" s="939" t="n"/>
      <c r="S29" s="2223" t="n"/>
      <c r="T29" s="2223" t="n"/>
      <c r="U29" s="2223" t="n"/>
      <c r="V29" s="2223" t="n"/>
      <c r="W29" s="2223" t="n"/>
      <c r="AY29" s="2193" t="n">
        <v>20000</v>
      </c>
      <c r="AZ29" s="2193" t="n"/>
      <c r="BA29" s="2193" t="n"/>
      <c r="BB29" s="2193">
        <f>AY29</f>
        <v/>
      </c>
      <c r="BC29" s="2193" t="n"/>
      <c r="BD29" s="2193" t="n"/>
      <c r="BE29" s="2193">
        <f>AY29+BB29</f>
        <v/>
      </c>
      <c r="BF29" s="2193" t="n"/>
      <c r="BG29" s="2193" t="n"/>
      <c r="BH29" s="2193">
        <f>BE29</f>
        <v/>
      </c>
      <c r="BI29" s="1051">
        <f>IF(AY29&lt;=#REF!,#REF!,IF(AY29&lt;=#REF!,#REF!,IF(AY29&lt;=#REF!,#REF!,IF(AY29&lt;=#REF!,#REF!,IF(AY29&lt;=#REF!,#REF!,IF(AY29&lt;=#REF!,#REF!,IF(AY29&lt;=#REF!,#REF!,0.05)))))))</f>
        <v/>
      </c>
      <c r="BJ29" s="2193">
        <f>BI29*AY29</f>
        <v/>
      </c>
      <c r="BK29" s="1051" t="n"/>
      <c r="BL29" s="1051">
        <f>IF(BB29&lt;=#REF!,#REF!,IF(BB29&lt;=#REF!,#REF!,IF(BB29&lt;=#REF!,#REF!,IF(BB29&lt;=#REF!,#REF!,IF(BB29&lt;=#REF!,#REF!,IF(BB29&lt;=#REF!,#REF!,IF(BB29&lt;=#REF!,#REF!,0.05)))))))</f>
        <v/>
      </c>
      <c r="BM29" s="2193">
        <f>BL29*BB29</f>
        <v/>
      </c>
      <c r="BN29" s="1051" t="n"/>
      <c r="BO29" s="1051">
        <f>IF(BE29&lt;=#REF!,#REF!,IF(BE29&lt;=#REF!,#REF!,IF(BE29&lt;=#REF!,#REF!,IF(BE29&lt;=#REF!,#REF!,IF(BE29&lt;=#REF!,#REF!,IF(BE29&lt;=#REF!,#REF!,IF(BE29&lt;=#REF!,#REF!,0.05)))))))</f>
        <v/>
      </c>
      <c r="BP29" s="2193">
        <f>BO29*SUM(BM29,BJ29,BE29)</f>
        <v/>
      </c>
      <c r="BQ29" s="1051" t="n"/>
      <c r="BR29" s="2194">
        <f>IF(BH29&lt;=#REF!,#REF!,IF(BH29&lt;=#REF!,#REF!,IF(BH29&lt;=#REF!,#REF!,IF(BH29&lt;=#REF!,#REF!,IF(BH29&lt;=#REF!,#REF!,IF(BH29&lt;=#REF!,#REF!,IF(BH29&lt;=#REF!,#REF!,0.05)))))))</f>
        <v/>
      </c>
      <c r="BS29" s="2193">
        <f>BR29*BH29</f>
        <v/>
      </c>
      <c r="BU29" s="1932">
        <f>0.07*SUM(BE29,BJ29,BM29,BP29,BS29)</f>
        <v/>
      </c>
      <c r="BW29" s="1932">
        <f>SUM(BU29,BS29,BP29,BM29,BJ29,BE29)</f>
        <v/>
      </c>
      <c r="BX29" s="1933">
        <f>SUM(BS29,BP29,BM29,BJ29)</f>
        <v/>
      </c>
      <c r="BY29" s="1051">
        <f>BX29/BW29</f>
        <v/>
      </c>
      <c r="CO29" s="2193" t="n">
        <v>20000</v>
      </c>
      <c r="CP29" s="2193" t="n"/>
      <c r="CQ29" s="2193" t="n"/>
      <c r="CR29" s="2193">
        <f>CO29</f>
        <v/>
      </c>
      <c r="CS29" s="2193" t="n"/>
      <c r="CT29" s="2193" t="n"/>
      <c r="CU29" s="2193">
        <f>CO29+CR29</f>
        <v/>
      </c>
      <c r="CV29" s="2193" t="n"/>
      <c r="CW29" s="2193" t="n"/>
      <c r="CX29" s="2193">
        <f>CU29</f>
        <v/>
      </c>
      <c r="CY29" s="1051">
        <f>IF(CO29&lt;=BQ$6,BP$6,IF(CO29&lt;=BQ$7,BP$7,IF(CO29&lt;=BQ$8,BP$8,IF(CO29&lt;=BQ$9,BP$9,IF(CO29&lt;=BQ$14,BP$14,IF(CO29&lt;=BQ$15,BP$15,IF(CO29&lt;=BQ$16,BP$16,0.05)))))))</f>
        <v/>
      </c>
      <c r="CZ29" s="2193">
        <f>CY29*CO29</f>
        <v/>
      </c>
      <c r="DA29" s="1051" t="n"/>
      <c r="DB29" s="1051">
        <f>IF(CR29&lt;=BT$6,BS$6,IF(CR29&lt;=BT$7,BS$7,IF(CR29&lt;=BT$8,BS$8,IF(CR29&lt;=BT$9,BS$9,IF(CR29&lt;=BT$14,BS$14,IF(CR29&lt;=BT$15,BS$15,IF(CR29&lt;=BT$16,BS$16,0.05)))))))</f>
        <v/>
      </c>
      <c r="DC29" s="2193">
        <f>DB29*CR29</f>
        <v/>
      </c>
      <c r="DD29" s="1051" t="n"/>
      <c r="DE29" s="1051">
        <f>IF(CU29&lt;=BW$6,BV$6,IF(CU29&lt;=BW$7,BV$7,IF(CU29&lt;=BW$8,BV$8,IF(CU29&lt;=BW$9,BV$9,IF(CU29&lt;=BW$14,BV$14,IF(CU29&lt;=BW$15,BV$15,IF(CU29&lt;=BW$16,BV$16,0.05)))))))</f>
        <v/>
      </c>
      <c r="DF29" s="2193">
        <f>DE29*SUM(DC29,CZ29,CU29)</f>
        <v/>
      </c>
      <c r="DG29" s="1051" t="n"/>
      <c r="DH29" s="2194">
        <f>IF(CX29&lt;=BZ$6,BY$6,IF(CX29&lt;=BZ$7,BY$7,IF(CX29&lt;=BZ$8,BY$8,IF(CX29&lt;=BZ$9,BY$9,IF(CX29&lt;=BZ$14,BY$14,IF(CX29&lt;=BZ$15,BY$15,IF(CX29&lt;=BZ$16,BY$16,0.05)))))))</f>
        <v/>
      </c>
      <c r="DI29" s="2193">
        <f>DH29*CX29</f>
        <v/>
      </c>
      <c r="DK29" s="1932">
        <f>0.07*SUM(CU29,CZ29,DC29,DF29,DI29)</f>
        <v/>
      </c>
      <c r="DM29" s="1932">
        <f>SUM(DK29,DI29,DF29,DC29,CZ29,CU29)</f>
        <v/>
      </c>
      <c r="DN29" s="1933">
        <f>SUM(DI29,DF29,DC29,CZ29)</f>
        <v/>
      </c>
      <c r="DO29" s="1051">
        <f>DN29/DM29</f>
        <v/>
      </c>
    </row>
    <row r="30" ht="16.2" customFormat="1" customHeight="1" s="585" thickBot="1">
      <c r="A30" s="1778" t="n"/>
      <c r="B30" s="2096" t="n"/>
      <c r="C30" s="1977" t="n"/>
      <c r="D30" s="1944" t="n"/>
      <c r="E30" s="1962">
        <f>B30*D30</f>
        <v/>
      </c>
      <c r="F30" s="600" t="n"/>
      <c r="G30" s="600" t="n"/>
      <c r="H30" s="2224">
        <f>(F22/300)/0.1</f>
        <v/>
      </c>
      <c r="I30" s="1175" t="inlineStr">
        <is>
          <t>Add for Sealer</t>
        </is>
      </c>
      <c r="J30" s="1613" t="inlineStr">
        <is>
          <t>=(sf / 300) / 10% = Sealer *Material ONLY*</t>
        </is>
      </c>
      <c r="K30" s="855" t="n"/>
      <c r="O30" s="1330">
        <f>SUM(P28,R28)</f>
        <v/>
      </c>
      <c r="P30" s="1340" t="inlineStr">
        <is>
          <t>% Soft Surf</t>
        </is>
      </c>
      <c r="Q30" s="1340" t="inlineStr">
        <is>
          <t>% Hard Surf / Mat</t>
        </is>
      </c>
      <c r="R30" s="1340" t="inlineStr">
        <is>
          <t>% Corridors</t>
        </is>
      </c>
      <c r="T30" s="2223" t="n"/>
      <c r="U30" s="2223" t="n"/>
      <c r="V30" s="2223" t="n"/>
      <c r="W30" s="2223" t="n"/>
      <c r="AY30" s="2193" t="n">
        <v>21000</v>
      </c>
      <c r="AZ30" s="2193" t="n"/>
      <c r="BA30" s="2193" t="n"/>
      <c r="BB30" s="2193">
        <f>AY30</f>
        <v/>
      </c>
      <c r="BC30" s="2193" t="n"/>
      <c r="BD30" s="2193" t="n"/>
      <c r="BE30" s="2193">
        <f>AY30+BB30</f>
        <v/>
      </c>
      <c r="BF30" s="2193" t="n"/>
      <c r="BG30" s="2193" t="n"/>
      <c r="BH30" s="2193">
        <f>BE30</f>
        <v/>
      </c>
      <c r="BI30" s="1051">
        <f>IF(AY30&lt;=#REF!,#REF!,IF(AY30&lt;=#REF!,#REF!,IF(AY30&lt;=#REF!,#REF!,IF(AY30&lt;=#REF!,#REF!,IF(AY30&lt;=#REF!,#REF!,IF(AY30&lt;=#REF!,#REF!,IF(AY30&lt;=#REF!,#REF!,0.05)))))))</f>
        <v/>
      </c>
      <c r="BJ30" s="2193">
        <f>BI30*AY30</f>
        <v/>
      </c>
      <c r="BK30" s="1051" t="n"/>
      <c r="BL30" s="1051">
        <f>IF(BB30&lt;=#REF!,#REF!,IF(BB30&lt;=#REF!,#REF!,IF(BB30&lt;=#REF!,#REF!,IF(BB30&lt;=#REF!,#REF!,IF(BB30&lt;=#REF!,#REF!,IF(BB30&lt;=#REF!,#REF!,IF(BB30&lt;=#REF!,#REF!,0.05)))))))</f>
        <v/>
      </c>
      <c r="BM30" s="2193">
        <f>BL30*BB30</f>
        <v/>
      </c>
      <c r="BN30" s="1051" t="n"/>
      <c r="BO30" s="1051">
        <f>IF(BE30&lt;=#REF!,#REF!,IF(BE30&lt;=#REF!,#REF!,IF(BE30&lt;=#REF!,#REF!,IF(BE30&lt;=#REF!,#REF!,IF(BE30&lt;=#REF!,#REF!,IF(BE30&lt;=#REF!,#REF!,IF(BE30&lt;=#REF!,#REF!,0.05)))))))</f>
        <v/>
      </c>
      <c r="BP30" s="2193">
        <f>BO30*SUM(BM30,BJ30,BE30)</f>
        <v/>
      </c>
      <c r="BQ30" s="1051" t="n"/>
      <c r="BR30" s="2194">
        <f>IF(BH30&lt;=#REF!,#REF!,IF(BH30&lt;=#REF!,#REF!,IF(BH30&lt;=#REF!,#REF!,IF(BH30&lt;=#REF!,#REF!,IF(BH30&lt;=#REF!,#REF!,IF(BH30&lt;=#REF!,#REF!,IF(BH30&lt;=#REF!,#REF!,0.05)))))))</f>
        <v/>
      </c>
      <c r="BS30" s="2193">
        <f>BR30*BH30</f>
        <v/>
      </c>
      <c r="BU30" s="1932">
        <f>0.07*SUM(BE30,BJ30,BM30,BP30,BS30)</f>
        <v/>
      </c>
      <c r="BW30" s="1932">
        <f>SUM(BU30,BS30,BP30,BM30,BJ30,BE30)</f>
        <v/>
      </c>
      <c r="BX30" s="1933">
        <f>SUM(BS30,BP30,BM30,BJ30)</f>
        <v/>
      </c>
      <c r="BY30" s="1051">
        <f>BX30/BW30</f>
        <v/>
      </c>
      <c r="CO30" s="2193" t="n">
        <v>21000</v>
      </c>
      <c r="CP30" s="2193" t="n"/>
      <c r="CQ30" s="2193" t="n"/>
      <c r="CR30" s="2193">
        <f>CO30</f>
        <v/>
      </c>
      <c r="CS30" s="2193" t="n"/>
      <c r="CT30" s="2193" t="n"/>
      <c r="CU30" s="2193">
        <f>CO30+CR30</f>
        <v/>
      </c>
      <c r="CV30" s="2193" t="n"/>
      <c r="CW30" s="2193" t="n"/>
      <c r="CX30" s="2193">
        <f>CU30</f>
        <v/>
      </c>
      <c r="CY30" s="1051">
        <f>IF(CO30&lt;=BQ$6,BP$6,IF(CO30&lt;=BQ$7,BP$7,IF(CO30&lt;=BQ$8,BP$8,IF(CO30&lt;=BQ$9,BP$9,IF(CO30&lt;=BQ$14,BP$14,IF(CO30&lt;=BQ$15,BP$15,IF(CO30&lt;=BQ$16,BP$16,0.05)))))))</f>
        <v/>
      </c>
      <c r="CZ30" s="2193">
        <f>CY30*CO30</f>
        <v/>
      </c>
      <c r="DA30" s="1051" t="n"/>
      <c r="DB30" s="1051">
        <f>IF(CR30&lt;=BT$6,BS$6,IF(CR30&lt;=BT$7,BS$7,IF(CR30&lt;=BT$8,BS$8,IF(CR30&lt;=BT$9,BS$9,IF(CR30&lt;=BT$14,BS$14,IF(CR30&lt;=BT$15,BS$15,IF(CR30&lt;=BT$16,BS$16,0.05)))))))</f>
        <v/>
      </c>
      <c r="DC30" s="2193">
        <f>DB30*CR30</f>
        <v/>
      </c>
      <c r="DD30" s="1051" t="n"/>
      <c r="DE30" s="1051">
        <f>IF(CU30&lt;=BW$6,BV$6,IF(CU30&lt;=BW$7,BV$7,IF(CU30&lt;=BW$8,BV$8,IF(CU30&lt;=BW$9,BV$9,IF(CU30&lt;=BW$14,BV$14,IF(CU30&lt;=BW$15,BV$15,IF(CU30&lt;=BW$16,BV$16,0.05)))))))</f>
        <v/>
      </c>
      <c r="DF30" s="2193">
        <f>DE30*SUM(DC30,CZ30,CU30)</f>
        <v/>
      </c>
      <c r="DG30" s="1051" t="n"/>
      <c r="DH30" s="2194">
        <f>IF(CX30&lt;=BZ$6,BY$6,IF(CX30&lt;=BZ$7,BY$7,IF(CX30&lt;=BZ$8,BY$8,IF(CX30&lt;=BZ$9,BY$9,IF(CX30&lt;=BZ$14,BY$14,IF(CX30&lt;=BZ$15,BY$15,IF(CX30&lt;=BZ$16,BY$16,0.05)))))))</f>
        <v/>
      </c>
      <c r="DI30" s="2193">
        <f>DH30*CX30</f>
        <v/>
      </c>
      <c r="DK30" s="1932">
        <f>0.07*SUM(CU30,CZ30,DC30,DF30,DI30)</f>
        <v/>
      </c>
      <c r="DM30" s="1932">
        <f>SUM(DK30,DI30,DF30,DC30,CZ30,CU30)</f>
        <v/>
      </c>
      <c r="DN30" s="1933">
        <f>SUM(DI30,DF30,DC30,CZ30)</f>
        <v/>
      </c>
      <c r="DO30" s="1051">
        <f>DN30/DM30</f>
        <v/>
      </c>
    </row>
    <row r="31" ht="16.2" customFormat="1" customHeight="1" s="585" thickBot="1">
      <c r="A31" s="1778" t="n"/>
      <c r="B31" s="2096" t="n"/>
      <c r="C31" s="1977" t="n"/>
      <c r="D31" s="1944" t="n"/>
      <c r="E31" s="1962">
        <f>B31*D31</f>
        <v/>
      </c>
      <c r="F31" s="600" t="n"/>
      <c r="G31" s="600" t="n"/>
      <c r="H31" s="2225">
        <f>ROUNDUP((((2*8)*(C46)*(1+C53)*(1+C54))*(1+G83))*G55,0)</f>
        <v/>
      </c>
      <c r="I31" s="1606" t="inlineStr">
        <is>
          <t>Add for Offsite Storage</t>
        </is>
      </c>
      <c r="J31" s="601" t="inlineStr">
        <is>
          <t>2 guys x 8 hrs + Markups x # of mobz</t>
        </is>
      </c>
      <c r="O31" s="747">
        <f>O30/N28</f>
        <v/>
      </c>
      <c r="P31" s="747">
        <f>P28/N28</f>
        <v/>
      </c>
      <c r="Q31" s="747">
        <f>Q28/N28</f>
        <v/>
      </c>
      <c r="R31" s="747">
        <f>R28/N28</f>
        <v/>
      </c>
      <c r="T31" s="2226" t="n"/>
      <c r="U31" s="2223" t="n"/>
      <c r="V31" s="2223" t="n"/>
      <c r="W31" s="2223" t="n"/>
      <c r="AY31" s="2193" t="n">
        <v>22000</v>
      </c>
      <c r="AZ31" s="2193" t="n"/>
      <c r="BA31" s="2193" t="n"/>
      <c r="BB31" s="2193">
        <f>AY31</f>
        <v/>
      </c>
      <c r="BC31" s="2193" t="n"/>
      <c r="BD31" s="2193" t="n"/>
      <c r="BE31" s="2193">
        <f>AY31+BB31</f>
        <v/>
      </c>
      <c r="BF31" s="2193" t="n"/>
      <c r="BG31" s="2193" t="n"/>
      <c r="BH31" s="2193">
        <f>BE31</f>
        <v/>
      </c>
      <c r="BI31" s="1051">
        <f>IF(AY31&lt;=#REF!,#REF!,IF(AY31&lt;=#REF!,#REF!,IF(AY31&lt;=#REF!,#REF!,IF(AY31&lt;=#REF!,#REF!,IF(AY31&lt;=#REF!,#REF!,IF(AY31&lt;=#REF!,#REF!,IF(AY31&lt;=#REF!,#REF!,0.05)))))))</f>
        <v/>
      </c>
      <c r="BJ31" s="2193">
        <f>BI31*AY31</f>
        <v/>
      </c>
      <c r="BK31" s="1051" t="n"/>
      <c r="BL31" s="1051">
        <f>IF(BB31&lt;=#REF!,#REF!,IF(BB31&lt;=#REF!,#REF!,IF(BB31&lt;=#REF!,#REF!,IF(BB31&lt;=#REF!,#REF!,IF(BB31&lt;=#REF!,#REF!,IF(BB31&lt;=#REF!,#REF!,IF(BB31&lt;=#REF!,#REF!,0.05)))))))</f>
        <v/>
      </c>
      <c r="BM31" s="2193">
        <f>BL31*BB31</f>
        <v/>
      </c>
      <c r="BN31" s="1051" t="n"/>
      <c r="BO31" s="1051">
        <f>IF(BE31&lt;=#REF!,#REF!,IF(BE31&lt;=#REF!,#REF!,IF(BE31&lt;=#REF!,#REF!,IF(BE31&lt;=#REF!,#REF!,IF(BE31&lt;=#REF!,#REF!,IF(BE31&lt;=#REF!,#REF!,IF(BE31&lt;=#REF!,#REF!,0.05)))))))</f>
        <v/>
      </c>
      <c r="BP31" s="2193">
        <f>BO31*SUM(BM31,BJ31,BE31)</f>
        <v/>
      </c>
      <c r="BQ31" s="1051" t="n"/>
      <c r="BR31" s="2194">
        <f>IF(BH31&lt;=#REF!,#REF!,IF(BH31&lt;=#REF!,#REF!,IF(BH31&lt;=#REF!,#REF!,IF(BH31&lt;=#REF!,#REF!,IF(BH31&lt;=#REF!,#REF!,IF(BH31&lt;=#REF!,#REF!,IF(BH31&lt;=#REF!,#REF!,0.05)))))))</f>
        <v/>
      </c>
      <c r="BS31" s="2193">
        <f>BR31*BH31</f>
        <v/>
      </c>
      <c r="BU31" s="1932">
        <f>0.07*SUM(BE31,BJ31,BM31,BP31,BS31)</f>
        <v/>
      </c>
      <c r="BW31" s="1932">
        <f>SUM(BU31,BS31,BP31,BM31,BJ31,BE31)</f>
        <v/>
      </c>
      <c r="BX31" s="1933">
        <f>SUM(BS31,BP31,BM31,BJ31)</f>
        <v/>
      </c>
      <c r="BY31" s="1051">
        <f>BX31/BW31</f>
        <v/>
      </c>
      <c r="CO31" s="2193" t="n">
        <v>22000</v>
      </c>
      <c r="CP31" s="2193" t="n"/>
      <c r="CQ31" s="2193" t="n"/>
      <c r="CR31" s="2193">
        <f>CO31</f>
        <v/>
      </c>
      <c r="CS31" s="2193" t="n"/>
      <c r="CT31" s="2193" t="n"/>
      <c r="CU31" s="2193">
        <f>CO31+CR31</f>
        <v/>
      </c>
      <c r="CV31" s="2193" t="n"/>
      <c r="CW31" s="2193" t="n"/>
      <c r="CX31" s="2193">
        <f>CU31</f>
        <v/>
      </c>
      <c r="CY31" s="1051">
        <f>IF(CO31&lt;=BQ$6,BP$6,IF(CO31&lt;=BQ$7,BP$7,IF(CO31&lt;=BQ$8,BP$8,IF(CO31&lt;=BQ$9,BP$9,IF(CO31&lt;=BQ$14,BP$14,IF(CO31&lt;=BQ$15,BP$15,IF(CO31&lt;=BQ$16,BP$16,0.05)))))))</f>
        <v/>
      </c>
      <c r="CZ31" s="2193">
        <f>CY31*CO31</f>
        <v/>
      </c>
      <c r="DA31" s="1051" t="n"/>
      <c r="DB31" s="1051">
        <f>IF(CR31&lt;=BT$6,BS$6,IF(CR31&lt;=BT$7,BS$7,IF(CR31&lt;=BT$8,BS$8,IF(CR31&lt;=BT$9,BS$9,IF(CR31&lt;=BT$14,BS$14,IF(CR31&lt;=BT$15,BS$15,IF(CR31&lt;=BT$16,BS$16,0.05)))))))</f>
        <v/>
      </c>
      <c r="DC31" s="2193">
        <f>DB31*CR31</f>
        <v/>
      </c>
      <c r="DD31" s="1051" t="n"/>
      <c r="DE31" s="1051">
        <f>IF(CU31&lt;=BW$6,BV$6,IF(CU31&lt;=BW$7,BV$7,IF(CU31&lt;=BW$8,BV$8,IF(CU31&lt;=BW$9,BV$9,IF(CU31&lt;=BW$14,BV$14,IF(CU31&lt;=BW$15,BV$15,IF(CU31&lt;=BW$16,BV$16,0.05)))))))</f>
        <v/>
      </c>
      <c r="DF31" s="2193">
        <f>DE31*SUM(DC31,CZ31,CU31)</f>
        <v/>
      </c>
      <c r="DG31" s="1051" t="n"/>
      <c r="DH31" s="2194">
        <f>IF(CX31&lt;=BZ$6,BY$6,IF(CX31&lt;=BZ$7,BY$7,IF(CX31&lt;=BZ$8,BY$8,IF(CX31&lt;=BZ$9,BY$9,IF(CX31&lt;=BZ$14,BY$14,IF(CX31&lt;=BZ$15,BY$15,IF(CX31&lt;=BZ$16,BY$16,0.05)))))))</f>
        <v/>
      </c>
      <c r="DI31" s="2193">
        <f>DH31*CX31</f>
        <v/>
      </c>
      <c r="DK31" s="1932">
        <f>0.07*SUM(CU31,CZ31,DC31,DF31,DI31)</f>
        <v/>
      </c>
      <c r="DM31" s="1932">
        <f>SUM(DK31,DI31,DF31,DC31,CZ31,CU31)</f>
        <v/>
      </c>
      <c r="DN31" s="1933">
        <f>SUM(DI31,DF31,DC31,CZ31)</f>
        <v/>
      </c>
      <c r="DO31" s="1051">
        <f>DN31/DM31</f>
        <v/>
      </c>
    </row>
    <row r="32" ht="16.05" customFormat="1" customHeight="1" s="585" thickBot="1">
      <c r="A32" s="641" t="inlineStr">
        <is>
          <t>MATERIAL - Sand</t>
        </is>
      </c>
      <c r="B32" s="2227" t="n"/>
      <c r="C32" s="1977" t="n"/>
      <c r="D32" s="1977" t="n"/>
      <c r="E32" s="1978" t="n"/>
      <c r="F32" s="600" t="n"/>
      <c r="G32" s="600" t="n"/>
      <c r="H32" s="600" t="n"/>
      <c r="T32" s="600" t="n"/>
      <c r="U32" s="600" t="n"/>
      <c r="V32" s="600" t="n"/>
      <c r="W32" s="600" t="n"/>
      <c r="AY32" s="2193" t="n">
        <v>23000</v>
      </c>
      <c r="AZ32" s="2193" t="n"/>
      <c r="BA32" s="2193" t="n"/>
      <c r="BB32" s="2193">
        <f>AY32</f>
        <v/>
      </c>
      <c r="BC32" s="2193" t="n"/>
      <c r="BD32" s="2193" t="n"/>
      <c r="BE32" s="2193">
        <f>AY32+BB32</f>
        <v/>
      </c>
      <c r="BF32" s="2193" t="n"/>
      <c r="BG32" s="2193" t="n"/>
      <c r="BH32" s="2193">
        <f>BE32</f>
        <v/>
      </c>
      <c r="BI32" s="1051">
        <f>IF(AY32&lt;=#REF!,#REF!,IF(AY32&lt;=#REF!,#REF!,IF(AY32&lt;=#REF!,#REF!,IF(AY32&lt;=#REF!,#REF!,IF(AY32&lt;=#REF!,#REF!,IF(AY32&lt;=#REF!,#REF!,IF(AY32&lt;=#REF!,#REF!,0.05)))))))</f>
        <v/>
      </c>
      <c r="BJ32" s="2193">
        <f>BI32*AY32</f>
        <v/>
      </c>
      <c r="BK32" s="1051" t="n"/>
      <c r="BL32" s="1051">
        <f>IF(BB32&lt;=#REF!,#REF!,IF(BB32&lt;=#REF!,#REF!,IF(BB32&lt;=#REF!,#REF!,IF(BB32&lt;=#REF!,#REF!,IF(BB32&lt;=#REF!,#REF!,IF(BB32&lt;=#REF!,#REF!,IF(BB32&lt;=#REF!,#REF!,0.05)))))))</f>
        <v/>
      </c>
      <c r="BM32" s="2193">
        <f>BL32*BB32</f>
        <v/>
      </c>
      <c r="BN32" s="1051" t="n"/>
      <c r="BO32" s="1051">
        <f>IF(BE32&lt;=#REF!,#REF!,IF(BE32&lt;=#REF!,#REF!,IF(BE32&lt;=#REF!,#REF!,IF(BE32&lt;=#REF!,#REF!,IF(BE32&lt;=#REF!,#REF!,IF(BE32&lt;=#REF!,#REF!,IF(BE32&lt;=#REF!,#REF!,0.05)))))))</f>
        <v/>
      </c>
      <c r="BP32" s="2193">
        <f>BO32*SUM(BM32,BJ32,BE32)</f>
        <v/>
      </c>
      <c r="BQ32" s="1051" t="n"/>
      <c r="BR32" s="2194">
        <f>IF(BH32&lt;=#REF!,#REF!,IF(BH32&lt;=#REF!,#REF!,IF(BH32&lt;=#REF!,#REF!,IF(BH32&lt;=#REF!,#REF!,IF(BH32&lt;=#REF!,#REF!,IF(BH32&lt;=#REF!,#REF!,IF(BH32&lt;=#REF!,#REF!,0.05)))))))</f>
        <v/>
      </c>
      <c r="BS32" s="2193">
        <f>BR32*BH32</f>
        <v/>
      </c>
      <c r="BU32" s="1932">
        <f>0.07*SUM(BE32,BJ32,BM32,BP32,BS32)</f>
        <v/>
      </c>
      <c r="BW32" s="1932">
        <f>SUM(BU32,BS32,BP32,BM32,BJ32,BE32)</f>
        <v/>
      </c>
      <c r="BX32" s="1933">
        <f>SUM(BS32,BP32,BM32,BJ32)</f>
        <v/>
      </c>
      <c r="BY32" s="1051">
        <f>BX32/BW32</f>
        <v/>
      </c>
      <c r="CO32" s="2193" t="n">
        <v>23000</v>
      </c>
      <c r="CP32" s="2193" t="n"/>
      <c r="CQ32" s="2193" t="n"/>
      <c r="CR32" s="2193">
        <f>CO32</f>
        <v/>
      </c>
      <c r="CS32" s="2193" t="n"/>
      <c r="CT32" s="2193" t="n"/>
      <c r="CU32" s="2193">
        <f>CO32+CR32</f>
        <v/>
      </c>
      <c r="CV32" s="2193" t="n"/>
      <c r="CW32" s="2193" t="n"/>
      <c r="CX32" s="2193">
        <f>CU32</f>
        <v/>
      </c>
      <c r="CY32" s="1051">
        <f>IF(CO32&lt;=BQ$6,BP$6,IF(CO32&lt;=BQ$7,BP$7,IF(CO32&lt;=BQ$8,BP$8,IF(CO32&lt;=BQ$9,BP$9,IF(CO32&lt;=BQ$14,BP$14,IF(CO32&lt;=BQ$15,BP$15,IF(CO32&lt;=BQ$16,BP$16,0.05)))))))</f>
        <v/>
      </c>
      <c r="CZ32" s="2193">
        <f>CY32*CO32</f>
        <v/>
      </c>
      <c r="DA32" s="1051" t="n"/>
      <c r="DB32" s="1051">
        <f>IF(CR32&lt;=BT$6,BS$6,IF(CR32&lt;=BT$7,BS$7,IF(CR32&lt;=BT$8,BS$8,IF(CR32&lt;=BT$9,BS$9,IF(CR32&lt;=BT$14,BS$14,IF(CR32&lt;=BT$15,BS$15,IF(CR32&lt;=BT$16,BS$16,0.05)))))))</f>
        <v/>
      </c>
      <c r="DC32" s="2193">
        <f>DB32*CR32</f>
        <v/>
      </c>
      <c r="DD32" s="1051" t="n"/>
      <c r="DE32" s="1051">
        <f>IF(CU32&lt;=BW$6,BV$6,IF(CU32&lt;=BW$7,BV$7,IF(CU32&lt;=BW$8,BV$8,IF(CU32&lt;=BW$9,BV$9,IF(CU32&lt;=BW$14,BV$14,IF(CU32&lt;=BW$15,BV$15,IF(CU32&lt;=BW$16,BV$16,0.05)))))))</f>
        <v/>
      </c>
      <c r="DF32" s="2193">
        <f>DE32*SUM(DC32,CZ32,CU32)</f>
        <v/>
      </c>
      <c r="DG32" s="1051" t="n"/>
      <c r="DH32" s="2194">
        <f>IF(CX32&lt;=BZ$6,BY$6,IF(CX32&lt;=BZ$7,BY$7,IF(CX32&lt;=BZ$8,BY$8,IF(CX32&lt;=BZ$9,BY$9,IF(CX32&lt;=BZ$14,BY$14,IF(CX32&lt;=BZ$15,BY$15,IF(CX32&lt;=BZ$16,BY$16,0.05)))))))</f>
        <v/>
      </c>
      <c r="DI32" s="2193">
        <f>DH32*CX32</f>
        <v/>
      </c>
      <c r="DK32" s="1932">
        <f>0.07*SUM(CU32,CZ32,DC32,DF32,DI32)</f>
        <v/>
      </c>
      <c r="DM32" s="1932">
        <f>SUM(DK32,DI32,DF32,DC32,CZ32,CU32)</f>
        <v/>
      </c>
      <c r="DN32" s="1933">
        <f>SUM(DI32,DF32,DC32,CZ32)</f>
        <v/>
      </c>
      <c r="DO32" s="1051">
        <f>DN32/DM32</f>
        <v/>
      </c>
    </row>
    <row r="33" ht="16.2" customFormat="1" customHeight="1" s="585" thickBot="1">
      <c r="A33" s="647" t="inlineStr">
        <is>
          <t>Sand (per Ton)</t>
        </is>
      </c>
      <c r="B33" s="2096">
        <f>((IF(G11=P52,Q52,IF(G11=P54,Q54))*H33)/2000)*(1+G19)</f>
        <v/>
      </c>
      <c r="C33" s="1066" t="inlineStr">
        <is>
          <t>tons w/ waste</t>
        </is>
      </c>
      <c r="D33" s="1944" t="n">
        <v>35</v>
      </c>
      <c r="E33" s="1962">
        <f>B33*D33</f>
        <v/>
      </c>
      <c r="F33" s="600" t="inlineStr">
        <is>
          <t>(Total Bags x Mix Design)/2000</t>
        </is>
      </c>
      <c r="H33" s="1392">
        <f>B23+B24+B25</f>
        <v/>
      </c>
      <c r="I33" s="1008" t="inlineStr">
        <is>
          <t>Total Bags</t>
        </is>
      </c>
      <c r="T33" s="620" t="n"/>
      <c r="U33" s="620" t="n"/>
      <c r="AY33" s="2193" t="n">
        <v>24000</v>
      </c>
      <c r="AZ33" s="2193" t="n"/>
      <c r="BA33" s="2193" t="n"/>
      <c r="BB33" s="2193">
        <f>AY33</f>
        <v/>
      </c>
      <c r="BC33" s="2193" t="n"/>
      <c r="BD33" s="2193" t="n"/>
      <c r="BE33" s="2193">
        <f>AY33+BB33</f>
        <v/>
      </c>
      <c r="BF33" s="2193" t="n"/>
      <c r="BG33" s="2193" t="n"/>
      <c r="BH33" s="2193">
        <f>BE33</f>
        <v/>
      </c>
      <c r="BI33" s="1051">
        <f>IF(AY33&lt;=#REF!,#REF!,IF(AY33&lt;=#REF!,#REF!,IF(AY33&lt;=#REF!,#REF!,IF(AY33&lt;=#REF!,#REF!,IF(AY33&lt;=#REF!,#REF!,IF(AY33&lt;=#REF!,#REF!,IF(AY33&lt;=#REF!,#REF!,0.05)))))))</f>
        <v/>
      </c>
      <c r="BJ33" s="2193">
        <f>BI33*AY33</f>
        <v/>
      </c>
      <c r="BK33" s="1051" t="n"/>
      <c r="BL33" s="1051">
        <f>IF(BB33&lt;=#REF!,#REF!,IF(BB33&lt;=#REF!,#REF!,IF(BB33&lt;=#REF!,#REF!,IF(BB33&lt;=#REF!,#REF!,IF(BB33&lt;=#REF!,#REF!,IF(BB33&lt;=#REF!,#REF!,IF(BB33&lt;=#REF!,#REF!,0.05)))))))</f>
        <v/>
      </c>
      <c r="BM33" s="2193">
        <f>BL33*BB33</f>
        <v/>
      </c>
      <c r="BN33" s="1051" t="n"/>
      <c r="BO33" s="1051">
        <f>IF(BE33&lt;=#REF!,#REF!,IF(BE33&lt;=#REF!,#REF!,IF(BE33&lt;=#REF!,#REF!,IF(BE33&lt;=#REF!,#REF!,IF(BE33&lt;=#REF!,#REF!,IF(BE33&lt;=#REF!,#REF!,IF(BE33&lt;=#REF!,#REF!,0.05)))))))</f>
        <v/>
      </c>
      <c r="BP33" s="2193">
        <f>BO33*SUM(BM33,BJ33,BE33)</f>
        <v/>
      </c>
      <c r="BQ33" s="1051" t="n"/>
      <c r="BR33" s="2194">
        <f>IF(BH33&lt;=#REF!,#REF!,IF(BH33&lt;=#REF!,#REF!,IF(BH33&lt;=#REF!,#REF!,IF(BH33&lt;=#REF!,#REF!,IF(BH33&lt;=#REF!,#REF!,IF(BH33&lt;=#REF!,#REF!,IF(BH33&lt;=#REF!,#REF!,0.05)))))))</f>
        <v/>
      </c>
      <c r="BS33" s="2193">
        <f>BR33*BH33</f>
        <v/>
      </c>
      <c r="BU33" s="1932">
        <f>0.07*SUM(BE33,BJ33,BM33,BP33,BS33)</f>
        <v/>
      </c>
      <c r="BW33" s="1932">
        <f>SUM(BU33,BS33,BP33,BM33,BJ33,BE33)</f>
        <v/>
      </c>
      <c r="BX33" s="1933">
        <f>SUM(BS33,BP33,BM33,BJ33)</f>
        <v/>
      </c>
      <c r="BY33" s="1051">
        <f>BX33/BW33</f>
        <v/>
      </c>
      <c r="CO33" s="2193" t="n">
        <v>24000</v>
      </c>
      <c r="CP33" s="2193" t="n"/>
      <c r="CQ33" s="2193" t="n"/>
      <c r="CR33" s="2193">
        <f>CO33</f>
        <v/>
      </c>
      <c r="CS33" s="2193" t="n"/>
      <c r="CT33" s="2193" t="n"/>
      <c r="CU33" s="2193">
        <f>CO33+CR33</f>
        <v/>
      </c>
      <c r="CV33" s="2193" t="n"/>
      <c r="CW33" s="2193" t="n"/>
      <c r="CX33" s="2193">
        <f>CU33</f>
        <v/>
      </c>
      <c r="CY33" s="1051">
        <f>IF(CO33&lt;=BQ$6,BP$6,IF(CO33&lt;=BQ$7,BP$7,IF(CO33&lt;=BQ$8,BP$8,IF(CO33&lt;=BQ$9,BP$9,IF(CO33&lt;=BQ$14,BP$14,IF(CO33&lt;=BQ$15,BP$15,IF(CO33&lt;=BQ$16,BP$16,0.05)))))))</f>
        <v/>
      </c>
      <c r="CZ33" s="2193">
        <f>CY33*CO33</f>
        <v/>
      </c>
      <c r="DA33" s="1051" t="n"/>
      <c r="DB33" s="1051">
        <f>IF(CR33&lt;=BT$6,BS$6,IF(CR33&lt;=BT$7,BS$7,IF(CR33&lt;=BT$8,BS$8,IF(CR33&lt;=BT$9,BS$9,IF(CR33&lt;=BT$14,BS$14,IF(CR33&lt;=BT$15,BS$15,IF(CR33&lt;=BT$16,BS$16,0.05)))))))</f>
        <v/>
      </c>
      <c r="DC33" s="2193">
        <f>DB33*CR33</f>
        <v/>
      </c>
      <c r="DD33" s="1051" t="n"/>
      <c r="DE33" s="1051">
        <f>IF(CU33&lt;=BW$6,BV$6,IF(CU33&lt;=BW$7,BV$7,IF(CU33&lt;=BW$8,BV$8,IF(CU33&lt;=BW$9,BV$9,IF(CU33&lt;=BW$14,BV$14,IF(CU33&lt;=BW$15,BV$15,IF(CU33&lt;=BW$16,BV$16,0.05)))))))</f>
        <v/>
      </c>
      <c r="DF33" s="2193">
        <f>DE33*SUM(DC33,CZ33,CU33)</f>
        <v/>
      </c>
      <c r="DG33" s="1051" t="n"/>
      <c r="DH33" s="2194">
        <f>IF(CX33&lt;=BZ$6,BY$6,IF(CX33&lt;=BZ$7,BY$7,IF(CX33&lt;=BZ$8,BY$8,IF(CX33&lt;=BZ$9,BY$9,IF(CX33&lt;=BZ$14,BY$14,IF(CX33&lt;=BZ$15,BY$15,IF(CX33&lt;=BZ$16,BY$16,0.05)))))))</f>
        <v/>
      </c>
      <c r="DI33" s="2193">
        <f>DH33*CX33</f>
        <v/>
      </c>
      <c r="DK33" s="1932">
        <f>0.07*SUM(CU33,CZ33,DC33,DF33,DI33)</f>
        <v/>
      </c>
      <c r="DM33" s="1932">
        <f>SUM(DK33,DI33,DF33,DC33,CZ33,CU33)</f>
        <v/>
      </c>
      <c r="DN33" s="1933">
        <f>SUM(DI33,DF33,DC33,CZ33)</f>
        <v/>
      </c>
      <c r="DO33" s="1051">
        <f>DN33/DM33</f>
        <v/>
      </c>
    </row>
    <row r="34" ht="16.05" customFormat="1" customHeight="1" s="585">
      <c r="A34" s="1778" t="n"/>
      <c r="B34" s="2096" t="n"/>
      <c r="C34" s="1977" t="n"/>
      <c r="D34" s="1944" t="n"/>
      <c r="E34" s="1962">
        <f>B34*D34</f>
        <v/>
      </c>
      <c r="F34" s="948" t="n"/>
      <c r="G34" s="600" t="n"/>
      <c r="H34" s="600" t="n"/>
      <c r="S34" s="593" t="n"/>
      <c r="T34" s="593" t="n"/>
      <c r="U34" s="593" t="n"/>
      <c r="AY34" s="2193" t="n">
        <v>25000</v>
      </c>
      <c r="AZ34" s="2193" t="n"/>
      <c r="BA34" s="2193" t="n"/>
      <c r="BB34" s="2193">
        <f>AY34</f>
        <v/>
      </c>
      <c r="BC34" s="2193" t="n"/>
      <c r="BD34" s="2193" t="n"/>
      <c r="BE34" s="2193">
        <f>AY34+BB34</f>
        <v/>
      </c>
      <c r="BF34" s="2193" t="n"/>
      <c r="BG34" s="2193" t="n"/>
      <c r="BH34" s="2193">
        <f>BE34</f>
        <v/>
      </c>
      <c r="BI34" s="1051">
        <f>IF(AY34&lt;=#REF!,#REF!,IF(AY34&lt;=#REF!,#REF!,IF(AY34&lt;=#REF!,#REF!,IF(AY34&lt;=#REF!,#REF!,IF(AY34&lt;=#REF!,#REF!,IF(AY34&lt;=#REF!,#REF!,IF(AY34&lt;=#REF!,#REF!,0.05)))))))</f>
        <v/>
      </c>
      <c r="BJ34" s="2193">
        <f>BI34*AY34</f>
        <v/>
      </c>
      <c r="BK34" s="1051" t="n"/>
      <c r="BL34" s="1051">
        <f>IF(BB34&lt;=#REF!,#REF!,IF(BB34&lt;=#REF!,#REF!,IF(BB34&lt;=#REF!,#REF!,IF(BB34&lt;=#REF!,#REF!,IF(BB34&lt;=#REF!,#REF!,IF(BB34&lt;=#REF!,#REF!,IF(BB34&lt;=#REF!,#REF!,0.05)))))))</f>
        <v/>
      </c>
      <c r="BM34" s="2193">
        <f>BL34*BB34</f>
        <v/>
      </c>
      <c r="BN34" s="1051" t="n"/>
      <c r="BO34" s="1051">
        <f>IF(BE34&lt;=#REF!,#REF!,IF(BE34&lt;=#REF!,#REF!,IF(BE34&lt;=#REF!,#REF!,IF(BE34&lt;=#REF!,#REF!,IF(BE34&lt;=#REF!,#REF!,IF(BE34&lt;=#REF!,#REF!,IF(BE34&lt;=#REF!,#REF!,0.05)))))))</f>
        <v/>
      </c>
      <c r="BP34" s="2193">
        <f>BO34*SUM(BM34,BJ34,BE34)</f>
        <v/>
      </c>
      <c r="BQ34" s="1051" t="n"/>
      <c r="BR34" s="2194">
        <f>IF(BH34&lt;=#REF!,#REF!,IF(BH34&lt;=#REF!,#REF!,IF(BH34&lt;=#REF!,#REF!,IF(BH34&lt;=#REF!,#REF!,IF(BH34&lt;=#REF!,#REF!,IF(BH34&lt;=#REF!,#REF!,IF(BH34&lt;=#REF!,#REF!,0.05)))))))</f>
        <v/>
      </c>
      <c r="BS34" s="2193">
        <f>BR34*BH34</f>
        <v/>
      </c>
      <c r="BU34" s="1932">
        <f>0.07*SUM(BE34,BJ34,BM34,BP34,BS34)</f>
        <v/>
      </c>
      <c r="BW34" s="1932">
        <f>SUM(BU34,BS34,BP34,BM34,BJ34,BE34)</f>
        <v/>
      </c>
      <c r="BX34" s="1933">
        <f>SUM(BS34,BP34,BM34,BJ34)</f>
        <v/>
      </c>
      <c r="BY34" s="1051">
        <f>BX34/BW34</f>
        <v/>
      </c>
      <c r="CO34" s="2193" t="n">
        <v>25000</v>
      </c>
      <c r="CP34" s="2193" t="n"/>
      <c r="CQ34" s="2193" t="n"/>
      <c r="CR34" s="2193">
        <f>CO34</f>
        <v/>
      </c>
      <c r="CS34" s="2193" t="n"/>
      <c r="CT34" s="2193" t="n"/>
      <c r="CU34" s="2193">
        <f>CO34+CR34</f>
        <v/>
      </c>
      <c r="CV34" s="2193" t="n"/>
      <c r="CW34" s="2193" t="n"/>
      <c r="CX34" s="2193">
        <f>CU34</f>
        <v/>
      </c>
      <c r="CY34" s="1051">
        <f>IF(CO34&lt;=BQ$6,BP$6,IF(CO34&lt;=BQ$7,BP$7,IF(CO34&lt;=BQ$8,BP$8,IF(CO34&lt;=BQ$9,BP$9,IF(CO34&lt;=BQ$14,BP$14,IF(CO34&lt;=BQ$15,BP$15,IF(CO34&lt;=BQ$16,BP$16,0.05)))))))</f>
        <v/>
      </c>
      <c r="CZ34" s="2193">
        <f>CY34*CO34</f>
        <v/>
      </c>
      <c r="DA34" s="1051" t="n"/>
      <c r="DB34" s="1051">
        <f>IF(CR34&lt;=BT$6,BS$6,IF(CR34&lt;=BT$7,BS$7,IF(CR34&lt;=BT$8,BS$8,IF(CR34&lt;=BT$9,BS$9,IF(CR34&lt;=BT$14,BS$14,IF(CR34&lt;=BT$15,BS$15,IF(CR34&lt;=BT$16,BS$16,0.05)))))))</f>
        <v/>
      </c>
      <c r="DC34" s="2193">
        <f>DB34*CR34</f>
        <v/>
      </c>
      <c r="DD34" s="1051" t="n"/>
      <c r="DE34" s="1051">
        <f>IF(CU34&lt;=BW$6,BV$6,IF(CU34&lt;=BW$7,BV$7,IF(CU34&lt;=BW$8,BV$8,IF(CU34&lt;=BW$9,BV$9,IF(CU34&lt;=BW$14,BV$14,IF(CU34&lt;=BW$15,BV$15,IF(CU34&lt;=BW$16,BV$16,0.05)))))))</f>
        <v/>
      </c>
      <c r="DF34" s="2193">
        <f>DE34*SUM(DC34,CZ34,CU34)</f>
        <v/>
      </c>
      <c r="DG34" s="1051" t="n"/>
      <c r="DH34" s="2194">
        <f>IF(CX34&lt;=BZ$6,BY$6,IF(CX34&lt;=BZ$7,BY$7,IF(CX34&lt;=BZ$8,BY$8,IF(CX34&lt;=BZ$9,BY$9,IF(CX34&lt;=BZ$14,BY$14,IF(CX34&lt;=BZ$15,BY$15,IF(CX34&lt;=BZ$16,BY$16,0.05)))))))</f>
        <v/>
      </c>
      <c r="DI34" s="2193">
        <f>DH34*CX34</f>
        <v/>
      </c>
      <c r="DK34" s="1932">
        <f>0.07*SUM(CU34,CZ34,DC34,DF34,DI34)</f>
        <v/>
      </c>
      <c r="DM34" s="1932">
        <f>SUM(DK34,DI34,DF34,DC34,CZ34,CU34)</f>
        <v/>
      </c>
      <c r="DN34" s="1933">
        <f>SUM(DI34,DF34,DC34,CZ34)</f>
        <v/>
      </c>
      <c r="DO34" s="1051">
        <f>DN34/DM34</f>
        <v/>
      </c>
    </row>
    <row r="35" customFormat="1" s="585">
      <c r="A35" s="641" t="inlineStr">
        <is>
          <t>MATERIAL - Sound Mat</t>
        </is>
      </c>
      <c r="B35" s="1520" t="inlineStr">
        <is>
          <t>USG</t>
        </is>
      </c>
      <c r="C35" s="1977" t="n"/>
      <c r="D35" s="1977" t="n"/>
      <c r="E35" s="1978" t="n"/>
      <c r="F35" s="600" t="n"/>
      <c r="G35" s="600" t="n"/>
      <c r="I35" s="959" t="inlineStr">
        <is>
          <t>[GrassWorx = 384 (for all)]</t>
        </is>
      </c>
      <c r="O35" s="1323" t="inlineStr">
        <is>
          <t>Sound Mat $$$$</t>
        </is>
      </c>
      <c r="T35" s="600" t="n"/>
      <c r="U35" s="600" t="n"/>
      <c r="AY35" s="2193" t="n">
        <v>26000</v>
      </c>
      <c r="AZ35" s="2193" t="n"/>
      <c r="BA35" s="2193" t="n"/>
      <c r="BB35" s="2193">
        <f>AY35</f>
        <v/>
      </c>
      <c r="BC35" s="2193" t="n"/>
      <c r="BD35" s="2193" t="n"/>
      <c r="BE35" s="2193">
        <f>AY35+BB35</f>
        <v/>
      </c>
      <c r="BF35" s="2193" t="n"/>
      <c r="BG35" s="2193" t="n"/>
      <c r="BH35" s="2193">
        <f>BE35</f>
        <v/>
      </c>
      <c r="BI35" s="1051">
        <f>IF(AY35&lt;=#REF!,#REF!,IF(AY35&lt;=#REF!,#REF!,IF(AY35&lt;=#REF!,#REF!,IF(AY35&lt;=#REF!,#REF!,IF(AY35&lt;=#REF!,#REF!,IF(AY35&lt;=#REF!,#REF!,IF(AY35&lt;=#REF!,#REF!,0.05)))))))</f>
        <v/>
      </c>
      <c r="BJ35" s="2193">
        <f>BI35*AY35</f>
        <v/>
      </c>
      <c r="BK35" s="1051" t="n"/>
      <c r="BL35" s="1051">
        <f>IF(BB35&lt;=#REF!,#REF!,IF(BB35&lt;=#REF!,#REF!,IF(BB35&lt;=#REF!,#REF!,IF(BB35&lt;=#REF!,#REF!,IF(BB35&lt;=#REF!,#REF!,IF(BB35&lt;=#REF!,#REF!,IF(BB35&lt;=#REF!,#REF!,0.05)))))))</f>
        <v/>
      </c>
      <c r="BM35" s="2193">
        <f>BL35*BB35</f>
        <v/>
      </c>
      <c r="BN35" s="1051" t="n"/>
      <c r="BO35" s="1051">
        <f>IF(BE35&lt;=#REF!,#REF!,IF(BE35&lt;=#REF!,#REF!,IF(BE35&lt;=#REF!,#REF!,IF(BE35&lt;=#REF!,#REF!,IF(BE35&lt;=#REF!,#REF!,IF(BE35&lt;=#REF!,#REF!,IF(BE35&lt;=#REF!,#REF!,0.05)))))))</f>
        <v/>
      </c>
      <c r="BP35" s="2193">
        <f>BO35*SUM(BM35,BJ35,BE35)</f>
        <v/>
      </c>
      <c r="BQ35" s="1051" t="n"/>
      <c r="BR35" s="2194">
        <f>IF(BH35&lt;=#REF!,#REF!,IF(BH35&lt;=#REF!,#REF!,IF(BH35&lt;=#REF!,#REF!,IF(BH35&lt;=#REF!,#REF!,IF(BH35&lt;=#REF!,#REF!,IF(BH35&lt;=#REF!,#REF!,IF(BH35&lt;=#REF!,#REF!,0.05)))))))</f>
        <v/>
      </c>
      <c r="BS35" s="2193">
        <f>BR35*BH35</f>
        <v/>
      </c>
      <c r="BU35" s="1932">
        <f>0.07*SUM(BE35,BJ35,BM35,BP35,BS35)</f>
        <v/>
      </c>
      <c r="BW35" s="1932">
        <f>SUM(BU35,BS35,BP35,BM35,BJ35,BE35)</f>
        <v/>
      </c>
      <c r="BX35" s="1933">
        <f>SUM(BS35,BP35,BM35,BJ35)</f>
        <v/>
      </c>
      <c r="BY35" s="1051">
        <f>BX35/BW35</f>
        <v/>
      </c>
      <c r="CO35" s="2193" t="n">
        <v>26000</v>
      </c>
      <c r="CP35" s="2193" t="n"/>
      <c r="CQ35" s="2193" t="n"/>
      <c r="CR35" s="2193">
        <f>CO35</f>
        <v/>
      </c>
      <c r="CS35" s="2193" t="n"/>
      <c r="CT35" s="2193" t="n"/>
      <c r="CU35" s="2193">
        <f>CO35+CR35</f>
        <v/>
      </c>
      <c r="CV35" s="2193" t="n"/>
      <c r="CW35" s="2193" t="n"/>
      <c r="CX35" s="2193">
        <f>CU35</f>
        <v/>
      </c>
      <c r="CY35" s="1051">
        <f>IF(CO35&lt;=BQ$6,BP$6,IF(CO35&lt;=BQ$7,BP$7,IF(CO35&lt;=BQ$8,BP$8,IF(CO35&lt;=BQ$9,BP$9,IF(CO35&lt;=BQ$14,BP$14,IF(CO35&lt;=BQ$15,BP$15,IF(CO35&lt;=BQ$16,BP$16,0.05)))))))</f>
        <v/>
      </c>
      <c r="CZ35" s="2193">
        <f>CY35*CO35</f>
        <v/>
      </c>
      <c r="DA35" s="1051" t="n"/>
      <c r="DB35" s="1051">
        <f>IF(CR35&lt;=BT$6,BS$6,IF(CR35&lt;=BT$7,BS$7,IF(CR35&lt;=BT$8,BS$8,IF(CR35&lt;=BT$9,BS$9,IF(CR35&lt;=BT$14,BS$14,IF(CR35&lt;=BT$15,BS$15,IF(CR35&lt;=BT$16,BS$16,0.05)))))))</f>
        <v/>
      </c>
      <c r="DC35" s="2193">
        <f>DB35*CR35</f>
        <v/>
      </c>
      <c r="DD35" s="1051" t="n"/>
      <c r="DE35" s="1051">
        <f>IF(CU35&lt;=BW$6,BV$6,IF(CU35&lt;=BW$7,BV$7,IF(CU35&lt;=BW$8,BV$8,IF(CU35&lt;=BW$9,BV$9,IF(CU35&lt;=BW$14,BV$14,IF(CU35&lt;=BW$15,BV$15,IF(CU35&lt;=BW$16,BV$16,0.05)))))))</f>
        <v/>
      </c>
      <c r="DF35" s="2193">
        <f>DE35*SUM(DC35,CZ35,CU35)</f>
        <v/>
      </c>
      <c r="DG35" s="1051" t="n"/>
      <c r="DH35" s="2194">
        <f>IF(CX35&lt;=BZ$6,BY$6,IF(CX35&lt;=BZ$7,BY$7,IF(CX35&lt;=BZ$8,BY$8,IF(CX35&lt;=BZ$9,BY$9,IF(CX35&lt;=BZ$14,BY$14,IF(CX35&lt;=BZ$15,BY$15,IF(CX35&lt;=BZ$16,BY$16,0.05)))))))</f>
        <v/>
      </c>
      <c r="DI35" s="2193">
        <f>DH35*CX35</f>
        <v/>
      </c>
      <c r="DK35" s="1932">
        <f>0.07*SUM(CU35,CZ35,DC35,DF35,DI35)</f>
        <v/>
      </c>
      <c r="DM35" s="1932">
        <f>SUM(DK35,DI35,DF35,DC35,CZ35,CU35)</f>
        <v/>
      </c>
      <c r="DN35" s="1933">
        <f>SUM(DI35,DF35,DC35,CZ35)</f>
        <v/>
      </c>
      <c r="DO35" s="1051">
        <f>DN35/DM35</f>
        <v/>
      </c>
    </row>
    <row r="36" customFormat="1" s="585">
      <c r="A36" s="1709" t="inlineStr">
        <is>
          <t>SAM-N12 ULTRA  (3/16")</t>
        </is>
      </c>
      <c r="B36" s="2228">
        <f>ROUNDUP(IF(A36=O37,(F24/Q37),IF(A36=O38,(F24/Q38),IF(A36=O39,(F24/Q39),IF(A36=O40,(F24/Q40),IF(A36=O42,(F24/Q42),IF(A36=O43,(F24/Q43),IF(A36=O44,(F24/Q44),"none")))))))*(1+G20),0)</f>
        <v/>
      </c>
      <c r="C36" s="1977" t="inlineStr">
        <is>
          <t>rolls</t>
        </is>
      </c>
      <c r="D36" s="1944">
        <f>IF(A36=O37,(P37),IF(A36=O38,(P38),IF(A36=O39,(P39),IF(A36=O40,(P40),IF(A36=O42,(P42),IF(A36=O43,(P43),IF(A36=O44,(P44),"none")))))))</f>
        <v/>
      </c>
      <c r="E36" s="1962">
        <f>B36*D36</f>
        <v/>
      </c>
      <c r="F36" s="948" t="n"/>
      <c r="G36" s="600" t="n"/>
      <c r="H36" s="1534">
        <f>IF(A36=O37,280,IF(A36=O38,208,IF(A36=O39,208,IF(A36=O40,260,IF(A36=O42,384,IF(A36=O43,384,IF(A36=O44,384,"error")))))))</f>
        <v/>
      </c>
      <c r="I36" s="1607" t="inlineStr">
        <is>
          <t>Mat Rolls /Truck Load</t>
        </is>
      </c>
      <c r="K36" s="633" t="inlineStr">
        <is>
          <t>shipping on gyp = 20%</t>
        </is>
      </c>
      <c r="L36" s="2135">
        <f>(ROUNDUP(SUM(E20:E26)*B40,0))</f>
        <v/>
      </c>
      <c r="N36" s="1934" t="n"/>
      <c r="O36" s="1323" t="inlineStr">
        <is>
          <t>USG $: 1/8/2026</t>
        </is>
      </c>
      <c r="P36" s="1010" t="inlineStr">
        <is>
          <t xml:space="preserve">Price </t>
        </is>
      </c>
      <c r="Q36" s="1010" t="inlineStr">
        <is>
          <t xml:space="preserve">Sqft per Roll </t>
        </is>
      </c>
      <c r="R36" s="1010" t="inlineStr">
        <is>
          <t xml:space="preserve">$ per Sqft </t>
        </is>
      </c>
      <c r="S36" s="1411" t="inlineStr">
        <is>
          <t>($ per 10-2024)</t>
        </is>
      </c>
      <c r="AY36" s="2193" t="n">
        <v>27000</v>
      </c>
      <c r="AZ36" s="2193" t="n"/>
      <c r="BA36" s="2193" t="n"/>
      <c r="BB36" s="2193">
        <f>AY36</f>
        <v/>
      </c>
      <c r="BC36" s="2193" t="n"/>
      <c r="BD36" s="2193" t="n"/>
      <c r="BE36" s="2193">
        <f>AY36+BB36</f>
        <v/>
      </c>
      <c r="BF36" s="2193" t="n"/>
      <c r="BG36" s="2193" t="n"/>
      <c r="BH36" s="2193">
        <f>BE36</f>
        <v/>
      </c>
      <c r="BI36" s="1051">
        <f>IF(AY36&lt;=#REF!,#REF!,IF(AY36&lt;=#REF!,#REF!,IF(AY36&lt;=#REF!,#REF!,IF(AY36&lt;=#REF!,#REF!,IF(AY36&lt;=#REF!,#REF!,IF(AY36&lt;=#REF!,#REF!,IF(AY36&lt;=#REF!,#REF!,0.05)))))))</f>
        <v/>
      </c>
      <c r="BJ36" s="2193">
        <f>BI36*AY36</f>
        <v/>
      </c>
      <c r="BK36" s="1051" t="n"/>
      <c r="BL36" s="1051">
        <f>IF(BB36&lt;=#REF!,#REF!,IF(BB36&lt;=#REF!,#REF!,IF(BB36&lt;=#REF!,#REF!,IF(BB36&lt;=#REF!,#REF!,IF(BB36&lt;=#REF!,#REF!,IF(BB36&lt;=#REF!,#REF!,IF(BB36&lt;=#REF!,#REF!,0.05)))))))</f>
        <v/>
      </c>
      <c r="BM36" s="2193">
        <f>BL36*BB36</f>
        <v/>
      </c>
      <c r="BN36" s="1051" t="n"/>
      <c r="BO36" s="1051">
        <f>IF(BE36&lt;=#REF!,#REF!,IF(BE36&lt;=#REF!,#REF!,IF(BE36&lt;=#REF!,#REF!,IF(BE36&lt;=#REF!,#REF!,IF(BE36&lt;=#REF!,#REF!,IF(BE36&lt;=#REF!,#REF!,IF(BE36&lt;=#REF!,#REF!,0.05)))))))</f>
        <v/>
      </c>
      <c r="BP36" s="2193">
        <f>BO36*SUM(BM36,BJ36,BE36)</f>
        <v/>
      </c>
      <c r="BQ36" s="1051" t="n"/>
      <c r="BR36" s="2194">
        <f>IF(BH36&lt;=#REF!,#REF!,IF(BH36&lt;=#REF!,#REF!,IF(BH36&lt;=#REF!,#REF!,IF(BH36&lt;=#REF!,#REF!,IF(BH36&lt;=#REF!,#REF!,IF(BH36&lt;=#REF!,#REF!,IF(BH36&lt;=#REF!,#REF!,0.05)))))))</f>
        <v/>
      </c>
      <c r="BS36" s="2193">
        <f>BR36*BH36</f>
        <v/>
      </c>
      <c r="BU36" s="1932">
        <f>0.07*SUM(BE36,BJ36,BM36,BP36,BS36)</f>
        <v/>
      </c>
      <c r="BW36" s="1932">
        <f>SUM(BU36,BS36,BP36,BM36,BJ36,BE36)</f>
        <v/>
      </c>
      <c r="BX36" s="1933">
        <f>SUM(BS36,BP36,BM36,BJ36)</f>
        <v/>
      </c>
      <c r="BY36" s="1051">
        <f>BX36/BW36</f>
        <v/>
      </c>
      <c r="CO36" s="2193" t="n">
        <v>27000</v>
      </c>
      <c r="CP36" s="2193" t="n"/>
      <c r="CQ36" s="2193" t="n"/>
      <c r="CR36" s="2193">
        <f>CO36</f>
        <v/>
      </c>
      <c r="CS36" s="2193" t="n"/>
      <c r="CT36" s="2193" t="n"/>
      <c r="CU36" s="2193">
        <f>CO36+CR36</f>
        <v/>
      </c>
      <c r="CV36" s="2193" t="n"/>
      <c r="CW36" s="2193" t="n"/>
      <c r="CX36" s="2193">
        <f>CU36</f>
        <v/>
      </c>
      <c r="CY36" s="1051">
        <f>IF(CO36&lt;=BQ$6,BP$6,IF(CO36&lt;=BQ$7,BP$7,IF(CO36&lt;=BQ$8,BP$8,IF(CO36&lt;=BQ$9,BP$9,IF(CO36&lt;=BQ$14,BP$14,IF(CO36&lt;=BQ$15,BP$15,IF(CO36&lt;=BQ$16,BP$16,0.05)))))))</f>
        <v/>
      </c>
      <c r="CZ36" s="2193">
        <f>CY36*CO36</f>
        <v/>
      </c>
      <c r="DA36" s="1051" t="n"/>
      <c r="DB36" s="1051">
        <f>IF(CR36&lt;=BT$6,BS$6,IF(CR36&lt;=BT$7,BS$7,IF(CR36&lt;=BT$8,BS$8,IF(CR36&lt;=BT$9,BS$9,IF(CR36&lt;=BT$14,BS$14,IF(CR36&lt;=BT$15,BS$15,IF(CR36&lt;=BT$16,BS$16,0.05)))))))</f>
        <v/>
      </c>
      <c r="DC36" s="2193">
        <f>DB36*CR36</f>
        <v/>
      </c>
      <c r="DD36" s="1051" t="n"/>
      <c r="DE36" s="1051">
        <f>IF(CU36&lt;=BW$6,BV$6,IF(CU36&lt;=BW$7,BV$7,IF(CU36&lt;=BW$8,BV$8,IF(CU36&lt;=BW$9,BV$9,IF(CU36&lt;=BW$14,BV$14,IF(CU36&lt;=BW$15,BV$15,IF(CU36&lt;=BW$16,BV$16,0.05)))))))</f>
        <v/>
      </c>
      <c r="DF36" s="2193">
        <f>DE36*SUM(DC36,CZ36,CU36)</f>
        <v/>
      </c>
      <c r="DG36" s="1051" t="n"/>
      <c r="DH36" s="2194">
        <f>IF(CX36&lt;=BZ$6,BY$6,IF(CX36&lt;=BZ$7,BY$7,IF(CX36&lt;=BZ$8,BY$8,IF(CX36&lt;=BZ$9,BY$9,IF(CX36&lt;=BZ$14,BY$14,IF(CX36&lt;=BZ$15,BY$15,IF(CX36&lt;=BZ$16,BY$16,0.05)))))))</f>
        <v/>
      </c>
      <c r="DI36" s="2193">
        <f>DH36*CX36</f>
        <v/>
      </c>
      <c r="DK36" s="1932">
        <f>0.07*SUM(CU36,CZ36,DC36,DF36,DI36)</f>
        <v/>
      </c>
      <c r="DM36" s="1932">
        <f>SUM(DK36,DI36,DF36,DC36,CZ36,CU36)</f>
        <v/>
      </c>
      <c r="DN36" s="1933">
        <f>SUM(DI36,DF36,DC36,CZ36)</f>
        <v/>
      </c>
      <c r="DO36" s="1051">
        <f>DN36/DM36</f>
        <v/>
      </c>
    </row>
    <row r="37" customFormat="1" s="585">
      <c r="A37" s="688" t="n"/>
      <c r="B37" s="2229" t="n"/>
      <c r="C37" s="2230" t="n"/>
      <c r="D37" s="1985" t="n"/>
      <c r="E37" s="1986">
        <f>B37*D37</f>
        <v/>
      </c>
      <c r="F37" s="600" t="n"/>
      <c r="G37" s="600" t="n"/>
      <c r="H37" s="714" t="inlineStr">
        <is>
          <t>[280 = USG 1/8"]</t>
        </is>
      </c>
      <c r="I37" s="1617" t="inlineStr">
        <is>
          <t>[Formulated = 448]</t>
        </is>
      </c>
      <c r="K37" s="633" t="inlineStr">
        <is>
          <t>shipping on mat,primr,iso,tape = 10%</t>
        </is>
      </c>
      <c r="L37" s="2127">
        <f>(ROUNDUP(((SUM(E27:E31,IF(B36&lt;448,(SUM(E35:E37)),0)))*D40),0))</f>
        <v/>
      </c>
      <c r="M37" s="585" t="inlineStr">
        <is>
          <t>159k vs 159,300 Hard Surfaces</t>
        </is>
      </c>
      <c r="N37" s="1947" t="inlineStr">
        <is>
          <t>1/8"</t>
        </is>
      </c>
      <c r="O37" s="1012" t="inlineStr">
        <is>
          <t>SAM-N12   (1/8")</t>
        </is>
      </c>
      <c r="P37" s="2231">
        <f>Q37*R37</f>
        <v/>
      </c>
      <c r="Q37" s="1014" t="n">
        <v>494</v>
      </c>
      <c r="R37" s="2232" t="n">
        <v>0.48</v>
      </c>
      <c r="S37" s="2223" t="inlineStr">
        <is>
          <t>Bag Price (2500)</t>
        </is>
      </c>
      <c r="T37" s="2135" t="n">
        <v>14.08</v>
      </c>
      <c r="U37" s="1519" t="inlineStr">
        <is>
          <t>-or- (3500)</t>
        </is>
      </c>
      <c r="V37" s="1928" t="n">
        <v>18.6</v>
      </c>
      <c r="AY37" s="2193" t="n">
        <v>28000</v>
      </c>
      <c r="AZ37" s="2193" t="n"/>
      <c r="BA37" s="2193" t="n"/>
      <c r="BB37" s="2193">
        <f>AY37</f>
        <v/>
      </c>
      <c r="BC37" s="2193" t="n"/>
      <c r="BD37" s="2193" t="n"/>
      <c r="BE37" s="2193">
        <f>AY37+BB37</f>
        <v/>
      </c>
      <c r="BF37" s="2193" t="n"/>
      <c r="BG37" s="2193" t="n"/>
      <c r="BH37" s="2193">
        <f>BE37</f>
        <v/>
      </c>
      <c r="BI37" s="1051">
        <f>IF(AY37&lt;=#REF!,#REF!,IF(AY37&lt;=#REF!,#REF!,IF(AY37&lt;=#REF!,#REF!,IF(AY37&lt;=#REF!,#REF!,IF(AY37&lt;=#REF!,#REF!,IF(AY37&lt;=#REF!,#REF!,IF(AY37&lt;=#REF!,#REF!,0.05)))))))</f>
        <v/>
      </c>
      <c r="BJ37" s="2193">
        <f>BI37*AY37</f>
        <v/>
      </c>
      <c r="BK37" s="1051" t="n"/>
      <c r="BL37" s="1051">
        <f>IF(BB37&lt;=#REF!,#REF!,IF(BB37&lt;=#REF!,#REF!,IF(BB37&lt;=#REF!,#REF!,IF(BB37&lt;=#REF!,#REF!,IF(BB37&lt;=#REF!,#REF!,IF(BB37&lt;=#REF!,#REF!,IF(BB37&lt;=#REF!,#REF!,0.05)))))))</f>
        <v/>
      </c>
      <c r="BM37" s="2193">
        <f>BL37*BB37</f>
        <v/>
      </c>
      <c r="BN37" s="1051" t="n"/>
      <c r="BO37" s="1051">
        <f>IF(BE37&lt;=#REF!,#REF!,IF(BE37&lt;=#REF!,#REF!,IF(BE37&lt;=#REF!,#REF!,IF(BE37&lt;=#REF!,#REF!,IF(BE37&lt;=#REF!,#REF!,IF(BE37&lt;=#REF!,#REF!,IF(BE37&lt;=#REF!,#REF!,0.05)))))))</f>
        <v/>
      </c>
      <c r="BP37" s="2193">
        <f>BO37*SUM(BM37,BJ37,BE37)</f>
        <v/>
      </c>
      <c r="BQ37" s="1051" t="n"/>
      <c r="BR37" s="2194">
        <f>IF(BH37&lt;=#REF!,#REF!,IF(BH37&lt;=#REF!,#REF!,IF(BH37&lt;=#REF!,#REF!,IF(BH37&lt;=#REF!,#REF!,IF(BH37&lt;=#REF!,#REF!,IF(BH37&lt;=#REF!,#REF!,IF(BH37&lt;=#REF!,#REF!,0.05)))))))</f>
        <v/>
      </c>
      <c r="BS37" s="2193">
        <f>BR37*BH37</f>
        <v/>
      </c>
      <c r="BU37" s="1932">
        <f>0.07*SUM(BE37,BJ37,BM37,BP37,BS37)</f>
        <v/>
      </c>
      <c r="BW37" s="1932">
        <f>SUM(BU37,BS37,BP37,BM37,BJ37,BE37)</f>
        <v/>
      </c>
      <c r="BX37" s="1933">
        <f>SUM(BS37,BP37,BM37,BJ37)</f>
        <v/>
      </c>
      <c r="BY37" s="1051">
        <f>BX37/BW37</f>
        <v/>
      </c>
      <c r="CO37" s="2193" t="n">
        <v>28000</v>
      </c>
      <c r="CP37" s="2193" t="n"/>
      <c r="CQ37" s="2193" t="n"/>
      <c r="CR37" s="2193">
        <f>CO37</f>
        <v/>
      </c>
      <c r="CS37" s="2193" t="n"/>
      <c r="CT37" s="2193" t="n"/>
      <c r="CU37" s="2193">
        <f>CO37+CR37</f>
        <v/>
      </c>
      <c r="CV37" s="2193" t="n"/>
      <c r="CW37" s="2193" t="n"/>
      <c r="CX37" s="2193">
        <f>CU37</f>
        <v/>
      </c>
      <c r="CY37" s="1051">
        <f>IF(CO37&lt;=BQ$6,BP$6,IF(CO37&lt;=BQ$7,BP$7,IF(CO37&lt;=BQ$8,BP$8,IF(CO37&lt;=BQ$9,BP$9,IF(CO37&lt;=BQ$14,BP$14,IF(CO37&lt;=BQ$15,BP$15,IF(CO37&lt;=BQ$16,BP$16,0.05)))))))</f>
        <v/>
      </c>
      <c r="CZ37" s="2193">
        <f>CY37*CO37</f>
        <v/>
      </c>
      <c r="DA37" s="1051" t="n"/>
      <c r="DB37" s="1051">
        <f>IF(CR37&lt;=BT$6,BS$6,IF(CR37&lt;=BT$7,BS$7,IF(CR37&lt;=BT$8,BS$8,IF(CR37&lt;=BT$9,BS$9,IF(CR37&lt;=BT$14,BS$14,IF(CR37&lt;=BT$15,BS$15,IF(CR37&lt;=BT$16,BS$16,0.05)))))))</f>
        <v/>
      </c>
      <c r="DC37" s="2193">
        <f>DB37*CR37</f>
        <v/>
      </c>
      <c r="DD37" s="1051" t="n"/>
      <c r="DE37" s="1051">
        <f>IF(CU37&lt;=BW$6,BV$6,IF(CU37&lt;=BW$7,BV$7,IF(CU37&lt;=BW$8,BV$8,IF(CU37&lt;=BW$9,BV$9,IF(CU37&lt;=BW$14,BV$14,IF(CU37&lt;=BW$15,BV$15,IF(CU37&lt;=BW$16,BV$16,0.05)))))))</f>
        <v/>
      </c>
      <c r="DF37" s="2193">
        <f>DE37*SUM(DC37,CZ37,CU37)</f>
        <v/>
      </c>
      <c r="DG37" s="1051" t="n"/>
      <c r="DH37" s="2194">
        <f>IF(CX37&lt;=BZ$6,BY$6,IF(CX37&lt;=BZ$7,BY$7,IF(CX37&lt;=BZ$8,BY$8,IF(CX37&lt;=BZ$9,BY$9,IF(CX37&lt;=BZ$14,BY$14,IF(CX37&lt;=BZ$15,BY$15,IF(CX37&lt;=BZ$16,BY$16,0.05)))))))</f>
        <v/>
      </c>
      <c r="DI37" s="2193">
        <f>DH37*CX37</f>
        <v/>
      </c>
      <c r="DK37" s="1932">
        <f>0.07*SUM(CU37,CZ37,DC37,DF37,DI37)</f>
        <v/>
      </c>
      <c r="DM37" s="1932">
        <f>SUM(DK37,DI37,DF37,DC37,CZ37,CU37)</f>
        <v/>
      </c>
      <c r="DN37" s="1933">
        <f>SUM(DI37,DF37,DC37,CZ37)</f>
        <v/>
      </c>
      <c r="DO37" s="1051">
        <f>DN37/DM37</f>
        <v/>
      </c>
    </row>
    <row r="38" ht="16.05" customFormat="1" customHeight="1" s="585">
      <c r="A38" s="1783" t="inlineStr">
        <is>
          <t>Material Sub Total</t>
        </is>
      </c>
      <c r="B38" s="1533" t="n"/>
      <c r="C38" s="2166" t="n"/>
      <c r="D38" s="2166" t="n"/>
      <c r="E38" s="1987">
        <f>ROUNDUP(SUM(E20:E37),0)</f>
        <v/>
      </c>
      <c r="F38" s="600" t="n"/>
      <c r="G38" s="600" t="n"/>
      <c r="H38" s="714" t="inlineStr">
        <is>
          <t>[208 = USG 1/4" +]</t>
        </is>
      </c>
      <c r="I38" s="793" t="inlineStr">
        <is>
          <t>[260 = USG 3/16"]</t>
        </is>
      </c>
      <c r="K38" s="633" t="inlineStr">
        <is>
          <t>combined=</t>
        </is>
      </c>
      <c r="L38" s="2135">
        <f>SUM(L36:L37)</f>
        <v/>
      </c>
      <c r="N38" s="1947" t="inlineStr">
        <is>
          <t>1/4"</t>
        </is>
      </c>
      <c r="O38" s="1016" t="inlineStr">
        <is>
          <t>SAM-N25   (1/4")</t>
        </is>
      </c>
      <c r="P38" s="2233">
        <f>Q38*R38</f>
        <v/>
      </c>
      <c r="Q38" s="1018" t="n">
        <v>445</v>
      </c>
      <c r="R38" s="2234" t="n">
        <v>0.55</v>
      </c>
      <c r="S38" s="633" t="inlineStr">
        <is>
          <t>Wood Primer</t>
        </is>
      </c>
      <c r="T38" s="2235">
        <f>108/5</f>
        <v/>
      </c>
      <c r="U38" s="585" t="inlineStr">
        <is>
          <t xml:space="preserve">($108 /5 gal) -or- ($891 /Drum </t>
        </is>
      </c>
      <c r="W38" s="840" t="inlineStr">
        <is>
          <t>x gallons ???)</t>
        </is>
      </c>
      <c r="AY38" s="2193" t="n">
        <v>29000</v>
      </c>
      <c r="AZ38" s="2193" t="n"/>
      <c r="BA38" s="2193" t="n"/>
      <c r="BB38" s="2193">
        <f>AY38</f>
        <v/>
      </c>
      <c r="BC38" s="2193" t="n"/>
      <c r="BD38" s="2193" t="n"/>
      <c r="BE38" s="2193">
        <f>AY38+BB38</f>
        <v/>
      </c>
      <c r="BF38" s="2193" t="n"/>
      <c r="BG38" s="2193" t="n"/>
      <c r="BH38" s="2193">
        <f>BE38</f>
        <v/>
      </c>
      <c r="BI38" s="1051">
        <f>IF(AY38&lt;=#REF!,#REF!,IF(AY38&lt;=#REF!,#REF!,IF(AY38&lt;=#REF!,#REF!,IF(AY38&lt;=#REF!,#REF!,IF(AY38&lt;=#REF!,#REF!,IF(AY38&lt;=#REF!,#REF!,IF(AY38&lt;=#REF!,#REF!,0.05)))))))</f>
        <v/>
      </c>
      <c r="BJ38" s="2193">
        <f>BI38*AY38</f>
        <v/>
      </c>
      <c r="BK38" s="1051" t="n"/>
      <c r="BL38" s="1051">
        <f>IF(BB38&lt;=#REF!,#REF!,IF(BB38&lt;=#REF!,#REF!,IF(BB38&lt;=#REF!,#REF!,IF(BB38&lt;=#REF!,#REF!,IF(BB38&lt;=#REF!,#REF!,IF(BB38&lt;=#REF!,#REF!,IF(BB38&lt;=#REF!,#REF!,0.05)))))))</f>
        <v/>
      </c>
      <c r="BM38" s="2193">
        <f>BL38*BB38</f>
        <v/>
      </c>
      <c r="BN38" s="1051" t="n"/>
      <c r="BO38" s="1051">
        <f>IF(BE38&lt;=#REF!,#REF!,IF(BE38&lt;=#REF!,#REF!,IF(BE38&lt;=#REF!,#REF!,IF(BE38&lt;=#REF!,#REF!,IF(BE38&lt;=#REF!,#REF!,IF(BE38&lt;=#REF!,#REF!,IF(BE38&lt;=#REF!,#REF!,0.05)))))))</f>
        <v/>
      </c>
      <c r="BP38" s="2193">
        <f>BO38*SUM(BM38,BJ38,BE38)</f>
        <v/>
      </c>
      <c r="BQ38" s="1051" t="n"/>
      <c r="BR38" s="2194">
        <f>IF(BH38&lt;=#REF!,#REF!,IF(BH38&lt;=#REF!,#REF!,IF(BH38&lt;=#REF!,#REF!,IF(BH38&lt;=#REF!,#REF!,IF(BH38&lt;=#REF!,#REF!,IF(BH38&lt;=#REF!,#REF!,IF(BH38&lt;=#REF!,#REF!,0.05)))))))</f>
        <v/>
      </c>
      <c r="BS38" s="2193">
        <f>BR38*BH38</f>
        <v/>
      </c>
      <c r="BU38" s="1932">
        <f>0.07*SUM(BE38,BJ38,BM38,BP38,BS38)</f>
        <v/>
      </c>
      <c r="BW38" s="1932">
        <f>SUM(BU38,BS38,BP38,BM38,BJ38,BE38)</f>
        <v/>
      </c>
      <c r="BX38" s="1933">
        <f>SUM(BS38,BP38,BM38,BJ38)</f>
        <v/>
      </c>
      <c r="BY38" s="1051">
        <f>BX38/BW38</f>
        <v/>
      </c>
      <c r="CO38" s="2193" t="n">
        <v>29000</v>
      </c>
      <c r="CP38" s="2193" t="n"/>
      <c r="CQ38" s="2193" t="n"/>
      <c r="CR38" s="2193">
        <f>CO38</f>
        <v/>
      </c>
      <c r="CS38" s="2193" t="n"/>
      <c r="CT38" s="2193" t="n"/>
      <c r="CU38" s="2193">
        <f>CO38+CR38</f>
        <v/>
      </c>
      <c r="CV38" s="2193" t="n"/>
      <c r="CW38" s="2193" t="n"/>
      <c r="CX38" s="2193">
        <f>CU38</f>
        <v/>
      </c>
      <c r="CY38" s="1051">
        <f>IF(CO38&lt;=BQ$6,BP$6,IF(CO38&lt;=BQ$7,BP$7,IF(CO38&lt;=BQ$8,BP$8,IF(CO38&lt;=BQ$9,BP$9,IF(CO38&lt;=BQ$14,BP$14,IF(CO38&lt;=BQ$15,BP$15,IF(CO38&lt;=BQ$16,BP$16,0.05)))))))</f>
        <v/>
      </c>
      <c r="CZ38" s="2193">
        <f>CY38*CO38</f>
        <v/>
      </c>
      <c r="DA38" s="1051" t="n"/>
      <c r="DB38" s="1051">
        <f>IF(CR38&lt;=BT$6,BS$6,IF(CR38&lt;=BT$7,BS$7,IF(CR38&lt;=BT$8,BS$8,IF(CR38&lt;=BT$9,BS$9,IF(CR38&lt;=BT$14,BS$14,IF(CR38&lt;=BT$15,BS$15,IF(CR38&lt;=BT$16,BS$16,0.05)))))))</f>
        <v/>
      </c>
      <c r="DC38" s="2193">
        <f>DB38*CR38</f>
        <v/>
      </c>
      <c r="DD38" s="1051" t="n"/>
      <c r="DE38" s="1051">
        <f>IF(CU38&lt;=BW$6,BV$6,IF(CU38&lt;=BW$7,BV$7,IF(CU38&lt;=BW$8,BV$8,IF(CU38&lt;=BW$9,BV$9,IF(CU38&lt;=BW$14,BV$14,IF(CU38&lt;=BW$15,BV$15,IF(CU38&lt;=BW$16,BV$16,0.05)))))))</f>
        <v/>
      </c>
      <c r="DF38" s="2193">
        <f>DE38*SUM(DC38,CZ38,CU38)</f>
        <v/>
      </c>
      <c r="DG38" s="1051" t="n"/>
      <c r="DH38" s="2194">
        <f>IF(CX38&lt;=BZ$6,BY$6,IF(CX38&lt;=BZ$7,BY$7,IF(CX38&lt;=BZ$8,BY$8,IF(CX38&lt;=BZ$9,BY$9,IF(CX38&lt;=BZ$14,BY$14,IF(CX38&lt;=BZ$15,BY$15,IF(CX38&lt;=BZ$16,BY$16,0.05)))))))</f>
        <v/>
      </c>
      <c r="DI38" s="2193">
        <f>DH38*CX38</f>
        <v/>
      </c>
      <c r="DK38" s="1932">
        <f>0.07*SUM(CU38,CZ38,DC38,DF38,DI38)</f>
        <v/>
      </c>
      <c r="DM38" s="1932">
        <f>SUM(DK38,DI38,DF38,DC38,CZ38,CU38)</f>
        <v/>
      </c>
      <c r="DN38" s="1933">
        <f>SUM(DI38,DF38,DC38,CZ38)</f>
        <v/>
      </c>
      <c r="DO38" s="1051">
        <f>DN38/DM38</f>
        <v/>
      </c>
    </row>
    <row r="39" customFormat="1" s="585">
      <c r="A39" s="1418" t="inlineStr">
        <is>
          <t>Material Escalation</t>
        </is>
      </c>
      <c r="B39" s="1417" t="n">
        <v>0.08</v>
      </c>
      <c r="C39" s="2236" t="n"/>
      <c r="D39" s="2237" t="n"/>
      <c r="E39" s="2238">
        <f>ROUNDUP(SUM(E23:E31,E35:E37)*B39,0)</f>
        <v/>
      </c>
      <c r="F39" s="1416" t="inlineStr">
        <is>
          <t>escalation for gyp, extras + mat</t>
        </is>
      </c>
      <c r="G39" s="600" t="n"/>
      <c r="H39" s="1876" t="n"/>
      <c r="K39" s="674" t="inlineStr">
        <is>
          <t>(**none on sand**)</t>
        </is>
      </c>
      <c r="L39" s="700" t="n"/>
      <c r="M39" s="700" t="n"/>
      <c r="N39" s="1947" t="inlineStr">
        <is>
          <t>3/8"</t>
        </is>
      </c>
      <c r="O39" s="1020" t="inlineStr">
        <is>
          <t>SAM-N40    (3/8")</t>
        </is>
      </c>
      <c r="P39" s="2239">
        <f>Q39*R39</f>
        <v/>
      </c>
      <c r="Q39" s="1021" t="n">
        <v>330</v>
      </c>
      <c r="R39" s="2240" t="n">
        <v>0.65</v>
      </c>
      <c r="S39" s="633" t="inlineStr">
        <is>
          <t>Iso</t>
        </is>
      </c>
      <c r="T39" s="2235" t="n">
        <v>25</v>
      </c>
      <c r="U39" s="840" t="inlineStr">
        <is>
          <t>ISO ??? Which one ??</t>
        </is>
      </c>
      <c r="V39" s="840" t="n"/>
      <c r="AY39" s="2193" t="n">
        <v>30000</v>
      </c>
      <c r="AZ39" s="2193" t="n"/>
      <c r="BA39" s="2193" t="n"/>
      <c r="BB39" s="2193">
        <f>AY39</f>
        <v/>
      </c>
      <c r="BC39" s="2193" t="n"/>
      <c r="BD39" s="2193" t="n"/>
      <c r="BE39" s="2193">
        <f>AY39+BB39</f>
        <v/>
      </c>
      <c r="BF39" s="2193" t="n"/>
      <c r="BG39" s="2193" t="n"/>
      <c r="BH39" s="2193">
        <f>BE39</f>
        <v/>
      </c>
      <c r="BI39" s="1051">
        <f>IF(AY39&lt;=#REF!,#REF!,IF(AY39&lt;=#REF!,#REF!,IF(AY39&lt;=#REF!,#REF!,IF(AY39&lt;=#REF!,#REF!,IF(AY39&lt;=#REF!,#REF!,IF(AY39&lt;=#REF!,#REF!,IF(AY39&lt;=#REF!,#REF!,0.05)))))))</f>
        <v/>
      </c>
      <c r="BJ39" s="2193">
        <f>BI39*AY39</f>
        <v/>
      </c>
      <c r="BK39" s="1051" t="n"/>
      <c r="BL39" s="1051">
        <f>IF(BB39&lt;=#REF!,#REF!,IF(BB39&lt;=#REF!,#REF!,IF(BB39&lt;=#REF!,#REF!,IF(BB39&lt;=#REF!,#REF!,IF(BB39&lt;=#REF!,#REF!,IF(BB39&lt;=#REF!,#REF!,IF(BB39&lt;=#REF!,#REF!,0.05)))))))</f>
        <v/>
      </c>
      <c r="BM39" s="2193">
        <f>BL39*BB39</f>
        <v/>
      </c>
      <c r="BN39" s="1051" t="n"/>
      <c r="BO39" s="1051">
        <f>IF(BE39&lt;=#REF!,#REF!,IF(BE39&lt;=#REF!,#REF!,IF(BE39&lt;=#REF!,#REF!,IF(BE39&lt;=#REF!,#REF!,IF(BE39&lt;=#REF!,#REF!,IF(BE39&lt;=#REF!,#REF!,IF(BE39&lt;=#REF!,#REF!,0.05)))))))</f>
        <v/>
      </c>
      <c r="BP39" s="2193">
        <f>BO39*SUM(BM39,BJ39,BE39)</f>
        <v/>
      </c>
      <c r="BQ39" s="1051" t="n"/>
      <c r="BR39" s="2194">
        <f>IF(BH39&lt;=#REF!,#REF!,IF(BH39&lt;=#REF!,#REF!,IF(BH39&lt;=#REF!,#REF!,IF(BH39&lt;=#REF!,#REF!,IF(BH39&lt;=#REF!,#REF!,IF(BH39&lt;=#REF!,#REF!,IF(BH39&lt;=#REF!,#REF!,0.05)))))))</f>
        <v/>
      </c>
      <c r="BS39" s="2193">
        <f>BR39*BH39</f>
        <v/>
      </c>
      <c r="BU39" s="1932">
        <f>0.07*SUM(BE39,BJ39,BM39,BP39,BS39)</f>
        <v/>
      </c>
      <c r="BW39" s="1932">
        <f>SUM(BU39,BS39,BP39,BM39,BJ39,BE39)</f>
        <v/>
      </c>
      <c r="BX39" s="1933">
        <f>SUM(BS39,BP39,BM39,BJ39)</f>
        <v/>
      </c>
      <c r="BY39" s="1051">
        <f>BX39/BW39</f>
        <v/>
      </c>
      <c r="CO39" s="2193" t="n">
        <v>30000</v>
      </c>
      <c r="CP39" s="2193" t="n"/>
      <c r="CQ39" s="2193" t="n"/>
      <c r="CR39" s="2193">
        <f>CO39</f>
        <v/>
      </c>
      <c r="CS39" s="2193" t="n"/>
      <c r="CT39" s="2193" t="n"/>
      <c r="CU39" s="2193">
        <f>CO39+CR39</f>
        <v/>
      </c>
      <c r="CV39" s="2193" t="n"/>
      <c r="CW39" s="2193" t="n"/>
      <c r="CX39" s="2193">
        <f>CU39</f>
        <v/>
      </c>
      <c r="CY39" s="1051">
        <f>IF(CO39&lt;=BQ$6,BP$6,IF(CO39&lt;=BQ$7,BP$7,IF(CO39&lt;=BQ$8,BP$8,IF(CO39&lt;=BQ$9,BP$9,IF(CO39&lt;=BQ$14,BP$14,IF(CO39&lt;=BQ$15,BP$15,IF(CO39&lt;=BQ$16,BP$16,0.05)))))))</f>
        <v/>
      </c>
      <c r="CZ39" s="2193">
        <f>CY39*CO39</f>
        <v/>
      </c>
      <c r="DA39" s="1051" t="n"/>
      <c r="DB39" s="1051">
        <f>IF(CR39&lt;=BT$6,BS$6,IF(CR39&lt;=BT$7,BS$7,IF(CR39&lt;=BT$8,BS$8,IF(CR39&lt;=BT$9,BS$9,IF(CR39&lt;=BT$14,BS$14,IF(CR39&lt;=BT$15,BS$15,IF(CR39&lt;=BT$16,BS$16,0.05)))))))</f>
        <v/>
      </c>
      <c r="DC39" s="2193">
        <f>DB39*CR39</f>
        <v/>
      </c>
      <c r="DD39" s="1051" t="n"/>
      <c r="DE39" s="1051">
        <f>IF(CU39&lt;=BW$6,BV$6,IF(CU39&lt;=BW$7,BV$7,IF(CU39&lt;=BW$8,BV$8,IF(CU39&lt;=BW$9,BV$9,IF(CU39&lt;=BW$14,BV$14,IF(CU39&lt;=BW$15,BV$15,IF(CU39&lt;=BW$16,BV$16,0.05)))))))</f>
        <v/>
      </c>
      <c r="DF39" s="2193">
        <f>DE39*SUM(DC39,CZ39,CU39)</f>
        <v/>
      </c>
      <c r="DG39" s="1051" t="n"/>
      <c r="DH39" s="2194">
        <f>IF(CX39&lt;=BZ$6,BY$6,IF(CX39&lt;=BZ$7,BY$7,IF(CX39&lt;=BZ$8,BY$8,IF(CX39&lt;=BZ$9,BY$9,IF(CX39&lt;=BZ$14,BY$14,IF(CX39&lt;=BZ$15,BY$15,IF(CX39&lt;=BZ$16,BY$16,0.05)))))))</f>
        <v/>
      </c>
      <c r="DI39" s="2193">
        <f>DH39*CX39</f>
        <v/>
      </c>
      <c r="DK39" s="1932">
        <f>0.07*SUM(CU39,CZ39,DC39,DF39,DI39)</f>
        <v/>
      </c>
      <c r="DM39" s="1932">
        <f>SUM(DK39,DI39,DF39,DC39,CZ39,CU39)</f>
        <v/>
      </c>
      <c r="DN39" s="1933">
        <f>SUM(DI39,DF39,DC39,CZ39)</f>
        <v/>
      </c>
      <c r="DO39" s="1051">
        <f>DN39/DM39</f>
        <v/>
      </c>
    </row>
    <row r="40" ht="16.2" customFormat="1" customHeight="1" s="585" thickBot="1">
      <c r="A40" s="701" t="inlineStr">
        <is>
          <t>Shipping On... Gyp Bags:</t>
        </is>
      </c>
      <c r="B40" s="1059" t="n">
        <v>0.2</v>
      </c>
      <c r="C40" s="1058" t="inlineStr">
        <is>
          <t>... Ship Other:</t>
        </is>
      </c>
      <c r="D40" s="1059" t="n">
        <v>0.1</v>
      </c>
      <c r="E40" s="2168">
        <f>(ROUNDUP(SUM(E20:E26)*B40,0))+(ROUNDUP(((SUM(E27:E31,IF(B36&lt;H36,(SUM(E35:E37)),0)))*D40),0))</f>
        <v/>
      </c>
      <c r="F40" s="1060" t="inlineStr">
        <is>
          <t>Shipping: 20% on gyp bags, 10% on primer, iso, tape, mat (none on sand)</t>
        </is>
      </c>
      <c r="G40" s="1061" t="n"/>
      <c r="H40" s="1062" t="n"/>
      <c r="I40" s="1023" t="inlineStr">
        <is>
          <t>Material Budget</t>
        </is>
      </c>
      <c r="J40" s="707" t="n"/>
      <c r="N40" s="2241" t="inlineStr">
        <is>
          <t>3/16"</t>
        </is>
      </c>
      <c r="O40" s="1641" t="inlineStr">
        <is>
          <t>SAM-N12 ULTRA  (3/16")</t>
        </is>
      </c>
      <c r="P40" s="2242">
        <f>Q40*R40</f>
        <v/>
      </c>
      <c r="Q40" s="1643" t="n">
        <v>369</v>
      </c>
      <c r="R40" s="2243" t="n">
        <v>0.64</v>
      </c>
      <c r="S40" s="874" t="n"/>
      <c r="T40" s="874" t="n"/>
      <c r="U40" s="874" t="n"/>
      <c r="V40" s="874" t="n"/>
      <c r="AY40" s="2193" t="n">
        <v>31000</v>
      </c>
      <c r="AZ40" s="2193" t="n"/>
      <c r="BA40" s="2193" t="n"/>
      <c r="BB40" s="2193">
        <f>AY40</f>
        <v/>
      </c>
      <c r="BC40" s="2193" t="n"/>
      <c r="BD40" s="2193" t="n"/>
      <c r="BE40" s="2193">
        <f>AY40+BB40</f>
        <v/>
      </c>
      <c r="BF40" s="2193" t="n"/>
      <c r="BG40" s="2193" t="n"/>
      <c r="BH40" s="2193">
        <f>BE40</f>
        <v/>
      </c>
      <c r="BI40" s="1051">
        <f>IF(AY40&lt;=#REF!,#REF!,IF(AY40&lt;=#REF!,#REF!,IF(AY40&lt;=#REF!,#REF!,IF(AY40&lt;=#REF!,#REF!,IF(AY40&lt;=#REF!,#REF!,IF(AY40&lt;=#REF!,#REF!,IF(AY40&lt;=#REF!,#REF!,0.05)))))))</f>
        <v/>
      </c>
      <c r="BJ40" s="2193">
        <f>BI40*AY40</f>
        <v/>
      </c>
      <c r="BK40" s="1051" t="n"/>
      <c r="BL40" s="1051">
        <f>IF(BB40&lt;=#REF!,#REF!,IF(BB40&lt;=#REF!,#REF!,IF(BB40&lt;=#REF!,#REF!,IF(BB40&lt;=#REF!,#REF!,IF(BB40&lt;=#REF!,#REF!,IF(BB40&lt;=#REF!,#REF!,IF(BB40&lt;=#REF!,#REF!,0.05)))))))</f>
        <v/>
      </c>
      <c r="BM40" s="2193">
        <f>BL40*BB40</f>
        <v/>
      </c>
      <c r="BN40" s="1051" t="n"/>
      <c r="BO40" s="1051">
        <f>IF(BE40&lt;=#REF!,#REF!,IF(BE40&lt;=#REF!,#REF!,IF(BE40&lt;=#REF!,#REF!,IF(BE40&lt;=#REF!,#REF!,IF(BE40&lt;=#REF!,#REF!,IF(BE40&lt;=#REF!,#REF!,IF(BE40&lt;=#REF!,#REF!,0.05)))))))</f>
        <v/>
      </c>
      <c r="BP40" s="2193">
        <f>BO40*SUM(BM40,BJ40,BE40)</f>
        <v/>
      </c>
      <c r="BQ40" s="1051" t="n"/>
      <c r="BR40" s="2194">
        <f>IF(BH40&lt;=#REF!,#REF!,IF(BH40&lt;=#REF!,#REF!,IF(BH40&lt;=#REF!,#REF!,IF(BH40&lt;=#REF!,#REF!,IF(BH40&lt;=#REF!,#REF!,IF(BH40&lt;=#REF!,#REF!,IF(BH40&lt;=#REF!,#REF!,0.05)))))))</f>
        <v/>
      </c>
      <c r="BS40" s="2193">
        <f>BR40*BH40</f>
        <v/>
      </c>
      <c r="BU40" s="1932">
        <f>0.07*SUM(BE40,BJ40,BM40,BP40,BS40)</f>
        <v/>
      </c>
      <c r="BW40" s="1932">
        <f>SUM(BU40,BS40,BP40,BM40,BJ40,BE40)</f>
        <v/>
      </c>
      <c r="BX40" s="1933">
        <f>SUM(BS40,BP40,BM40,BJ40)</f>
        <v/>
      </c>
      <c r="BY40" s="1051">
        <f>BX40/BW40</f>
        <v/>
      </c>
      <c r="CO40" s="2193" t="n">
        <v>31000</v>
      </c>
      <c r="CP40" s="2193" t="n"/>
      <c r="CQ40" s="2193" t="n"/>
      <c r="CR40" s="2193">
        <f>CO40</f>
        <v/>
      </c>
      <c r="CS40" s="2193" t="n"/>
      <c r="CT40" s="2193" t="n"/>
      <c r="CU40" s="2193">
        <f>CO40+CR40</f>
        <v/>
      </c>
      <c r="CV40" s="2193" t="n"/>
      <c r="CW40" s="2193" t="n"/>
      <c r="CX40" s="2193">
        <f>CU40</f>
        <v/>
      </c>
      <c r="CY40" s="1051">
        <f>IF(CO40&lt;=BQ$6,BP$6,IF(CO40&lt;=BQ$7,BP$7,IF(CO40&lt;=BQ$8,BP$8,IF(CO40&lt;=BQ$9,BP$9,IF(CO40&lt;=BQ$14,BP$14,IF(CO40&lt;=BQ$15,BP$15,IF(CO40&lt;=BQ$16,BP$16,0.05)))))))</f>
        <v/>
      </c>
      <c r="CZ40" s="2193">
        <f>CY40*CO40</f>
        <v/>
      </c>
      <c r="DA40" s="1051" t="n"/>
      <c r="DB40" s="1051">
        <f>IF(CR40&lt;=BT$6,BS$6,IF(CR40&lt;=BT$7,BS$7,IF(CR40&lt;=BT$8,BS$8,IF(CR40&lt;=BT$9,BS$9,IF(CR40&lt;=BT$14,BS$14,IF(CR40&lt;=BT$15,BS$15,IF(CR40&lt;=BT$16,BS$16,0.05)))))))</f>
        <v/>
      </c>
      <c r="DC40" s="2193">
        <f>DB40*CR40</f>
        <v/>
      </c>
      <c r="DD40" s="1051" t="n"/>
      <c r="DE40" s="1051">
        <f>IF(CU40&lt;=BW$6,BV$6,IF(CU40&lt;=BW$7,BV$7,IF(CU40&lt;=BW$8,BV$8,IF(CU40&lt;=BW$9,BV$9,IF(CU40&lt;=BW$14,BV$14,IF(CU40&lt;=BW$15,BV$15,IF(CU40&lt;=BW$16,BV$16,0.05)))))))</f>
        <v/>
      </c>
      <c r="DF40" s="2193">
        <f>DE40*SUM(DC40,CZ40,CU40)</f>
        <v/>
      </c>
      <c r="DG40" s="1051" t="n"/>
      <c r="DH40" s="2194">
        <f>IF(CX40&lt;=BZ$6,BY$6,IF(CX40&lt;=BZ$7,BY$7,IF(CX40&lt;=BZ$8,BY$8,IF(CX40&lt;=BZ$9,BY$9,IF(CX40&lt;=BZ$14,BY$14,IF(CX40&lt;=BZ$15,BY$15,IF(CX40&lt;=BZ$16,BY$16,0.05)))))))</f>
        <v/>
      </c>
      <c r="DI40" s="2193">
        <f>DH40*CX40</f>
        <v/>
      </c>
      <c r="DK40" s="1932">
        <f>0.07*SUM(CU40,CZ40,DC40,DF40,DI40)</f>
        <v/>
      </c>
      <c r="DM40" s="1932">
        <f>SUM(DK40,DI40,DF40,DC40,CZ40,CU40)</f>
        <v/>
      </c>
      <c r="DN40" s="1933">
        <f>SUM(DI40,DF40,DC40,CZ40)</f>
        <v/>
      </c>
      <c r="DO40" s="1051">
        <f>DN40/DM40</f>
        <v/>
      </c>
    </row>
    <row r="41" customFormat="1" s="585">
      <c r="A41" s="708" t="inlineStr">
        <is>
          <t>Material Total</t>
        </is>
      </c>
      <c r="B41" s="709" t="n"/>
      <c r="C41" s="1991" t="n"/>
      <c r="D41" s="1991" t="n"/>
      <c r="E41" s="1991">
        <f>SUM(E38:E40)</f>
        <v/>
      </c>
      <c r="F41" s="711">
        <f>E41/B43</f>
        <v/>
      </c>
      <c r="G41" s="712" t="inlineStr">
        <is>
          <t>Material $/SF</t>
        </is>
      </c>
      <c r="H41" s="1944" t="n"/>
      <c r="I41" s="1992">
        <f>E41</f>
        <v/>
      </c>
      <c r="J41" s="1051" t="n"/>
      <c r="K41" s="600" t="n"/>
      <c r="L41" s="600" t="n"/>
      <c r="N41" s="1840" t="n"/>
      <c r="O41" s="1840" t="inlineStr">
        <is>
          <t>GrassWorx $: 10/2026</t>
        </is>
      </c>
      <c r="P41" s="1010" t="inlineStr">
        <is>
          <t xml:space="preserve">Price </t>
        </is>
      </c>
      <c r="Q41" s="1010" t="inlineStr">
        <is>
          <t xml:space="preserve">Sqft per Roll </t>
        </is>
      </c>
      <c r="R41" s="1010" t="inlineStr">
        <is>
          <t xml:space="preserve">$ per Sqft </t>
        </is>
      </c>
      <c r="S41" s="1841" t="inlineStr">
        <is>
          <t>GrassWorx $: Oct 2026 (per email May 1, '26 from Tom Torello &lt;tom.torello@grassworxllc.com&gt; )</t>
        </is>
      </c>
      <c r="T41" s="1841" t="n"/>
      <c r="AY41" s="2193" t="n">
        <v>32000</v>
      </c>
      <c r="AZ41" s="2193" t="n"/>
      <c r="BA41" s="2193" t="n"/>
      <c r="BB41" s="2193">
        <f>AY41</f>
        <v/>
      </c>
      <c r="BC41" s="2193" t="n"/>
      <c r="BD41" s="2193" t="n"/>
      <c r="BE41" s="2193">
        <f>AY41+BB41</f>
        <v/>
      </c>
      <c r="BF41" s="2193" t="n"/>
      <c r="BG41" s="2193" t="n"/>
      <c r="BH41" s="2193">
        <f>BE41</f>
        <v/>
      </c>
      <c r="BI41" s="1051">
        <f>IF(AY41&lt;=#REF!,#REF!,IF(AY41&lt;=#REF!,#REF!,IF(AY41&lt;=#REF!,#REF!,IF(AY41&lt;=#REF!,#REF!,IF(AY41&lt;=#REF!,#REF!,IF(AY41&lt;=#REF!,#REF!,IF(AY41&lt;=#REF!,#REF!,0.05)))))))</f>
        <v/>
      </c>
      <c r="BJ41" s="2193">
        <f>BI41*AY41</f>
        <v/>
      </c>
      <c r="BK41" s="1051" t="n"/>
      <c r="BL41" s="1051">
        <f>IF(BB41&lt;=#REF!,#REF!,IF(BB41&lt;=#REF!,#REF!,IF(BB41&lt;=#REF!,#REF!,IF(BB41&lt;=#REF!,#REF!,IF(BB41&lt;=#REF!,#REF!,IF(BB41&lt;=#REF!,#REF!,IF(BB41&lt;=#REF!,#REF!,0.05)))))))</f>
        <v/>
      </c>
      <c r="BM41" s="2193">
        <f>BL41*BB41</f>
        <v/>
      </c>
      <c r="BN41" s="1051" t="n"/>
      <c r="BO41" s="1051">
        <f>IF(BE41&lt;=#REF!,#REF!,IF(BE41&lt;=#REF!,#REF!,IF(BE41&lt;=#REF!,#REF!,IF(BE41&lt;=#REF!,#REF!,IF(BE41&lt;=#REF!,#REF!,IF(BE41&lt;=#REF!,#REF!,IF(BE41&lt;=#REF!,#REF!,0.05)))))))</f>
        <v/>
      </c>
      <c r="BP41" s="2193">
        <f>BO41*SUM(BM41,BJ41,BE41)</f>
        <v/>
      </c>
      <c r="BQ41" s="1051" t="n"/>
      <c r="BR41" s="2194">
        <f>IF(BH41&lt;=#REF!,#REF!,IF(BH41&lt;=#REF!,#REF!,IF(BH41&lt;=#REF!,#REF!,IF(BH41&lt;=#REF!,#REF!,IF(BH41&lt;=#REF!,#REF!,IF(BH41&lt;=#REF!,#REF!,IF(BH41&lt;=#REF!,#REF!,0.05)))))))</f>
        <v/>
      </c>
      <c r="BS41" s="2193">
        <f>BR41*BH41</f>
        <v/>
      </c>
      <c r="BU41" s="1932">
        <f>0.07*SUM(BE41,BJ41,BM41,BP41,BS41)</f>
        <v/>
      </c>
      <c r="BW41" s="1932">
        <f>SUM(BU41,BS41,BP41,BM41,BJ41,BE41)</f>
        <v/>
      </c>
      <c r="BX41" s="1933">
        <f>SUM(BS41,BP41,BM41,BJ41)</f>
        <v/>
      </c>
      <c r="BY41" s="1051">
        <f>BX41/BW41</f>
        <v/>
      </c>
      <c r="CO41" s="2193" t="n">
        <v>32000</v>
      </c>
      <c r="CP41" s="2193" t="n"/>
      <c r="CQ41" s="2193" t="n"/>
      <c r="CR41" s="2193">
        <f>CO41</f>
        <v/>
      </c>
      <c r="CS41" s="2193" t="n"/>
      <c r="CT41" s="2193" t="n"/>
      <c r="CU41" s="2193">
        <f>CO41+CR41</f>
        <v/>
      </c>
      <c r="CV41" s="2193" t="n"/>
      <c r="CW41" s="2193" t="n"/>
      <c r="CX41" s="2193">
        <f>CU41</f>
        <v/>
      </c>
      <c r="CY41" s="1051">
        <f>IF(CO41&lt;=BQ$6,BP$6,IF(CO41&lt;=BQ$7,BP$7,IF(CO41&lt;=BQ$8,BP$8,IF(CO41&lt;=BQ$9,BP$9,IF(CO41&lt;=BQ$14,BP$14,IF(CO41&lt;=BQ$15,BP$15,IF(CO41&lt;=BQ$16,BP$16,0.05)))))))</f>
        <v/>
      </c>
      <c r="CZ41" s="2193">
        <f>CY41*CO41</f>
        <v/>
      </c>
      <c r="DA41" s="1051" t="n"/>
      <c r="DB41" s="1051">
        <f>IF(CR41&lt;=BT$6,BS$6,IF(CR41&lt;=BT$7,BS$7,IF(CR41&lt;=BT$8,BS$8,IF(CR41&lt;=BT$9,BS$9,IF(CR41&lt;=BT$14,BS$14,IF(CR41&lt;=BT$15,BS$15,IF(CR41&lt;=BT$16,BS$16,0.05)))))))</f>
        <v/>
      </c>
      <c r="DC41" s="2193">
        <f>DB41*CR41</f>
        <v/>
      </c>
      <c r="DD41" s="1051" t="n"/>
      <c r="DE41" s="1051">
        <f>IF(CU41&lt;=BW$6,BV$6,IF(CU41&lt;=BW$7,BV$7,IF(CU41&lt;=BW$8,BV$8,IF(CU41&lt;=BW$9,BV$9,IF(CU41&lt;=BW$14,BV$14,IF(CU41&lt;=BW$15,BV$15,IF(CU41&lt;=BW$16,BV$16,0.05)))))))</f>
        <v/>
      </c>
      <c r="DF41" s="2193">
        <f>DE41*SUM(DC41,CZ41,CU41)</f>
        <v/>
      </c>
      <c r="DG41" s="1051" t="n"/>
      <c r="DH41" s="2194">
        <f>IF(CX41&lt;=BZ$6,BY$6,IF(CX41&lt;=BZ$7,BY$7,IF(CX41&lt;=BZ$8,BY$8,IF(CX41&lt;=BZ$9,BY$9,IF(CX41&lt;=BZ$14,BY$14,IF(CX41&lt;=BZ$15,BY$15,IF(CX41&lt;=BZ$16,BY$16,0.05)))))))</f>
        <v/>
      </c>
      <c r="DI41" s="2193">
        <f>DH41*CX41</f>
        <v/>
      </c>
      <c r="DK41" s="1932">
        <f>0.07*SUM(CU41,CZ41,DC41,DF41,DI41)</f>
        <v/>
      </c>
      <c r="DM41" s="1932">
        <f>SUM(DK41,DI41,DF41,DC41,CZ41,CU41)</f>
        <v/>
      </c>
      <c r="DN41" s="1933">
        <f>SUM(DI41,DF41,DC41,CZ41)</f>
        <v/>
      </c>
      <c r="DO41" s="1051">
        <f>DN41/DM41</f>
        <v/>
      </c>
    </row>
    <row r="42" customFormat="1" s="585">
      <c r="A42" s="834" t="n"/>
      <c r="B42" s="1877" t="n"/>
      <c r="C42" s="1944" t="n"/>
      <c r="D42" s="1944" t="n"/>
      <c r="E42" s="1944" t="n"/>
      <c r="F42" s="600" t="n"/>
      <c r="H42" s="1024" t="n"/>
      <c r="I42" s="600" t="n"/>
      <c r="J42" s="600" t="n"/>
      <c r="N42" s="1947" t="inlineStr">
        <is>
          <t>1/8"</t>
        </is>
      </c>
      <c r="O42" s="1012" t="inlineStr">
        <is>
          <t>SC 190   (1/8")</t>
        </is>
      </c>
      <c r="P42" s="2231">
        <f>Q42*R42</f>
        <v/>
      </c>
      <c r="Q42" s="1014" t="n">
        <v>300</v>
      </c>
      <c r="R42" s="2244">
        <f>0.35+0.04</f>
        <v/>
      </c>
      <c r="S42" s="633" t="n"/>
      <c r="T42" s="2135" t="n"/>
      <c r="U42" s="2135" t="n"/>
      <c r="AY42" s="2193" t="n">
        <v>33000</v>
      </c>
      <c r="AZ42" s="2193" t="n"/>
      <c r="BA42" s="2193" t="n"/>
      <c r="BB42" s="2193">
        <f>AY42</f>
        <v/>
      </c>
      <c r="BC42" s="2193" t="n"/>
      <c r="BD42" s="2193" t="n"/>
      <c r="BE42" s="2193">
        <f>AY42+BB42</f>
        <v/>
      </c>
      <c r="BF42" s="2193" t="n"/>
      <c r="BG42" s="2193" t="n"/>
      <c r="BH42" s="2193">
        <f>BE42</f>
        <v/>
      </c>
      <c r="BI42" s="1051">
        <f>IF(AY42&lt;=#REF!,#REF!,IF(AY42&lt;=#REF!,#REF!,IF(AY42&lt;=#REF!,#REF!,IF(AY42&lt;=#REF!,#REF!,IF(AY42&lt;=#REF!,#REF!,IF(AY42&lt;=#REF!,#REF!,IF(AY42&lt;=#REF!,#REF!,0.05)))))))</f>
        <v/>
      </c>
      <c r="BJ42" s="2193">
        <f>BI42*AY42</f>
        <v/>
      </c>
      <c r="BK42" s="1051" t="n"/>
      <c r="BL42" s="1051">
        <f>IF(BB42&lt;=#REF!,#REF!,IF(BB42&lt;=#REF!,#REF!,IF(BB42&lt;=#REF!,#REF!,IF(BB42&lt;=#REF!,#REF!,IF(BB42&lt;=#REF!,#REF!,IF(BB42&lt;=#REF!,#REF!,IF(BB42&lt;=#REF!,#REF!,0.05)))))))</f>
        <v/>
      </c>
      <c r="BM42" s="2193">
        <f>BL42*BB42</f>
        <v/>
      </c>
      <c r="BN42" s="1051" t="n"/>
      <c r="BO42" s="1051">
        <f>IF(BE42&lt;=#REF!,#REF!,IF(BE42&lt;=#REF!,#REF!,IF(BE42&lt;=#REF!,#REF!,IF(BE42&lt;=#REF!,#REF!,IF(BE42&lt;=#REF!,#REF!,IF(BE42&lt;=#REF!,#REF!,IF(BE42&lt;=#REF!,#REF!,0.05)))))))</f>
        <v/>
      </c>
      <c r="BP42" s="2193">
        <f>BO42*SUM(BM42,BJ42,BE42)</f>
        <v/>
      </c>
      <c r="BQ42" s="1051" t="n"/>
      <c r="BR42" s="2194">
        <f>IF(BH42&lt;=#REF!,#REF!,IF(BH42&lt;=#REF!,#REF!,IF(BH42&lt;=#REF!,#REF!,IF(BH42&lt;=#REF!,#REF!,IF(BH42&lt;=#REF!,#REF!,IF(BH42&lt;=#REF!,#REF!,IF(BH42&lt;=#REF!,#REF!,0.05)))))))</f>
        <v/>
      </c>
      <c r="BS42" s="2193">
        <f>BR42*BH42</f>
        <v/>
      </c>
      <c r="BU42" s="1932">
        <f>0.07*SUM(BE42,BJ42,BM42,BP42,BS42)</f>
        <v/>
      </c>
      <c r="BW42" s="1932">
        <f>SUM(BU42,BS42,BP42,BM42,BJ42,BE42)</f>
        <v/>
      </c>
      <c r="BX42" s="1933">
        <f>SUM(BS42,BP42,BM42,BJ42)</f>
        <v/>
      </c>
      <c r="BY42" s="1051">
        <f>BX42/BW42</f>
        <v/>
      </c>
      <c r="CO42" s="2193" t="n">
        <v>33000</v>
      </c>
      <c r="CP42" s="2193" t="n"/>
      <c r="CQ42" s="2193" t="n"/>
      <c r="CR42" s="2193">
        <f>CO42</f>
        <v/>
      </c>
      <c r="CS42" s="2193" t="n"/>
      <c r="CT42" s="2193" t="n"/>
      <c r="CU42" s="2193">
        <f>CO42+CR42</f>
        <v/>
      </c>
      <c r="CV42" s="2193" t="n"/>
      <c r="CW42" s="2193" t="n"/>
      <c r="CX42" s="2193">
        <f>CU42</f>
        <v/>
      </c>
      <c r="CY42" s="1051">
        <f>IF(CO42&lt;=BQ$6,BP$6,IF(CO42&lt;=BQ$7,BP$7,IF(CO42&lt;=BQ$8,BP$8,IF(CO42&lt;=BQ$9,BP$9,IF(CO42&lt;=BQ$14,BP$14,IF(CO42&lt;=BQ$15,BP$15,IF(CO42&lt;=BQ$16,BP$16,0.05)))))))</f>
        <v/>
      </c>
      <c r="CZ42" s="2193">
        <f>CY42*CO42</f>
        <v/>
      </c>
      <c r="DA42" s="1051" t="n"/>
      <c r="DB42" s="1051">
        <f>IF(CR42&lt;=BT$6,BS$6,IF(CR42&lt;=BT$7,BS$7,IF(CR42&lt;=BT$8,BS$8,IF(CR42&lt;=BT$9,BS$9,IF(CR42&lt;=BT$14,BS$14,IF(CR42&lt;=BT$15,BS$15,IF(CR42&lt;=BT$16,BS$16,0.05)))))))</f>
        <v/>
      </c>
      <c r="DC42" s="2193">
        <f>DB42*CR42</f>
        <v/>
      </c>
      <c r="DD42" s="1051" t="n"/>
      <c r="DE42" s="1051">
        <f>IF(CU42&lt;=BW$6,BV$6,IF(CU42&lt;=BW$7,BV$7,IF(CU42&lt;=BW$8,BV$8,IF(CU42&lt;=BW$9,BV$9,IF(CU42&lt;=BW$14,BV$14,IF(CU42&lt;=BW$15,BV$15,IF(CU42&lt;=BW$16,BV$16,0.05)))))))</f>
        <v/>
      </c>
      <c r="DF42" s="2193">
        <f>DE42*SUM(DC42,CZ42,CU42)</f>
        <v/>
      </c>
      <c r="DG42" s="1051" t="n"/>
      <c r="DH42" s="2194">
        <f>IF(CX42&lt;=BZ$6,BY$6,IF(CX42&lt;=BZ$7,BY$7,IF(CX42&lt;=BZ$8,BY$8,IF(CX42&lt;=BZ$9,BY$9,IF(CX42&lt;=BZ$14,BY$14,IF(CX42&lt;=BZ$15,BY$15,IF(CX42&lt;=BZ$16,BY$16,0.05)))))))</f>
        <v/>
      </c>
      <c r="DI42" s="2193">
        <f>DH42*CX42</f>
        <v/>
      </c>
      <c r="DK42" s="1932">
        <f>0.07*SUM(CU42,CZ42,DC42,DF42,DI42)</f>
        <v/>
      </c>
      <c r="DM42" s="1932">
        <f>SUM(DK42,DI42,DF42,DC42,CZ42,CU42)</f>
        <v/>
      </c>
      <c r="DN42" s="1933">
        <f>SUM(DI42,DF42,DC42,CZ42)</f>
        <v/>
      </c>
      <c r="DO42" s="1051">
        <f>DN42/DM42</f>
        <v/>
      </c>
    </row>
    <row r="43" customFormat="1" s="585">
      <c r="A43" s="719" t="inlineStr">
        <is>
          <t>Square Footage:</t>
        </is>
      </c>
      <c r="B43" s="2245">
        <f>F22</f>
        <v/>
      </c>
      <c r="C43" s="719" t="inlineStr">
        <is>
          <t>Linear Footage:</t>
        </is>
      </c>
      <c r="D43" s="1026" t="n"/>
      <c r="E43" s="1541">
        <f>(IF(D7="Yes","PW","-"))</f>
        <v/>
      </c>
      <c r="F43" s="722" t="inlineStr">
        <is>
          <t>10 hour days</t>
        </is>
      </c>
      <c r="G43" s="2246" t="inlineStr">
        <is>
          <t>Labor Production Rates (Hard Enter)</t>
        </is>
      </c>
      <c r="H43" s="606" t="n"/>
      <c r="I43" s="1027" t="n"/>
      <c r="J43" s="823" t="n"/>
      <c r="K43" s="700" t="n"/>
      <c r="L43" s="700" t="n"/>
      <c r="N43" s="1947" t="inlineStr">
        <is>
          <t>1/4"</t>
        </is>
      </c>
      <c r="O43" s="1016" t="inlineStr">
        <is>
          <t>SC 250   (1/4")</t>
        </is>
      </c>
      <c r="P43" s="2233">
        <f>Q43*R43</f>
        <v/>
      </c>
      <c r="Q43" s="1018" t="n">
        <v>250</v>
      </c>
      <c r="R43" s="2247">
        <f>0.38+0.04</f>
        <v/>
      </c>
      <c r="S43" s="633" t="n"/>
      <c r="T43" s="2135" t="n"/>
      <c r="U43" s="2135" t="n"/>
      <c r="AY43" s="2193" t="n">
        <v>34000</v>
      </c>
      <c r="AZ43" s="2193" t="n"/>
      <c r="BA43" s="2193" t="n"/>
      <c r="BB43" s="2193">
        <f>AY43</f>
        <v/>
      </c>
      <c r="BC43" s="2193" t="n"/>
      <c r="BD43" s="2193" t="n"/>
      <c r="BE43" s="2193">
        <f>AY43+BB43</f>
        <v/>
      </c>
      <c r="BF43" s="2193" t="n"/>
      <c r="BG43" s="2193" t="n"/>
      <c r="BH43" s="2193">
        <f>BE43</f>
        <v/>
      </c>
      <c r="BI43" s="1051">
        <f>IF(AY43&lt;=#REF!,#REF!,IF(AY43&lt;=#REF!,#REF!,IF(AY43&lt;=#REF!,#REF!,IF(AY43&lt;=#REF!,#REF!,IF(AY43&lt;=#REF!,#REF!,IF(AY43&lt;=#REF!,#REF!,IF(AY43&lt;=#REF!,#REF!,0.05)))))))</f>
        <v/>
      </c>
      <c r="BJ43" s="2193">
        <f>BI43*AY43</f>
        <v/>
      </c>
      <c r="BK43" s="1051" t="n"/>
      <c r="BL43" s="1051">
        <f>IF(BB43&lt;=#REF!,#REF!,IF(BB43&lt;=#REF!,#REF!,IF(BB43&lt;=#REF!,#REF!,IF(BB43&lt;=#REF!,#REF!,IF(BB43&lt;=#REF!,#REF!,IF(BB43&lt;=#REF!,#REF!,IF(BB43&lt;=#REF!,#REF!,0.05)))))))</f>
        <v/>
      </c>
      <c r="BM43" s="2193">
        <f>BL43*BB43</f>
        <v/>
      </c>
      <c r="BN43" s="1051" t="n"/>
      <c r="BO43" s="1051">
        <f>IF(BE43&lt;=#REF!,#REF!,IF(BE43&lt;=#REF!,#REF!,IF(BE43&lt;=#REF!,#REF!,IF(BE43&lt;=#REF!,#REF!,IF(BE43&lt;=#REF!,#REF!,IF(BE43&lt;=#REF!,#REF!,IF(BE43&lt;=#REF!,#REF!,0.05)))))))</f>
        <v/>
      </c>
      <c r="BP43" s="2193">
        <f>BO43*SUM(BM43,BJ43,BE43)</f>
        <v/>
      </c>
      <c r="BQ43" s="1051" t="n"/>
      <c r="BR43" s="2194">
        <f>IF(BH43&lt;=#REF!,#REF!,IF(BH43&lt;=#REF!,#REF!,IF(BH43&lt;=#REF!,#REF!,IF(BH43&lt;=#REF!,#REF!,IF(BH43&lt;=#REF!,#REF!,IF(BH43&lt;=#REF!,#REF!,IF(BH43&lt;=#REF!,#REF!,0.05)))))))</f>
        <v/>
      </c>
      <c r="BS43" s="2193">
        <f>BR43*BH43</f>
        <v/>
      </c>
      <c r="BU43" s="1932">
        <f>0.07*SUM(BE43,BJ43,BM43,BP43,BS43)</f>
        <v/>
      </c>
      <c r="BW43" s="1932">
        <f>SUM(BU43,BS43,BP43,BM43,BJ43,BE43)</f>
        <v/>
      </c>
      <c r="BX43" s="1933">
        <f>SUM(BS43,BP43,BM43,BJ43)</f>
        <v/>
      </c>
      <c r="BY43" s="1051">
        <f>BX43/BW43</f>
        <v/>
      </c>
      <c r="CO43" s="2193" t="n">
        <v>34000</v>
      </c>
      <c r="CP43" s="2193" t="n"/>
      <c r="CQ43" s="2193" t="n"/>
      <c r="CR43" s="2193">
        <f>CO43</f>
        <v/>
      </c>
      <c r="CS43" s="2193" t="n"/>
      <c r="CT43" s="2193" t="n"/>
      <c r="CU43" s="2193">
        <f>CO43+CR43</f>
        <v/>
      </c>
      <c r="CV43" s="2193" t="n"/>
      <c r="CW43" s="2193" t="n"/>
      <c r="CX43" s="2193">
        <f>CU43</f>
        <v/>
      </c>
      <c r="CY43" s="1051">
        <f>IF(CO43&lt;=BQ$6,BP$6,IF(CO43&lt;=BQ$7,BP$7,IF(CO43&lt;=BQ$8,BP$8,IF(CO43&lt;=BQ$9,BP$9,IF(CO43&lt;=BQ$14,BP$14,IF(CO43&lt;=BQ$15,BP$15,IF(CO43&lt;=BQ$16,BP$16,0.05)))))))</f>
        <v/>
      </c>
      <c r="CZ43" s="2193">
        <f>CY43*CO43</f>
        <v/>
      </c>
      <c r="DA43" s="1051" t="n"/>
      <c r="DB43" s="1051">
        <f>IF(CR43&lt;=BT$6,BS$6,IF(CR43&lt;=BT$7,BS$7,IF(CR43&lt;=BT$8,BS$8,IF(CR43&lt;=BT$9,BS$9,IF(CR43&lt;=BT$14,BS$14,IF(CR43&lt;=BT$15,BS$15,IF(CR43&lt;=BT$16,BS$16,0.05)))))))</f>
        <v/>
      </c>
      <c r="DC43" s="2193">
        <f>DB43*CR43</f>
        <v/>
      </c>
      <c r="DD43" s="1051" t="n"/>
      <c r="DE43" s="1051">
        <f>IF(CU43&lt;=BW$6,BV$6,IF(CU43&lt;=BW$7,BV$7,IF(CU43&lt;=BW$8,BV$8,IF(CU43&lt;=BW$9,BV$9,IF(CU43&lt;=BW$14,BV$14,IF(CU43&lt;=BW$15,BV$15,IF(CU43&lt;=BW$16,BV$16,0.05)))))))</f>
        <v/>
      </c>
      <c r="DF43" s="2193">
        <f>DE43*SUM(DC43,CZ43,CU43)</f>
        <v/>
      </c>
      <c r="DG43" s="1051" t="n"/>
      <c r="DH43" s="2194">
        <f>IF(CX43&lt;=BZ$6,BY$6,IF(CX43&lt;=BZ$7,BY$7,IF(CX43&lt;=BZ$8,BY$8,IF(CX43&lt;=BZ$9,BY$9,IF(CX43&lt;=BZ$14,BY$14,IF(CX43&lt;=BZ$15,BY$15,IF(CX43&lt;=BZ$16,BY$16,0.05)))))))</f>
        <v/>
      </c>
      <c r="DI43" s="2193">
        <f>DH43*CX43</f>
        <v/>
      </c>
      <c r="DK43" s="1932">
        <f>0.07*SUM(CU43,CZ43,DC43,DF43,DI43)</f>
        <v/>
      </c>
      <c r="DM43" s="1932">
        <f>SUM(DK43,DI43,DF43,DC43,CZ43,CU43)</f>
        <v/>
      </c>
      <c r="DN43" s="1933">
        <f>SUM(DI43,DF43,DC43,CZ43)</f>
        <v/>
      </c>
      <c r="DO43" s="1051">
        <f>DN43/DM43</f>
        <v/>
      </c>
    </row>
    <row r="44" customFormat="1" s="585">
      <c r="A44" s="730" t="inlineStr">
        <is>
          <t>Labor:              Guys</t>
        </is>
      </c>
      <c r="B44" s="731" t="inlineStr">
        <is>
          <t>Hours</t>
        </is>
      </c>
      <c r="C44" s="731" t="inlineStr">
        <is>
          <t>Rate (PW?)</t>
        </is>
      </c>
      <c r="D44" s="731" t="n"/>
      <c r="E44" s="1028" t="inlineStr">
        <is>
          <t>Totals</t>
        </is>
      </c>
      <c r="F44" s="1029" t="inlineStr">
        <is>
          <t xml:space="preserve">Labor </t>
        </is>
      </c>
      <c r="G44" s="2248" t="n"/>
      <c r="H44" s="2014" t="n"/>
      <c r="I44" s="1947" t="n"/>
      <c r="J44" s="633" t="n"/>
      <c r="N44" s="1947" t="inlineStr">
        <is>
          <t>3/8"</t>
        </is>
      </c>
      <c r="O44" s="1020" t="inlineStr">
        <is>
          <t>SC 50 HP    (3/8")</t>
        </is>
      </c>
      <c r="P44" s="2239">
        <f>Q44*R44</f>
        <v/>
      </c>
      <c r="Q44" s="1021" t="n">
        <v>120</v>
      </c>
      <c r="R44" s="2249">
        <f>0.55+0.06</f>
        <v/>
      </c>
      <c r="S44" s="633" t="n"/>
      <c r="T44" s="2135" t="n"/>
      <c r="U44" s="2135" t="n"/>
      <c r="AY44" s="2193" t="n">
        <v>35000</v>
      </c>
      <c r="AZ44" s="2193" t="n"/>
      <c r="BA44" s="2193" t="n"/>
      <c r="BB44" s="2193">
        <f>AY44</f>
        <v/>
      </c>
      <c r="BC44" s="2193" t="n"/>
      <c r="BD44" s="2193" t="n"/>
      <c r="BE44" s="2193">
        <f>AY44+BB44</f>
        <v/>
      </c>
      <c r="BF44" s="2193" t="n"/>
      <c r="BG44" s="2193" t="n"/>
      <c r="BH44" s="2193">
        <f>BE44</f>
        <v/>
      </c>
      <c r="BI44" s="1051">
        <f>IF(AY44&lt;=#REF!,#REF!,IF(AY44&lt;=#REF!,#REF!,IF(AY44&lt;=#REF!,#REF!,IF(AY44&lt;=#REF!,#REF!,IF(AY44&lt;=#REF!,#REF!,IF(AY44&lt;=#REF!,#REF!,IF(AY44&lt;=#REF!,#REF!,0.05)))))))</f>
        <v/>
      </c>
      <c r="BJ44" s="2193">
        <f>BI44*AY44</f>
        <v/>
      </c>
      <c r="BK44" s="1051" t="n"/>
      <c r="BL44" s="1051">
        <f>IF(BB44&lt;=#REF!,#REF!,IF(BB44&lt;=#REF!,#REF!,IF(BB44&lt;=#REF!,#REF!,IF(BB44&lt;=#REF!,#REF!,IF(BB44&lt;=#REF!,#REF!,IF(BB44&lt;=#REF!,#REF!,IF(BB44&lt;=#REF!,#REF!,0.05)))))))</f>
        <v/>
      </c>
      <c r="BM44" s="2193">
        <f>BL44*BB44</f>
        <v/>
      </c>
      <c r="BN44" s="1051" t="n"/>
      <c r="BO44" s="1051">
        <f>IF(BE44&lt;=#REF!,#REF!,IF(BE44&lt;=#REF!,#REF!,IF(BE44&lt;=#REF!,#REF!,IF(BE44&lt;=#REF!,#REF!,IF(BE44&lt;=#REF!,#REF!,IF(BE44&lt;=#REF!,#REF!,IF(BE44&lt;=#REF!,#REF!,0.05)))))))</f>
        <v/>
      </c>
      <c r="BP44" s="2193">
        <f>BO44*SUM(BM44,BJ44,BE44)</f>
        <v/>
      </c>
      <c r="BQ44" s="1051" t="n"/>
      <c r="BR44" s="2194">
        <f>IF(BH44&lt;=#REF!,#REF!,IF(BH44&lt;=#REF!,#REF!,IF(BH44&lt;=#REF!,#REF!,IF(BH44&lt;=#REF!,#REF!,IF(BH44&lt;=#REF!,#REF!,IF(BH44&lt;=#REF!,#REF!,IF(BH44&lt;=#REF!,#REF!,0.05)))))))</f>
        <v/>
      </c>
      <c r="BS44" s="2193">
        <f>BR44*BH44</f>
        <v/>
      </c>
      <c r="BU44" s="1932">
        <f>0.07*SUM(BE44,BJ44,BM44,BP44,BS44)</f>
        <v/>
      </c>
      <c r="BW44" s="1932">
        <f>SUM(BU44,BS44,BP44,BM44,BJ44,BE44)</f>
        <v/>
      </c>
      <c r="BX44" s="1933">
        <f>SUM(BS44,BP44,BM44,BJ44)</f>
        <v/>
      </c>
      <c r="BY44" s="1051">
        <f>BX44/BW44</f>
        <v/>
      </c>
      <c r="CO44" s="2193" t="n">
        <v>35000</v>
      </c>
      <c r="CP44" s="2193" t="n"/>
      <c r="CQ44" s="2193" t="n"/>
      <c r="CR44" s="2193">
        <f>CO44</f>
        <v/>
      </c>
      <c r="CS44" s="2193" t="n"/>
      <c r="CT44" s="2193" t="n"/>
      <c r="CU44" s="2193">
        <f>CO44+CR44</f>
        <v/>
      </c>
      <c r="CV44" s="2193" t="n"/>
      <c r="CW44" s="2193" t="n"/>
      <c r="CX44" s="2193">
        <f>CU44</f>
        <v/>
      </c>
      <c r="CY44" s="1051">
        <f>IF(CO44&lt;=BQ$6,BP$6,IF(CO44&lt;=BQ$7,BP$7,IF(CO44&lt;=BQ$8,BP$8,IF(CO44&lt;=BQ$9,BP$9,IF(CO44&lt;=BQ$14,BP$14,IF(CO44&lt;=BQ$15,BP$15,IF(CO44&lt;=BQ$16,BP$16,0.05)))))))</f>
        <v/>
      </c>
      <c r="CZ44" s="2193">
        <f>CY44*CO44</f>
        <v/>
      </c>
      <c r="DA44" s="1051" t="n"/>
      <c r="DB44" s="1051">
        <f>IF(CR44&lt;=BT$6,BS$6,IF(CR44&lt;=BT$7,BS$7,IF(CR44&lt;=BT$8,BS$8,IF(CR44&lt;=BT$9,BS$9,IF(CR44&lt;=BT$14,BS$14,IF(CR44&lt;=BT$15,BS$15,IF(CR44&lt;=BT$16,BS$16,0.05)))))))</f>
        <v/>
      </c>
      <c r="DC44" s="2193">
        <f>DB44*CR44</f>
        <v/>
      </c>
      <c r="DD44" s="1051" t="n"/>
      <c r="DE44" s="1051">
        <f>IF(CU44&lt;=BW$6,BV$6,IF(CU44&lt;=BW$7,BV$7,IF(CU44&lt;=BW$8,BV$8,IF(CU44&lt;=BW$9,BV$9,IF(CU44&lt;=BW$14,BV$14,IF(CU44&lt;=BW$15,BV$15,IF(CU44&lt;=BW$16,BV$16,0.05)))))))</f>
        <v/>
      </c>
      <c r="DF44" s="2193">
        <f>DE44*SUM(DC44,CZ44,CU44)</f>
        <v/>
      </c>
      <c r="DG44" s="1051" t="n"/>
      <c r="DH44" s="2194">
        <f>IF(CX44&lt;=BZ$6,BY$6,IF(CX44&lt;=BZ$7,BY$7,IF(CX44&lt;=BZ$8,BY$8,IF(CX44&lt;=BZ$9,BY$9,IF(CX44&lt;=BZ$14,BY$14,IF(CX44&lt;=BZ$15,BY$15,IF(CX44&lt;=BZ$16,BY$16,0.05)))))))</f>
        <v/>
      </c>
      <c r="DI44" s="2193">
        <f>DH44*CX44</f>
        <v/>
      </c>
      <c r="DK44" s="1932">
        <f>0.07*SUM(CU44,CZ44,DC44,DF44,DI44)</f>
        <v/>
      </c>
      <c r="DM44" s="1932">
        <f>SUM(DK44,DI44,DF44,DC44,CZ44,CU44)</f>
        <v/>
      </c>
      <c r="DN44" s="1933">
        <f>SUM(DI44,DF44,DC44,CZ44)</f>
        <v/>
      </c>
      <c r="DO44" s="1051">
        <f>DN44/DM44</f>
        <v/>
      </c>
    </row>
    <row r="45" customFormat="1" s="585">
      <c r="A45" s="1442" t="n">
        <v>8</v>
      </c>
      <c r="B45" s="2498" t="n"/>
      <c r="C45" s="2001" t="n">
        <v>33.66</v>
      </c>
      <c r="D45" s="2250" t="n"/>
      <c r="E45" s="763">
        <f>A45*B45*C45</f>
        <v/>
      </c>
      <c r="F45" s="2251" t="inlineStr">
        <is>
          <t>Pre-Pours Hours</t>
        </is>
      </c>
      <c r="G45" s="1033" t="n">
        <v>8</v>
      </c>
      <c r="H45" s="1034" t="n"/>
      <c r="I45" s="2252" t="n"/>
      <c r="J45" s="2253" t="n"/>
      <c r="K45" s="780" t="n"/>
      <c r="L45" s="780" t="n"/>
      <c r="N45" s="1947" t="n"/>
      <c r="O45" s="600" t="n"/>
      <c r="P45" s="600" t="n"/>
      <c r="AY45" s="2193" t="n">
        <v>36000</v>
      </c>
      <c r="AZ45" s="2193" t="n"/>
      <c r="BA45" s="2193" t="n"/>
      <c r="BB45" s="2193">
        <f>AY45</f>
        <v/>
      </c>
      <c r="BC45" s="2193" t="n"/>
      <c r="BD45" s="2193" t="n"/>
      <c r="BE45" s="2193">
        <f>AY45+BB45</f>
        <v/>
      </c>
      <c r="BF45" s="2193" t="n"/>
      <c r="BG45" s="2193" t="n"/>
      <c r="BH45" s="2193">
        <f>BE45</f>
        <v/>
      </c>
      <c r="BI45" s="1051">
        <f>IF(AY45&lt;=#REF!,#REF!,IF(AY45&lt;=#REF!,#REF!,IF(AY45&lt;=#REF!,#REF!,IF(AY45&lt;=#REF!,#REF!,IF(AY45&lt;=#REF!,#REF!,IF(AY45&lt;=#REF!,#REF!,IF(AY45&lt;=#REF!,#REF!,0.05)))))))</f>
        <v/>
      </c>
      <c r="BJ45" s="2193">
        <f>BI45*AY45</f>
        <v/>
      </c>
      <c r="BK45" s="1051" t="n"/>
      <c r="BL45" s="1051">
        <f>IF(BB45&lt;=#REF!,#REF!,IF(BB45&lt;=#REF!,#REF!,IF(BB45&lt;=#REF!,#REF!,IF(BB45&lt;=#REF!,#REF!,IF(BB45&lt;=#REF!,#REF!,IF(BB45&lt;=#REF!,#REF!,IF(BB45&lt;=#REF!,#REF!,0.05)))))))</f>
        <v/>
      </c>
      <c r="BM45" s="2193">
        <f>BL45*BB45</f>
        <v/>
      </c>
      <c r="BN45" s="1051" t="n"/>
      <c r="BO45" s="1051">
        <f>IF(BE45&lt;=#REF!,#REF!,IF(BE45&lt;=#REF!,#REF!,IF(BE45&lt;=#REF!,#REF!,IF(BE45&lt;=#REF!,#REF!,IF(BE45&lt;=#REF!,#REF!,IF(BE45&lt;=#REF!,#REF!,IF(BE45&lt;=#REF!,#REF!,0.05)))))))</f>
        <v/>
      </c>
      <c r="BP45" s="2193">
        <f>BO45*SUM(BM45,BJ45,BE45)</f>
        <v/>
      </c>
      <c r="BQ45" s="1051" t="n"/>
      <c r="BR45" s="2194">
        <f>IF(BH45&lt;=#REF!,#REF!,IF(BH45&lt;=#REF!,#REF!,IF(BH45&lt;=#REF!,#REF!,IF(BH45&lt;=#REF!,#REF!,IF(BH45&lt;=#REF!,#REF!,IF(BH45&lt;=#REF!,#REF!,IF(BH45&lt;=#REF!,#REF!,0.05)))))))</f>
        <v/>
      </c>
      <c r="BS45" s="2193">
        <f>BR45*BH45</f>
        <v/>
      </c>
      <c r="BU45" s="1932">
        <f>0.07*SUM(BE45,BJ45,BM45,BP45,BS45)</f>
        <v/>
      </c>
      <c r="BW45" s="1932">
        <f>SUM(BU45,BS45,BP45,BM45,BJ45,BE45)</f>
        <v/>
      </c>
      <c r="BX45" s="1933">
        <f>SUM(BS45,BP45,BM45,BJ45)</f>
        <v/>
      </c>
      <c r="BY45" s="1051">
        <f>BX45/BW45</f>
        <v/>
      </c>
      <c r="CO45" s="2193" t="n">
        <v>36000</v>
      </c>
      <c r="CP45" s="2193" t="n"/>
      <c r="CQ45" s="2193" t="n"/>
      <c r="CR45" s="2193">
        <f>CO45</f>
        <v/>
      </c>
      <c r="CS45" s="2193" t="n"/>
      <c r="CT45" s="2193" t="n"/>
      <c r="CU45" s="2193">
        <f>CO45+CR45</f>
        <v/>
      </c>
      <c r="CV45" s="2193" t="n"/>
      <c r="CW45" s="2193" t="n"/>
      <c r="CX45" s="2193">
        <f>CU45</f>
        <v/>
      </c>
      <c r="CY45" s="1051">
        <f>IF(CO45&lt;=BQ$6,BP$6,IF(CO45&lt;=BQ$7,BP$7,IF(CO45&lt;=BQ$8,BP$8,IF(CO45&lt;=BQ$9,BP$9,IF(CO45&lt;=BQ$14,BP$14,IF(CO45&lt;=BQ$15,BP$15,IF(CO45&lt;=BQ$16,BP$16,0.05)))))))</f>
        <v/>
      </c>
      <c r="CZ45" s="2193">
        <f>CY45*CO45</f>
        <v/>
      </c>
      <c r="DA45" s="1051" t="n"/>
      <c r="DB45" s="1051">
        <f>IF(CR45&lt;=BT$6,BS$6,IF(CR45&lt;=BT$7,BS$7,IF(CR45&lt;=BT$8,BS$8,IF(CR45&lt;=BT$9,BS$9,IF(CR45&lt;=BT$14,BS$14,IF(CR45&lt;=BT$15,BS$15,IF(CR45&lt;=BT$16,BS$16,0.05)))))))</f>
        <v/>
      </c>
      <c r="DC45" s="2193">
        <f>DB45*CR45</f>
        <v/>
      </c>
      <c r="DD45" s="1051" t="n"/>
      <c r="DE45" s="1051">
        <f>IF(CU45&lt;=BW$6,BV$6,IF(CU45&lt;=BW$7,BV$7,IF(CU45&lt;=BW$8,BV$8,IF(CU45&lt;=BW$9,BV$9,IF(CU45&lt;=BW$14,BV$14,IF(CU45&lt;=BW$15,BV$15,IF(CU45&lt;=BW$16,BV$16,0.05)))))))</f>
        <v/>
      </c>
      <c r="DF45" s="2193">
        <f>DE45*SUM(DC45,CZ45,CU45)</f>
        <v/>
      </c>
      <c r="DG45" s="1051" t="n"/>
      <c r="DH45" s="2194">
        <f>IF(CX45&lt;=BZ$6,BY$6,IF(CX45&lt;=BZ$7,BY$7,IF(CX45&lt;=BZ$8,BY$8,IF(CX45&lt;=BZ$9,BY$9,IF(CX45&lt;=BZ$14,BY$14,IF(CX45&lt;=BZ$15,BY$15,IF(CX45&lt;=BZ$16,BY$16,0.05)))))))</f>
        <v/>
      </c>
      <c r="DI45" s="2193">
        <f>DH45*CX45</f>
        <v/>
      </c>
      <c r="DK45" s="1932">
        <f>0.07*SUM(CU45,CZ45,DC45,DF45,DI45)</f>
        <v/>
      </c>
      <c r="DM45" s="1932">
        <f>SUM(DK45,DI45,DF45,DC45,CZ45,CU45)</f>
        <v/>
      </c>
      <c r="DN45" s="1933">
        <f>SUM(DI45,DF45,DC45,CZ45)</f>
        <v/>
      </c>
      <c r="DO45" s="1051">
        <f>DN45/DM45</f>
        <v/>
      </c>
    </row>
    <row r="46" customFormat="1" s="585">
      <c r="A46" s="1442" t="n">
        <v>8</v>
      </c>
      <c r="B46" s="2499">
        <f>T28*G46</f>
        <v/>
      </c>
      <c r="C46" s="2003">
        <f>C45</f>
        <v/>
      </c>
      <c r="D46" s="2250" t="n"/>
      <c r="E46" s="763">
        <f>A46*B46*C46</f>
        <v/>
      </c>
      <c r="F46" s="2251" t="inlineStr">
        <is>
          <t xml:space="preserve">Prep/Prime/Seal Hours (hrs per mob) </t>
        </is>
      </c>
      <c r="G46" s="1033" t="n">
        <v>4</v>
      </c>
      <c r="H46" s="1034" t="n"/>
      <c r="I46" s="2252" t="n"/>
      <c r="J46" s="1344">
        <f>P31</f>
        <v/>
      </c>
      <c r="K46" s="1342" t="inlineStr">
        <is>
          <t>% Soft Surf</t>
        </is>
      </c>
      <c r="N46" s="600" t="n"/>
      <c r="O46" s="1140" t="inlineStr">
        <is>
          <t>mat $ difference</t>
        </is>
      </c>
      <c r="P46" s="2254">
        <f>P37-P42</f>
        <v/>
      </c>
      <c r="R46" s="2254">
        <f>R37-R42</f>
        <v/>
      </c>
      <c r="AY46" s="2193" t="n">
        <v>36000</v>
      </c>
      <c r="AZ46" s="2193" t="n"/>
      <c r="BA46" s="2193" t="n"/>
      <c r="BB46" s="2193">
        <f>AY46</f>
        <v/>
      </c>
      <c r="BC46" s="2193" t="n"/>
      <c r="BD46" s="2193" t="n"/>
      <c r="BE46" s="2193">
        <f>AY46+BB46</f>
        <v/>
      </c>
      <c r="BF46" s="2193" t="n"/>
      <c r="BG46" s="2193" t="n"/>
      <c r="BH46" s="2193">
        <f>BE46</f>
        <v/>
      </c>
      <c r="BI46" s="1051">
        <f>IF(AY46&lt;=#REF!,#REF!,IF(AY46&lt;=#REF!,#REF!,IF(AY46&lt;=#REF!,#REF!,IF(AY46&lt;=#REF!,#REF!,IF(AY46&lt;=#REF!,#REF!,IF(AY46&lt;=#REF!,#REF!,IF(AY46&lt;=#REF!,#REF!,0.05)))))))</f>
        <v/>
      </c>
      <c r="BJ46" s="2193">
        <f>BI46*AY46</f>
        <v/>
      </c>
      <c r="BK46" s="1051" t="n"/>
      <c r="BL46" s="1051">
        <f>IF(BB46&lt;=#REF!,#REF!,IF(BB46&lt;=#REF!,#REF!,IF(BB46&lt;=#REF!,#REF!,IF(BB46&lt;=#REF!,#REF!,IF(BB46&lt;=#REF!,#REF!,IF(BB46&lt;=#REF!,#REF!,IF(BB46&lt;=#REF!,#REF!,0.05)))))))</f>
        <v/>
      </c>
      <c r="BM46" s="2193">
        <f>BL46*BB46</f>
        <v/>
      </c>
      <c r="BN46" s="1051" t="n"/>
      <c r="BO46" s="1051">
        <f>IF(BE46&lt;=#REF!,#REF!,IF(BE46&lt;=#REF!,#REF!,IF(BE46&lt;=#REF!,#REF!,IF(BE46&lt;=#REF!,#REF!,IF(BE46&lt;=#REF!,#REF!,IF(BE46&lt;=#REF!,#REF!,IF(BE46&lt;=#REF!,#REF!,0.05)))))))</f>
        <v/>
      </c>
      <c r="BP46" s="2193">
        <f>BO46*SUM(BM46,BJ46,BE46)</f>
        <v/>
      </c>
      <c r="BQ46" s="1051" t="n"/>
      <c r="BR46" s="2194">
        <f>IF(BH46&lt;=#REF!,#REF!,IF(BH46&lt;=#REF!,#REF!,IF(BH46&lt;=#REF!,#REF!,IF(BH46&lt;=#REF!,#REF!,IF(BH46&lt;=#REF!,#REF!,IF(BH46&lt;=#REF!,#REF!,IF(BH46&lt;=#REF!,#REF!,0.05)))))))</f>
        <v/>
      </c>
      <c r="BS46" s="2193">
        <f>BR46*BH46</f>
        <v/>
      </c>
      <c r="BU46" s="1932">
        <f>0.07*SUM(BE46,BJ46,BM46,BP46,BS46)</f>
        <v/>
      </c>
      <c r="BW46" s="1932">
        <f>SUM(BU46,BS46,BP46,BM46,BJ46,BE46)</f>
        <v/>
      </c>
      <c r="BX46" s="1933">
        <f>SUM(BS46,BP46,BM46,BJ46)</f>
        <v/>
      </c>
      <c r="BY46" s="1051">
        <f>BX46/BW46</f>
        <v/>
      </c>
      <c r="CO46" s="2193" t="n">
        <v>36000</v>
      </c>
      <c r="CP46" s="2193" t="n"/>
      <c r="CQ46" s="2193" t="n"/>
      <c r="CR46" s="2193">
        <f>CO46</f>
        <v/>
      </c>
      <c r="CS46" s="2193" t="n"/>
      <c r="CT46" s="2193" t="n"/>
      <c r="CU46" s="2193">
        <f>CO46+CR46</f>
        <v/>
      </c>
      <c r="CV46" s="2193" t="n"/>
      <c r="CW46" s="2193" t="n"/>
      <c r="CX46" s="2193">
        <f>CU46</f>
        <v/>
      </c>
      <c r="CY46" s="1051">
        <f>IF(CO46&lt;=BQ$6,BP$6,IF(CO46&lt;=BQ$7,BP$7,IF(CO46&lt;=BQ$8,BP$8,IF(CO46&lt;=BQ$9,BP$9,IF(CO46&lt;=BQ$14,BP$14,IF(CO46&lt;=BQ$15,BP$15,IF(CO46&lt;=BQ$16,BP$16,0.05)))))))</f>
        <v/>
      </c>
      <c r="CZ46" s="2193">
        <f>CY46*CO46</f>
        <v/>
      </c>
      <c r="DA46" s="1051" t="n"/>
      <c r="DB46" s="1051">
        <f>IF(CR46&lt;=BT$6,BS$6,IF(CR46&lt;=BT$7,BS$7,IF(CR46&lt;=BT$8,BS$8,IF(CR46&lt;=BT$9,BS$9,IF(CR46&lt;=BT$14,BS$14,IF(CR46&lt;=BT$15,BS$15,IF(CR46&lt;=BT$16,BS$16,0.05)))))))</f>
        <v/>
      </c>
      <c r="DC46" s="2193">
        <f>DB46*CR46</f>
        <v/>
      </c>
      <c r="DD46" s="1051" t="n"/>
      <c r="DE46" s="1051">
        <f>IF(CU46&lt;=BW$6,BV$6,IF(CU46&lt;=BW$7,BV$7,IF(CU46&lt;=BW$8,BV$8,IF(CU46&lt;=BW$9,BV$9,IF(CU46&lt;=BW$14,BV$14,IF(CU46&lt;=BW$15,BV$15,IF(CU46&lt;=BW$16,BV$16,0.05)))))))</f>
        <v/>
      </c>
      <c r="DF46" s="2193">
        <f>DE46*SUM(DC46,CZ46,CU46)</f>
        <v/>
      </c>
      <c r="DG46" s="1051" t="n"/>
      <c r="DH46" s="2194">
        <f>IF(CX46&lt;=BZ$6,BY$6,IF(CX46&lt;=BZ$7,BY$7,IF(CX46&lt;=BZ$8,BY$8,IF(CX46&lt;=BZ$9,BY$9,IF(CX46&lt;=BZ$14,BY$14,IF(CX46&lt;=BZ$15,BY$15,IF(CX46&lt;=BZ$16,BY$16,0.05)))))))</f>
        <v/>
      </c>
      <c r="DI46" s="2193">
        <f>DH46*CX46</f>
        <v/>
      </c>
      <c r="DK46" s="1932">
        <f>0.07*SUM(CU46,CZ46,DC46,DF46,DI46)</f>
        <v/>
      </c>
      <c r="DM46" s="1932">
        <f>SUM(DK46,DI46,DF46,DC46,CZ46,CU46)</f>
        <v/>
      </c>
      <c r="DN46" s="1933">
        <f>SUM(DI46,DF46,DC46,CZ46)</f>
        <v/>
      </c>
      <c r="DO46" s="1051">
        <f>DN46/DM46</f>
        <v/>
      </c>
    </row>
    <row r="47" customFormat="1" s="585">
      <c r="A47" s="1602" t="n">
        <v>7</v>
      </c>
      <c r="B47" s="2499">
        <f>F24/G47</f>
        <v/>
      </c>
      <c r="C47" s="2003">
        <f>C45</f>
        <v/>
      </c>
      <c r="D47" s="2250" t="n"/>
      <c r="E47" s="763">
        <f>A47*B47*C47</f>
        <v/>
      </c>
      <c r="F47" s="2251" t="inlineStr">
        <is>
          <t>Mat Time Hours (total HSA mat area/rate)</t>
        </is>
      </c>
      <c r="G47" s="1355">
        <f>85*A47</f>
        <v/>
      </c>
      <c r="H47" s="1889" t="inlineStr">
        <is>
          <t>INCLUDES HARD SURFACE AREAS ONLY</t>
        </is>
      </c>
      <c r="I47" s="585" t="n"/>
      <c r="J47" s="1345">
        <f>Q31</f>
        <v/>
      </c>
      <c r="K47" s="1341" t="inlineStr">
        <is>
          <t>% Hard Surf / Mat</t>
        </is>
      </c>
      <c r="M47" s="600" t="n"/>
      <c r="N47" s="600" t="n"/>
      <c r="O47" s="763" t="n"/>
      <c r="P47" s="2254">
        <f>P38-P43</f>
        <v/>
      </c>
      <c r="R47" s="2254">
        <f>R38-R43</f>
        <v/>
      </c>
      <c r="AY47" s="2193" t="n"/>
      <c r="AZ47" s="2193" t="n"/>
      <c r="BA47" s="2193" t="n"/>
      <c r="BB47" s="2193" t="n"/>
      <c r="BC47" s="2193" t="n"/>
      <c r="BD47" s="2193" t="n"/>
      <c r="BE47" s="2193" t="n"/>
      <c r="BF47" s="2193" t="n"/>
      <c r="BG47" s="2193" t="n"/>
      <c r="BH47" s="2193" t="n"/>
      <c r="BI47" s="1051" t="n"/>
      <c r="BJ47" s="2193" t="n"/>
      <c r="BK47" s="1051" t="n"/>
      <c r="BL47" s="1051" t="n"/>
      <c r="BM47" s="2193" t="n"/>
      <c r="BN47" s="1051" t="n"/>
      <c r="BO47" s="1051" t="n"/>
      <c r="BP47" s="2193" t="n"/>
      <c r="BQ47" s="1051" t="n"/>
      <c r="BR47" s="2194" t="n"/>
      <c r="BS47" s="2193" t="n"/>
      <c r="BU47" s="1932" t="n"/>
      <c r="BW47" s="1932" t="n"/>
      <c r="BX47" s="1933" t="n"/>
      <c r="BY47" s="1051" t="n"/>
      <c r="CO47" s="2193" t="n"/>
      <c r="CP47" s="2193" t="n"/>
      <c r="CQ47" s="2193" t="n"/>
      <c r="CR47" s="2193" t="n"/>
      <c r="CS47" s="2193" t="n"/>
      <c r="CT47" s="2193" t="n"/>
      <c r="CU47" s="2193" t="n"/>
      <c r="CV47" s="2193" t="n"/>
      <c r="CW47" s="2193" t="n"/>
      <c r="CX47" s="2193" t="n"/>
      <c r="CY47" s="1051" t="n"/>
      <c r="CZ47" s="2193" t="n"/>
      <c r="DA47" s="1051" t="n"/>
      <c r="DB47" s="1051" t="n"/>
      <c r="DC47" s="2193" t="n"/>
      <c r="DD47" s="1051" t="n"/>
      <c r="DE47" s="1051" t="n"/>
      <c r="DF47" s="2193" t="n"/>
      <c r="DG47" s="1051" t="n"/>
      <c r="DH47" s="2194" t="n"/>
      <c r="DI47" s="2193" t="n"/>
      <c r="DK47" s="1932" t="n"/>
      <c r="DM47" s="1932" t="n"/>
      <c r="DN47" s="1933" t="n"/>
      <c r="DO47" s="1051" t="n"/>
    </row>
    <row r="48" customFormat="1" s="585">
      <c r="A48" s="739">
        <f>A46</f>
        <v/>
      </c>
      <c r="B48" s="2499">
        <f>H33/G48</f>
        <v/>
      </c>
      <c r="C48" s="2003">
        <f>C45</f>
        <v/>
      </c>
      <c r="D48" s="2250" t="n"/>
      <c r="E48" s="763">
        <f>A48*B48*C48</f>
        <v/>
      </c>
      <c r="F48" s="2251" t="inlineStr">
        <is>
          <t xml:space="preserve">Pour Hours (total bags/pump rate) </t>
        </is>
      </c>
      <c r="G48" s="1033" t="n">
        <v>75</v>
      </c>
      <c r="H48" s="1034" t="n"/>
      <c r="I48" s="2252" t="n"/>
      <c r="J48" s="1346">
        <f>R31</f>
        <v/>
      </c>
      <c r="K48" s="1343" t="inlineStr">
        <is>
          <t>% Corridors</t>
        </is>
      </c>
      <c r="O48" s="763" t="n"/>
      <c r="P48" s="2254">
        <f>P39-P44</f>
        <v/>
      </c>
      <c r="R48" s="2254">
        <f>R39-R44</f>
        <v/>
      </c>
      <c r="AY48" s="2193" t="n">
        <v>37000</v>
      </c>
      <c r="AZ48" s="2193" t="n"/>
      <c r="BA48" s="2193" t="n"/>
      <c r="BB48" s="2193">
        <f>AY48</f>
        <v/>
      </c>
      <c r="BC48" s="2193" t="n"/>
      <c r="BD48" s="2193" t="n"/>
      <c r="BE48" s="2193">
        <f>AY48+BB48</f>
        <v/>
      </c>
      <c r="BF48" s="2193" t="n"/>
      <c r="BG48" s="2193" t="n"/>
      <c r="BH48" s="2193">
        <f>BE48</f>
        <v/>
      </c>
      <c r="BI48" s="1051">
        <f>IF(AY48&lt;=#REF!,#REF!,IF(AY48&lt;=#REF!,#REF!,IF(AY48&lt;=#REF!,#REF!,IF(AY48&lt;=#REF!,#REF!,IF(AY48&lt;=#REF!,#REF!,IF(AY48&lt;=#REF!,#REF!,IF(AY48&lt;=#REF!,#REF!,0.05)))))))</f>
        <v/>
      </c>
      <c r="BJ48" s="2193">
        <f>BI48*AY48</f>
        <v/>
      </c>
      <c r="BK48" s="1051" t="n"/>
      <c r="BL48" s="1051">
        <f>IF(BB48&lt;=#REF!,#REF!,IF(BB48&lt;=#REF!,#REF!,IF(BB48&lt;=#REF!,#REF!,IF(BB48&lt;=#REF!,#REF!,IF(BB48&lt;=#REF!,#REF!,IF(BB48&lt;=#REF!,#REF!,IF(BB48&lt;=#REF!,#REF!,0.05)))))))</f>
        <v/>
      </c>
      <c r="BM48" s="2193">
        <f>BL48*BB48</f>
        <v/>
      </c>
      <c r="BN48" s="1051" t="n"/>
      <c r="BO48" s="1051">
        <f>IF(BE48&lt;=#REF!,#REF!,IF(BE48&lt;=#REF!,#REF!,IF(BE48&lt;=#REF!,#REF!,IF(BE48&lt;=#REF!,#REF!,IF(BE48&lt;=#REF!,#REF!,IF(BE48&lt;=#REF!,#REF!,IF(BE48&lt;=#REF!,#REF!,0.05)))))))</f>
        <v/>
      </c>
      <c r="BP48" s="2193">
        <f>BO48*SUM(BM48,BJ48,BE48)</f>
        <v/>
      </c>
      <c r="BQ48" s="1051" t="n"/>
      <c r="BR48" s="2194">
        <f>IF(BH48&lt;=#REF!,#REF!,IF(BH48&lt;=#REF!,#REF!,IF(BH48&lt;=#REF!,#REF!,IF(BH48&lt;=#REF!,#REF!,IF(BH48&lt;=#REF!,#REF!,IF(BH48&lt;=#REF!,#REF!,IF(BH48&lt;=#REF!,#REF!,0.05)))))))</f>
        <v/>
      </c>
      <c r="BS48" s="2193">
        <f>BR48*BH48</f>
        <v/>
      </c>
      <c r="BU48" s="1932">
        <f>0.07*SUM(BE48,BJ48,BM48,BP48,BS48)</f>
        <v/>
      </c>
      <c r="BW48" s="1932">
        <f>SUM(BU48,BS48,BP48,BM48,BJ48,BE48)</f>
        <v/>
      </c>
      <c r="BX48" s="1933">
        <f>SUM(BS48,BP48,BM48,BJ48)</f>
        <v/>
      </c>
      <c r="BY48" s="1051">
        <f>BX48/BW48</f>
        <v/>
      </c>
      <c r="CO48" s="2193" t="n">
        <v>37000</v>
      </c>
      <c r="CP48" s="2193" t="n"/>
      <c r="CQ48" s="2193" t="n"/>
      <c r="CR48" s="2193">
        <f>CO48</f>
        <v/>
      </c>
      <c r="CS48" s="2193" t="n"/>
      <c r="CT48" s="2193" t="n"/>
      <c r="CU48" s="2193">
        <f>CO48+CR48</f>
        <v/>
      </c>
      <c r="CV48" s="2193" t="n"/>
      <c r="CW48" s="2193" t="n"/>
      <c r="CX48" s="2193">
        <f>CU48</f>
        <v/>
      </c>
      <c r="CY48" s="1051">
        <f>IF(CO48&lt;=BQ$6,BP$6,IF(CO48&lt;=BQ$7,BP$7,IF(CO48&lt;=BQ$8,BP$8,IF(CO48&lt;=BQ$9,BP$9,IF(CO48&lt;=BQ$14,BP$14,IF(CO48&lt;=BQ$15,BP$15,IF(CO48&lt;=BQ$16,BP$16,0.05)))))))</f>
        <v/>
      </c>
      <c r="CZ48" s="2193">
        <f>CY48*CO48</f>
        <v/>
      </c>
      <c r="DA48" s="1051" t="n"/>
      <c r="DB48" s="1051">
        <f>IF(CR48&lt;=BT$6,BS$6,IF(CR48&lt;=BT$7,BS$7,IF(CR48&lt;=BT$8,BS$8,IF(CR48&lt;=BT$9,BS$9,IF(CR48&lt;=BT$14,BS$14,IF(CR48&lt;=BT$15,BS$15,IF(CR48&lt;=BT$16,BS$16,0.05)))))))</f>
        <v/>
      </c>
      <c r="DC48" s="2193">
        <f>DB48*CR48</f>
        <v/>
      </c>
      <c r="DD48" s="1051" t="n"/>
      <c r="DE48" s="1051">
        <f>IF(CU48&lt;=BW$6,BV$6,IF(CU48&lt;=BW$7,BV$7,IF(CU48&lt;=BW$8,BV$8,IF(CU48&lt;=BW$9,BV$9,IF(CU48&lt;=BW$14,BV$14,IF(CU48&lt;=BW$15,BV$15,IF(CU48&lt;=BW$16,BV$16,0.05)))))))</f>
        <v/>
      </c>
      <c r="DF48" s="2193">
        <f>DE48*SUM(DC48,CZ48,CU48)</f>
        <v/>
      </c>
      <c r="DG48" s="1051" t="n"/>
      <c r="DH48" s="2194">
        <f>IF(CX48&lt;=BZ$6,BY$6,IF(CX48&lt;=BZ$7,BY$7,IF(CX48&lt;=BZ$8,BY$8,IF(CX48&lt;=BZ$9,BY$9,IF(CX48&lt;=BZ$14,BY$14,IF(CX48&lt;=BZ$15,BY$15,IF(CX48&lt;=BZ$16,BY$16,0.05)))))))</f>
        <v/>
      </c>
      <c r="DI48" s="2193">
        <f>DH48*CX48</f>
        <v/>
      </c>
      <c r="DK48" s="1932">
        <f>0.07*SUM(CU48,CZ48,DC48,DF48,DI48)</f>
        <v/>
      </c>
      <c r="DM48" s="1932">
        <f>SUM(DK48,DI48,DF48,DC48,CZ48,CU48)</f>
        <v/>
      </c>
      <c r="DN48" s="1933">
        <f>SUM(DI48,DF48,DC48,CZ48)</f>
        <v/>
      </c>
      <c r="DO48" s="1051">
        <f>DN48/DM48</f>
        <v/>
      </c>
    </row>
    <row r="49" customFormat="1" s="585">
      <c r="A49" s="739" t="n">
        <v>2</v>
      </c>
      <c r="B49" s="2499">
        <f>G49*H49</f>
        <v/>
      </c>
      <c r="C49" s="2003">
        <f>C45</f>
        <v/>
      </c>
      <c r="D49" s="2255" t="inlineStr">
        <is>
          <t>for mat ONLY</t>
        </is>
      </c>
      <c r="E49" s="763">
        <f>A49*B49*C49</f>
        <v/>
      </c>
      <c r="F49" s="2251" t="inlineStr">
        <is>
          <t>Semi Delivery Unload Hours (Mobz X hr)</t>
        </is>
      </c>
      <c r="G49" s="1611" t="n">
        <v>2</v>
      </c>
      <c r="H49" s="1608">
        <f>G55</f>
        <v/>
      </c>
      <c r="I49" s="1609" t="inlineStr">
        <is>
          <t># of Mobs      -or-</t>
        </is>
      </c>
      <c r="J49" s="1347" t="n"/>
      <c r="O49" s="763" t="n"/>
      <c r="AY49" s="2193" t="n">
        <v>37000</v>
      </c>
      <c r="AZ49" s="2193" t="n"/>
      <c r="BA49" s="2193" t="n"/>
      <c r="BB49" s="2193">
        <f>AY49</f>
        <v/>
      </c>
      <c r="BC49" s="2193" t="n"/>
      <c r="BD49" s="2193" t="n"/>
      <c r="BE49" s="2193">
        <f>AY49+BB49</f>
        <v/>
      </c>
      <c r="BF49" s="2193" t="n"/>
      <c r="BG49" s="2193" t="n"/>
      <c r="BH49" s="2193">
        <f>BE49</f>
        <v/>
      </c>
      <c r="BI49" s="1051">
        <f>IF(AY49&lt;=#REF!,#REF!,IF(AY49&lt;=#REF!,#REF!,IF(AY49&lt;=#REF!,#REF!,IF(AY49&lt;=#REF!,#REF!,IF(AY49&lt;=#REF!,#REF!,IF(AY49&lt;=#REF!,#REF!,IF(AY49&lt;=#REF!,#REF!,0.05)))))))</f>
        <v/>
      </c>
      <c r="BJ49" s="2193">
        <f>BI49*AY49</f>
        <v/>
      </c>
      <c r="BK49" s="1051" t="n"/>
      <c r="BL49" s="1051">
        <f>IF(BB49&lt;=#REF!,#REF!,IF(BB49&lt;=#REF!,#REF!,IF(BB49&lt;=#REF!,#REF!,IF(BB49&lt;=#REF!,#REF!,IF(BB49&lt;=#REF!,#REF!,IF(BB49&lt;=#REF!,#REF!,IF(BB49&lt;=#REF!,#REF!,0.05)))))))</f>
        <v/>
      </c>
      <c r="BM49" s="2193">
        <f>BL49*BB49</f>
        <v/>
      </c>
      <c r="BN49" s="1051" t="n"/>
      <c r="BO49" s="1051">
        <f>IF(BE49&lt;=#REF!,#REF!,IF(BE49&lt;=#REF!,#REF!,IF(BE49&lt;=#REF!,#REF!,IF(BE49&lt;=#REF!,#REF!,IF(BE49&lt;=#REF!,#REF!,IF(BE49&lt;=#REF!,#REF!,IF(BE49&lt;=#REF!,#REF!,0.05)))))))</f>
        <v/>
      </c>
      <c r="BP49" s="2193">
        <f>BO49*SUM(BM49,BJ49,BE49)</f>
        <v/>
      </c>
      <c r="BQ49" s="1051" t="n"/>
      <c r="BR49" s="2194">
        <f>IF(BH49&lt;=#REF!,#REF!,IF(BH49&lt;=#REF!,#REF!,IF(BH49&lt;=#REF!,#REF!,IF(BH49&lt;=#REF!,#REF!,IF(BH49&lt;=#REF!,#REF!,IF(BH49&lt;=#REF!,#REF!,IF(BH49&lt;=#REF!,#REF!,0.05)))))))</f>
        <v/>
      </c>
      <c r="BS49" s="2193">
        <f>BR49*BH49</f>
        <v/>
      </c>
      <c r="BU49" s="1932">
        <f>0.07*SUM(BE49,BJ49,BM49,BP49,BS49)</f>
        <v/>
      </c>
      <c r="BW49" s="1932">
        <f>SUM(BU49,BS49,BP49,BM49,BJ49,BE49)</f>
        <v/>
      </c>
      <c r="BX49" s="1933">
        <f>SUM(BS49,BP49,BM49,BJ49)</f>
        <v/>
      </c>
      <c r="BY49" s="1051">
        <f>BX49/BW49</f>
        <v/>
      </c>
      <c r="CO49" s="2193" t="n">
        <v>37000</v>
      </c>
      <c r="CP49" s="2193" t="n"/>
      <c r="CQ49" s="2193" t="n"/>
      <c r="CR49" s="2193">
        <f>CO49</f>
        <v/>
      </c>
      <c r="CS49" s="2193" t="n"/>
      <c r="CT49" s="2193" t="n"/>
      <c r="CU49" s="2193">
        <f>CO49+CR49</f>
        <v/>
      </c>
      <c r="CV49" s="2193" t="n"/>
      <c r="CW49" s="2193" t="n"/>
      <c r="CX49" s="2193">
        <f>CU49</f>
        <v/>
      </c>
      <c r="CY49" s="1051">
        <f>IF(CO49&lt;=BQ$6,BP$6,IF(CO49&lt;=BQ$7,BP$7,IF(CO49&lt;=BQ$8,BP$8,IF(CO49&lt;=BQ$9,BP$9,IF(CO49&lt;=BQ$14,BP$14,IF(CO49&lt;=BQ$15,BP$15,IF(CO49&lt;=BQ$16,BP$16,0.05)))))))</f>
        <v/>
      </c>
      <c r="CZ49" s="2193">
        <f>CY49*CO49</f>
        <v/>
      </c>
      <c r="DA49" s="1051" t="n"/>
      <c r="DB49" s="1051">
        <f>IF(CR49&lt;=BT$6,BS$6,IF(CR49&lt;=BT$7,BS$7,IF(CR49&lt;=BT$8,BS$8,IF(CR49&lt;=BT$9,BS$9,IF(CR49&lt;=BT$14,BS$14,IF(CR49&lt;=BT$15,BS$15,IF(CR49&lt;=BT$16,BS$16,0.05)))))))</f>
        <v/>
      </c>
      <c r="DC49" s="2193">
        <f>DB49*CR49</f>
        <v/>
      </c>
      <c r="DD49" s="1051" t="n"/>
      <c r="DE49" s="1051">
        <f>IF(CU49&lt;=BW$6,BV$6,IF(CU49&lt;=BW$7,BV$7,IF(CU49&lt;=BW$8,BV$8,IF(CU49&lt;=BW$9,BV$9,IF(CU49&lt;=BW$14,BV$14,IF(CU49&lt;=BW$15,BV$15,IF(CU49&lt;=BW$16,BV$16,0.05)))))))</f>
        <v/>
      </c>
      <c r="DF49" s="2193">
        <f>DE49*SUM(DC49,CZ49,CU49)</f>
        <v/>
      </c>
      <c r="DG49" s="1051" t="n"/>
      <c r="DH49" s="2194">
        <f>IF(CX49&lt;=BZ$6,BY$6,IF(CX49&lt;=BZ$7,BY$7,IF(CX49&lt;=BZ$8,BY$8,IF(CX49&lt;=BZ$9,BY$9,IF(CX49&lt;=BZ$14,BY$14,IF(CX49&lt;=BZ$15,BY$15,IF(CX49&lt;=BZ$16,BY$16,0.05)))))))</f>
        <v/>
      </c>
      <c r="DI49" s="2193">
        <f>DH49*CX49</f>
        <v/>
      </c>
      <c r="DK49" s="1932">
        <f>0.07*SUM(CU49,CZ49,DC49,DF49,DI49)</f>
        <v/>
      </c>
      <c r="DM49" s="1932">
        <f>SUM(DK49,DI49,DF49,DC49,CZ49,CU49)</f>
        <v/>
      </c>
      <c r="DN49" s="1933">
        <f>SUM(DI49,DF49,DC49,CZ49)</f>
        <v/>
      </c>
      <c r="DO49" s="1051">
        <f>DN49/DM49</f>
        <v/>
      </c>
    </row>
    <row r="50" customFormat="1" s="585">
      <c r="A50" s="750" t="inlineStr">
        <is>
          <t>Travel:             Guys</t>
        </is>
      </c>
      <c r="B50" s="751" t="inlineStr">
        <is>
          <t>Hours</t>
        </is>
      </c>
      <c r="C50" s="751" t="inlineStr">
        <is>
          <t>Rate</t>
        </is>
      </c>
      <c r="D50" s="751" t="n"/>
      <c r="E50" s="751" t="n"/>
      <c r="F50" s="1037" t="inlineStr">
        <is>
          <t>Travel</t>
        </is>
      </c>
      <c r="G50" s="1169" t="n"/>
      <c r="H50" s="1608">
        <f>ROUNDUP(IF(B36&gt;H36,B36/H36,1),0)</f>
        <v/>
      </c>
      <c r="I50" s="1609" t="inlineStr">
        <is>
          <t># of Mat Truck Loads</t>
        </is>
      </c>
      <c r="J50" s="1348">
        <f>J46+J48</f>
        <v/>
      </c>
      <c r="K50" s="1339" t="inlineStr">
        <is>
          <t>% Soft Surf + Corridors</t>
        </is>
      </c>
      <c r="L50" s="1339" t="n"/>
      <c r="M50" s="1944" t="n"/>
      <c r="N50" s="1944" t="n"/>
      <c r="V50" s="1172" t="inlineStr">
        <is>
          <t>1/8"</t>
        </is>
      </c>
      <c r="W50" s="1167" t="n">
        <v>8</v>
      </c>
      <c r="X50" s="1167" t="inlineStr">
        <is>
          <t>s</t>
        </is>
      </c>
      <c r="AY50" s="2193" t="n">
        <v>38000</v>
      </c>
      <c r="AZ50" s="2193" t="n"/>
      <c r="BA50" s="2193" t="n"/>
      <c r="BB50" s="2193">
        <f>AY50</f>
        <v/>
      </c>
      <c r="BC50" s="2193" t="n"/>
      <c r="BD50" s="2193" t="n"/>
      <c r="BE50" s="2193">
        <f>AY50+BB50</f>
        <v/>
      </c>
      <c r="BF50" s="2193" t="n"/>
      <c r="BG50" s="2193" t="n"/>
      <c r="BH50" s="2193">
        <f>BE50</f>
        <v/>
      </c>
      <c r="BI50" s="1051">
        <f>IF(AY50&lt;=#REF!,#REF!,IF(AY50&lt;=#REF!,#REF!,IF(AY50&lt;=#REF!,#REF!,IF(AY50&lt;=#REF!,#REF!,IF(AY50&lt;=#REF!,#REF!,IF(AY50&lt;=#REF!,#REF!,IF(AY50&lt;=#REF!,#REF!,0.05)))))))</f>
        <v/>
      </c>
      <c r="BJ50" s="2193">
        <f>BI50*AY50</f>
        <v/>
      </c>
      <c r="BK50" s="1051" t="n"/>
      <c r="BL50" s="1051">
        <f>IF(BB50&lt;=#REF!,#REF!,IF(BB50&lt;=#REF!,#REF!,IF(BB50&lt;=#REF!,#REF!,IF(BB50&lt;=#REF!,#REF!,IF(BB50&lt;=#REF!,#REF!,IF(BB50&lt;=#REF!,#REF!,IF(BB50&lt;=#REF!,#REF!,0.05)))))))</f>
        <v/>
      </c>
      <c r="BM50" s="2193">
        <f>BL50*BB50</f>
        <v/>
      </c>
      <c r="BN50" s="1051" t="n"/>
      <c r="BO50" s="1051">
        <f>IF(BE50&lt;=#REF!,#REF!,IF(BE50&lt;=#REF!,#REF!,IF(BE50&lt;=#REF!,#REF!,IF(BE50&lt;=#REF!,#REF!,IF(BE50&lt;=#REF!,#REF!,IF(BE50&lt;=#REF!,#REF!,IF(BE50&lt;=#REF!,#REF!,0.05)))))))</f>
        <v/>
      </c>
      <c r="BP50" s="2193">
        <f>BO50*SUM(BM50,BJ50,BE50)</f>
        <v/>
      </c>
      <c r="BQ50" s="1051" t="n"/>
      <c r="BR50" s="2194">
        <f>IF(BH50&lt;=#REF!,#REF!,IF(BH50&lt;=#REF!,#REF!,IF(BH50&lt;=#REF!,#REF!,IF(BH50&lt;=#REF!,#REF!,IF(BH50&lt;=#REF!,#REF!,IF(BH50&lt;=#REF!,#REF!,IF(BH50&lt;=#REF!,#REF!,0.05)))))))</f>
        <v/>
      </c>
      <c r="BS50" s="2193">
        <f>BR50*BH50</f>
        <v/>
      </c>
      <c r="BU50" s="1932">
        <f>0.07*SUM(BE50,BJ50,BM50,BP50,BS50)</f>
        <v/>
      </c>
      <c r="BW50" s="1932">
        <f>SUM(BU50,BS50,BP50,BM50,BJ50,BE50)</f>
        <v/>
      </c>
      <c r="BX50" s="1933">
        <f>SUM(BS50,BP50,BM50,BJ50)</f>
        <v/>
      </c>
      <c r="BY50" s="1051">
        <f>BX50/BW50</f>
        <v/>
      </c>
      <c r="CO50" s="2193" t="n">
        <v>38000</v>
      </c>
      <c r="CP50" s="2193" t="n"/>
      <c r="CQ50" s="2193" t="n"/>
      <c r="CR50" s="2193">
        <f>CO50</f>
        <v/>
      </c>
      <c r="CS50" s="2193" t="n"/>
      <c r="CT50" s="2193" t="n"/>
      <c r="CU50" s="2193">
        <f>CO50+CR50</f>
        <v/>
      </c>
      <c r="CV50" s="2193" t="n"/>
      <c r="CW50" s="2193" t="n"/>
      <c r="CX50" s="2193">
        <f>CU50</f>
        <v/>
      </c>
      <c r="CY50" s="1051">
        <f>IF(CO50&lt;=BQ$6,BP$6,IF(CO50&lt;=BQ$7,BP$7,IF(CO50&lt;=BQ$8,BP$8,IF(CO50&lt;=BQ$9,BP$9,IF(CO50&lt;=BQ$14,BP$14,IF(CO50&lt;=BQ$15,BP$15,IF(CO50&lt;=BQ$16,BP$16,0.05)))))))</f>
        <v/>
      </c>
      <c r="CZ50" s="2193">
        <f>CY50*CO50</f>
        <v/>
      </c>
      <c r="DA50" s="1051" t="n"/>
      <c r="DB50" s="1051">
        <f>IF(CR50&lt;=BT$6,BS$6,IF(CR50&lt;=BT$7,BS$7,IF(CR50&lt;=BT$8,BS$8,IF(CR50&lt;=BT$9,BS$9,IF(CR50&lt;=BT$14,BS$14,IF(CR50&lt;=BT$15,BS$15,IF(CR50&lt;=BT$16,BS$16,0.05)))))))</f>
        <v/>
      </c>
      <c r="DC50" s="2193">
        <f>DB50*CR50</f>
        <v/>
      </c>
      <c r="DD50" s="1051" t="n"/>
      <c r="DE50" s="1051">
        <f>IF(CU50&lt;=BW$6,BV$6,IF(CU50&lt;=BW$7,BV$7,IF(CU50&lt;=BW$8,BV$8,IF(CU50&lt;=BW$9,BV$9,IF(CU50&lt;=BW$14,BV$14,IF(CU50&lt;=BW$15,BV$15,IF(CU50&lt;=BW$16,BV$16,0.05)))))))</f>
        <v/>
      </c>
      <c r="DF50" s="2193">
        <f>DE50*SUM(DC50,CZ50,CU50)</f>
        <v/>
      </c>
      <c r="DG50" s="1051" t="n"/>
      <c r="DH50" s="2194">
        <f>IF(CX50&lt;=BZ$6,BY$6,IF(CX50&lt;=BZ$7,BY$7,IF(CX50&lt;=BZ$8,BY$8,IF(CX50&lt;=BZ$9,BY$9,IF(CX50&lt;=BZ$14,BY$14,IF(CX50&lt;=BZ$15,BY$15,IF(CX50&lt;=BZ$16,BY$16,0.05)))))))</f>
        <v/>
      </c>
      <c r="DI50" s="2193">
        <f>DH50*CX50</f>
        <v/>
      </c>
      <c r="DK50" s="1932">
        <f>0.07*SUM(CU50,CZ50,DC50,DF50,DI50)</f>
        <v/>
      </c>
      <c r="DM50" s="1932">
        <f>SUM(DK50,DI50,DF50,DC50,CZ50,CU50)</f>
        <v/>
      </c>
      <c r="DN50" s="1933">
        <f>SUM(DI50,DF50,DC50,CZ50)</f>
        <v/>
      </c>
      <c r="DO50" s="1051">
        <f>DN50/DM50</f>
        <v/>
      </c>
    </row>
    <row r="51" customFormat="1" s="585">
      <c r="A51" s="755">
        <f>A46</f>
        <v/>
      </c>
      <c r="B51" s="2500">
        <f>((B6*2)/60)*T28</f>
        <v/>
      </c>
      <c r="C51" s="2256" t="n">
        <v>33.66</v>
      </c>
      <c r="D51" s="2257" t="n"/>
      <c r="E51" s="1041">
        <f>A51*B51*C51</f>
        <v/>
      </c>
      <c r="F51" s="2036" t="inlineStr">
        <is>
          <t xml:space="preserve">Travel Hours ((miles/60) x # Mobz)  </t>
        </is>
      </c>
      <c r="G51" s="1170" t="n"/>
      <c r="H51" s="705" t="n"/>
      <c r="I51" s="2017" t="n"/>
      <c r="J51" s="774" t="n"/>
      <c r="O51" s="851" t="inlineStr">
        <is>
          <t>PSI</t>
        </is>
      </c>
      <c r="Q51" s="1046" t="inlineStr">
        <is>
          <t>Sand Mix</t>
        </is>
      </c>
      <c r="R51" s="776" t="inlineStr">
        <is>
          <t>Gyp Yield Soft</t>
        </is>
      </c>
      <c r="S51" s="1150" t="inlineStr">
        <is>
          <t>Gyp Yield Hard</t>
        </is>
      </c>
      <c r="T51" s="1151" t="inlineStr">
        <is>
          <t>Gyp Yield Corr</t>
        </is>
      </c>
      <c r="W51" s="1034">
        <f>X51/$W$50</f>
        <v/>
      </c>
      <c r="X51" s="594" t="n">
        <v>6</v>
      </c>
      <c r="AY51" s="2193" t="n">
        <v>39000</v>
      </c>
      <c r="AZ51" s="2193" t="n"/>
      <c r="BA51" s="2193" t="n"/>
      <c r="BB51" s="2193">
        <f>AY51</f>
        <v/>
      </c>
      <c r="BC51" s="2193" t="n"/>
      <c r="BD51" s="2193" t="n"/>
      <c r="BE51" s="2193">
        <f>AY51+BB51</f>
        <v/>
      </c>
      <c r="BF51" s="2193" t="n"/>
      <c r="BG51" s="2193" t="n"/>
      <c r="BH51" s="2193">
        <f>BE51</f>
        <v/>
      </c>
      <c r="BI51" s="1051">
        <f>IF(AY51&lt;=#REF!,#REF!,IF(AY51&lt;=#REF!,#REF!,IF(AY51&lt;=#REF!,#REF!,IF(AY51&lt;=#REF!,#REF!,IF(AY51&lt;=#REF!,#REF!,IF(AY51&lt;=#REF!,#REF!,IF(AY51&lt;=#REF!,#REF!,0.05)))))))</f>
        <v/>
      </c>
      <c r="BJ51" s="2193">
        <f>BI51*AY51</f>
        <v/>
      </c>
      <c r="BK51" s="1051" t="n"/>
      <c r="BL51" s="1051">
        <f>IF(BB51&lt;=#REF!,#REF!,IF(BB51&lt;=#REF!,#REF!,IF(BB51&lt;=#REF!,#REF!,IF(BB51&lt;=#REF!,#REF!,IF(BB51&lt;=#REF!,#REF!,IF(BB51&lt;=#REF!,#REF!,IF(BB51&lt;=#REF!,#REF!,0.05)))))))</f>
        <v/>
      </c>
      <c r="BM51" s="2193">
        <f>BL51*BB51</f>
        <v/>
      </c>
      <c r="BN51" s="1051" t="n"/>
      <c r="BO51" s="1051">
        <f>IF(BE51&lt;=#REF!,#REF!,IF(BE51&lt;=#REF!,#REF!,IF(BE51&lt;=#REF!,#REF!,IF(BE51&lt;=#REF!,#REF!,IF(BE51&lt;=#REF!,#REF!,IF(BE51&lt;=#REF!,#REF!,IF(BE51&lt;=#REF!,#REF!,0.05)))))))</f>
        <v/>
      </c>
      <c r="BP51" s="2193">
        <f>BO51*SUM(BM51,BJ51,BE51)</f>
        <v/>
      </c>
      <c r="BQ51" s="1051" t="n"/>
      <c r="BR51" s="2194">
        <f>IF(BH51&lt;=#REF!,#REF!,IF(BH51&lt;=#REF!,#REF!,IF(BH51&lt;=#REF!,#REF!,IF(BH51&lt;=#REF!,#REF!,IF(BH51&lt;=#REF!,#REF!,IF(BH51&lt;=#REF!,#REF!,IF(BH51&lt;=#REF!,#REF!,0.05)))))))</f>
        <v/>
      </c>
      <c r="BS51" s="2193">
        <f>BR51*BH51</f>
        <v/>
      </c>
      <c r="BU51" s="1932">
        <f>0.07*SUM(BE51,BJ51,BM51,BP51,BS51)</f>
        <v/>
      </c>
      <c r="BW51" s="1932">
        <f>SUM(BU51,BS51,BP51,BM51,BJ51,BE51)</f>
        <v/>
      </c>
      <c r="BX51" s="1933">
        <f>SUM(BS51,BP51,BM51,BJ51)</f>
        <v/>
      </c>
      <c r="BY51" s="1051">
        <f>BX51/BW51</f>
        <v/>
      </c>
      <c r="CO51" s="2193" t="n">
        <v>39000</v>
      </c>
      <c r="CP51" s="2193" t="n"/>
      <c r="CQ51" s="2193" t="n"/>
      <c r="CR51" s="2193">
        <f>CO51</f>
        <v/>
      </c>
      <c r="CS51" s="2193" t="n"/>
      <c r="CT51" s="2193" t="n"/>
      <c r="CU51" s="2193">
        <f>CO51+CR51</f>
        <v/>
      </c>
      <c r="CV51" s="2193" t="n"/>
      <c r="CW51" s="2193" t="n"/>
      <c r="CX51" s="2193">
        <f>CU51</f>
        <v/>
      </c>
      <c r="CY51" s="1051">
        <f>IF(CO51&lt;=BQ$6,BP$6,IF(CO51&lt;=BQ$7,BP$7,IF(CO51&lt;=BQ$8,BP$8,IF(CO51&lt;=BQ$9,BP$9,IF(CO51&lt;=BQ$14,BP$14,IF(CO51&lt;=BQ$15,BP$15,IF(CO51&lt;=BQ$16,BP$16,0.05)))))))</f>
        <v/>
      </c>
      <c r="CZ51" s="2193">
        <f>CY51*CO51</f>
        <v/>
      </c>
      <c r="DA51" s="1051" t="n"/>
      <c r="DB51" s="1051">
        <f>IF(CR51&lt;=BT$6,BS$6,IF(CR51&lt;=BT$7,BS$7,IF(CR51&lt;=BT$8,BS$8,IF(CR51&lt;=BT$9,BS$9,IF(CR51&lt;=BT$14,BS$14,IF(CR51&lt;=BT$15,BS$15,IF(CR51&lt;=BT$16,BS$16,0.05)))))))</f>
        <v/>
      </c>
      <c r="DC51" s="2193">
        <f>DB51*CR51</f>
        <v/>
      </c>
      <c r="DD51" s="1051" t="n"/>
      <c r="DE51" s="1051">
        <f>IF(CU51&lt;=BW$6,BV$6,IF(CU51&lt;=BW$7,BV$7,IF(CU51&lt;=BW$8,BV$8,IF(CU51&lt;=BW$9,BV$9,IF(CU51&lt;=BW$14,BV$14,IF(CU51&lt;=BW$15,BV$15,IF(CU51&lt;=BW$16,BV$16,0.05)))))))</f>
        <v/>
      </c>
      <c r="DF51" s="2193">
        <f>DE51*SUM(DC51,CZ51,CU51)</f>
        <v/>
      </c>
      <c r="DG51" s="1051" t="n"/>
      <c r="DH51" s="2194">
        <f>IF(CX51&lt;=BZ$6,BY$6,IF(CX51&lt;=BZ$7,BY$7,IF(CX51&lt;=BZ$8,BY$8,IF(CX51&lt;=BZ$9,BY$9,IF(CX51&lt;=BZ$14,BY$14,IF(CX51&lt;=BZ$15,BY$15,IF(CX51&lt;=BZ$16,BY$16,0.05)))))))</f>
        <v/>
      </c>
      <c r="DI51" s="2193">
        <f>DH51*CX51</f>
        <v/>
      </c>
      <c r="DK51" s="1932">
        <f>0.07*SUM(CU51,CZ51,DC51,DF51,DI51)</f>
        <v/>
      </c>
      <c r="DM51" s="1932">
        <f>SUM(DK51,DI51,DF51,DC51,CZ51,CU51)</f>
        <v/>
      </c>
      <c r="DN51" s="1933">
        <f>SUM(DI51,DF51,DC51,CZ51)</f>
        <v/>
      </c>
      <c r="DO51" s="1051">
        <f>DN51/DM51</f>
        <v/>
      </c>
    </row>
    <row r="52" ht="16.2" customFormat="1" customHeight="1" s="585" thickBot="1">
      <c r="A52" s="764" t="inlineStr">
        <is>
          <t xml:space="preserve">Install Labor </t>
        </is>
      </c>
      <c r="B52" s="765" t="n"/>
      <c r="C52" s="766" t="n"/>
      <c r="D52" s="765" t="n"/>
      <c r="E52" s="2258">
        <f>ROUNDUP(SUM(E45:E51),0)</f>
        <v/>
      </c>
      <c r="F52" s="766">
        <f>E52/B43</f>
        <v/>
      </c>
      <c r="G52" s="766" t="inlineStr">
        <is>
          <t>Labor $/SF</t>
        </is>
      </c>
      <c r="H52" s="2011" t="n"/>
      <c r="I52" s="600" t="n"/>
      <c r="J52" s="1046" t="n"/>
      <c r="O52" s="585" t="inlineStr">
        <is>
          <t>2500 psi = 1.8</t>
        </is>
      </c>
      <c r="P52" s="585" t="n">
        <v>1.8</v>
      </c>
      <c r="Q52" s="585" t="n">
        <v>180</v>
      </c>
      <c r="R52" s="1034">
        <f>G15/I23</f>
        <v/>
      </c>
      <c r="S52" s="1034">
        <f>(G15+12)/I24</f>
        <v/>
      </c>
      <c r="T52" s="1034">
        <f>G15/I25</f>
        <v/>
      </c>
      <c r="W52" s="1034">
        <f>X52/$W$50</f>
        <v/>
      </c>
      <c r="X52" s="594" t="n">
        <v>8</v>
      </c>
    </row>
    <row r="53" ht="16.2" customFormat="1" customHeight="1" s="585" thickBot="1">
      <c r="A53" s="1527" t="inlineStr">
        <is>
          <t>Labor Escalation</t>
        </is>
      </c>
      <c r="B53" s="1533" t="inlineStr">
        <is>
          <t>(rate esc. only)</t>
        </is>
      </c>
      <c r="C53" s="1555">
        <f>'Gyp (USG 1-8")'!C53</f>
        <v/>
      </c>
      <c r="D53" s="1528" t="n"/>
      <c r="E53" s="2259">
        <f>ROUNDUP(((E52)*C53),0)</f>
        <v/>
      </c>
      <c r="F53" s="1556" t="inlineStr">
        <is>
          <t>+5%IFPWorLong Lead Job (12+months)</t>
        </is>
      </c>
      <c r="G53" s="600" t="n"/>
      <c r="H53" s="2014" t="n"/>
      <c r="I53" s="600" t="n"/>
      <c r="J53" s="1046" t="n"/>
      <c r="K53" s="1595" t="inlineStr">
        <is>
          <t xml:space="preserve">        "Entry" Laborer for MO "State" Wage ONLY</t>
        </is>
      </c>
      <c r="L53" s="1594" t="n"/>
      <c r="M53" s="1944" t="n"/>
      <c r="N53" s="1944" t="n"/>
      <c r="R53" s="1034" t="n"/>
      <c r="S53" s="1034" t="n"/>
      <c r="T53" s="1034" t="n"/>
      <c r="W53" s="1034">
        <f>X53/$W$50</f>
        <v/>
      </c>
      <c r="X53" s="594" t="n">
        <v>10</v>
      </c>
    </row>
    <row r="54" ht="16.2" customFormat="1" customHeight="1" s="585" thickBot="1">
      <c r="A54" s="771" t="inlineStr">
        <is>
          <t>Labor Burden</t>
        </is>
      </c>
      <c r="B54" s="766" t="n"/>
      <c r="C54" s="1044" t="n">
        <v>0.12</v>
      </c>
      <c r="D54" s="1044" t="n"/>
      <c r="E54" s="2260">
        <f>ROUNDUP((E52+E53)*C54,0)</f>
        <v/>
      </c>
      <c r="F54" s="600" t="n"/>
      <c r="G54" s="600" t="n"/>
      <c r="H54" s="2017" t="n"/>
      <c r="I54" s="2017" t="n"/>
      <c r="J54" s="774" t="n"/>
      <c r="K54" s="1585" t="inlineStr">
        <is>
          <t xml:space="preserve">                    ** Cement Mason **              </t>
        </is>
      </c>
      <c r="L54" s="1586" t="n"/>
      <c r="M54" s="1944" t="n"/>
      <c r="N54" s="1944" t="n"/>
      <c r="O54" s="585" t="inlineStr">
        <is>
          <t>3000+ psi = 1.4</t>
        </is>
      </c>
      <c r="P54" s="585" t="n">
        <v>1.4</v>
      </c>
      <c r="Q54" s="585" t="n">
        <v>140</v>
      </c>
      <c r="R54" s="1121">
        <f>ROUND(G15/(I23*1.1764705915999),0)</f>
        <v/>
      </c>
      <c r="S54" s="1122">
        <f>ROUND((G15+12)/(I24*1.1764705915999),0)</f>
        <v/>
      </c>
      <c r="T54" s="1121">
        <f>ROUND(G15/(I25*1.1764705915999),0)</f>
        <v/>
      </c>
      <c r="W54" s="1034">
        <f>X54/$W$50</f>
        <v/>
      </c>
      <c r="X54" s="594" t="n">
        <v>12</v>
      </c>
    </row>
    <row r="55" ht="16.2" customFormat="1" customHeight="1" s="585" thickBot="1">
      <c r="A55" s="600" t="n"/>
      <c r="B55" s="1877" t="n"/>
      <c r="C55" s="1944" t="n"/>
      <c r="D55" s="1944" t="n"/>
      <c r="E55" s="1944" t="n"/>
      <c r="F55" s="1944" t="n"/>
      <c r="G55" s="1610">
        <f>T28</f>
        <v/>
      </c>
      <c r="H55" s="1390" t="inlineStr">
        <is>
          <t>Total mobs INCLUDED</t>
        </is>
      </c>
      <c r="I55" s="1441" t="inlineStr">
        <is>
          <t>---from---'S28'---&gt;</t>
        </is>
      </c>
      <c r="J55" s="1046" t="n"/>
      <c r="K55" s="1576" t="inlineStr">
        <is>
          <t>Prevailing Wage Rate:</t>
        </is>
      </c>
      <c r="L55" s="2018">
        <f>SUM(L56:L57)</f>
        <v/>
      </c>
      <c r="M55" s="2026">
        <f>IF((L55/2)&lt;23,23,(L55/2))</f>
        <v/>
      </c>
      <c r="W55" s="1034">
        <f>X55/$W$50</f>
        <v/>
      </c>
      <c r="X55" s="594" t="n">
        <v>14</v>
      </c>
    </row>
    <row r="56" customFormat="1" s="585">
      <c r="A56" s="621" t="inlineStr">
        <is>
          <t>TOOLING &amp; CONSUMABLES</t>
        </is>
      </c>
      <c r="B56" s="622" t="inlineStr">
        <is>
          <t>Quantity</t>
        </is>
      </c>
      <c r="C56" s="778" t="inlineStr">
        <is>
          <t>Cost</t>
        </is>
      </c>
      <c r="D56" s="1047" t="n"/>
      <c r="E56" s="2261" t="inlineStr">
        <is>
          <t>Totals</t>
        </is>
      </c>
      <c r="F56" s="600" t="n"/>
      <c r="G56" s="600" t="n"/>
      <c r="H56" s="1450">
        <f>F43</f>
        <v/>
      </c>
      <c r="I56" s="593" t="n"/>
      <c r="J56" s="600" t="n"/>
      <c r="K56" s="1578" t="inlineStr">
        <is>
          <t>rate =</t>
        </is>
      </c>
      <c r="L56" s="2020" t="n">
        <v>0</v>
      </c>
      <c r="M56" s="1598" t="inlineStr">
        <is>
          <t xml:space="preserve"> 1:1 "Entry"</t>
        </is>
      </c>
      <c r="O56" s="1113" t="inlineStr">
        <is>
          <t>Gyp Yield Calculator</t>
        </is>
      </c>
      <c r="P56" s="1120" t="inlineStr">
        <is>
          <t>Factor = 13.00</t>
        </is>
      </c>
      <c r="W56" s="1034">
        <f>X56/$W$50</f>
        <v/>
      </c>
      <c r="X56" s="594" t="n">
        <v>16</v>
      </c>
    </row>
    <row r="57" ht="16.2" customFormat="1" customHeight="1" s="585" thickBot="1">
      <c r="A57" s="628" t="inlineStr">
        <is>
          <t>Moisture Test</t>
        </is>
      </c>
      <c r="B57" s="774" t="n"/>
      <c r="C57" s="1944" t="n">
        <v>35</v>
      </c>
      <c r="D57" s="1977" t="n"/>
      <c r="E57" s="1962">
        <f>ROUNDUP(B57*C57,0)</f>
        <v/>
      </c>
      <c r="F57" s="600" t="n"/>
      <c r="G57" s="1409" t="inlineStr">
        <is>
          <t xml:space="preserve">Total Man Hours </t>
        </is>
      </c>
      <c r="H57" s="1410">
        <f>((A46*B46)+(A47*B47)+(A48*B48)+(A49*B49)+(A45*B45))</f>
        <v/>
      </c>
      <c r="I57" s="1443">
        <f>A46</f>
        <v/>
      </c>
      <c r="J57" s="2168" t="inlineStr">
        <is>
          <t>crew size</t>
        </is>
      </c>
      <c r="K57" s="1580" t="inlineStr">
        <is>
          <t>+ fringes =</t>
        </is>
      </c>
      <c r="L57" s="2022" t="n">
        <v>0</v>
      </c>
      <c r="M57" s="1599" t="inlineStr">
        <is>
          <t xml:space="preserve">Half Wage </t>
        </is>
      </c>
      <c r="O57" s="585" t="n">
        <v>1.4</v>
      </c>
      <c r="P57" s="585">
        <f>160+280</f>
        <v/>
      </c>
      <c r="Q57" s="1121" t="n">
        <v>33.75</v>
      </c>
      <c r="R57" s="2262">
        <f>P57/Q57</f>
        <v/>
      </c>
      <c r="S57" s="594" t="n">
        <v>1.4</v>
      </c>
      <c r="T57" s="1122" t="n">
        <v>35.5</v>
      </c>
      <c r="U57" s="2262">
        <f>P57/T57</f>
        <v/>
      </c>
      <c r="V57" s="594" t="n">
        <v>1.4</v>
      </c>
      <c r="W57" s="1034">
        <f>X57/$W$50</f>
        <v/>
      </c>
      <c r="X57" s="594" t="n">
        <v>18</v>
      </c>
    </row>
    <row r="58" customFormat="1" s="585">
      <c r="A58" s="628" t="inlineStr">
        <is>
          <t>Tooling &amp; Consumables</t>
        </is>
      </c>
      <c r="B58" s="774">
        <f>B43</f>
        <v/>
      </c>
      <c r="C58" s="1944" t="n">
        <v>0.04</v>
      </c>
      <c r="D58" s="1977" t="n"/>
      <c r="E58" s="1962">
        <f>ROUNDUP(B58*C58,0)</f>
        <v/>
      </c>
      <c r="F58" s="1422" t="inlineStr">
        <is>
          <t>(staples, sprayer, tarp, etc.)</t>
        </is>
      </c>
      <c r="G58" s="1048" t="inlineStr">
        <is>
          <t xml:space="preserve">Total Days </t>
        </is>
      </c>
      <c r="H58" s="1389">
        <f>H57/IF($F$43="8 hour days",8,10)/I57</f>
        <v/>
      </c>
      <c r="I58" s="1404">
        <f>H58/G55</f>
        <v/>
      </c>
      <c r="J58" s="959" t="inlineStr">
        <is>
          <t>Avg days per mob</t>
        </is>
      </c>
      <c r="K58" s="864" t="inlineStr">
        <is>
          <t xml:space="preserve">        Foreman *min. $32 Cement Mason</t>
        </is>
      </c>
      <c r="L58" s="2023" t="n"/>
      <c r="O58" s="585" t="n">
        <v>1.8</v>
      </c>
      <c r="P58" s="585">
        <f>160+360</f>
        <v/>
      </c>
      <c r="Q58" s="1118" t="n">
        <v>40</v>
      </c>
      <c r="R58" s="2263">
        <f>P58/Q58</f>
        <v/>
      </c>
      <c r="S58" s="594" t="n">
        <v>1.8</v>
      </c>
      <c r="T58" s="1034" t="n">
        <v>42</v>
      </c>
      <c r="U58" s="2264">
        <f>P58/T58</f>
        <v/>
      </c>
      <c r="V58" s="594" t="n">
        <v>1.8</v>
      </c>
      <c r="W58" s="1034">
        <f>X58/$W$50</f>
        <v/>
      </c>
      <c r="X58" s="594" t="n">
        <v>20</v>
      </c>
    </row>
    <row r="59" ht="16.2" customFormat="1" customHeight="1" s="585" thickBot="1">
      <c r="A59" s="628" t="n"/>
      <c r="B59" s="774" t="n"/>
      <c r="C59" s="1944" t="n"/>
      <c r="D59" s="1977" t="n"/>
      <c r="E59" s="1962">
        <f>ROUNDUP(B59*C59,0)</f>
        <v/>
      </c>
      <c r="F59" s="787" t="n"/>
      <c r="G59" s="1405" t="n"/>
      <c r="H59" s="1406" t="n"/>
      <c r="I59" s="1407" t="n"/>
      <c r="J59" s="2265" t="n"/>
      <c r="K59" s="1583" t="inlineStr">
        <is>
          <t xml:space="preserve">        (Entry *min. $23 Cement Mason)</t>
        </is>
      </c>
      <c r="L59" s="2024" t="n"/>
      <c r="Q59" s="1119" t="inlineStr">
        <is>
          <t>40 sf @ 3/4"</t>
        </is>
      </c>
      <c r="R59" s="2266">
        <f>R58-R57</f>
        <v/>
      </c>
      <c r="S59" s="590" t="inlineStr">
        <is>
          <t>diff</t>
        </is>
      </c>
      <c r="U59" s="2266">
        <f>U58-U57</f>
        <v/>
      </c>
      <c r="V59" s="590" t="inlineStr">
        <is>
          <t>diff</t>
        </is>
      </c>
      <c r="W59" s="1034">
        <f>X59/$W$50</f>
        <v/>
      </c>
      <c r="X59" s="594" t="n">
        <v>22</v>
      </c>
    </row>
    <row r="60" ht="16.2" customFormat="1" customHeight="1" s="585" thickBot="1">
      <c r="A60" s="628" t="n"/>
      <c r="B60" s="774" t="n"/>
      <c r="C60" s="1944" t="n"/>
      <c r="D60" s="1977" t="n"/>
      <c r="E60" s="1962">
        <f>ROUNDUP(B60*C60,0)</f>
        <v/>
      </c>
      <c r="F60" s="600" t="n"/>
      <c r="G60" s="1438" t="inlineStr">
        <is>
          <t>Total Days w/Travel</t>
        </is>
      </c>
      <c r="H60" s="1439">
        <f>H61/IF($F$43="8 hour days",8,10)/I57</f>
        <v/>
      </c>
      <c r="I60" s="1404">
        <f>H60/G55</f>
        <v/>
      </c>
      <c r="J60" s="959" t="inlineStr">
        <is>
          <t>Days per mob(WITH travel)</t>
        </is>
      </c>
      <c r="K60" s="1587" t="inlineStr">
        <is>
          <t xml:space="preserve">                           ** Painter **                      </t>
        </is>
      </c>
      <c r="L60" s="1588" t="n"/>
      <c r="W60" s="1034">
        <f>X60/$W$50</f>
        <v/>
      </c>
      <c r="X60" s="594" t="n">
        <v>24</v>
      </c>
    </row>
    <row r="61" ht="16.2" customFormat="1" customHeight="1" s="585" thickBot="1">
      <c r="A61" s="1565" t="inlineStr">
        <is>
          <t>Tooling and Consumables Total</t>
        </is>
      </c>
      <c r="B61" s="1566" t="n"/>
      <c r="C61" s="2028" t="n"/>
      <c r="D61" s="2028" t="n"/>
      <c r="E61" s="2029">
        <f>SUM(E57:E60)</f>
        <v/>
      </c>
      <c r="F61" s="600" t="n"/>
      <c r="G61" s="1537" t="inlineStr">
        <is>
          <t>Hours WITH travel</t>
        </is>
      </c>
      <c r="H61" s="1536">
        <f>((A46*B46)+(A47*B47)+(A48*B48)+(A49*B49)+(A45*B45)+(A51*B51))</f>
        <v/>
      </c>
      <c r="I61" s="793" t="n"/>
      <c r="J61" s="834" t="n"/>
      <c r="K61" s="1576" t="inlineStr">
        <is>
          <t>Prevailing Wage Rate:</t>
        </is>
      </c>
      <c r="L61" s="2018">
        <f>SUM(L62:L63)</f>
        <v/>
      </c>
      <c r="M61" s="2026">
        <f>IF((L61/2)&lt;23,23,(L61/2))</f>
        <v/>
      </c>
      <c r="W61" s="1034">
        <f>X61/$W$50</f>
        <v/>
      </c>
      <c r="X61" s="594" t="n">
        <v>26</v>
      </c>
    </row>
    <row r="62" customFormat="1" s="585">
      <c r="A62" s="600" t="n"/>
      <c r="B62" s="1877" t="n"/>
      <c r="C62" s="1944" t="n"/>
      <c r="D62" s="1944" t="n"/>
      <c r="E62" s="1944" t="n"/>
      <c r="F62" s="600" t="n"/>
      <c r="G62" s="600" t="n"/>
      <c r="H62" s="600" t="n"/>
      <c r="I62" s="2267">
        <f>B43/G55</f>
        <v/>
      </c>
      <c r="J62" s="1645" t="inlineStr">
        <is>
          <t>SF /mob (approx.-avg.)</t>
        </is>
      </c>
      <c r="K62" s="1578" t="inlineStr">
        <is>
          <t>rate =</t>
        </is>
      </c>
      <c r="L62" s="2020" t="n">
        <v>0</v>
      </c>
      <c r="M62" s="1596" t="inlineStr">
        <is>
          <t xml:space="preserve"> 1:1 "Entry"</t>
        </is>
      </c>
      <c r="W62" s="1034">
        <f>X62/$W$50</f>
        <v/>
      </c>
      <c r="X62" s="594" t="n">
        <v>28</v>
      </c>
    </row>
    <row r="63" ht="16.2" customFormat="1" customHeight="1" s="585" thickBot="1">
      <c r="A63" s="621" t="inlineStr">
        <is>
          <t>TRAVEL</t>
        </is>
      </c>
      <c r="B63" s="622" t="inlineStr">
        <is>
          <t>Quantity</t>
        </is>
      </c>
      <c r="C63" s="778" t="inlineStr">
        <is>
          <t>Cost</t>
        </is>
      </c>
      <c r="D63" s="1047" t="n"/>
      <c r="E63" s="2261" t="inlineStr">
        <is>
          <t>Totals</t>
        </is>
      </c>
      <c r="F63" s="600" t="n"/>
      <c r="G63" s="600" t="n"/>
      <c r="H63" s="780" t="n"/>
      <c r="K63" s="1580" t="inlineStr">
        <is>
          <t>+ fringes =</t>
        </is>
      </c>
      <c r="L63" s="2022" t="n">
        <v>0</v>
      </c>
      <c r="M63" s="1597" t="inlineStr">
        <is>
          <t xml:space="preserve">Half Wage </t>
        </is>
      </c>
      <c r="O63" s="1113" t="inlineStr">
        <is>
          <t>PSI option… pending add</t>
        </is>
      </c>
      <c r="Q63" s="1046" t="inlineStr">
        <is>
          <t>Sand Mix</t>
        </is>
      </c>
      <c r="R63" s="1046" t="inlineStr">
        <is>
          <t>Gyp Yield Soft+Corr</t>
        </is>
      </c>
      <c r="S63" s="1046" t="inlineStr">
        <is>
          <t>Gyp Yield Hard</t>
        </is>
      </c>
    </row>
    <row r="64" customFormat="1" s="585">
      <c r="A64" s="628" t="inlineStr">
        <is>
          <t>Travel - Lodging</t>
        </is>
      </c>
      <c r="B64" s="774">
        <f>IF(B5="No",((E52-E51)/C46)/10)</f>
        <v/>
      </c>
      <c r="C64" s="1944" t="n">
        <v>70</v>
      </c>
      <c r="D64" s="1977" t="n"/>
      <c r="E64" s="1962">
        <f>ROUNDUP(B64*C64,0)</f>
        <v/>
      </c>
      <c r="F64" s="600" t="n"/>
      <c r="G64" s="600" t="n"/>
      <c r="H64" s="600" t="n"/>
      <c r="I64" s="774" t="n"/>
      <c r="J64" s="714" t="n"/>
      <c r="K64" s="864" t="inlineStr">
        <is>
          <t xml:space="preserve">               Foreman *min. $32 Painter</t>
        </is>
      </c>
      <c r="L64" s="2023" t="n"/>
      <c r="O64" s="585" t="inlineStr">
        <is>
          <t>2000 psi</t>
        </is>
      </c>
      <c r="P64" s="585" t="n">
        <v>2.1</v>
      </c>
      <c r="Q64" s="585" t="n">
        <v>210</v>
      </c>
    </row>
    <row r="65" ht="16.2" customFormat="1" customHeight="1" s="585" thickBot="1">
      <c r="A65" s="628" t="inlineStr">
        <is>
          <t>Travel - Food</t>
        </is>
      </c>
      <c r="B65" s="774">
        <f>B64</f>
        <v/>
      </c>
      <c r="C65" s="1944" t="n">
        <v>45</v>
      </c>
      <c r="D65" s="1977" t="n"/>
      <c r="E65" s="1962">
        <f>ROUNDUP(B65*C65,0)</f>
        <v/>
      </c>
      <c r="F65" s="795" t="n"/>
      <c r="G65" s="600" t="n"/>
      <c r="H65" s="600" t="n"/>
      <c r="I65" s="782" t="n"/>
      <c r="J65" s="1944" t="n"/>
      <c r="K65" s="1583" t="inlineStr">
        <is>
          <t xml:space="preserve">               (Entry *min. $23 Painter)</t>
        </is>
      </c>
      <c r="L65" s="2024" t="n"/>
      <c r="M65" s="1383" t="n"/>
      <c r="N65" s="1383" t="n"/>
    </row>
    <row r="66" ht="16.2" customFormat="1" customHeight="1" s="585" thickBot="1">
      <c r="A66" s="628" t="n"/>
      <c r="B66" s="774" t="n"/>
      <c r="C66" s="1944" t="n"/>
      <c r="D66" s="1977" t="n"/>
      <c r="E66" s="1962">
        <f>ROUNDUP(B66*C66,0)</f>
        <v/>
      </c>
      <c r="F66" s="600" t="n"/>
      <c r="G66" s="600" t="n"/>
      <c r="H66" s="600" t="n"/>
      <c r="I66" s="774" t="n"/>
      <c r="J66" s="1944" t="n"/>
      <c r="K66" s="1595" t="inlineStr">
        <is>
          <t xml:space="preserve">        "Entry" Laborer for MO "State" Wage ONLY</t>
        </is>
      </c>
      <c r="L66" s="1594" t="n"/>
      <c r="M66" s="590" t="inlineStr">
        <is>
          <t>NOT davis-bacon</t>
        </is>
      </c>
      <c r="N66" s="590" t="n"/>
    </row>
    <row r="67" customFormat="1" s="585">
      <c r="A67" s="1565" t="inlineStr">
        <is>
          <t>Travel Costs Total</t>
        </is>
      </c>
      <c r="B67" s="1566" t="n"/>
      <c r="C67" s="2028" t="n"/>
      <c r="D67" s="2028" t="n"/>
      <c r="E67" s="2029">
        <f>SUM(E64:E66)</f>
        <v/>
      </c>
      <c r="F67" s="600" t="n"/>
      <c r="G67" s="600" t="n"/>
      <c r="H67" s="662" t="n"/>
      <c r="I67" s="793" t="n"/>
      <c r="J67" s="1944" t="n"/>
      <c r="K67" s="600" t="n"/>
      <c r="L67" s="1936" t="n"/>
    </row>
    <row r="68" customFormat="1" s="585">
      <c r="A68" s="600" t="n"/>
      <c r="B68" s="1877" t="n"/>
      <c r="C68" s="1944" t="n"/>
      <c r="D68" s="1944" t="n"/>
      <c r="E68" s="1944" t="n"/>
      <c r="F68" s="600" t="n"/>
      <c r="G68" s="600" t="n"/>
      <c r="H68" s="600" t="n"/>
      <c r="J68" s="714" t="n"/>
      <c r="K68" s="1944" t="n"/>
      <c r="L68" s="1928" t="n"/>
    </row>
    <row r="69" customFormat="1" s="585">
      <c r="A69" s="796" t="inlineStr">
        <is>
          <t>SUB-TOTAL COSTS</t>
        </is>
      </c>
      <c r="B69" s="797" t="n"/>
      <c r="C69" s="2032" t="n"/>
      <c r="D69" s="2032" t="n"/>
      <c r="E69" s="2033">
        <f>ROUNDUP(SUM(E41,E52:E54,E61,E67),0)</f>
        <v/>
      </c>
      <c r="F69" s="2268">
        <f>E69/B43</f>
        <v/>
      </c>
      <c r="G69" s="801" t="inlineStr">
        <is>
          <t>Sub-Total $/SF</t>
        </is>
      </c>
      <c r="H69" s="600" t="n"/>
      <c r="K69" s="714" t="n"/>
      <c r="L69" s="2031" t="n"/>
    </row>
    <row r="70" customFormat="1" s="585">
      <c r="A70" s="600" t="n"/>
      <c r="B70" s="1877" t="n"/>
      <c r="C70" s="1944" t="n"/>
      <c r="D70" s="1944" t="n"/>
      <c r="E70" s="1944" t="n"/>
      <c r="F70" s="600" t="n"/>
      <c r="G70" s="600" t="n"/>
      <c r="H70" s="600" t="n"/>
      <c r="J70" s="1944" t="n"/>
      <c r="K70" s="600" t="n"/>
      <c r="L70" s="1936" t="n"/>
      <c r="M70" s="1936" t="n"/>
      <c r="N70" s="1936" t="n"/>
    </row>
    <row r="71" customFormat="1" s="585">
      <c r="A71" s="621" t="inlineStr">
        <is>
          <t>MARKUP</t>
        </is>
      </c>
      <c r="B71" s="622" t="inlineStr">
        <is>
          <t>%</t>
        </is>
      </c>
      <c r="C71" s="2035" t="n"/>
      <c r="D71" s="1047" t="n"/>
      <c r="E71" s="2019" t="inlineStr">
        <is>
          <t>Totals</t>
        </is>
      </c>
      <c r="F71" s="600" t="n"/>
      <c r="G71" s="2036">
        <f>SUM(E69,E81,E84)</f>
        <v/>
      </c>
      <c r="H71" s="811" t="inlineStr">
        <is>
          <t>Total "Estimated Costs" w/taxes + fees + bond</t>
        </is>
      </c>
      <c r="I71" s="812" t="n"/>
      <c r="J71" s="2037">
        <f>G71/C86</f>
        <v/>
      </c>
      <c r="K71" s="1944" t="n"/>
      <c r="L71" s="1928" t="n"/>
    </row>
    <row r="72" customFormat="1" s="585">
      <c r="A72" s="817" t="inlineStr">
        <is>
          <t>GP (before lines below)</t>
        </is>
      </c>
      <c r="B72" s="122">
        <f>IF(E69&lt;15000,0.45,IF(E69&lt;25000,0.4,IF(E69&lt;50000,0.35,IF(E69&lt;75000,0.33,IF(E69&lt;100000,0.28,IF(E69&lt;150000,0.26,0.24))))))</f>
        <v/>
      </c>
      <c r="C72" s="1944" t="n"/>
      <c r="D72" s="2269" t="n"/>
      <c r="E72" s="2038">
        <f>ROUNDUP(SUM(E69,E79,E82)/(1-B72),0)-ROUNDUP(SUM(E69,E79,E82),0)</f>
        <v/>
      </c>
      <c r="F72" s="600" t="n"/>
      <c r="G72" s="2039">
        <f>((A45*B45)+(A46*B46)+(A47*B47)+(A48*B48)+(A49*B49))+(A51*B51)</f>
        <v/>
      </c>
      <c r="H72" s="815" t="inlineStr">
        <is>
          <t>Man Hour Budget (Raken)</t>
        </is>
      </c>
      <c r="I72" s="815" t="n"/>
      <c r="K72" s="662" t="n"/>
      <c r="L72" s="1928" t="n"/>
    </row>
    <row r="73" customFormat="1" s="585">
      <c r="A73" s="817" t="inlineStr">
        <is>
          <t>Hard Bid Discount</t>
        </is>
      </c>
      <c r="B73" s="2040" t="n"/>
      <c r="C73" s="1944" t="n"/>
      <c r="D73" s="1977" t="n"/>
      <c r="E73" s="1962">
        <f>ROUNDUP(SUM(E69,E72)*B73,0)</f>
        <v/>
      </c>
      <c r="F73" s="600" t="n"/>
      <c r="G73" s="2270">
        <f>G86/H60</f>
        <v/>
      </c>
      <c r="H73" s="1436" t="inlineStr">
        <is>
          <t>GP per Day</t>
        </is>
      </c>
      <c r="I73" s="809">
        <f>F43</f>
        <v/>
      </c>
      <c r="K73" s="1944" t="n"/>
      <c r="L73" s="1928" t="n"/>
    </row>
    <row r="74" customFormat="1" s="585">
      <c r="A74" s="628" t="inlineStr">
        <is>
          <t>Superintendent &amp; PTO</t>
        </is>
      </c>
      <c r="B74" s="819" t="n">
        <v>0.041</v>
      </c>
      <c r="C74" s="2042" t="n"/>
      <c r="D74" s="1977" t="n"/>
      <c r="E74" s="1962">
        <f>ROUNDUP(SUM(E69:E73,E76,E79,E82)*B74,0)</f>
        <v/>
      </c>
      <c r="F74" s="600" t="n"/>
      <c r="G74" s="793" t="inlineStr">
        <is>
          <t>Minimum ^ = $2,500</t>
        </is>
      </c>
      <c r="H74" s="2219">
        <f>G73-2500</f>
        <v/>
      </c>
      <c r="I74" s="590" t="inlineStr">
        <is>
          <t>difference (good/not?)</t>
        </is>
      </c>
      <c r="K74" s="714" t="n"/>
      <c r="L74" s="2031" t="n"/>
    </row>
    <row r="75" customFormat="1" s="585">
      <c r="A75" s="628" t="inlineStr">
        <is>
          <t>Soft Costs</t>
        </is>
      </c>
      <c r="B75" s="819">
        <f>IF(OR(B5="Yes",B5="No"),IF(B5="Yes",0.09,0.1) - IF(E69&gt;334900,0.05,IF(E69&gt;234450,0.035,0)),"error")</f>
        <v/>
      </c>
      <c r="C75" s="2042" t="n"/>
      <c r="D75" s="1977" t="n"/>
      <c r="E75" s="1962">
        <f>(ROUNDUP(SUM(E69:E74,E76,E79,E82)*B75,0))+0</f>
        <v/>
      </c>
      <c r="F75" s="600" t="n"/>
      <c r="G75" s="600" t="n"/>
      <c r="H75" s="1877" t="n"/>
      <c r="J75" s="2043" t="n"/>
      <c r="K75" s="714" t="n"/>
      <c r="L75" s="2031" t="n"/>
    </row>
    <row r="76" customFormat="1" s="585">
      <c r="A76" s="820" t="inlineStr">
        <is>
          <t>Contingency</t>
        </is>
      </c>
      <c r="B76" s="1575" t="inlineStr">
        <is>
          <t>-- ?? --&gt;</t>
        </is>
      </c>
      <c r="C76" s="2044" t="n"/>
      <c r="D76" s="2044" t="n"/>
      <c r="E76" s="2045" t="n">
        <v>0</v>
      </c>
      <c r="F76" s="600" t="n"/>
      <c r="K76" s="714" t="n"/>
      <c r="L76" s="2031" t="n"/>
    </row>
    <row r="77" customFormat="1" s="585">
      <c r="A77" s="600" t="n"/>
      <c r="B77" s="1877" t="n"/>
      <c r="C77" s="1944" t="n"/>
      <c r="D77" s="1944" t="n"/>
      <c r="E77" s="1944" t="n"/>
      <c r="F77" s="600" t="n"/>
    </row>
    <row r="78" customFormat="1" s="585">
      <c r="A78" s="621" t="inlineStr">
        <is>
          <t>TAXES &amp; FEES</t>
        </is>
      </c>
      <c r="B78" s="622" t="inlineStr">
        <is>
          <t>%</t>
        </is>
      </c>
      <c r="C78" s="778" t="n"/>
      <c r="D78" s="1047" t="n"/>
      <c r="E78" s="2019" t="inlineStr">
        <is>
          <t>Totals</t>
        </is>
      </c>
      <c r="F78" s="600" t="n"/>
      <c r="J78" s="2046">
        <f>(J81-J79-J80)</f>
        <v/>
      </c>
      <c r="K78" s="590" t="n"/>
    </row>
    <row r="79" customFormat="1" s="585">
      <c r="A79" s="628" t="inlineStr">
        <is>
          <t>Sales Tax</t>
        </is>
      </c>
      <c r="B79" s="2047">
        <f>IF($B$8="no",0,0.09475)</f>
        <v/>
      </c>
      <c r="C79" s="2042" t="n"/>
      <c r="D79" s="2269" t="n"/>
      <c r="E79" s="1962">
        <f>ROUNDUP(SUM(E41)*B79,0)</f>
        <v/>
      </c>
      <c r="F79" s="600" t="n"/>
      <c r="J79" s="2046" t="n"/>
      <c r="K79" s="585" t="inlineStr">
        <is>
          <t>sales tax (enter rounded)</t>
        </is>
      </c>
    </row>
    <row r="80" customFormat="1" s="585">
      <c r="A80" s="804" t="inlineStr">
        <is>
          <t>Kansas Remodel Tax</t>
        </is>
      </c>
      <c r="B80" s="2048">
        <f>IF(D8="yes",0.1,0)</f>
        <v/>
      </c>
      <c r="C80" s="1944" t="n"/>
      <c r="D80" s="1977" t="n"/>
      <c r="E80" s="1962">
        <f>ROUNDUP(SUM(E52:E54,E61,E67,E72:E76,E82)*B80,0)</f>
        <v/>
      </c>
      <c r="F80" s="758">
        <f>IF(D8="yes","*10% is placeholder. Adjust to actual if project awarded"," ")</f>
        <v/>
      </c>
      <c r="J80" s="2049" t="n"/>
      <c r="K80" s="784" t="inlineStr">
        <is>
          <t>ks remodel (enter rounded)</t>
        </is>
      </c>
    </row>
    <row r="81" customFormat="1" s="585">
      <c r="A81" s="1565" t="inlineStr">
        <is>
          <t>Total Taxes</t>
        </is>
      </c>
      <c r="B81" s="1566" t="n"/>
      <c r="C81" s="2028" t="n"/>
      <c r="D81" s="2028" t="n"/>
      <c r="E81" s="2029">
        <f>SUM(E79:E80)</f>
        <v/>
      </c>
      <c r="F81" s="758" t="n"/>
      <c r="J81" s="2046">
        <f>E87</f>
        <v/>
      </c>
      <c r="K81" s="590" t="inlineStr">
        <is>
          <t>total</t>
        </is>
      </c>
    </row>
    <row r="82" customFormat="1" s="585">
      <c r="A82" s="628" t="inlineStr">
        <is>
          <t>Fees + Textura + ?</t>
        </is>
      </c>
      <c r="B82" s="2047" t="n"/>
      <c r="C82" s="1944" t="n"/>
      <c r="D82" s="1977" t="n"/>
      <c r="E82" s="1962">
        <f>ROUNDUP(B82*D82,0)</f>
        <v/>
      </c>
      <c r="F82" s="600" t="n"/>
    </row>
    <row r="83" customFormat="1" s="585">
      <c r="A83" s="628" t="inlineStr">
        <is>
          <t>Bond</t>
        </is>
      </c>
      <c r="B83" s="819" t="n">
        <v>0</v>
      </c>
      <c r="C83" s="1944" t="n"/>
      <c r="D83" s="2269" t="n"/>
      <c r="E83" s="2271">
        <f>ROUNDUP(SUM(E69,E72,E73,E74:E76,E79,E80:E82)*B83,0)</f>
        <v/>
      </c>
      <c r="F83" s="600" t="n"/>
      <c r="G83" s="1615">
        <f>I83/E87</f>
        <v/>
      </c>
      <c r="H83" s="1614" t="inlineStr">
        <is>
          <t>% of Total Markup$</t>
        </is>
      </c>
      <c r="I83" s="2272">
        <f>SUM(E72:E76,E81,E84)</f>
        <v/>
      </c>
      <c r="J83" s="699" t="inlineStr">
        <is>
          <t>Sum: Markup+Taxes+Fees</t>
        </is>
      </c>
    </row>
    <row r="84" customFormat="1" s="585">
      <c r="A84" s="1565" t="inlineStr">
        <is>
          <t>Total Fees + Bond</t>
        </is>
      </c>
      <c r="B84" s="1566" t="n"/>
      <c r="C84" s="2028" t="n"/>
      <c r="D84" s="2028" t="n"/>
      <c r="E84" s="2029">
        <f>ROUNDUP(SUM(E82:E83),0)</f>
        <v/>
      </c>
      <c r="F84" s="600" t="n"/>
      <c r="G84" s="600" t="n"/>
    </row>
    <row r="85" customFormat="1" s="585">
      <c r="A85" s="600" t="n"/>
      <c r="B85" s="821" t="n"/>
      <c r="C85" s="1944" t="n"/>
      <c r="D85" s="1944" t="n"/>
      <c r="E85" s="1944" t="n"/>
      <c r="F85" s="600" t="n"/>
      <c r="G85" s="759" t="inlineStr">
        <is>
          <t>Mark Up + Conting.</t>
        </is>
      </c>
      <c r="H85" s="822" t="inlineStr">
        <is>
          <t>GP / MH</t>
        </is>
      </c>
      <c r="I85" s="1618" t="inlineStr">
        <is>
          <t>MarkUp + Soft Costs</t>
        </is>
      </c>
      <c r="J85" s="823" t="n"/>
    </row>
    <row r="86" ht="16.2" customFormat="1" customHeight="1" s="585" thickBot="1">
      <c r="A86" s="600" t="n"/>
      <c r="B86" s="825" t="inlineStr">
        <is>
          <t>Square Footage:</t>
        </is>
      </c>
      <c r="C86" s="2273">
        <f>B43</f>
        <v/>
      </c>
      <c r="D86" s="2501">
        <f>B16</f>
        <v/>
      </c>
      <c r="E86" s="1944" t="n"/>
      <c r="F86" s="705" t="inlineStr">
        <is>
          <t>Less Sales Tax</t>
        </is>
      </c>
      <c r="G86" s="2054">
        <f>SUM(E72,,E73,E76)</f>
        <v/>
      </c>
      <c r="H86" s="2055">
        <f>G86/G72</f>
        <v/>
      </c>
      <c r="I86" s="2056">
        <f>SUM(E72:E76)</f>
        <v/>
      </c>
      <c r="K86" s="1051" t="n"/>
      <c r="L86" s="1051" t="n"/>
      <c r="M86" s="1051" t="n"/>
      <c r="N86" s="1051" t="n"/>
      <c r="O86" s="1051" t="n"/>
    </row>
    <row r="87" ht="16.2" customFormat="1" customHeight="1" s="585" thickBot="1">
      <c r="A87" s="829" t="inlineStr">
        <is>
          <t>TOTAL</t>
        </is>
      </c>
      <c r="B87" s="830" t="n"/>
      <c r="C87" s="2057">
        <f>E87/C86</f>
        <v/>
      </c>
      <c r="D87" s="2057" t="n"/>
      <c r="E87" s="2058">
        <f>SUM(E69,E72:E76,E81,E84)</f>
        <v/>
      </c>
      <c r="F87" s="1944">
        <f>E87-(E79+E80)</f>
        <v/>
      </c>
      <c r="G87" s="2275">
        <f>G86/(E87)</f>
        <v/>
      </c>
      <c r="H87" s="2055">
        <f>C46</f>
        <v/>
      </c>
      <c r="I87" s="2060">
        <f>I86/E87</f>
        <v/>
      </c>
      <c r="J87" s="1625" t="inlineStr">
        <is>
          <t>30% = Gyp Goal</t>
        </is>
      </c>
    </row>
    <row r="88" customFormat="1" s="585">
      <c r="A88" s="834" t="n"/>
      <c r="B88" s="600" t="inlineStr">
        <is>
          <t xml:space="preserve"> </t>
        </is>
      </c>
      <c r="C88" s="1944">
        <f>E88/C86</f>
        <v/>
      </c>
      <c r="D88" s="1944" t="n"/>
      <c r="E88" s="1944">
        <f>E87-E80</f>
        <v/>
      </c>
      <c r="F88" s="753" t="inlineStr">
        <is>
          <t>(less ks remodel tax)</t>
        </is>
      </c>
      <c r="G88" s="1876" t="n"/>
      <c r="H88" s="1621" t="inlineStr">
        <is>
          <t>LaborRate from Above</t>
        </is>
      </c>
      <c r="I88" s="590" t="n"/>
      <c r="J88" s="1632" t="inlineStr">
        <is>
          <t>(epx: 42% &amp; pol: 45%)</t>
        </is>
      </c>
    </row>
    <row r="89" customFormat="1" s="585">
      <c r="A89" s="834" t="n"/>
      <c r="B89" s="2276" t="n"/>
      <c r="C89" s="2502">
        <f>E89/C86</f>
        <v/>
      </c>
      <c r="D89" s="2503">
        <f>'Gyp (USG 1-8")'!D86</f>
        <v/>
      </c>
      <c r="E89" s="2502">
        <f>E87-'Gyp (USG 1-8")'!E87</f>
        <v/>
      </c>
      <c r="F89" s="1715" t="inlineStr">
        <is>
          <t>Diff from 1/8" mat + 3/4" pour</t>
        </is>
      </c>
      <c r="H89" s="1391" t="inlineStr">
        <is>
          <t>* This rate is different than epoxy &amp; polish</t>
        </is>
      </c>
      <c r="I89" s="1391" t="n"/>
      <c r="P89" s="600" t="n"/>
    </row>
    <row r="90" customFormat="1" s="585">
      <c r="A90" s="834" t="n"/>
      <c r="B90" s="2276" t="n"/>
      <c r="C90" s="2502">
        <f>E90/C86</f>
        <v/>
      </c>
      <c r="D90" s="2279">
        <f>'Gyp (USG N25 1-4")'!D86</f>
        <v/>
      </c>
      <c r="E90" s="2502">
        <f>E87-'Gyp (USG N25 1-4")'!E87</f>
        <v/>
      </c>
      <c r="F90" s="1664" t="inlineStr">
        <is>
          <t>Diff from 1/4" mat + 1" pour</t>
        </is>
      </c>
      <c r="H90" s="1629" t="inlineStr">
        <is>
          <t xml:space="preserve"> to account for longer project lead times.</t>
        </is>
      </c>
      <c r="I90" s="1629" t="n"/>
      <c r="P90" s="600" t="n"/>
    </row>
    <row r="91" customFormat="1" s="585">
      <c r="A91" s="633" t="n"/>
      <c r="B91" s="2223" t="n"/>
      <c r="C91" s="2253" t="n"/>
      <c r="D91" s="2253" t="n"/>
      <c r="E91" s="2253" t="n"/>
      <c r="F91" s="1877" t="n"/>
    </row>
    <row r="92" customFormat="1" s="585">
      <c r="A92" s="633" t="n"/>
      <c r="B92" s="2223" t="n"/>
      <c r="C92" s="2253" t="n"/>
      <c r="D92" s="2253" t="n"/>
      <c r="E92" s="2253" t="n"/>
      <c r="F92" s="1877" t="n"/>
    </row>
    <row r="93" customFormat="1" s="585">
      <c r="A93" s="633" t="n"/>
      <c r="B93" s="2223" t="n"/>
      <c r="C93" s="2253" t="n"/>
      <c r="D93" s="2253" t="n"/>
      <c r="E93" s="2253" t="n"/>
      <c r="F93" s="1877" t="n"/>
    </row>
    <row r="94" customFormat="1" s="585">
      <c r="B94" s="883" t="n"/>
      <c r="C94" s="1876" t="n"/>
      <c r="D94" s="1876" t="n"/>
      <c r="E94" s="883" t="n"/>
      <c r="F94" s="1876" t="n"/>
      <c r="G94" s="883" t="n"/>
      <c r="H94" s="1876" t="n"/>
      <c r="I94" s="883" t="n"/>
      <c r="J94" s="1876" t="n"/>
    </row>
    <row r="95" customFormat="1" s="585"/>
    <row r="96" customFormat="1" s="585"/>
    <row r="97" customFormat="1" s="585"/>
    <row r="98" customFormat="1" s="585"/>
    <row r="99" customFormat="1" s="585">
      <c r="E99" s="590" t="n"/>
    </row>
    <row r="100" customFormat="1" s="585"/>
    <row r="101" customFormat="1" s="585"/>
    <row r="102" customFormat="1" s="585"/>
    <row r="103" customFormat="1" s="585">
      <c r="J103" s="2193" t="n"/>
    </row>
    <row r="104" customFormat="1" s="585"/>
    <row r="105" customFormat="1" s="585">
      <c r="A105" s="839" t="n"/>
    </row>
    <row r="106" customFormat="1" s="585">
      <c r="A106" s="840" t="n"/>
      <c r="H106" s="2194" t="n"/>
    </row>
    <row r="107" customFormat="1" s="585">
      <c r="A107" s="842" t="n"/>
      <c r="H107" s="843" t="n"/>
    </row>
    <row r="108" customFormat="1" s="585">
      <c r="A108" s="844" t="n"/>
      <c r="H108" s="2194" t="n"/>
    </row>
    <row r="109" customFormat="1" s="585">
      <c r="A109" s="845" t="n"/>
    </row>
    <row r="110" customFormat="1" s="585">
      <c r="A110" s="846" t="n"/>
    </row>
    <row r="111" customFormat="1" s="585">
      <c r="A111" s="847" t="n"/>
      <c r="J111" s="2193" t="n"/>
      <c r="O111" s="848" t="n"/>
      <c r="P111" s="2014" t="n"/>
    </row>
    <row r="112" customFormat="1" s="585">
      <c r="A112" s="849" t="n"/>
      <c r="J112" s="2193" t="n"/>
      <c r="O112" s="848" t="n"/>
      <c r="P112" s="2014" t="n"/>
    </row>
    <row r="113">
      <c r="J113" s="2280" t="n"/>
      <c r="O113" s="247" t="n"/>
      <c r="P113" s="2281" t="n"/>
    </row>
    <row r="114">
      <c r="J114" s="2280" t="n"/>
      <c r="O114" s="247" t="n"/>
      <c r="P114" s="2281" t="n"/>
    </row>
    <row r="115" ht="16.05" customHeight="1">
      <c r="J115" s="2280" t="n"/>
      <c r="O115" s="247" t="n"/>
      <c r="P115" s="2281" t="n"/>
    </row>
    <row r="116">
      <c r="J116" s="2280" t="n"/>
      <c r="O116" s="247" t="n"/>
      <c r="P116" s="2281" t="n"/>
    </row>
    <row r="117">
      <c r="J117" s="2280" t="n"/>
      <c r="O117" s="247" t="n"/>
      <c r="P117" s="2281" t="n"/>
    </row>
    <row r="118">
      <c r="J118" s="2280" t="n"/>
      <c r="O118" s="247" t="n"/>
      <c r="P118" s="2281" t="n"/>
    </row>
    <row r="119">
      <c r="J119" s="2280" t="n"/>
      <c r="O119" s="247" t="n"/>
      <c r="P119" s="2281" t="n"/>
    </row>
    <row r="120">
      <c r="J120" s="2280" t="n"/>
      <c r="O120" s="247" t="n"/>
      <c r="P120" s="2281" t="n"/>
    </row>
    <row r="121">
      <c r="J121" s="2280" t="n"/>
      <c r="O121" s="247" t="n"/>
      <c r="P121" s="2281" t="n"/>
    </row>
    <row r="122">
      <c r="J122" s="2280" t="n"/>
      <c r="O122" s="247" t="n"/>
      <c r="P122" s="2281" t="n"/>
    </row>
    <row r="123">
      <c r="J123" s="2280" t="n"/>
      <c r="O123" s="247" t="n"/>
      <c r="P123" s="2281" t="n"/>
    </row>
    <row r="124">
      <c r="J124" s="2280" t="n"/>
      <c r="O124" s="247" t="n"/>
      <c r="P124" s="2281" t="n"/>
    </row>
    <row r="125">
      <c r="J125" s="2280" t="n"/>
      <c r="O125" s="247" t="n"/>
      <c r="P125" s="2281" t="n"/>
    </row>
    <row r="126">
      <c r="J126" s="2280" t="n"/>
      <c r="O126" s="247" t="n"/>
      <c r="P126" s="2281" t="n"/>
    </row>
    <row r="127">
      <c r="J127" s="2280" t="n"/>
      <c r="O127" s="247" t="n"/>
      <c r="P127" s="2281" t="n"/>
    </row>
    <row r="128">
      <c r="J128" s="2280" t="n"/>
      <c r="O128" s="247" t="n"/>
      <c r="P128" s="2281" t="n"/>
    </row>
    <row r="129">
      <c r="J129" s="2280" t="n"/>
      <c r="O129" s="247" t="n"/>
      <c r="P129" s="2281" t="n"/>
    </row>
    <row r="130">
      <c r="J130" s="2280" t="n"/>
      <c r="O130" s="247" t="n"/>
      <c r="P130" s="2281" t="n"/>
    </row>
    <row r="131">
      <c r="A131" s="2282" t="n"/>
      <c r="B131" s="2282" t="n"/>
      <c r="J131" s="2280" t="n"/>
      <c r="O131" s="247" t="n"/>
      <c r="P131" s="2281" t="n"/>
    </row>
    <row r="132">
      <c r="A132" s="2282" t="n"/>
      <c r="B132" s="2282" t="n"/>
      <c r="J132" s="2280" t="n"/>
      <c r="O132" s="247" t="n"/>
      <c r="P132" s="2281" t="n"/>
    </row>
    <row r="133">
      <c r="A133" s="2282" t="n"/>
      <c r="B133" s="2282" t="n"/>
      <c r="J133" s="2280" t="n"/>
      <c r="O133" s="247" t="n"/>
      <c r="P133" s="2281" t="n"/>
    </row>
    <row r="134">
      <c r="A134" s="2283" t="n"/>
      <c r="B134" s="2283" t="n"/>
      <c r="J134" s="2280" t="n"/>
      <c r="O134" s="247" t="n"/>
      <c r="P134" s="2281" t="n"/>
    </row>
    <row r="135">
      <c r="J135" s="2280" t="n"/>
      <c r="O135" s="247" t="n"/>
      <c r="P135" s="2281" t="n"/>
    </row>
    <row r="136">
      <c r="A136" s="2145" t="n"/>
      <c r="B136" s="2145" t="n"/>
      <c r="J136" s="2280" t="n"/>
      <c r="O136" s="247" t="n"/>
      <c r="P136" s="2281" t="n"/>
    </row>
    <row r="137">
      <c r="A137" s="2282" t="n"/>
      <c r="B137" s="2282" t="n"/>
      <c r="J137" s="2280" t="n"/>
      <c r="O137" s="247" t="n"/>
      <c r="P137" s="2281" t="n"/>
    </row>
    <row r="138">
      <c r="A138" s="2282" t="n"/>
      <c r="B138" s="2282" t="n"/>
      <c r="J138" s="2280" t="n"/>
      <c r="O138" s="247" t="n"/>
      <c r="P138" s="2281" t="n"/>
    </row>
    <row r="139">
      <c r="A139" s="2282" t="n"/>
      <c r="B139" s="2282" t="n"/>
      <c r="J139" s="2280" t="n"/>
      <c r="O139" s="247" t="n"/>
      <c r="P139" s="2281" t="n"/>
    </row>
    <row r="140">
      <c r="A140" s="2283" t="n"/>
      <c r="B140" s="2283" t="n"/>
    </row>
    <row r="148">
      <c r="A148" s="98" t="n"/>
    </row>
    <row r="160">
      <c r="F160" s="1" t="n"/>
    </row>
    <row r="161">
      <c r="F161" s="1" t="n"/>
    </row>
    <row r="162">
      <c r="F162" s="1" t="n"/>
    </row>
    <row r="163">
      <c r="F163" s="1892" t="n"/>
    </row>
    <row r="164">
      <c r="F164" s="1" t="n"/>
    </row>
    <row r="165">
      <c r="F165" s="1" t="n"/>
    </row>
    <row r="166">
      <c r="A166" s="1" t="n"/>
      <c r="B166" s="1" t="n"/>
      <c r="C166" s="2284" t="n"/>
      <c r="D166" s="2284" t="n"/>
      <c r="E166" s="2282" t="n"/>
      <c r="Q166" s="1892" t="n"/>
    </row>
    <row r="167">
      <c r="A167" s="53" t="n"/>
      <c r="B167" s="53" t="n"/>
      <c r="C167" s="53" t="n"/>
      <c r="D167" s="53" t="n"/>
      <c r="E167" s="53" t="n"/>
      <c r="F167" s="1916" t="n"/>
      <c r="G167" s="1916" t="n"/>
      <c r="H167" s="1916" t="n"/>
      <c r="I167" s="1916" t="n"/>
      <c r="J167" s="1916" t="n"/>
      <c r="K167" s="1916" t="n"/>
      <c r="L167" s="1916" t="n"/>
      <c r="M167" s="1916" t="n"/>
      <c r="N167" s="1916" t="n"/>
      <c r="O167" s="53" t="n"/>
      <c r="P167" s="53" t="n"/>
      <c r="Q167" s="53" t="n"/>
      <c r="R167" s="53" t="n"/>
      <c r="S167" s="53" t="n"/>
    </row>
    <row r="168">
      <c r="A168" s="53" t="n"/>
      <c r="B168" s="53" t="n"/>
      <c r="C168" s="53" t="n"/>
      <c r="D168" s="53" t="n"/>
      <c r="E168" s="53" t="n"/>
      <c r="F168" s="53" t="n"/>
      <c r="G168" s="53" t="n"/>
      <c r="H168" s="1916" t="n"/>
      <c r="I168" s="1916" t="n"/>
      <c r="J168" s="1916" t="n"/>
      <c r="K168" s="1916" t="n"/>
      <c r="L168" s="1916" t="n"/>
      <c r="M168" s="1916" t="n"/>
      <c r="N168" s="1916" t="n"/>
      <c r="O168" s="53" t="n"/>
      <c r="P168" s="53" t="n"/>
      <c r="Q168" s="53" t="n"/>
      <c r="R168" s="53" t="n"/>
      <c r="S168" s="2145" t="n"/>
    </row>
    <row r="169">
      <c r="A169" s="53" t="n"/>
      <c r="B169" s="2155" t="n"/>
      <c r="C169" s="2145" t="n"/>
      <c r="D169" s="2145" t="n"/>
      <c r="E169" s="2145" t="n"/>
      <c r="F169" s="2285" t="n"/>
      <c r="G169" s="53" t="n"/>
      <c r="H169" s="1916" t="n"/>
      <c r="I169" s="1916" t="n"/>
      <c r="J169" s="1916" t="n"/>
      <c r="K169" s="1916" t="n"/>
      <c r="L169" s="1916" t="n"/>
      <c r="M169" s="1916" t="n"/>
      <c r="N169" s="1916" t="n"/>
      <c r="O169" s="53" t="n"/>
      <c r="P169" s="53" t="n"/>
      <c r="Q169" s="2145" t="n"/>
      <c r="R169" s="2145" t="n"/>
      <c r="S169" s="2145" t="n"/>
    </row>
    <row r="170">
      <c r="A170" s="53" t="n"/>
      <c r="B170" s="53" t="n"/>
      <c r="C170" s="2145" t="n"/>
      <c r="D170" s="2145" t="n"/>
      <c r="E170" s="2145" t="n"/>
      <c r="F170" s="53" t="n"/>
      <c r="G170" s="53" t="n"/>
      <c r="H170" s="1916" t="n"/>
      <c r="I170" s="1916" t="n"/>
      <c r="J170" s="1916" t="n"/>
      <c r="K170" s="1916" t="n"/>
      <c r="L170" s="1916" t="n"/>
      <c r="M170" s="1916" t="n"/>
      <c r="N170" s="1916" t="n"/>
      <c r="O170" s="53" t="n"/>
      <c r="P170" s="53" t="n"/>
      <c r="Q170" s="2145" t="n"/>
      <c r="R170" s="2285" t="n"/>
      <c r="S170" s="2145" t="n"/>
    </row>
    <row r="171" customFormat="1" s="1916">
      <c r="A171" s="53" t="n"/>
      <c r="B171" s="53" t="n"/>
      <c r="C171" s="2145" t="n"/>
      <c r="D171" s="2145" t="n"/>
      <c r="E171" s="2145" t="n"/>
      <c r="F171" s="53" t="n"/>
      <c r="G171" s="53" t="n"/>
      <c r="O171" s="53" t="n"/>
      <c r="P171" s="53" t="n"/>
      <c r="Q171" s="2145" t="n"/>
      <c r="R171" s="2285" t="n"/>
      <c r="S171" s="2145" t="n"/>
    </row>
    <row r="172" customFormat="1" s="1916">
      <c r="A172" s="53" t="n"/>
      <c r="B172" s="53" t="n"/>
      <c r="C172" s="2145" t="n"/>
      <c r="D172" s="2145" t="n"/>
      <c r="E172" s="2145" t="n"/>
      <c r="F172" s="53" t="n"/>
      <c r="G172" s="53" t="n"/>
      <c r="O172" s="53" t="n"/>
      <c r="P172" s="2145" t="n"/>
      <c r="Q172" s="2149" t="n"/>
      <c r="R172" s="53" t="n"/>
      <c r="S172" s="53" t="n"/>
      <c r="T172" s="53" t="n"/>
      <c r="U172" s="53" t="n"/>
      <c r="V172" s="53" t="n"/>
    </row>
    <row r="173" customFormat="1" s="1916">
      <c r="A173" s="53" t="n"/>
      <c r="B173" s="53" t="n"/>
      <c r="C173" s="2145" t="n"/>
      <c r="D173" s="2145" t="n"/>
      <c r="E173" s="2145" t="n"/>
      <c r="F173" s="53" t="n"/>
      <c r="G173" s="53" t="n"/>
      <c r="O173" s="53" t="n"/>
      <c r="P173" s="53" t="n"/>
      <c r="Q173" s="2149" t="n"/>
      <c r="R173" s="53" t="n"/>
      <c r="S173" s="53" t="n"/>
      <c r="T173" s="2145" t="n"/>
      <c r="U173" s="2145" t="n"/>
      <c r="V173" s="53" t="n"/>
    </row>
    <row r="174" customFormat="1" s="1916">
      <c r="A174" s="53" t="n"/>
      <c r="B174" s="53" t="n"/>
      <c r="C174" s="2145" t="n"/>
      <c r="D174" s="2145" t="n"/>
      <c r="E174" s="2145" t="n"/>
      <c r="F174" s="53" t="n"/>
      <c r="G174" s="53" t="n"/>
      <c r="O174" s="53" t="n"/>
      <c r="P174" s="53" t="n"/>
      <c r="Q174" s="2149" t="n"/>
      <c r="R174" s="53" t="n"/>
      <c r="S174" s="53" t="n"/>
      <c r="T174" s="2145" t="n"/>
      <c r="U174" s="2145" t="n"/>
      <c r="V174" s="53" t="n"/>
    </row>
    <row r="175" customFormat="1" s="1916">
      <c r="A175" s="53" t="n"/>
      <c r="B175" s="53" t="n"/>
      <c r="C175" s="2145" t="n"/>
      <c r="D175" s="2145" t="n"/>
      <c r="E175" s="2145" t="n"/>
      <c r="F175" s="53" t="n"/>
      <c r="G175" s="53" t="n"/>
      <c r="O175" s="53" t="n"/>
      <c r="P175" s="53" t="n"/>
      <c r="Q175" s="2149" t="n"/>
      <c r="R175" s="53" t="n"/>
      <c r="S175" s="53" t="n"/>
      <c r="T175" s="2145" t="n"/>
      <c r="U175" s="2145" t="n"/>
      <c r="V175" s="53" t="n"/>
    </row>
    <row r="176" customFormat="1" s="1916">
      <c r="A176" s="53" t="n"/>
      <c r="B176" s="53" t="n"/>
      <c r="C176" s="2145" t="n"/>
      <c r="D176" s="2145" t="n"/>
      <c r="E176" s="2145" t="n"/>
      <c r="F176" s="53" t="n"/>
      <c r="G176" s="53" t="n"/>
      <c r="O176" s="53" t="n"/>
      <c r="P176" s="53" t="n"/>
      <c r="Q176" s="2149" t="n"/>
      <c r="R176" s="53" t="n"/>
      <c r="S176" s="53" t="n"/>
      <c r="T176" s="2145" t="n"/>
      <c r="U176" s="2145" t="n"/>
      <c r="V176" s="53" t="n"/>
    </row>
    <row r="177" customFormat="1" s="1916">
      <c r="A177" s="53" t="n"/>
      <c r="B177" s="53" t="n"/>
      <c r="C177" s="2145" t="n"/>
      <c r="D177" s="2145" t="n"/>
      <c r="E177" s="2145" t="n"/>
      <c r="F177" s="53" t="n"/>
      <c r="G177" s="53" t="n"/>
      <c r="O177" s="53" t="n"/>
      <c r="P177" s="53" t="n"/>
      <c r="Q177" s="2149" t="n"/>
      <c r="R177" s="53" t="n"/>
      <c r="S177" s="53" t="n"/>
      <c r="T177" s="53" t="n"/>
      <c r="U177" s="53" t="n"/>
      <c r="V177" s="53" t="n"/>
    </row>
    <row r="178" customFormat="1" s="1916">
      <c r="A178" s="53" t="n"/>
      <c r="B178" s="53" t="n"/>
      <c r="C178" s="2145" t="n"/>
      <c r="D178" s="2145" t="n"/>
      <c r="E178" s="2145" t="n"/>
      <c r="F178" s="53" t="n"/>
      <c r="G178" s="53" t="n"/>
      <c r="O178" s="53" t="n"/>
      <c r="P178" s="53" t="n"/>
      <c r="Q178" s="2149" t="n"/>
      <c r="R178" s="53" t="n"/>
      <c r="S178" s="53" t="n"/>
      <c r="T178" s="53" t="n"/>
      <c r="U178" s="53" t="n"/>
      <c r="V178" s="53" t="n"/>
    </row>
    <row r="179" customFormat="1" s="1916">
      <c r="A179" s="53" t="n"/>
      <c r="B179" s="53" t="n"/>
      <c r="C179" s="2145" t="n"/>
      <c r="D179" s="2145" t="n"/>
      <c r="E179" s="2145" t="n"/>
      <c r="F179" s="53" t="n"/>
      <c r="G179" s="53" t="n"/>
      <c r="T179" s="53" t="n"/>
      <c r="U179" s="53" t="n"/>
      <c r="V179" s="53" t="n"/>
    </row>
    <row r="180" customFormat="1" s="1916">
      <c r="A180" s="53" t="n"/>
      <c r="B180" s="53" t="n"/>
      <c r="C180" s="2145" t="n"/>
      <c r="D180" s="2145" t="n"/>
      <c r="E180" s="2145" t="n"/>
      <c r="F180" s="53" t="n"/>
      <c r="G180" s="53" t="n"/>
      <c r="T180" s="53" t="n"/>
      <c r="U180" s="53" t="n"/>
      <c r="V180" s="53" t="n"/>
    </row>
    <row r="181" customFormat="1" s="1916">
      <c r="A181" s="53" t="n"/>
      <c r="B181" s="53" t="n"/>
      <c r="C181" s="2145" t="n"/>
      <c r="D181" s="2145" t="n"/>
      <c r="E181" s="2145" t="n"/>
      <c r="F181" s="2285" t="n"/>
      <c r="G181" s="53" t="n"/>
      <c r="T181" s="53" t="n"/>
      <c r="U181" s="53" t="n"/>
      <c r="V181" s="53" t="n"/>
    </row>
    <row r="182" customFormat="1" s="1916">
      <c r="A182" s="53" t="n"/>
      <c r="B182" s="53" t="n"/>
      <c r="C182" s="2145" t="n"/>
      <c r="D182" s="2145" t="n"/>
      <c r="E182" s="2145" t="n"/>
      <c r="F182" s="53" t="n"/>
      <c r="G182" s="53" t="n"/>
      <c r="T182" s="53" t="n"/>
      <c r="U182" s="53" t="n"/>
      <c r="V182" s="53" t="n"/>
    </row>
    <row r="183" customFormat="1" s="1916">
      <c r="A183" s="53" t="n"/>
      <c r="B183" s="53" t="n"/>
      <c r="C183" s="2145" t="n"/>
      <c r="D183" s="2145" t="n"/>
      <c r="E183" s="2145" t="n"/>
      <c r="F183" s="53" t="n"/>
      <c r="G183" s="53" t="n"/>
      <c r="T183" s="53" t="n"/>
      <c r="U183" s="53" t="n"/>
      <c r="V183" s="53" t="n"/>
    </row>
    <row r="184" customFormat="1" s="1916">
      <c r="A184" s="53" t="n"/>
      <c r="B184" s="53" t="n"/>
      <c r="C184" s="2145" t="n"/>
      <c r="D184" s="2145" t="n"/>
      <c r="E184" s="2145" t="n"/>
      <c r="F184" s="53" t="n"/>
      <c r="G184" s="53" t="n"/>
    </row>
    <row r="185" customFormat="1" s="1916">
      <c r="A185" s="53" t="n"/>
      <c r="B185" s="53" t="n"/>
      <c r="C185" s="2145" t="n"/>
      <c r="D185" s="2145" t="n"/>
      <c r="E185" s="2145" t="n"/>
      <c r="F185" s="53" t="n"/>
      <c r="G185" s="53" t="n"/>
    </row>
    <row r="186" customFormat="1" s="1916">
      <c r="A186" s="103" t="n"/>
      <c r="B186" s="103" t="n"/>
      <c r="C186" s="2147" t="n"/>
      <c r="D186" s="2147" t="n"/>
      <c r="E186" s="2147" t="n"/>
      <c r="F186" s="53" t="n"/>
      <c r="G186" s="53" t="n"/>
    </row>
    <row r="187" customFormat="1" s="1916">
      <c r="A187" s="103" t="n"/>
      <c r="B187" s="105" t="n"/>
      <c r="C187" s="2147" t="n"/>
      <c r="D187" s="2147" t="n"/>
      <c r="E187" s="2147" t="n"/>
      <c r="F187" s="53" t="n"/>
      <c r="G187" s="53" t="n"/>
    </row>
    <row r="188" customFormat="1" s="1916">
      <c r="A188" s="103" t="n"/>
      <c r="B188" s="103" t="n"/>
      <c r="C188" s="2147" t="n"/>
      <c r="D188" s="2147" t="n"/>
      <c r="E188" s="2147" t="n"/>
      <c r="F188" s="53" t="n"/>
      <c r="G188" s="53" t="n"/>
    </row>
    <row r="189" customFormat="1" s="1916">
      <c r="A189" s="103" t="n"/>
      <c r="B189" s="105" t="n"/>
      <c r="C189" s="2147" t="n"/>
      <c r="D189" s="2147" t="n"/>
      <c r="E189" s="2147" t="n"/>
      <c r="F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</row>
    <row r="190" customFormat="1" s="1916">
      <c r="A190" s="53" t="n"/>
      <c r="B190" s="53" t="n"/>
      <c r="C190" s="2145" t="n"/>
      <c r="D190" s="2145" t="n"/>
      <c r="E190" s="2145" t="n"/>
      <c r="F190" s="53" t="n"/>
      <c r="H190" s="53" t="n"/>
      <c r="I190" s="53" t="n"/>
      <c r="J190" s="53" t="n"/>
      <c r="K190" s="106" t="n"/>
      <c r="L190" s="106" t="n"/>
      <c r="M190" s="106" t="n"/>
      <c r="N190" s="106" t="n"/>
      <c r="O190" s="106" t="n"/>
    </row>
    <row r="191" customFormat="1" s="1916">
      <c r="A191" s="3" t="n"/>
      <c r="B191" s="2285" t="n"/>
      <c r="C191" s="3" t="n"/>
      <c r="D191" s="3" t="n"/>
      <c r="E191" s="2285" t="n"/>
      <c r="F191" s="107" t="n"/>
      <c r="H191" s="53" t="n"/>
      <c r="I191" s="540" t="n"/>
      <c r="J191" s="53" t="n"/>
      <c r="K191" s="106" t="n"/>
      <c r="L191" s="106" t="n"/>
      <c r="M191" s="106" t="n"/>
      <c r="N191" s="106" t="n"/>
      <c r="O191" s="106" t="n"/>
    </row>
    <row r="192" customFormat="1" s="1916">
      <c r="A192" s="53" t="n"/>
      <c r="B192" s="53" t="n"/>
      <c r="C192" s="53" t="n"/>
      <c r="D192" s="53" t="n"/>
      <c r="E192" s="53" t="n"/>
      <c r="F192" s="107" t="n"/>
      <c r="H192" s="53" t="n"/>
      <c r="I192" s="53" t="n"/>
      <c r="J192" s="53" t="n"/>
      <c r="K192" s="2145" t="n"/>
      <c r="L192" s="2145" t="n"/>
      <c r="M192" s="2145" t="n"/>
      <c r="N192" s="2145" t="n"/>
      <c r="O192" s="53" t="n"/>
    </row>
    <row r="193" customFormat="1" s="1916">
      <c r="A193" s="53" t="n"/>
      <c r="B193" s="53" t="n"/>
      <c r="C193" s="53" t="n"/>
      <c r="D193" s="53" t="n"/>
      <c r="E193" s="106" t="n"/>
      <c r="F193" s="106" t="n"/>
      <c r="H193" s="53" t="n"/>
      <c r="I193" s="93" t="n"/>
      <c r="J193" s="2145" t="n"/>
      <c r="K193" s="2145" t="n"/>
      <c r="L193" s="2145" t="n"/>
      <c r="M193" s="2145" t="n"/>
      <c r="N193" s="2145" t="n"/>
      <c r="O193" s="106" t="n"/>
    </row>
    <row r="194" customFormat="1" s="1916">
      <c r="A194" s="53" t="n"/>
      <c r="B194" s="53" t="n"/>
      <c r="C194" s="53" t="n"/>
      <c r="D194" s="53" t="n"/>
      <c r="E194" s="53" t="n"/>
      <c r="F194" s="53" t="n"/>
      <c r="H194" s="53" t="n"/>
      <c r="I194" s="93" t="n"/>
      <c r="J194" s="2145" t="n"/>
      <c r="K194" s="2145" t="n"/>
      <c r="L194" s="2145" t="n"/>
      <c r="M194" s="2145" t="n"/>
      <c r="N194" s="2145" t="n"/>
      <c r="O194" s="53" t="n"/>
    </row>
    <row r="195" customFormat="1" s="1916">
      <c r="A195" s="53" t="n"/>
      <c r="B195" s="53" t="n"/>
      <c r="C195" s="53" t="n"/>
      <c r="D195" s="53" t="n"/>
      <c r="E195" s="106" t="n"/>
      <c r="F195" s="106" t="n"/>
      <c r="H195" s="53" t="n"/>
      <c r="I195" s="93" t="n"/>
      <c r="J195" s="2145" t="n"/>
      <c r="K195" s="2145" t="n"/>
      <c r="L195" s="2145" t="n"/>
      <c r="M195" s="2145" t="n"/>
      <c r="N195" s="2145" t="n"/>
      <c r="O195" s="106" t="n"/>
    </row>
    <row r="196" customFormat="1" s="1916">
      <c r="A196" s="53" t="n"/>
      <c r="B196" s="53" t="n"/>
      <c r="C196" s="53" t="n"/>
      <c r="D196" s="53" t="n"/>
      <c r="E196" s="2286" t="n"/>
      <c r="F196" s="2286" t="n"/>
      <c r="G196" s="53" t="n"/>
      <c r="H196" s="103" t="n"/>
      <c r="I196" s="103" t="n"/>
      <c r="J196" s="2147" t="n"/>
      <c r="K196" s="2147" t="n"/>
      <c r="L196" s="2147" t="n"/>
      <c r="M196" s="2145" t="n"/>
      <c r="N196" s="2145" t="n"/>
      <c r="O196" s="106" t="n"/>
    </row>
    <row r="197" customFormat="1" s="1916">
      <c r="A197" s="53" t="n"/>
      <c r="B197" s="53" t="n"/>
      <c r="C197" s="2145" t="n"/>
      <c r="D197" s="2145" t="n"/>
      <c r="E197" s="2145" t="n"/>
      <c r="F197" s="2145" t="n"/>
      <c r="G197" s="53" t="n"/>
      <c r="H197" s="53" t="n"/>
      <c r="I197" s="53" t="n"/>
    </row>
    <row r="198" customFormat="1" s="1916">
      <c r="A198" s="53" t="n"/>
      <c r="B198" s="53" t="n"/>
      <c r="C198" s="53" t="n"/>
      <c r="D198" s="53" t="n"/>
      <c r="E198" s="2145" t="n"/>
      <c r="F198" s="53" t="n"/>
      <c r="G198" s="53" t="n"/>
      <c r="H198" s="110" t="n"/>
      <c r="I198" s="53" t="n"/>
      <c r="J198" s="53" t="n"/>
      <c r="K198" s="2145" t="n"/>
      <c r="L198" s="2145" t="n"/>
      <c r="M198" s="2145" t="n"/>
      <c r="N198" s="2145" t="n"/>
    </row>
    <row r="199" customFormat="1" s="1916">
      <c r="A199" s="53" t="n"/>
      <c r="B199" s="93" t="n"/>
      <c r="C199" s="2145" t="n"/>
      <c r="D199" s="2145" t="n"/>
      <c r="E199" s="2145" t="n"/>
      <c r="F199" s="53" t="n"/>
      <c r="G199" s="53" t="n"/>
      <c r="H199" s="2285" t="n"/>
      <c r="I199" s="93" t="n"/>
      <c r="J199" s="2145" t="n"/>
      <c r="K199" s="2145" t="n"/>
      <c r="L199" s="2145" t="n"/>
      <c r="M199" s="2145" t="n"/>
      <c r="N199" s="2145" t="n"/>
    </row>
    <row r="200" customFormat="1" s="1916">
      <c r="A200" s="53" t="n"/>
      <c r="B200" s="93" t="n"/>
      <c r="C200" s="2145" t="n"/>
      <c r="D200" s="2145" t="n"/>
      <c r="E200" s="2145" t="n"/>
      <c r="F200" s="53" t="n"/>
      <c r="G200" s="53" t="n"/>
      <c r="H200" s="53" t="n"/>
      <c r="I200" s="93" t="n"/>
      <c r="J200" s="2145" t="n"/>
      <c r="K200" s="2145" t="n"/>
      <c r="L200" s="2145" t="n"/>
      <c r="M200" s="2145" t="n"/>
      <c r="N200" s="2145" t="n"/>
    </row>
    <row r="201" customFormat="1" s="1916">
      <c r="A201" s="53" t="n"/>
      <c r="B201" s="93" t="n"/>
      <c r="C201" s="2145" t="n"/>
      <c r="D201" s="2145" t="n"/>
      <c r="E201" s="2145" t="n"/>
      <c r="F201" s="53" t="n"/>
      <c r="G201" s="53" t="n"/>
      <c r="H201" s="53" t="n"/>
      <c r="I201" s="93" t="n"/>
      <c r="J201" s="2145" t="n"/>
      <c r="K201" s="2145" t="n"/>
      <c r="L201" s="2145" t="n"/>
      <c r="M201" s="2145" t="n"/>
      <c r="N201" s="2145" t="n"/>
    </row>
    <row r="202" customFormat="1" s="1916">
      <c r="A202" s="53" t="n"/>
      <c r="B202" s="93" t="n"/>
      <c r="C202" s="2145" t="n"/>
      <c r="D202" s="2145" t="n"/>
      <c r="E202" s="2145" t="n"/>
      <c r="F202" s="111" t="n"/>
      <c r="G202" s="53" t="n"/>
      <c r="H202" s="53" t="n"/>
      <c r="I202" s="93" t="n"/>
      <c r="J202" s="2145" t="n"/>
      <c r="K202" s="2145" t="n"/>
      <c r="L202" s="2145" t="n"/>
      <c r="M202" s="2145" t="n"/>
      <c r="N202" s="2145" t="n"/>
    </row>
    <row r="203" customFormat="1" s="1916">
      <c r="A203" s="53" t="n"/>
      <c r="B203" s="93" t="n"/>
      <c r="C203" s="2145" t="n"/>
      <c r="D203" s="2145" t="n"/>
      <c r="E203" s="2145" t="n"/>
      <c r="F203" s="111" t="n"/>
      <c r="G203" s="53" t="n"/>
      <c r="H203" s="53" t="n"/>
      <c r="I203" s="93" t="n"/>
      <c r="J203" s="2145" t="n"/>
      <c r="K203" s="2145" t="n"/>
      <c r="L203" s="2145" t="n"/>
      <c r="M203" s="2145" t="n"/>
      <c r="N203" s="2145" t="n"/>
    </row>
    <row r="204" customFormat="1" s="1916">
      <c r="A204" s="53" t="n"/>
      <c r="B204" s="93" t="n"/>
      <c r="C204" s="2145" t="n"/>
      <c r="D204" s="2145" t="n"/>
      <c r="E204" s="2145" t="n"/>
      <c r="F204" s="53" t="n"/>
      <c r="G204" s="53" t="n"/>
      <c r="H204" s="53" t="n"/>
      <c r="I204" s="93" t="n"/>
      <c r="J204" s="2145" t="n"/>
      <c r="K204" s="2145" t="n"/>
      <c r="L204" s="2145" t="n"/>
      <c r="M204" s="2145" t="n"/>
      <c r="N204" s="2145" t="n"/>
    </row>
    <row r="205" customFormat="1" s="1916">
      <c r="A205" s="53" t="n"/>
      <c r="B205" s="93" t="n"/>
      <c r="C205" s="2145" t="n"/>
      <c r="D205" s="2145" t="n"/>
      <c r="E205" s="2145" t="n"/>
      <c r="F205" s="53" t="n"/>
      <c r="G205" s="53" t="n"/>
      <c r="H205" s="53" t="n"/>
      <c r="I205" s="93" t="n"/>
      <c r="J205" s="2145" t="n"/>
      <c r="K205" s="2145" t="n"/>
      <c r="L205" s="2145" t="n"/>
      <c r="M205" s="2145" t="n"/>
      <c r="N205" s="2145" t="n"/>
    </row>
    <row r="206" customFormat="1" s="1916">
      <c r="A206" s="103" t="n"/>
      <c r="B206" s="103" t="n"/>
      <c r="C206" s="2147" t="n"/>
      <c r="D206" s="2147" t="n"/>
      <c r="E206" s="2147" t="n"/>
      <c r="F206" s="53" t="n"/>
      <c r="G206" s="53" t="n"/>
      <c r="H206" s="103" t="n"/>
      <c r="I206" s="103" t="n"/>
      <c r="J206" s="2147" t="n"/>
      <c r="K206" s="2147" t="n"/>
      <c r="L206" s="2147" t="n"/>
      <c r="M206" s="2147" t="n"/>
      <c r="N206" s="2147" t="n"/>
    </row>
    <row r="207" customFormat="1" s="1916">
      <c r="A207" s="53" t="n"/>
      <c r="B207" s="53" t="n"/>
      <c r="C207" s="2145" t="n"/>
      <c r="D207" s="2145" t="n"/>
      <c r="E207" s="2145" t="n"/>
      <c r="F207" s="53" t="n"/>
      <c r="G207" s="53" t="n"/>
    </row>
    <row r="208" customFormat="1" s="1916">
      <c r="A208" s="53" t="n"/>
      <c r="B208" s="53" t="n"/>
      <c r="C208" s="2145" t="n"/>
      <c r="D208" s="2145" t="n"/>
      <c r="E208" s="2147" t="n"/>
      <c r="F208" s="53" t="n"/>
      <c r="G208" s="53" t="n"/>
    </row>
    <row r="209" customFormat="1" s="1916">
      <c r="A209" s="53" t="n"/>
      <c r="B209" s="53" t="n"/>
      <c r="C209" s="2145" t="n"/>
      <c r="D209" s="2145" t="n"/>
      <c r="E209" s="2145" t="n"/>
      <c r="F209" s="53" t="n"/>
      <c r="G209" s="53" t="n"/>
    </row>
    <row r="210" customFormat="1" s="1916">
      <c r="A210" s="53" t="n"/>
      <c r="B210" s="53" t="n"/>
      <c r="C210" s="2145" t="n"/>
      <c r="D210" s="2145" t="n"/>
      <c r="E210" s="2145" t="n"/>
      <c r="F210" s="53" t="n"/>
      <c r="G210" s="53" t="n"/>
    </row>
    <row r="211" customFormat="1" s="1916">
      <c r="A211" s="53" t="n"/>
      <c r="B211" s="112" t="n"/>
      <c r="C211" s="2145" t="n"/>
      <c r="D211" s="2145" t="n"/>
      <c r="E211" s="2145" t="n"/>
      <c r="F211" s="53" t="n"/>
      <c r="G211" s="53" t="n"/>
    </row>
    <row r="212" customFormat="1" s="1916">
      <c r="A212" s="53" t="n"/>
      <c r="B212" s="112" t="n"/>
      <c r="C212" s="2145" t="n"/>
      <c r="D212" s="2145" t="n"/>
      <c r="E212" s="2145" t="n"/>
      <c r="F212" s="53" t="n"/>
      <c r="G212" s="53" t="n"/>
    </row>
    <row r="213" customFormat="1" s="1916">
      <c r="A213" s="53" t="n"/>
      <c r="B213" s="113" t="n"/>
      <c r="C213" s="2145" t="n"/>
      <c r="D213" s="2145" t="n"/>
      <c r="E213" s="2145" t="n"/>
      <c r="F213" s="53" t="n"/>
      <c r="G213" s="53" t="n"/>
    </row>
    <row r="214" customFormat="1" s="1916">
      <c r="A214" s="53" t="n"/>
      <c r="B214" s="113" t="n"/>
      <c r="C214" s="2145" t="n"/>
      <c r="D214" s="2145" t="n"/>
      <c r="E214" s="2145" t="n"/>
      <c r="F214" s="53" t="n"/>
      <c r="G214" s="53" t="n"/>
    </row>
    <row r="215" customFormat="1" s="1916">
      <c r="A215" s="53" t="n"/>
      <c r="B215" s="113" t="n"/>
      <c r="C215" s="2145" t="n"/>
      <c r="D215" s="2145" t="n"/>
      <c r="E215" s="2145" t="n"/>
      <c r="F215" s="53" t="n"/>
      <c r="G215" s="53" t="n"/>
    </row>
    <row r="216" customFormat="1" s="1916">
      <c r="A216" s="53" t="n"/>
      <c r="B216" s="113" t="n"/>
      <c r="C216" s="2145" t="n"/>
      <c r="D216" s="2145" t="n"/>
      <c r="E216" s="2145" t="n"/>
      <c r="F216" s="53" t="n"/>
      <c r="G216" s="53" t="n"/>
    </row>
    <row r="217" customFormat="1" s="1916">
      <c r="A217" s="53" t="n"/>
      <c r="B217" s="112" t="n"/>
      <c r="C217" s="2145" t="n"/>
      <c r="D217" s="2145" t="n"/>
      <c r="E217" s="2145" t="n"/>
      <c r="F217" s="53" t="n"/>
      <c r="G217" s="53" t="n"/>
    </row>
    <row r="218" customFormat="1" s="1916">
      <c r="A218" s="53" t="n"/>
      <c r="B218" s="113" t="n"/>
      <c r="C218" s="2145" t="n"/>
      <c r="D218" s="2145" t="n"/>
      <c r="E218" s="2149" t="n"/>
      <c r="F218" s="53" t="n"/>
      <c r="G218" s="53" t="n"/>
      <c r="Q218" s="53" t="n"/>
    </row>
    <row r="219" customFormat="1" s="1916">
      <c r="A219" s="53" t="n"/>
      <c r="B219" s="113" t="n"/>
      <c r="C219" s="2145" t="n"/>
      <c r="D219" s="2145" t="n"/>
      <c r="E219" s="2145" t="n"/>
      <c r="F219" s="53" t="n"/>
      <c r="G219" s="53" t="n"/>
      <c r="H219" s="53" t="n"/>
      <c r="J219" s="2154" t="n"/>
      <c r="Q219" s="53" t="n"/>
    </row>
    <row r="220" customFormat="1" s="1916">
      <c r="A220" s="53" t="n"/>
      <c r="B220" s="53" t="n"/>
      <c r="C220" s="2145" t="n"/>
      <c r="D220" s="2145" t="n"/>
      <c r="E220" s="2145" t="n"/>
      <c r="F220" s="2145" t="n"/>
      <c r="G220" s="2145" t="n"/>
      <c r="Q220" s="53" t="n"/>
    </row>
    <row r="221" customFormat="1" s="1916">
      <c r="A221" s="53" t="n"/>
      <c r="B221" s="53" t="n"/>
      <c r="C221" s="2145" t="n"/>
      <c r="D221" s="2145" t="n"/>
      <c r="E221" s="2145" t="n"/>
      <c r="G221" s="540" t="n"/>
      <c r="Q221" s="53" t="n"/>
    </row>
    <row r="222" customFormat="1" s="1916">
      <c r="E222" s="2145" t="n"/>
      <c r="O222" s="53" t="n"/>
      <c r="P222" s="53" t="n"/>
      <c r="Q222" s="53" t="n"/>
      <c r="R222" s="53" t="n"/>
      <c r="S222" s="53" t="n"/>
    </row>
    <row r="223" customFormat="1" s="1916">
      <c r="O223" s="53" t="n"/>
      <c r="P223" s="53" t="n"/>
      <c r="Q223" s="53" t="n"/>
      <c r="R223" s="53" t="n"/>
      <c r="S223" s="53" t="n"/>
    </row>
    <row r="224" customFormat="1" s="1916">
      <c r="O224" s="53" t="n"/>
      <c r="P224" s="53" t="n"/>
      <c r="Q224" s="53" t="n"/>
      <c r="R224" s="53" t="n"/>
      <c r="S224" s="53" t="n"/>
    </row>
    <row r="225" customFormat="1" s="1916">
      <c r="A225" s="53" t="n"/>
      <c r="B225" s="53" t="n"/>
      <c r="C225" s="53" t="n"/>
      <c r="D225" s="53" t="n"/>
      <c r="E225" s="53" t="n"/>
      <c r="O225" s="53" t="n"/>
      <c r="P225" s="53" t="n"/>
      <c r="Q225" s="53" t="n"/>
      <c r="R225" s="53" t="n"/>
      <c r="S225" s="53" t="n"/>
    </row>
    <row r="226" customFormat="1" s="1916">
      <c r="A226" s="53" t="n"/>
      <c r="B226" s="53" t="n"/>
      <c r="C226" s="53" t="n"/>
      <c r="D226" s="53" t="n"/>
      <c r="E226" s="53" t="n"/>
      <c r="F226" s="53" t="n"/>
      <c r="G226" s="53" t="n"/>
      <c r="O226" s="53" t="n"/>
      <c r="P226" s="53" t="n"/>
      <c r="Q226" s="53" t="n"/>
      <c r="R226" s="53" t="n"/>
      <c r="S226" s="2145" t="n"/>
    </row>
    <row r="227" customFormat="1" s="1916">
      <c r="A227" s="53" t="n"/>
      <c r="B227" s="2155" t="n"/>
      <c r="C227" s="2145" t="n"/>
      <c r="D227" s="2145" t="n"/>
      <c r="E227" s="2145" t="n"/>
      <c r="F227" s="2285" t="n"/>
      <c r="G227" s="53" t="n"/>
      <c r="O227" s="53" t="n"/>
      <c r="P227" s="53" t="n"/>
      <c r="Q227" s="2145" t="n"/>
      <c r="R227" s="2145" t="n"/>
      <c r="S227" s="2145" t="n"/>
      <c r="T227" s="53" t="n"/>
      <c r="U227" s="53" t="n"/>
    </row>
    <row r="228" customFormat="1" s="1916">
      <c r="A228" s="53" t="n"/>
      <c r="B228" s="53" t="n"/>
      <c r="C228" s="2145" t="n"/>
      <c r="D228" s="2145" t="n"/>
      <c r="E228" s="2145" t="n"/>
      <c r="F228" s="53" t="n"/>
      <c r="G228" s="53" t="n"/>
      <c r="O228" s="53" t="n"/>
      <c r="P228" s="53" t="n"/>
      <c r="Q228" s="2145" t="n"/>
      <c r="R228" s="2285" t="n"/>
      <c r="S228" s="2145" t="n"/>
      <c r="T228" s="53" t="n"/>
      <c r="U228" s="53" t="n"/>
    </row>
    <row r="229" customFormat="1" s="1916">
      <c r="A229" s="53" t="n"/>
      <c r="B229" s="53" t="n"/>
      <c r="C229" s="2145" t="n"/>
      <c r="D229" s="2145" t="n"/>
      <c r="E229" s="2145" t="n"/>
      <c r="F229" s="53" t="n"/>
      <c r="G229" s="53" t="n"/>
      <c r="O229" s="53" t="n"/>
      <c r="P229" s="53" t="n"/>
      <c r="Q229" s="2145" t="n"/>
      <c r="R229" s="2285" t="n"/>
      <c r="S229" s="2145" t="n"/>
      <c r="T229" s="53" t="n"/>
      <c r="U229" s="53" t="n"/>
    </row>
    <row r="230" customFormat="1" s="1916">
      <c r="A230" s="53" t="n"/>
      <c r="B230" s="53" t="n"/>
      <c r="C230" s="2145" t="n"/>
      <c r="D230" s="2145" t="n"/>
      <c r="E230" s="2145" t="n"/>
      <c r="F230" s="53" t="n"/>
      <c r="G230" s="53" t="n"/>
      <c r="O230" s="53" t="n"/>
      <c r="P230" s="2145" t="n"/>
      <c r="Q230" s="2149" t="n"/>
      <c r="R230" s="53" t="n"/>
      <c r="S230" s="53" t="n"/>
      <c r="T230" s="53" t="n"/>
      <c r="U230" s="53" t="n"/>
      <c r="V230" s="53" t="n"/>
    </row>
    <row r="231" customFormat="1" s="1916">
      <c r="A231" s="53" t="n"/>
      <c r="B231" s="53" t="n"/>
      <c r="C231" s="2145" t="n"/>
      <c r="D231" s="2145" t="n"/>
      <c r="E231" s="2145" t="n"/>
      <c r="F231" s="53" t="n"/>
      <c r="G231" s="53" t="n"/>
      <c r="O231" s="53" t="n"/>
      <c r="P231" s="53" t="n"/>
      <c r="Q231" s="2149" t="n"/>
      <c r="R231" s="53" t="n"/>
      <c r="S231" s="53" t="n"/>
      <c r="T231" s="2145" t="n"/>
      <c r="U231" s="2145" t="n"/>
      <c r="V231" s="53" t="n"/>
    </row>
    <row r="232" customFormat="1" s="1916">
      <c r="A232" s="53" t="n"/>
      <c r="B232" s="53" t="n"/>
      <c r="C232" s="2145" t="n"/>
      <c r="D232" s="2145" t="n"/>
      <c r="E232" s="2145" t="n"/>
      <c r="F232" s="53" t="n"/>
      <c r="G232" s="53" t="n"/>
      <c r="O232" s="53" t="n"/>
      <c r="P232" s="53" t="n"/>
      <c r="Q232" s="2149" t="n"/>
      <c r="R232" s="53" t="n"/>
      <c r="S232" s="53" t="n"/>
      <c r="T232" s="2145" t="n"/>
      <c r="U232" s="2145" t="n"/>
      <c r="V232" s="53" t="n"/>
    </row>
    <row r="233" customFormat="1" s="1916">
      <c r="A233" s="53" t="n"/>
      <c r="B233" s="53" t="n"/>
      <c r="C233" s="2145" t="n"/>
      <c r="D233" s="2145" t="n"/>
      <c r="E233" s="2145" t="n"/>
      <c r="F233" s="53" t="n"/>
      <c r="G233" s="53" t="n"/>
      <c r="O233" s="53" t="n"/>
      <c r="P233" s="53" t="n"/>
      <c r="Q233" s="2149" t="n"/>
      <c r="R233" s="53" t="n"/>
      <c r="S233" s="53" t="n"/>
      <c r="T233" s="2145" t="n"/>
      <c r="U233" s="2145" t="n"/>
      <c r="V233" s="53" t="n"/>
    </row>
    <row r="234" customFormat="1" s="1916">
      <c r="A234" s="53" t="n"/>
      <c r="B234" s="53" t="n"/>
      <c r="C234" s="2145" t="n"/>
      <c r="D234" s="2145" t="n"/>
      <c r="E234" s="2145" t="n"/>
      <c r="F234" s="53" t="n"/>
      <c r="G234" s="53" t="n"/>
      <c r="O234" s="53" t="n"/>
      <c r="P234" s="53" t="n"/>
      <c r="Q234" s="2149" t="n"/>
      <c r="R234" s="53" t="n"/>
      <c r="S234" s="53" t="n"/>
      <c r="T234" s="2145" t="n"/>
      <c r="U234" s="2145" t="n"/>
      <c r="V234" s="53" t="n"/>
    </row>
    <row r="235" customFormat="1" s="1916">
      <c r="A235" s="53" t="n"/>
      <c r="B235" s="53" t="n"/>
      <c r="C235" s="2145" t="n"/>
      <c r="D235" s="2145" t="n"/>
      <c r="E235" s="2145" t="n"/>
      <c r="F235" s="53" t="n"/>
      <c r="G235" s="53" t="n"/>
      <c r="O235" s="53" t="n"/>
      <c r="P235" s="53" t="n"/>
      <c r="Q235" s="2149" t="n"/>
      <c r="R235" s="53" t="n"/>
      <c r="S235" s="53" t="n"/>
      <c r="T235" s="53" t="n"/>
      <c r="U235" s="53" t="n"/>
      <c r="V235" s="53" t="n"/>
    </row>
    <row r="236" customFormat="1" s="1916">
      <c r="A236" s="53" t="n"/>
      <c r="B236" s="53" t="n"/>
      <c r="C236" s="2145" t="n"/>
      <c r="D236" s="2145" t="n"/>
      <c r="E236" s="2145" t="n"/>
      <c r="F236" s="53" t="n"/>
      <c r="G236" s="53" t="n"/>
      <c r="O236" s="53" t="n"/>
      <c r="P236" s="53" t="n"/>
      <c r="Q236" s="2149" t="n"/>
      <c r="R236" s="53" t="n"/>
      <c r="S236" s="53" t="n"/>
      <c r="T236" s="53" t="n"/>
      <c r="U236" s="53" t="n"/>
      <c r="V236" s="53" t="n"/>
    </row>
    <row r="237" customFormat="1" s="1916">
      <c r="A237" s="53" t="n"/>
      <c r="B237" s="53" t="n"/>
      <c r="C237" s="2145" t="n"/>
      <c r="D237" s="2145" t="n"/>
      <c r="E237" s="2145" t="n"/>
      <c r="F237" s="53" t="n"/>
      <c r="G237" s="53" t="n"/>
      <c r="T237" s="53" t="n"/>
      <c r="U237" s="53" t="n"/>
      <c r="V237" s="53" t="n"/>
    </row>
    <row r="238" customFormat="1" s="1916">
      <c r="A238" s="53" t="n"/>
      <c r="B238" s="53" t="n"/>
      <c r="C238" s="2145" t="n"/>
      <c r="D238" s="2145" t="n"/>
      <c r="E238" s="2145" t="n"/>
      <c r="F238" s="53" t="n"/>
      <c r="G238" s="53" t="n"/>
      <c r="T238" s="53" t="n"/>
      <c r="U238" s="53" t="n"/>
      <c r="V238" s="53" t="n"/>
    </row>
    <row r="239" customFormat="1" s="1916">
      <c r="A239" s="53" t="n"/>
      <c r="B239" s="53" t="n"/>
      <c r="C239" s="2145" t="n"/>
      <c r="D239" s="2145" t="n"/>
      <c r="E239" s="2145" t="n"/>
      <c r="F239" s="2285" t="n"/>
      <c r="G239" s="53" t="n"/>
      <c r="T239" s="53" t="n"/>
      <c r="U239" s="53" t="n"/>
      <c r="V239" s="53" t="n"/>
    </row>
    <row r="240" customFormat="1" s="1916">
      <c r="A240" s="53" t="n"/>
      <c r="B240" s="53" t="n"/>
      <c r="C240" s="2145" t="n"/>
      <c r="D240" s="2145" t="n"/>
      <c r="E240" s="2145" t="n"/>
      <c r="F240" s="53" t="n"/>
      <c r="G240" s="53" t="n"/>
      <c r="T240" s="53" t="n"/>
      <c r="U240" s="53" t="n"/>
      <c r="V240" s="53" t="n"/>
    </row>
    <row r="241" customFormat="1" s="1916">
      <c r="A241" s="53" t="n"/>
      <c r="B241" s="53" t="n"/>
      <c r="C241" s="2145" t="n"/>
      <c r="D241" s="2145" t="n"/>
      <c r="E241" s="2145" t="n"/>
      <c r="F241" s="53" t="n"/>
      <c r="G241" s="53" t="n"/>
      <c r="T241" s="53" t="n"/>
      <c r="U241" s="53" t="n"/>
      <c r="V241" s="53" t="n"/>
    </row>
    <row r="242" customFormat="1" s="1916">
      <c r="A242" s="53" t="n"/>
      <c r="B242" s="53" t="n"/>
      <c r="C242" s="2145" t="n"/>
      <c r="D242" s="2145" t="n"/>
      <c r="E242" s="2145" t="n"/>
      <c r="F242" s="53" t="n"/>
      <c r="G242" s="53" t="n"/>
    </row>
    <row r="243" customFormat="1" s="1916">
      <c r="A243" s="53" t="n"/>
      <c r="B243" s="53" t="n"/>
      <c r="C243" s="2145" t="n"/>
      <c r="D243" s="2145" t="n"/>
      <c r="E243" s="2145" t="n"/>
      <c r="F243" s="53" t="n"/>
      <c r="G243" s="53" t="n"/>
    </row>
    <row r="244" customFormat="1" s="1916">
      <c r="A244" s="103" t="n"/>
      <c r="B244" s="103" t="n"/>
      <c r="C244" s="2147" t="n"/>
      <c r="D244" s="2147" t="n"/>
      <c r="E244" s="2147" t="n"/>
      <c r="F244" s="53" t="n"/>
      <c r="G244" s="53" t="n"/>
    </row>
    <row r="245" customFormat="1" s="1916">
      <c r="A245" s="103" t="n"/>
      <c r="B245" s="105" t="n"/>
      <c r="C245" s="2147" t="n"/>
      <c r="D245" s="2147" t="n"/>
      <c r="E245" s="2147" t="n"/>
      <c r="F245" s="53" t="n"/>
      <c r="G245" s="53" t="n"/>
    </row>
    <row r="246" customFormat="1" s="1916">
      <c r="A246" s="103" t="n"/>
      <c r="B246" s="103" t="n"/>
      <c r="C246" s="2147" t="n"/>
      <c r="D246" s="2147" t="n"/>
      <c r="E246" s="2147" t="n"/>
      <c r="F246" s="53" t="n"/>
      <c r="G246" s="53" t="n"/>
    </row>
    <row r="247" customFormat="1" s="1916">
      <c r="A247" s="103" t="n"/>
      <c r="B247" s="105" t="n"/>
      <c r="C247" s="2147" t="n"/>
      <c r="D247" s="2147" t="n"/>
      <c r="E247" s="2147" t="n"/>
      <c r="F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</row>
    <row r="248" customFormat="1" s="1916">
      <c r="A248" s="53" t="n"/>
      <c r="B248" s="53" t="n"/>
      <c r="C248" s="2145" t="n"/>
      <c r="D248" s="2145" t="n"/>
      <c r="E248" s="2145" t="n"/>
      <c r="F248" s="53" t="n"/>
      <c r="H248" s="53" t="n"/>
      <c r="I248" s="53" t="n"/>
      <c r="J248" s="53" t="n"/>
      <c r="K248" s="106" t="n"/>
      <c r="L248" s="106" t="n"/>
      <c r="M248" s="106" t="n"/>
      <c r="N248" s="106" t="n"/>
      <c r="O248" s="106" t="n"/>
    </row>
    <row r="249" customFormat="1" s="1916">
      <c r="A249" s="3" t="n"/>
      <c r="B249" s="2285" t="n"/>
      <c r="C249" s="3" t="n"/>
      <c r="D249" s="3" t="n"/>
      <c r="E249" s="2285" t="n"/>
      <c r="F249" s="107" t="n"/>
      <c r="H249" s="53" t="n"/>
      <c r="I249" s="540" t="n"/>
      <c r="J249" s="53" t="n"/>
      <c r="K249" s="106" t="n"/>
      <c r="L249" s="106" t="n"/>
      <c r="M249" s="106" t="n"/>
      <c r="N249" s="106" t="n"/>
      <c r="O249" s="106" t="n"/>
    </row>
    <row r="250" customFormat="1" s="1916">
      <c r="A250" s="53" t="n"/>
      <c r="B250" s="53" t="n"/>
      <c r="C250" s="53" t="n"/>
      <c r="D250" s="53" t="n"/>
      <c r="E250" s="53" t="n"/>
      <c r="F250" s="107" t="n"/>
      <c r="H250" s="53" t="n"/>
      <c r="I250" s="53" t="n"/>
      <c r="J250" s="53" t="n"/>
      <c r="K250" s="2145" t="n"/>
      <c r="L250" s="2145" t="n"/>
      <c r="M250" s="2145" t="n"/>
      <c r="N250" s="2145" t="n"/>
      <c r="O250" s="53" t="n"/>
    </row>
    <row r="251" customFormat="1" s="1916">
      <c r="A251" s="53" t="n"/>
      <c r="B251" s="53" t="n"/>
      <c r="C251" s="53" t="n"/>
      <c r="D251" s="53" t="n"/>
      <c r="E251" s="106" t="n"/>
      <c r="F251" s="106" t="n"/>
      <c r="H251" s="53" t="n"/>
      <c r="I251" s="93" t="n"/>
      <c r="J251" s="2145" t="n"/>
      <c r="K251" s="2145" t="n"/>
      <c r="L251" s="2145" t="n"/>
      <c r="M251" s="2145" t="n"/>
      <c r="N251" s="2145" t="n"/>
      <c r="O251" s="106" t="n"/>
    </row>
    <row r="252" customFormat="1" s="1916">
      <c r="A252" s="53" t="n"/>
      <c r="B252" s="53" t="n"/>
      <c r="C252" s="53" t="n"/>
      <c r="D252" s="53" t="n"/>
      <c r="E252" s="53" t="n"/>
      <c r="F252" s="53" t="n"/>
      <c r="H252" s="53" t="n"/>
      <c r="I252" s="93" t="n"/>
      <c r="J252" s="2145" t="n"/>
      <c r="K252" s="2145" t="n"/>
      <c r="L252" s="2145" t="n"/>
      <c r="M252" s="2145" t="n"/>
      <c r="N252" s="2145" t="n"/>
      <c r="O252" s="53" t="n"/>
    </row>
    <row r="253" customFormat="1" s="1916">
      <c r="A253" s="53" t="n"/>
      <c r="B253" s="53" t="n"/>
      <c r="C253" s="53" t="n"/>
      <c r="D253" s="53" t="n"/>
      <c r="E253" s="106" t="n"/>
      <c r="F253" s="106" t="n"/>
      <c r="H253" s="53" t="n"/>
      <c r="I253" s="93" t="n"/>
      <c r="J253" s="2145" t="n"/>
      <c r="K253" s="2145" t="n"/>
      <c r="L253" s="2145" t="n"/>
      <c r="M253" s="2145" t="n"/>
      <c r="N253" s="2145" t="n"/>
      <c r="O253" s="106" t="n"/>
    </row>
    <row r="254" customFormat="1" s="1916">
      <c r="A254" s="53" t="n"/>
      <c r="B254" s="53" t="n"/>
      <c r="C254" s="53" t="n"/>
      <c r="D254" s="53" t="n"/>
      <c r="E254" s="2286" t="n"/>
      <c r="F254" s="2286" t="n"/>
      <c r="G254" s="53" t="n"/>
      <c r="H254" s="103" t="n"/>
      <c r="I254" s="103" t="n"/>
      <c r="J254" s="2147" t="n"/>
      <c r="K254" s="2147" t="n"/>
      <c r="L254" s="2147" t="n"/>
      <c r="M254" s="2145" t="n"/>
      <c r="N254" s="2145" t="n"/>
      <c r="O254" s="106" t="n"/>
    </row>
    <row r="255" customFormat="1" s="1916">
      <c r="A255" s="53" t="n"/>
      <c r="B255" s="53" t="n"/>
      <c r="C255" s="2145" t="n"/>
      <c r="D255" s="2145" t="n"/>
      <c r="E255" s="2145" t="n"/>
      <c r="F255" s="2145" t="n"/>
      <c r="G255" s="53" t="n"/>
      <c r="H255" s="53" t="n"/>
      <c r="I255" s="53" t="n"/>
    </row>
    <row r="256" customFormat="1" s="1916">
      <c r="A256" s="53" t="n"/>
      <c r="B256" s="53" t="n"/>
      <c r="C256" s="53" t="n"/>
      <c r="D256" s="53" t="n"/>
      <c r="E256" s="2145" t="n"/>
      <c r="F256" s="53" t="n"/>
      <c r="G256" s="53" t="n"/>
      <c r="H256" s="110" t="n"/>
      <c r="I256" s="53" t="n"/>
      <c r="J256" s="53" t="n"/>
      <c r="K256" s="2145" t="n"/>
      <c r="L256" s="2145" t="n"/>
      <c r="M256" s="2145" t="n"/>
      <c r="N256" s="2145" t="n"/>
    </row>
    <row r="257" customFormat="1" s="1916">
      <c r="A257" s="53" t="n"/>
      <c r="B257" s="93" t="n"/>
      <c r="C257" s="2145" t="n"/>
      <c r="D257" s="2145" t="n"/>
      <c r="E257" s="2145" t="n"/>
      <c r="F257" s="53" t="n"/>
      <c r="G257" s="53" t="n"/>
      <c r="H257" s="2285" t="n"/>
      <c r="I257" s="93" t="n"/>
      <c r="J257" s="2145" t="n"/>
      <c r="K257" s="2145" t="n"/>
      <c r="L257" s="2145" t="n"/>
      <c r="M257" s="2145" t="n"/>
      <c r="N257" s="2145" t="n"/>
    </row>
    <row r="258" customFormat="1" s="1916">
      <c r="A258" s="53" t="n"/>
      <c r="B258" s="93" t="n"/>
      <c r="C258" s="2145" t="n"/>
      <c r="D258" s="2145" t="n"/>
      <c r="E258" s="2145" t="n"/>
      <c r="F258" s="53" t="n"/>
      <c r="G258" s="53" t="n"/>
      <c r="H258" s="53" t="n"/>
      <c r="I258" s="93" t="n"/>
      <c r="J258" s="2145" t="n"/>
      <c r="K258" s="2145" t="n"/>
      <c r="L258" s="2145" t="n"/>
      <c r="M258" s="2145" t="n"/>
      <c r="N258" s="2145" t="n"/>
    </row>
    <row r="259" customFormat="1" s="1916">
      <c r="A259" s="53" t="n"/>
      <c r="B259" s="93" t="n"/>
      <c r="C259" s="2145" t="n"/>
      <c r="D259" s="2145" t="n"/>
      <c r="E259" s="2145" t="n"/>
      <c r="F259" s="53" t="n"/>
      <c r="G259" s="53" t="n"/>
      <c r="H259" s="53" t="n"/>
      <c r="I259" s="93" t="n"/>
      <c r="J259" s="2145" t="n"/>
      <c r="K259" s="2145" t="n"/>
      <c r="L259" s="2145" t="n"/>
      <c r="M259" s="2145" t="n"/>
      <c r="N259" s="2145" t="n"/>
    </row>
    <row r="260" customFormat="1" s="1916">
      <c r="A260" s="53" t="n"/>
      <c r="B260" s="93" t="n"/>
      <c r="C260" s="2145" t="n"/>
      <c r="D260" s="2145" t="n"/>
      <c r="E260" s="2145" t="n"/>
      <c r="F260" s="111" t="n"/>
      <c r="G260" s="53" t="n"/>
      <c r="H260" s="53" t="n"/>
      <c r="I260" s="93" t="n"/>
      <c r="J260" s="2145" t="n"/>
      <c r="K260" s="2145" t="n"/>
      <c r="L260" s="2145" t="n"/>
      <c r="M260" s="2145" t="n"/>
      <c r="N260" s="2145" t="n"/>
    </row>
    <row r="261" customFormat="1" s="1916">
      <c r="A261" s="53" t="n"/>
      <c r="B261" s="93" t="n"/>
      <c r="C261" s="2145" t="n"/>
      <c r="D261" s="2145" t="n"/>
      <c r="E261" s="2145" t="n"/>
      <c r="F261" s="111" t="n"/>
      <c r="G261" s="53" t="n"/>
      <c r="H261" s="53" t="n"/>
      <c r="I261" s="93" t="n"/>
      <c r="J261" s="2145" t="n"/>
      <c r="K261" s="2145" t="n"/>
      <c r="L261" s="2145" t="n"/>
      <c r="M261" s="2145" t="n"/>
      <c r="N261" s="2145" t="n"/>
    </row>
    <row r="262" customFormat="1" s="1916">
      <c r="A262" s="53" t="n"/>
      <c r="B262" s="93" t="n"/>
      <c r="C262" s="2145" t="n"/>
      <c r="D262" s="2145" t="n"/>
      <c r="E262" s="2145" t="n"/>
      <c r="F262" s="53" t="n"/>
      <c r="G262" s="53" t="n"/>
      <c r="H262" s="53" t="n"/>
      <c r="I262" s="93" t="n"/>
      <c r="J262" s="2145" t="n"/>
      <c r="K262" s="2145" t="n"/>
      <c r="L262" s="2145" t="n"/>
      <c r="M262" s="2145" t="n"/>
      <c r="N262" s="2145" t="n"/>
    </row>
    <row r="263" customFormat="1" s="1916">
      <c r="A263" s="53" t="n"/>
      <c r="B263" s="93" t="n"/>
      <c r="C263" s="2145" t="n"/>
      <c r="D263" s="2145" t="n"/>
      <c r="E263" s="2145" t="n"/>
      <c r="F263" s="53" t="n"/>
      <c r="G263" s="53" t="n"/>
      <c r="H263" s="53" t="n"/>
      <c r="I263" s="93" t="n"/>
      <c r="J263" s="2145" t="n"/>
      <c r="K263" s="2145" t="n"/>
      <c r="L263" s="2145" t="n"/>
      <c r="M263" s="2145" t="n"/>
      <c r="N263" s="2145" t="n"/>
    </row>
    <row r="264" customFormat="1" s="1916">
      <c r="A264" s="103" t="n"/>
      <c r="B264" s="103" t="n"/>
      <c r="C264" s="2147" t="n"/>
      <c r="D264" s="2147" t="n"/>
      <c r="E264" s="2147" t="n"/>
      <c r="F264" s="53" t="n"/>
      <c r="G264" s="53" t="n"/>
      <c r="H264" s="103" t="n"/>
      <c r="I264" s="103" t="n"/>
      <c r="J264" s="2147" t="n"/>
      <c r="K264" s="2147" t="n"/>
      <c r="L264" s="2147" t="n"/>
      <c r="M264" s="2147" t="n"/>
      <c r="N264" s="2147" t="n"/>
    </row>
    <row r="265" customFormat="1" s="1916">
      <c r="A265" s="53" t="n"/>
      <c r="B265" s="53" t="n"/>
      <c r="C265" s="2145" t="n"/>
      <c r="D265" s="2145" t="n"/>
      <c r="E265" s="2145" t="n"/>
      <c r="F265" s="53" t="n"/>
      <c r="G265" s="53" t="n"/>
    </row>
    <row r="266" customFormat="1" s="1916">
      <c r="A266" s="53" t="n"/>
      <c r="B266" s="53" t="n"/>
      <c r="C266" s="2145" t="n"/>
      <c r="D266" s="2145" t="n"/>
      <c r="E266" s="2147" t="n"/>
      <c r="F266" s="53" t="n"/>
      <c r="G266" s="53" t="n"/>
    </row>
    <row r="267" customFormat="1" s="1916">
      <c r="A267" s="53" t="n"/>
      <c r="B267" s="53" t="n"/>
      <c r="C267" s="2145" t="n"/>
      <c r="D267" s="2145" t="n"/>
      <c r="E267" s="2145" t="n"/>
      <c r="F267" s="53" t="n"/>
      <c r="G267" s="53" t="n"/>
    </row>
    <row r="268" customFormat="1" s="1916">
      <c r="A268" s="53" t="n"/>
      <c r="B268" s="53" t="n"/>
      <c r="C268" s="2145" t="n"/>
      <c r="D268" s="2145" t="n"/>
      <c r="E268" s="2145" t="n"/>
      <c r="F268" s="53" t="n"/>
      <c r="G268" s="53" t="n"/>
    </row>
    <row r="269" customFormat="1" s="1916">
      <c r="A269" s="53" t="n"/>
      <c r="B269" s="112" t="n"/>
      <c r="C269" s="2145" t="n"/>
      <c r="D269" s="2145" t="n"/>
      <c r="E269" s="2145" t="n"/>
      <c r="F269" s="53" t="n"/>
      <c r="G269" s="53" t="n"/>
    </row>
    <row r="270" customFormat="1" s="1916">
      <c r="A270" s="53" t="n"/>
      <c r="B270" s="112" t="n"/>
      <c r="C270" s="2145" t="n"/>
      <c r="D270" s="2145" t="n"/>
      <c r="E270" s="2145" t="n"/>
      <c r="F270" s="53" t="n"/>
      <c r="G270" s="53" t="n"/>
    </row>
    <row r="271" customFormat="1" s="1916">
      <c r="A271" s="53" t="n"/>
      <c r="B271" s="113" t="n"/>
      <c r="C271" s="2145" t="n"/>
      <c r="D271" s="2145" t="n"/>
      <c r="E271" s="2145" t="n"/>
      <c r="F271" s="53" t="n"/>
      <c r="G271" s="53" t="n"/>
    </row>
    <row r="272" customFormat="1" s="1916">
      <c r="A272" s="53" t="n"/>
      <c r="B272" s="113" t="n"/>
      <c r="C272" s="2145" t="n"/>
      <c r="D272" s="2145" t="n"/>
      <c r="E272" s="2145" t="n"/>
      <c r="F272" s="53" t="n"/>
      <c r="G272" s="53" t="n"/>
    </row>
    <row r="273" customFormat="1" s="1916">
      <c r="A273" s="53" t="n"/>
      <c r="B273" s="113" t="n"/>
      <c r="C273" s="2145" t="n"/>
      <c r="D273" s="2145" t="n"/>
      <c r="E273" s="2145" t="n"/>
      <c r="F273" s="53" t="n"/>
      <c r="G273" s="53" t="n"/>
    </row>
    <row r="274" customFormat="1" s="1916">
      <c r="A274" s="53" t="n"/>
      <c r="B274" s="113" t="n"/>
      <c r="C274" s="2145" t="n"/>
      <c r="D274" s="2145" t="n"/>
      <c r="E274" s="2145" t="n"/>
      <c r="F274" s="53" t="n"/>
      <c r="G274" s="53" t="n"/>
    </row>
    <row r="275" customFormat="1" s="1916">
      <c r="A275" s="53" t="n"/>
      <c r="B275" s="112" t="n"/>
      <c r="C275" s="2145" t="n"/>
      <c r="D275" s="2145" t="n"/>
      <c r="E275" s="2145" t="n"/>
      <c r="F275" s="53" t="n"/>
      <c r="G275" s="53" t="n"/>
    </row>
    <row r="276" customFormat="1" s="1916">
      <c r="A276" s="53" t="n"/>
      <c r="B276" s="112" t="n"/>
      <c r="C276" s="2145" t="n"/>
      <c r="D276" s="2145" t="n"/>
      <c r="E276" s="2145" t="n"/>
      <c r="F276" s="53" t="n"/>
      <c r="G276" s="53" t="n"/>
    </row>
    <row r="277" customFormat="1" s="1916">
      <c r="A277" s="53" t="n"/>
      <c r="B277" s="112" t="n"/>
      <c r="C277" s="2145" t="n"/>
      <c r="D277" s="2145" t="n"/>
      <c r="E277" s="2149" t="n"/>
      <c r="F277" s="53" t="n"/>
      <c r="G277" s="53" t="n"/>
      <c r="Q277" s="53" t="n"/>
    </row>
    <row r="278" customFormat="1" s="1916">
      <c r="A278" s="53" t="n"/>
      <c r="B278" s="113" t="n"/>
      <c r="C278" s="2145" t="n"/>
      <c r="D278" s="2145" t="n"/>
      <c r="E278" s="2145" t="n"/>
      <c r="F278" s="53" t="n"/>
      <c r="G278" s="53" t="n"/>
      <c r="H278" s="53" t="n"/>
      <c r="J278" s="2154" t="n"/>
      <c r="Q278" s="53" t="n"/>
    </row>
    <row r="279" customFormat="1" s="1916">
      <c r="A279" s="53" t="n"/>
      <c r="B279" s="53" t="n"/>
      <c r="C279" s="2145" t="n"/>
      <c r="D279" s="2145" t="n"/>
      <c r="E279" s="2145" t="n"/>
      <c r="F279" s="2145" t="n"/>
      <c r="G279" s="2145" t="n"/>
      <c r="Q279" s="53" t="n"/>
    </row>
    <row r="280" customFormat="1" s="1916">
      <c r="A280" s="53" t="n"/>
      <c r="B280" s="53" t="n"/>
      <c r="C280" s="2145" t="n"/>
      <c r="D280" s="2145" t="n"/>
      <c r="E280" s="2145" t="n"/>
      <c r="G280" s="540" t="n"/>
      <c r="Q280" s="53" t="n"/>
    </row>
    <row r="281" customFormat="1" s="1916">
      <c r="E281" s="2145" t="n"/>
    </row>
    <row r="282" customFormat="1" s="1916">
      <c r="A282" s="115" t="n"/>
    </row>
    <row r="283" customFormat="1" s="1916"/>
    <row r="284" customFormat="1" s="1916">
      <c r="A284" s="53" t="n"/>
      <c r="B284" s="53" t="n"/>
      <c r="C284" s="53" t="n"/>
      <c r="D284" s="53" t="n"/>
      <c r="E284" s="53" t="n"/>
      <c r="O284" s="53" t="n"/>
      <c r="P284" s="53" t="n"/>
      <c r="Q284" s="53" t="n"/>
      <c r="R284" s="53" t="n"/>
      <c r="S284" s="53" t="n"/>
    </row>
    <row r="285" customFormat="1" s="1916">
      <c r="A285" s="53" t="n"/>
      <c r="B285" s="53" t="n"/>
      <c r="C285" s="53" t="n"/>
      <c r="D285" s="53" t="n"/>
      <c r="E285" s="53" t="n"/>
      <c r="F285" s="53" t="n"/>
      <c r="G285" s="53" t="n"/>
      <c r="O285" s="53" t="n"/>
      <c r="P285" s="53" t="n"/>
      <c r="Q285" s="53" t="n"/>
      <c r="R285" s="53" t="n"/>
      <c r="S285" s="2145" t="n"/>
    </row>
    <row r="286" customFormat="1" s="1916">
      <c r="A286" s="53" t="n"/>
      <c r="B286" s="2155" t="n"/>
      <c r="C286" s="2145" t="n"/>
      <c r="D286" s="2145" t="n"/>
      <c r="E286" s="2145" t="n"/>
      <c r="F286" s="2285" t="n"/>
      <c r="G286" s="53" t="n"/>
      <c r="O286" s="53" t="n"/>
      <c r="P286" s="53" t="n"/>
      <c r="Q286" s="2145" t="n"/>
      <c r="R286" s="2145" t="n"/>
      <c r="S286" s="2145" t="n"/>
    </row>
    <row r="287" customFormat="1" s="1916">
      <c r="A287" s="53" t="n"/>
      <c r="B287" s="53" t="n"/>
      <c r="C287" s="2145" t="n"/>
      <c r="D287" s="2145" t="n"/>
      <c r="E287" s="2145" t="n"/>
      <c r="F287" s="53" t="n"/>
      <c r="G287" s="53" t="n"/>
      <c r="O287" s="53" t="n"/>
      <c r="P287" s="53" t="n"/>
      <c r="Q287" s="2145" t="n"/>
      <c r="R287" s="2285" t="n"/>
      <c r="S287" s="2145" t="n"/>
    </row>
    <row r="288" customFormat="1" s="1916">
      <c r="A288" s="53" t="n"/>
      <c r="B288" s="53" t="n"/>
      <c r="C288" s="2145" t="n"/>
      <c r="D288" s="2145" t="n"/>
      <c r="E288" s="2145" t="n"/>
      <c r="F288" s="53" t="n"/>
      <c r="G288" s="53" t="n"/>
      <c r="O288" s="53" t="n"/>
      <c r="P288" s="53" t="n"/>
      <c r="Q288" s="2145" t="n"/>
      <c r="R288" s="2285" t="n"/>
      <c r="S288" s="2145" t="n"/>
    </row>
    <row r="289" customFormat="1" s="1916">
      <c r="A289" s="53" t="n"/>
      <c r="B289" s="53" t="n"/>
      <c r="C289" s="2145" t="n"/>
      <c r="D289" s="2145" t="n"/>
      <c r="E289" s="2145" t="n"/>
      <c r="F289" s="53" t="n"/>
      <c r="G289" s="53" t="n"/>
      <c r="O289" s="53" t="n"/>
      <c r="P289" s="2145" t="n"/>
      <c r="Q289" s="2149" t="n"/>
      <c r="R289" s="53" t="n"/>
      <c r="S289" s="53" t="n"/>
      <c r="T289" s="53" t="n"/>
      <c r="U289" s="53" t="n"/>
      <c r="V289" s="53" t="n"/>
    </row>
    <row r="290" customFormat="1" s="1916">
      <c r="A290" s="53" t="n"/>
      <c r="B290" s="53" t="n"/>
      <c r="C290" s="2145" t="n"/>
      <c r="D290" s="2145" t="n"/>
      <c r="E290" s="2145" t="n"/>
      <c r="F290" s="53" t="n"/>
      <c r="G290" s="53" t="n"/>
      <c r="O290" s="53" t="n"/>
      <c r="P290" s="53" t="n"/>
      <c r="Q290" s="2149" t="n"/>
      <c r="R290" s="53" t="n"/>
      <c r="S290" s="53" t="n"/>
      <c r="T290" s="2145" t="n"/>
      <c r="U290" s="2145" t="n"/>
      <c r="V290" s="53" t="n"/>
    </row>
    <row r="291" customFormat="1" s="1916">
      <c r="A291" s="53" t="n"/>
      <c r="B291" s="53" t="n"/>
      <c r="C291" s="2145" t="n"/>
      <c r="D291" s="2145" t="n"/>
      <c r="E291" s="2145" t="n"/>
      <c r="F291" s="53" t="n"/>
      <c r="G291" s="53" t="n"/>
      <c r="O291" s="53" t="n"/>
      <c r="P291" s="53" t="n"/>
      <c r="Q291" s="2149" t="n"/>
      <c r="R291" s="53" t="n"/>
      <c r="S291" s="53" t="n"/>
      <c r="T291" s="2145" t="n"/>
      <c r="U291" s="2145" t="n"/>
      <c r="V291" s="53" t="n"/>
    </row>
    <row r="292" customFormat="1" s="1916">
      <c r="A292" s="53" t="n"/>
      <c r="B292" s="53" t="n"/>
      <c r="C292" s="2145" t="n"/>
      <c r="D292" s="2145" t="n"/>
      <c r="E292" s="2145" t="n"/>
      <c r="F292" s="53" t="n"/>
      <c r="G292" s="53" t="n"/>
      <c r="O292" s="53" t="n"/>
      <c r="P292" s="53" t="n"/>
      <c r="Q292" s="2149" t="n"/>
      <c r="R292" s="53" t="n"/>
      <c r="S292" s="53" t="n"/>
      <c r="T292" s="2145" t="n"/>
      <c r="U292" s="2145" t="n"/>
      <c r="V292" s="53" t="n"/>
    </row>
    <row r="293" customFormat="1" s="1916">
      <c r="A293" s="53" t="n"/>
      <c r="B293" s="53" t="n"/>
      <c r="C293" s="2145" t="n"/>
      <c r="D293" s="2145" t="n"/>
      <c r="E293" s="2145" t="n"/>
      <c r="F293" s="53" t="n"/>
      <c r="G293" s="53" t="n"/>
      <c r="O293" s="53" t="n"/>
      <c r="P293" s="53" t="n"/>
      <c r="Q293" s="2149" t="n"/>
      <c r="R293" s="53" t="n"/>
      <c r="S293" s="53" t="n"/>
      <c r="T293" s="2145" t="n"/>
      <c r="U293" s="2145" t="n"/>
      <c r="V293" s="53" t="n"/>
    </row>
    <row r="294" customFormat="1" s="1916">
      <c r="A294" s="53" t="n"/>
      <c r="B294" s="53" t="n"/>
      <c r="C294" s="2145" t="n"/>
      <c r="D294" s="2145" t="n"/>
      <c r="E294" s="2145" t="n"/>
      <c r="F294" s="53" t="n"/>
      <c r="G294" s="53" t="n"/>
      <c r="O294" s="53" t="n"/>
      <c r="P294" s="53" t="n"/>
      <c r="Q294" s="2149" t="n"/>
      <c r="R294" s="53" t="n"/>
      <c r="S294" s="53" t="n"/>
      <c r="T294" s="53" t="n"/>
      <c r="U294" s="53" t="n"/>
      <c r="V294" s="53" t="n"/>
    </row>
    <row r="295" customFormat="1" s="1916">
      <c r="A295" s="53" t="n"/>
      <c r="B295" s="53" t="n"/>
      <c r="C295" s="2145" t="n"/>
      <c r="D295" s="2145" t="n"/>
      <c r="E295" s="2145" t="n"/>
      <c r="F295" s="53" t="n"/>
      <c r="G295" s="53" t="n"/>
      <c r="O295" s="53" t="n"/>
      <c r="P295" s="53" t="n"/>
      <c r="Q295" s="2149" t="n"/>
      <c r="R295" s="53" t="n"/>
      <c r="S295" s="53" t="n"/>
      <c r="T295" s="53" t="n"/>
      <c r="U295" s="53" t="n"/>
      <c r="V295" s="53" t="n"/>
    </row>
    <row r="296" customFormat="1" s="1916">
      <c r="A296" s="53" t="n"/>
      <c r="B296" s="53" t="n"/>
      <c r="C296" s="2145" t="n"/>
      <c r="D296" s="2145" t="n"/>
      <c r="E296" s="2145" t="n"/>
      <c r="F296" s="53" t="n"/>
      <c r="G296" s="53" t="n"/>
      <c r="T296" s="53" t="n"/>
      <c r="U296" s="53" t="n"/>
      <c r="V296" s="53" t="n"/>
    </row>
    <row r="297" customFormat="1" s="1916">
      <c r="A297" s="53" t="n"/>
      <c r="B297" s="53" t="n"/>
      <c r="C297" s="2145" t="n"/>
      <c r="D297" s="2145" t="n"/>
      <c r="E297" s="2145" t="n"/>
      <c r="F297" s="53" t="n"/>
      <c r="G297" s="53" t="n"/>
      <c r="T297" s="53" t="n"/>
      <c r="U297" s="53" t="n"/>
      <c r="V297" s="53" t="n"/>
    </row>
    <row r="298" customFormat="1" s="1916">
      <c r="A298" s="53" t="n"/>
      <c r="B298" s="53" t="n"/>
      <c r="C298" s="2145" t="n"/>
      <c r="D298" s="2145" t="n"/>
      <c r="E298" s="2145" t="n"/>
      <c r="F298" s="2285" t="n"/>
      <c r="G298" s="53" t="n"/>
      <c r="T298" s="53" t="n"/>
      <c r="U298" s="53" t="n"/>
      <c r="V298" s="53" t="n"/>
    </row>
    <row r="299" customFormat="1" s="1916">
      <c r="A299" s="53" t="n"/>
      <c r="B299" s="53" t="n"/>
      <c r="C299" s="2145" t="n"/>
      <c r="D299" s="2145" t="n"/>
      <c r="E299" s="2145" t="n"/>
      <c r="F299" s="53" t="n"/>
      <c r="G299" s="53" t="n"/>
      <c r="T299" s="53" t="n"/>
      <c r="U299" s="53" t="n"/>
      <c r="V299" s="53" t="n"/>
    </row>
    <row r="300" customFormat="1" s="1916">
      <c r="A300" s="53" t="n"/>
      <c r="B300" s="53" t="n"/>
      <c r="C300" s="2145" t="n"/>
      <c r="D300" s="2145" t="n"/>
      <c r="E300" s="2145" t="n"/>
      <c r="F300" s="53" t="n"/>
      <c r="G300" s="53" t="n"/>
      <c r="T300" s="53" t="n"/>
      <c r="U300" s="53" t="n"/>
      <c r="V300" s="53" t="n"/>
    </row>
    <row r="301" customFormat="1" s="1916">
      <c r="A301" s="53" t="n"/>
      <c r="B301" s="53" t="n"/>
      <c r="C301" s="2145" t="n"/>
      <c r="D301" s="2145" t="n"/>
      <c r="E301" s="2145" t="n"/>
      <c r="F301" s="53" t="n"/>
      <c r="G301" s="53" t="n"/>
    </row>
    <row r="302" customFormat="1" s="1916">
      <c r="A302" s="53" t="n"/>
      <c r="B302" s="53" t="n"/>
      <c r="C302" s="2145" t="n"/>
      <c r="D302" s="2145" t="n"/>
      <c r="E302" s="2145" t="n"/>
      <c r="F302" s="53" t="n"/>
      <c r="G302" s="53" t="n"/>
    </row>
    <row r="303" customFormat="1" s="1916">
      <c r="A303" s="103" t="n"/>
      <c r="B303" s="103" t="n"/>
      <c r="C303" s="2147" t="n"/>
      <c r="D303" s="2147" t="n"/>
      <c r="E303" s="2147" t="n"/>
      <c r="F303" s="53" t="n"/>
      <c r="G303" s="53" t="n"/>
    </row>
    <row r="304" customFormat="1" s="1916">
      <c r="A304" s="103" t="n"/>
      <c r="B304" s="105" t="n"/>
      <c r="C304" s="2147" t="n"/>
      <c r="D304" s="2147" t="n"/>
      <c r="E304" s="2147" t="n"/>
      <c r="F304" s="53" t="n"/>
      <c r="G304" s="53" t="n"/>
    </row>
    <row r="305" customFormat="1" s="1916">
      <c r="A305" s="103" t="n"/>
      <c r="B305" s="103" t="n"/>
      <c r="C305" s="2147" t="n"/>
      <c r="D305" s="2147" t="n"/>
      <c r="E305" s="2147" t="n"/>
      <c r="F305" s="53" t="n"/>
      <c r="G305" s="53" t="n"/>
    </row>
    <row r="306" customFormat="1" s="1916">
      <c r="A306" s="103" t="n"/>
      <c r="B306" s="105" t="n"/>
      <c r="C306" s="2147" t="n"/>
      <c r="D306" s="2147" t="n"/>
      <c r="E306" s="2147" t="n"/>
      <c r="F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</row>
    <row r="307" customFormat="1" s="1916">
      <c r="A307" s="53" t="n"/>
      <c r="B307" s="53" t="n"/>
      <c r="C307" s="2145" t="n"/>
      <c r="D307" s="2145" t="n"/>
      <c r="E307" s="2145" t="n"/>
      <c r="F307" s="53" t="n"/>
      <c r="H307" s="53" t="n"/>
      <c r="I307" s="53" t="n"/>
      <c r="J307" s="53" t="n"/>
      <c r="K307" s="106" t="n"/>
      <c r="L307" s="106" t="n"/>
      <c r="M307" s="106" t="n"/>
      <c r="N307" s="106" t="n"/>
      <c r="O307" s="106" t="n"/>
    </row>
    <row r="308" customFormat="1" s="1916">
      <c r="A308" s="3" t="n"/>
      <c r="B308" s="2285" t="n"/>
      <c r="C308" s="3" t="n"/>
      <c r="D308" s="3" t="n"/>
      <c r="E308" s="2285" t="n"/>
      <c r="F308" s="107" t="n"/>
      <c r="H308" s="53" t="n"/>
      <c r="I308" s="540" t="n"/>
      <c r="J308" s="53" t="n"/>
      <c r="K308" s="106" t="n"/>
      <c r="L308" s="106" t="n"/>
      <c r="M308" s="106" t="n"/>
      <c r="N308" s="106" t="n"/>
      <c r="O308" s="106" t="n"/>
    </row>
    <row r="309" customFormat="1" s="1916">
      <c r="A309" s="53" t="n"/>
      <c r="B309" s="53" t="n"/>
      <c r="C309" s="53" t="n"/>
      <c r="D309" s="53" t="n"/>
      <c r="E309" s="53" t="n"/>
      <c r="F309" s="107" t="n"/>
      <c r="H309" s="53" t="n"/>
      <c r="I309" s="53" t="n"/>
      <c r="J309" s="53" t="n"/>
      <c r="K309" s="2145" t="n"/>
      <c r="L309" s="2145" t="n"/>
      <c r="M309" s="2145" t="n"/>
      <c r="N309" s="2145" t="n"/>
      <c r="O309" s="53" t="n"/>
    </row>
    <row r="310" customFormat="1" s="1916">
      <c r="A310" s="53" t="n"/>
      <c r="B310" s="53" t="n"/>
      <c r="C310" s="53" t="n"/>
      <c r="D310" s="53" t="n"/>
      <c r="E310" s="106" t="n"/>
      <c r="F310" s="106" t="n"/>
      <c r="H310" s="53" t="n"/>
      <c r="I310" s="93" t="n"/>
      <c r="J310" s="2145" t="n"/>
      <c r="K310" s="2145" t="n"/>
      <c r="L310" s="2145" t="n"/>
      <c r="M310" s="2145" t="n"/>
      <c r="N310" s="2145" t="n"/>
      <c r="O310" s="106" t="n"/>
    </row>
    <row r="311" customFormat="1" s="1916">
      <c r="A311" s="53" t="n"/>
      <c r="B311" s="53" t="n"/>
      <c r="C311" s="53" t="n"/>
      <c r="D311" s="53" t="n"/>
      <c r="E311" s="53" t="n"/>
      <c r="F311" s="53" t="n"/>
      <c r="H311" s="53" t="n"/>
      <c r="I311" s="93" t="n"/>
      <c r="J311" s="2145" t="n"/>
      <c r="K311" s="2145" t="n"/>
      <c r="L311" s="2145" t="n"/>
      <c r="M311" s="2145" t="n"/>
      <c r="N311" s="2145" t="n"/>
      <c r="O311" s="53" t="n"/>
    </row>
    <row r="312" customFormat="1" s="1916">
      <c r="A312" s="53" t="n"/>
      <c r="B312" s="53" t="n"/>
      <c r="C312" s="53" t="n"/>
      <c r="D312" s="53" t="n"/>
      <c r="E312" s="106" t="n"/>
      <c r="F312" s="106" t="n"/>
      <c r="H312" s="53" t="n"/>
      <c r="I312" s="93" t="n"/>
      <c r="J312" s="2145" t="n"/>
      <c r="K312" s="2145" t="n"/>
      <c r="L312" s="2145" t="n"/>
      <c r="M312" s="2145" t="n"/>
      <c r="N312" s="2145" t="n"/>
      <c r="O312" s="106" t="n"/>
    </row>
    <row r="313" customFormat="1" s="1916">
      <c r="A313" s="53" t="n"/>
      <c r="B313" s="53" t="n"/>
      <c r="C313" s="53" t="n"/>
      <c r="D313" s="53" t="n"/>
      <c r="E313" s="2286" t="n"/>
      <c r="F313" s="2286" t="n"/>
      <c r="G313" s="53" t="n"/>
      <c r="H313" s="103" t="n"/>
      <c r="I313" s="103" t="n"/>
      <c r="J313" s="2147" t="n"/>
      <c r="K313" s="2147" t="n"/>
      <c r="L313" s="2147" t="n"/>
      <c r="M313" s="2145" t="n"/>
      <c r="N313" s="2145" t="n"/>
      <c r="O313" s="106" t="n"/>
    </row>
    <row r="314" customFormat="1" s="1916">
      <c r="A314" s="53" t="n"/>
      <c r="B314" s="53" t="n"/>
      <c r="C314" s="2145" t="n"/>
      <c r="D314" s="2145" t="n"/>
      <c r="E314" s="2145" t="n"/>
      <c r="F314" s="2145" t="n"/>
      <c r="G314" s="53" t="n"/>
      <c r="H314" s="53" t="n"/>
      <c r="I314" s="53" t="n"/>
    </row>
    <row r="315" customFormat="1" s="1916">
      <c r="A315" s="53" t="n"/>
      <c r="B315" s="53" t="n"/>
      <c r="C315" s="53" t="n"/>
      <c r="D315" s="53" t="n"/>
      <c r="E315" s="2145" t="n"/>
      <c r="F315" s="53" t="n"/>
      <c r="G315" s="53" t="n"/>
      <c r="H315" s="110" t="n"/>
      <c r="I315" s="53" t="n"/>
      <c r="J315" s="53" t="n"/>
      <c r="K315" s="2145" t="n"/>
      <c r="L315" s="2145" t="n"/>
      <c r="M315" s="2145" t="n"/>
      <c r="N315" s="2145" t="n"/>
    </row>
    <row r="316" customFormat="1" s="1916">
      <c r="A316" s="53" t="n"/>
      <c r="B316" s="93" t="n"/>
      <c r="C316" s="2145" t="n"/>
      <c r="D316" s="2145" t="n"/>
      <c r="E316" s="2145" t="n"/>
      <c r="F316" s="53" t="n"/>
      <c r="G316" s="53" t="n"/>
      <c r="H316" s="2285" t="n"/>
      <c r="I316" s="93" t="n"/>
      <c r="J316" s="2145" t="n"/>
      <c r="K316" s="2145" t="n"/>
      <c r="L316" s="2145" t="n"/>
      <c r="M316" s="2145" t="n"/>
      <c r="N316" s="2145" t="n"/>
    </row>
    <row r="317" customFormat="1" s="1916">
      <c r="A317" s="53" t="n"/>
      <c r="B317" s="93" t="n"/>
      <c r="C317" s="2145" t="n"/>
      <c r="D317" s="2145" t="n"/>
      <c r="E317" s="2145" t="n"/>
      <c r="F317" s="53" t="n"/>
      <c r="G317" s="53" t="n"/>
      <c r="H317" s="53" t="n"/>
      <c r="I317" s="93" t="n"/>
      <c r="J317" s="2145" t="n"/>
      <c r="K317" s="2145" t="n"/>
      <c r="L317" s="2145" t="n"/>
      <c r="M317" s="2145" t="n"/>
      <c r="N317" s="2145" t="n"/>
    </row>
    <row r="318" customFormat="1" s="1916">
      <c r="A318" s="53" t="n"/>
      <c r="B318" s="93" t="n"/>
      <c r="C318" s="2145" t="n"/>
      <c r="D318" s="2145" t="n"/>
      <c r="E318" s="2145" t="n"/>
      <c r="F318" s="53" t="n"/>
      <c r="G318" s="53" t="n"/>
      <c r="H318" s="53" t="n"/>
      <c r="I318" s="93" t="n"/>
      <c r="J318" s="2145" t="n"/>
      <c r="K318" s="2145" t="n"/>
      <c r="L318" s="2145" t="n"/>
      <c r="M318" s="2145" t="n"/>
      <c r="N318" s="2145" t="n"/>
    </row>
    <row r="319" customFormat="1" s="1916">
      <c r="A319" s="53" t="n"/>
      <c r="B319" s="93" t="n"/>
      <c r="C319" s="2145" t="n"/>
      <c r="D319" s="2145" t="n"/>
      <c r="E319" s="2145" t="n"/>
      <c r="F319" s="111" t="n"/>
      <c r="G319" s="53" t="n"/>
      <c r="H319" s="53" t="n"/>
      <c r="I319" s="93" t="n"/>
      <c r="J319" s="2145" t="n"/>
      <c r="K319" s="2145" t="n"/>
      <c r="L319" s="2145" t="n"/>
      <c r="M319" s="2145" t="n"/>
      <c r="N319" s="2145" t="n"/>
    </row>
    <row r="320" customFormat="1" s="1916">
      <c r="A320" s="53" t="n"/>
      <c r="B320" s="93" t="n"/>
      <c r="C320" s="2145" t="n"/>
      <c r="D320" s="2145" t="n"/>
      <c r="E320" s="2145" t="n"/>
      <c r="F320" s="111" t="n"/>
      <c r="G320" s="53" t="n"/>
      <c r="H320" s="53" t="n"/>
      <c r="I320" s="93" t="n"/>
      <c r="J320" s="2145" t="n"/>
      <c r="K320" s="2145" t="n"/>
      <c r="L320" s="2145" t="n"/>
      <c r="M320" s="2145" t="n"/>
      <c r="N320" s="2145" t="n"/>
    </row>
    <row r="321" customFormat="1" s="1916">
      <c r="A321" s="53" t="n"/>
      <c r="B321" s="93" t="n"/>
      <c r="C321" s="2145" t="n"/>
      <c r="D321" s="2145" t="n"/>
      <c r="E321" s="2145" t="n"/>
      <c r="F321" s="53" t="n"/>
      <c r="G321" s="53" t="n"/>
      <c r="H321" s="53" t="n"/>
      <c r="I321" s="93" t="n"/>
      <c r="J321" s="2145" t="n"/>
      <c r="K321" s="2145" t="n"/>
      <c r="L321" s="2145" t="n"/>
      <c r="M321" s="2145" t="n"/>
      <c r="N321" s="2145" t="n"/>
    </row>
    <row r="322" customFormat="1" s="1916">
      <c r="A322" s="53" t="n"/>
      <c r="B322" s="93" t="n"/>
      <c r="C322" s="2145" t="n"/>
      <c r="D322" s="2145" t="n"/>
      <c r="E322" s="2145" t="n"/>
      <c r="F322" s="53" t="n"/>
      <c r="G322" s="53" t="n"/>
      <c r="H322" s="53" t="n"/>
      <c r="I322" s="93" t="n"/>
      <c r="J322" s="2145" t="n"/>
      <c r="K322" s="2145" t="n"/>
      <c r="L322" s="2145" t="n"/>
      <c r="M322" s="2145" t="n"/>
      <c r="N322" s="2145" t="n"/>
    </row>
    <row r="323" customFormat="1" s="1916">
      <c r="A323" s="103" t="n"/>
      <c r="B323" s="103" t="n"/>
      <c r="C323" s="2147" t="n"/>
      <c r="D323" s="2147" t="n"/>
      <c r="E323" s="2147" t="n"/>
      <c r="F323" s="53" t="n"/>
      <c r="G323" s="53" t="n"/>
      <c r="H323" s="103" t="n"/>
      <c r="I323" s="103" t="n"/>
      <c r="J323" s="2147" t="n"/>
      <c r="K323" s="2147" t="n"/>
      <c r="L323" s="2147" t="n"/>
      <c r="M323" s="2147" t="n"/>
      <c r="N323" s="2147" t="n"/>
    </row>
    <row r="324" customFormat="1" s="1916">
      <c r="A324" s="53" t="n"/>
      <c r="B324" s="53" t="n"/>
      <c r="C324" s="2145" t="n"/>
      <c r="D324" s="2145" t="n"/>
      <c r="E324" s="2145" t="n"/>
      <c r="F324" s="53" t="n"/>
      <c r="G324" s="53" t="n"/>
    </row>
    <row r="325" customFormat="1" s="1916">
      <c r="A325" s="53" t="n"/>
      <c r="B325" s="53" t="n"/>
      <c r="C325" s="2145" t="n"/>
      <c r="D325" s="2145" t="n"/>
      <c r="E325" s="2147" t="n"/>
      <c r="F325" s="53" t="n"/>
      <c r="G325" s="53" t="n"/>
    </row>
    <row r="326" customFormat="1" s="1916">
      <c r="A326" s="53" t="n"/>
      <c r="B326" s="53" t="n"/>
      <c r="C326" s="2145" t="n"/>
      <c r="D326" s="2145" t="n"/>
      <c r="E326" s="2145" t="n"/>
      <c r="F326" s="53" t="n"/>
      <c r="G326" s="53" t="n"/>
    </row>
    <row r="327" customFormat="1" s="1916">
      <c r="A327" s="53" t="n"/>
      <c r="B327" s="53" t="n"/>
      <c r="C327" s="2145" t="n"/>
      <c r="D327" s="2145" t="n"/>
      <c r="E327" s="2145" t="n"/>
      <c r="F327" s="53" t="n"/>
      <c r="G327" s="53" t="n"/>
    </row>
    <row r="328" customFormat="1" s="1916">
      <c r="A328" s="53" t="n"/>
      <c r="B328" s="112" t="n"/>
      <c r="C328" s="2145" t="n"/>
      <c r="D328" s="2145" t="n"/>
      <c r="E328" s="2145" t="n"/>
      <c r="F328" s="53" t="n"/>
      <c r="G328" s="53" t="n"/>
    </row>
    <row r="329" customFormat="1" s="1916">
      <c r="A329" s="53" t="n"/>
      <c r="B329" s="112" t="n"/>
      <c r="C329" s="2145" t="n"/>
      <c r="D329" s="2145" t="n"/>
      <c r="E329" s="2145" t="n"/>
      <c r="F329" s="53" t="n"/>
      <c r="G329" s="53" t="n"/>
    </row>
    <row r="330" customFormat="1" s="1916">
      <c r="A330" s="53" t="n"/>
      <c r="B330" s="113" t="n"/>
      <c r="C330" s="2145" t="n"/>
      <c r="D330" s="2145" t="n"/>
      <c r="E330" s="2145" t="n"/>
      <c r="F330" s="53" t="n"/>
      <c r="G330" s="53" t="n"/>
    </row>
    <row r="331" customFormat="1" s="1916">
      <c r="A331" s="53" t="n"/>
      <c r="B331" s="113" t="n"/>
      <c r="C331" s="2145" t="n"/>
      <c r="D331" s="2145" t="n"/>
      <c r="E331" s="2145" t="n"/>
      <c r="F331" s="53" t="n"/>
      <c r="G331" s="53" t="n"/>
    </row>
    <row r="332" customFormat="1" s="1916">
      <c r="A332" s="53" t="n"/>
      <c r="B332" s="113" t="n"/>
      <c r="C332" s="2145" t="n"/>
      <c r="D332" s="2145" t="n"/>
      <c r="E332" s="2145" t="n"/>
      <c r="F332" s="53" t="n"/>
      <c r="G332" s="53" t="n"/>
    </row>
    <row r="333" customFormat="1" s="1916">
      <c r="A333" s="53" t="n"/>
      <c r="B333" s="113" t="n"/>
      <c r="C333" s="2145" t="n"/>
      <c r="D333" s="2145" t="n"/>
      <c r="E333" s="2145" t="n"/>
      <c r="F333" s="53" t="n"/>
      <c r="G333" s="53" t="n"/>
    </row>
    <row r="334" customFormat="1" s="1916">
      <c r="A334" s="53" t="n"/>
      <c r="B334" s="112" t="n"/>
      <c r="C334" s="2145" t="n"/>
      <c r="D334" s="2145" t="n"/>
      <c r="E334" s="2145" t="n"/>
      <c r="F334" s="53" t="n"/>
      <c r="G334" s="53" t="n"/>
    </row>
    <row r="335" customFormat="1" s="1916">
      <c r="A335" s="53" t="n"/>
      <c r="B335" s="112" t="n"/>
      <c r="C335" s="2145" t="n"/>
      <c r="D335" s="2145" t="n"/>
      <c r="E335" s="2145" t="n"/>
      <c r="F335" s="53" t="n"/>
      <c r="G335" s="53" t="n"/>
    </row>
    <row r="336" customFormat="1" s="1916">
      <c r="A336" s="53" t="n"/>
      <c r="B336" s="112" t="n"/>
      <c r="C336" s="2145" t="n"/>
      <c r="D336" s="2145" t="n"/>
      <c r="E336" s="2149" t="n"/>
      <c r="F336" s="53" t="n"/>
      <c r="G336" s="53" t="n"/>
      <c r="Q336" s="53" t="n"/>
    </row>
    <row r="337" customFormat="1" s="1916">
      <c r="A337" s="53" t="n"/>
      <c r="B337" s="113" t="n"/>
      <c r="C337" s="2145" t="n"/>
      <c r="D337" s="2145" t="n"/>
      <c r="E337" s="2145" t="n"/>
      <c r="F337" s="53" t="n"/>
      <c r="G337" s="53" t="n"/>
      <c r="H337" s="53" t="n"/>
      <c r="J337" s="2154" t="n"/>
      <c r="Q337" s="53" t="n"/>
    </row>
    <row r="338" customFormat="1" s="1916">
      <c r="A338" s="53" t="n"/>
      <c r="B338" s="53" t="n"/>
      <c r="C338" s="2145" t="n"/>
      <c r="D338" s="2145" t="n"/>
      <c r="E338" s="2145" t="n"/>
      <c r="F338" s="2145" t="n"/>
      <c r="G338" s="2145" t="n"/>
      <c r="Q338" s="53" t="n"/>
    </row>
    <row r="339" customFormat="1" s="1916">
      <c r="A339" s="53" t="n"/>
      <c r="B339" s="53" t="n"/>
      <c r="C339" s="2145" t="n"/>
      <c r="D339" s="2145" t="n"/>
      <c r="E339" s="2145" t="n"/>
      <c r="G339" s="540" t="n"/>
      <c r="Q339" s="53" t="n"/>
    </row>
    <row r="340" customFormat="1" s="1916">
      <c r="A340" s="115" t="n"/>
      <c r="E340" s="2145" t="n"/>
    </row>
    <row r="341" customFormat="1" s="1916"/>
    <row r="342" customFormat="1" s="1916">
      <c r="A342" s="116" t="n"/>
    </row>
    <row r="343" customFormat="1" s="1916">
      <c r="A343" s="53" t="n"/>
      <c r="B343" s="53" t="n"/>
      <c r="C343" s="53" t="n"/>
      <c r="D343" s="53" t="n"/>
      <c r="E343" s="53" t="n"/>
      <c r="O343" s="53" t="n"/>
      <c r="P343" s="53" t="n"/>
      <c r="Q343" s="53" t="n"/>
      <c r="R343" s="53" t="n"/>
      <c r="S343" s="53" t="n"/>
    </row>
    <row r="344" customFormat="1" s="1916">
      <c r="A344" s="53" t="n"/>
      <c r="B344" s="53" t="n"/>
      <c r="C344" s="53" t="n"/>
      <c r="D344" s="53" t="n"/>
      <c r="E344" s="53" t="n"/>
      <c r="F344" s="53" t="n"/>
      <c r="G344" s="53" t="n"/>
      <c r="O344" s="53" t="n"/>
      <c r="P344" s="53" t="n"/>
      <c r="Q344" s="53" t="n"/>
      <c r="R344" s="53" t="n"/>
      <c r="S344" s="2145" t="n"/>
    </row>
    <row r="345" customFormat="1" s="1916">
      <c r="A345" s="53" t="n"/>
      <c r="B345" s="2155" t="n"/>
      <c r="C345" s="2145" t="n"/>
      <c r="D345" s="2145" t="n"/>
      <c r="E345" s="2145" t="n"/>
      <c r="F345" s="2285" t="n"/>
      <c r="G345" s="53" t="n"/>
      <c r="O345" s="53" t="n"/>
      <c r="P345" s="53" t="n"/>
      <c r="Q345" s="2145" t="n"/>
      <c r="R345" s="2145" t="n"/>
      <c r="S345" s="2145" t="n"/>
    </row>
    <row r="346" customFormat="1" s="1916">
      <c r="A346" s="53" t="n"/>
      <c r="B346" s="53" t="n"/>
      <c r="C346" s="2145" t="n"/>
      <c r="D346" s="2145" t="n"/>
      <c r="E346" s="2145" t="n"/>
      <c r="F346" s="53" t="n"/>
      <c r="G346" s="53" t="n"/>
      <c r="O346" s="53" t="n"/>
      <c r="P346" s="53" t="n"/>
      <c r="Q346" s="2145" t="n"/>
      <c r="R346" s="2285" t="n"/>
      <c r="S346" s="2145" t="n"/>
    </row>
    <row r="347" customFormat="1" s="1916">
      <c r="A347" s="53" t="n"/>
      <c r="B347" s="53" t="n"/>
      <c r="C347" s="2145" t="n"/>
      <c r="D347" s="2145" t="n"/>
      <c r="E347" s="2145" t="n"/>
      <c r="F347" s="53" t="n"/>
      <c r="G347" s="53" t="n"/>
      <c r="O347" s="53" t="n"/>
      <c r="P347" s="53" t="n"/>
      <c r="Q347" s="2145" t="n"/>
      <c r="R347" s="2285" t="n"/>
      <c r="S347" s="2145" t="n"/>
    </row>
    <row r="348" customFormat="1" s="1916">
      <c r="A348" s="53" t="n"/>
      <c r="B348" s="53" t="n"/>
      <c r="C348" s="2145" t="n"/>
      <c r="D348" s="2145" t="n"/>
      <c r="E348" s="2145" t="n"/>
      <c r="F348" s="53" t="n"/>
      <c r="G348" s="53" t="n"/>
      <c r="O348" s="53" t="n"/>
      <c r="P348" s="2145" t="n"/>
      <c r="Q348" s="2149" t="n"/>
      <c r="R348" s="53" t="n"/>
      <c r="S348" s="53" t="n"/>
      <c r="T348" s="53" t="n"/>
      <c r="U348" s="53" t="n"/>
      <c r="V348" s="53" t="n"/>
    </row>
    <row r="349" customFormat="1" s="1916">
      <c r="A349" s="53" t="n"/>
      <c r="B349" s="53" t="n"/>
      <c r="C349" s="2145" t="n"/>
      <c r="D349" s="2145" t="n"/>
      <c r="E349" s="2145" t="n"/>
      <c r="F349" s="53" t="n"/>
      <c r="G349" s="53" t="n"/>
      <c r="O349" s="53" t="n"/>
      <c r="P349" s="53" t="n"/>
      <c r="Q349" s="2149" t="n"/>
      <c r="R349" s="53" t="n"/>
      <c r="S349" s="53" t="n"/>
      <c r="T349" s="2145" t="n"/>
      <c r="U349" s="2145" t="n"/>
      <c r="V349" s="53" t="n"/>
    </row>
    <row r="350" customFormat="1" s="1916">
      <c r="A350" s="53" t="n"/>
      <c r="B350" s="53" t="n"/>
      <c r="C350" s="2145" t="n"/>
      <c r="D350" s="2145" t="n"/>
      <c r="E350" s="2145" t="n"/>
      <c r="F350" s="53" t="n"/>
      <c r="G350" s="53" t="n"/>
      <c r="O350" s="53" t="n"/>
      <c r="P350" s="53" t="n"/>
      <c r="Q350" s="2149" t="n"/>
      <c r="R350" s="53" t="n"/>
      <c r="S350" s="53" t="n"/>
      <c r="T350" s="2145" t="n"/>
      <c r="U350" s="2145" t="n"/>
      <c r="V350" s="53" t="n"/>
    </row>
    <row r="351" customFormat="1" s="1916">
      <c r="A351" s="53" t="n"/>
      <c r="B351" s="53" t="n"/>
      <c r="C351" s="2145" t="n"/>
      <c r="D351" s="2145" t="n"/>
      <c r="E351" s="2145" t="n"/>
      <c r="F351" s="53" t="n"/>
      <c r="G351" s="53" t="n"/>
      <c r="O351" s="53" t="n"/>
      <c r="P351" s="53" t="n"/>
      <c r="Q351" s="2149" t="n"/>
      <c r="R351" s="53" t="n"/>
      <c r="S351" s="53" t="n"/>
      <c r="T351" s="2145" t="n"/>
      <c r="U351" s="2145" t="n"/>
      <c r="V351" s="53" t="n"/>
    </row>
    <row r="352" customFormat="1" s="1916">
      <c r="A352" s="53" t="n"/>
      <c r="B352" s="53" t="n"/>
      <c r="C352" s="2145" t="n"/>
      <c r="D352" s="2145" t="n"/>
      <c r="E352" s="2145" t="n"/>
      <c r="F352" s="53" t="n"/>
      <c r="G352" s="53" t="n"/>
      <c r="O352" s="53" t="n"/>
      <c r="P352" s="53" t="n"/>
      <c r="Q352" s="2149" t="n"/>
      <c r="R352" s="53" t="n"/>
      <c r="S352" s="53" t="n"/>
      <c r="T352" s="2145" t="n"/>
      <c r="U352" s="2145" t="n"/>
      <c r="V352" s="53" t="n"/>
    </row>
    <row r="353" customFormat="1" s="1916">
      <c r="A353" s="53" t="n"/>
      <c r="B353" s="53" t="n"/>
      <c r="C353" s="2145" t="n"/>
      <c r="D353" s="2145" t="n"/>
      <c r="E353" s="2145" t="n"/>
      <c r="F353" s="53" t="n"/>
      <c r="G353" s="53" t="n"/>
      <c r="O353" s="53" t="n"/>
      <c r="P353" s="53" t="n"/>
      <c r="Q353" s="2149" t="n"/>
      <c r="R353" s="53" t="n"/>
      <c r="S353" s="53" t="n"/>
      <c r="T353" s="53" t="n"/>
      <c r="U353" s="53" t="n"/>
      <c r="V353" s="53" t="n"/>
    </row>
    <row r="354" customFormat="1" s="1916">
      <c r="A354" s="53" t="n"/>
      <c r="B354" s="53" t="n"/>
      <c r="C354" s="2145" t="n"/>
      <c r="D354" s="2145" t="n"/>
      <c r="E354" s="2145" t="n"/>
      <c r="F354" s="53" t="n"/>
      <c r="G354" s="53" t="n"/>
      <c r="O354" s="53" t="n"/>
      <c r="P354" s="53" t="n"/>
      <c r="Q354" s="2149" t="n"/>
      <c r="R354" s="53" t="n"/>
      <c r="S354" s="53" t="n"/>
      <c r="T354" s="53" t="n"/>
      <c r="U354" s="53" t="n"/>
      <c r="V354" s="53" t="n"/>
    </row>
    <row r="355" customFormat="1" s="1916">
      <c r="A355" s="53" t="n"/>
      <c r="B355" s="53" t="n"/>
      <c r="C355" s="2145" t="n"/>
      <c r="D355" s="2145" t="n"/>
      <c r="E355" s="2145" t="n"/>
      <c r="F355" s="53" t="n"/>
      <c r="G355" s="53" t="n"/>
      <c r="T355" s="53" t="n"/>
      <c r="U355" s="53" t="n"/>
      <c r="V355" s="53" t="n"/>
    </row>
    <row r="356" customFormat="1" s="1916">
      <c r="A356" s="53" t="n"/>
      <c r="B356" s="53" t="n"/>
      <c r="C356" s="2145" t="n"/>
      <c r="D356" s="2145" t="n"/>
      <c r="E356" s="2145" t="n"/>
      <c r="F356" s="53" t="n"/>
      <c r="G356" s="53" t="n"/>
      <c r="T356" s="53" t="n"/>
      <c r="U356" s="53" t="n"/>
      <c r="V356" s="53" t="n"/>
    </row>
    <row r="357" customFormat="1" s="1916">
      <c r="A357" s="53" t="n"/>
      <c r="B357" s="53" t="n"/>
      <c r="C357" s="2145" t="n"/>
      <c r="D357" s="2145" t="n"/>
      <c r="E357" s="2145" t="n"/>
      <c r="F357" s="2285" t="n"/>
      <c r="G357" s="53" t="n"/>
      <c r="T357" s="53" t="n"/>
      <c r="U357" s="53" t="n"/>
      <c r="V357" s="53" t="n"/>
    </row>
    <row r="358" customFormat="1" s="1916">
      <c r="A358" s="53" t="n"/>
      <c r="B358" s="53" t="n"/>
      <c r="C358" s="2145" t="n"/>
      <c r="D358" s="2145" t="n"/>
      <c r="E358" s="2145" t="n"/>
      <c r="F358" s="53" t="n"/>
      <c r="G358" s="53" t="n"/>
      <c r="T358" s="53" t="n"/>
      <c r="U358" s="53" t="n"/>
      <c r="V358" s="53" t="n"/>
    </row>
    <row r="359" customFormat="1" s="1916">
      <c r="A359" s="53" t="n"/>
      <c r="B359" s="53" t="n"/>
      <c r="C359" s="2145" t="n"/>
      <c r="D359" s="2145" t="n"/>
      <c r="E359" s="2145" t="n"/>
      <c r="F359" s="53" t="n"/>
      <c r="G359" s="53" t="n"/>
      <c r="T359" s="53" t="n"/>
      <c r="U359" s="53" t="n"/>
      <c r="V359" s="53" t="n"/>
    </row>
    <row r="360" customFormat="1" s="1916">
      <c r="A360" s="53" t="n"/>
      <c r="B360" s="53" t="n"/>
      <c r="C360" s="2145" t="n"/>
      <c r="D360" s="2145" t="n"/>
      <c r="E360" s="2145" t="n"/>
      <c r="F360" s="53" t="n"/>
      <c r="G360" s="53" t="n"/>
    </row>
    <row r="361" customFormat="1" s="1916">
      <c r="A361" s="53" t="n"/>
      <c r="B361" s="53" t="n"/>
      <c r="C361" s="2145" t="n"/>
      <c r="D361" s="2145" t="n"/>
      <c r="E361" s="2145" t="n"/>
      <c r="F361" s="53" t="n"/>
      <c r="G361" s="53" t="n"/>
    </row>
    <row r="362" customFormat="1" s="1916">
      <c r="A362" s="103" t="n"/>
      <c r="B362" s="103" t="n"/>
      <c r="C362" s="2147" t="n"/>
      <c r="D362" s="2147" t="n"/>
      <c r="E362" s="2147" t="n"/>
      <c r="F362" s="53" t="n"/>
      <c r="G362" s="53" t="n"/>
    </row>
    <row r="363" customFormat="1" s="1916">
      <c r="A363" s="103" t="n"/>
      <c r="B363" s="105" t="n"/>
      <c r="C363" s="2147" t="n"/>
      <c r="D363" s="2147" t="n"/>
      <c r="E363" s="2147" t="n"/>
      <c r="F363" s="53" t="n"/>
      <c r="G363" s="53" t="n"/>
    </row>
    <row r="364" customFormat="1" s="1916">
      <c r="A364" s="103" t="n"/>
      <c r="B364" s="103" t="n"/>
      <c r="C364" s="2147" t="n"/>
      <c r="D364" s="2147" t="n"/>
      <c r="E364" s="2147" t="n"/>
      <c r="F364" s="53" t="n"/>
      <c r="G364" s="53" t="n"/>
    </row>
    <row r="365" customFormat="1" s="1916">
      <c r="A365" s="103" t="n"/>
      <c r="B365" s="105" t="n"/>
      <c r="C365" s="2147" t="n"/>
      <c r="D365" s="2147" t="n"/>
      <c r="E365" s="2147" t="n"/>
      <c r="F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</row>
    <row r="366" customFormat="1" s="1916">
      <c r="A366" s="53" t="n"/>
      <c r="B366" s="53" t="n"/>
      <c r="C366" s="2145" t="n"/>
      <c r="D366" s="2145" t="n"/>
      <c r="E366" s="2145" t="n"/>
      <c r="F366" s="53" t="n"/>
      <c r="H366" s="53" t="n"/>
      <c r="I366" s="53" t="n"/>
      <c r="J366" s="53" t="n"/>
      <c r="K366" s="106" t="n"/>
      <c r="L366" s="106" t="n"/>
      <c r="M366" s="106" t="n"/>
      <c r="N366" s="106" t="n"/>
      <c r="O366" s="106" t="n"/>
    </row>
    <row r="367" customFormat="1" s="1916">
      <c r="A367" s="3" t="n"/>
      <c r="B367" s="2285" t="n"/>
      <c r="C367" s="3" t="n"/>
      <c r="D367" s="3" t="n"/>
      <c r="E367" s="2285" t="n"/>
      <c r="F367" s="107" t="n"/>
      <c r="H367" s="53" t="n"/>
      <c r="I367" s="540" t="n"/>
      <c r="J367" s="53" t="n"/>
      <c r="K367" s="106" t="n"/>
      <c r="L367" s="106" t="n"/>
      <c r="M367" s="106" t="n"/>
      <c r="N367" s="106" t="n"/>
      <c r="O367" s="106" t="n"/>
    </row>
    <row r="368" customFormat="1" s="1916">
      <c r="A368" s="53" t="n"/>
      <c r="B368" s="53" t="n"/>
      <c r="C368" s="53" t="n"/>
      <c r="D368" s="53" t="n"/>
      <c r="E368" s="53" t="n"/>
      <c r="F368" s="107" t="n"/>
      <c r="H368" s="53" t="n"/>
      <c r="I368" s="53" t="n"/>
      <c r="J368" s="53" t="n"/>
      <c r="K368" s="2145" t="n"/>
      <c r="L368" s="2145" t="n"/>
      <c r="M368" s="2145" t="n"/>
      <c r="N368" s="2145" t="n"/>
      <c r="O368" s="53" t="n"/>
    </row>
    <row r="369" customFormat="1" s="1916">
      <c r="A369" s="53" t="n"/>
      <c r="B369" s="53" t="n"/>
      <c r="C369" s="53" t="n"/>
      <c r="D369" s="53" t="n"/>
      <c r="E369" s="106" t="n"/>
      <c r="F369" s="106" t="n"/>
      <c r="H369" s="53" t="n"/>
      <c r="I369" s="93" t="n"/>
      <c r="J369" s="2145" t="n"/>
      <c r="K369" s="2145" t="n"/>
      <c r="L369" s="2145" t="n"/>
      <c r="M369" s="2145" t="n"/>
      <c r="N369" s="2145" t="n"/>
      <c r="O369" s="106" t="n"/>
    </row>
    <row r="370" customFormat="1" s="1916">
      <c r="A370" s="53" t="n"/>
      <c r="B370" s="53" t="n"/>
      <c r="C370" s="53" t="n"/>
      <c r="D370" s="53" t="n"/>
      <c r="E370" s="53" t="n"/>
      <c r="F370" s="53" t="n"/>
      <c r="H370" s="53" t="n"/>
      <c r="I370" s="93" t="n"/>
      <c r="J370" s="2145" t="n"/>
      <c r="K370" s="2145" t="n"/>
      <c r="L370" s="2145" t="n"/>
      <c r="M370" s="2145" t="n"/>
      <c r="N370" s="2145" t="n"/>
      <c r="O370" s="53" t="n"/>
    </row>
    <row r="371" customFormat="1" s="1916">
      <c r="A371" s="53" t="n"/>
      <c r="B371" s="53" t="n"/>
      <c r="C371" s="53" t="n"/>
      <c r="D371" s="53" t="n"/>
      <c r="E371" s="106" t="n"/>
      <c r="F371" s="106" t="n"/>
      <c r="H371" s="53" t="n"/>
      <c r="I371" s="93" t="n"/>
      <c r="J371" s="2145" t="n"/>
      <c r="K371" s="2145" t="n"/>
      <c r="L371" s="2145" t="n"/>
      <c r="M371" s="2145" t="n"/>
      <c r="N371" s="2145" t="n"/>
      <c r="O371" s="106" t="n"/>
    </row>
    <row r="372" customFormat="1" s="1916">
      <c r="A372" s="53" t="n"/>
      <c r="B372" s="53" t="n"/>
      <c r="C372" s="53" t="n"/>
      <c r="D372" s="53" t="n"/>
      <c r="E372" s="2286" t="n"/>
      <c r="F372" s="2286" t="n"/>
      <c r="G372" s="53" t="n"/>
      <c r="H372" s="103" t="n"/>
      <c r="I372" s="103" t="n"/>
      <c r="J372" s="2147" t="n"/>
      <c r="K372" s="2147" t="n"/>
      <c r="L372" s="2147" t="n"/>
      <c r="M372" s="2145" t="n"/>
      <c r="N372" s="2145" t="n"/>
      <c r="O372" s="106" t="n"/>
    </row>
    <row r="373" customFormat="1" s="1916">
      <c r="A373" s="53" t="n"/>
      <c r="B373" s="53" t="n"/>
      <c r="C373" s="2145" t="n"/>
      <c r="D373" s="2145" t="n"/>
      <c r="E373" s="2145" t="n"/>
      <c r="F373" s="2145" t="n"/>
      <c r="G373" s="53" t="n"/>
      <c r="H373" s="53" t="n"/>
      <c r="I373" s="53" t="n"/>
    </row>
    <row r="374" customFormat="1" s="1916">
      <c r="A374" s="53" t="n"/>
      <c r="B374" s="53" t="n"/>
      <c r="C374" s="53" t="n"/>
      <c r="D374" s="53" t="n"/>
      <c r="E374" s="2145" t="n"/>
      <c r="F374" s="53" t="n"/>
      <c r="G374" s="53" t="n"/>
      <c r="H374" s="110" t="n"/>
      <c r="I374" s="53" t="n"/>
      <c r="J374" s="53" t="n"/>
      <c r="K374" s="2145" t="n"/>
      <c r="L374" s="2145" t="n"/>
      <c r="M374" s="2145" t="n"/>
      <c r="N374" s="2145" t="n"/>
    </row>
    <row r="375" customFormat="1" s="1916">
      <c r="A375" s="53" t="n"/>
      <c r="B375" s="93" t="n"/>
      <c r="C375" s="2145" t="n"/>
      <c r="D375" s="2145" t="n"/>
      <c r="E375" s="2145" t="n"/>
      <c r="F375" s="53" t="n"/>
      <c r="G375" s="53" t="n"/>
      <c r="H375" s="2285" t="n"/>
      <c r="I375" s="93" t="n"/>
      <c r="J375" s="2145" t="n"/>
      <c r="K375" s="2145" t="n"/>
      <c r="L375" s="2145" t="n"/>
      <c r="M375" s="2145" t="n"/>
      <c r="N375" s="2145" t="n"/>
    </row>
    <row r="376" customFormat="1" s="1916">
      <c r="A376" s="53" t="n"/>
      <c r="B376" s="93" t="n"/>
      <c r="C376" s="2145" t="n"/>
      <c r="D376" s="2145" t="n"/>
      <c r="E376" s="2145" t="n"/>
      <c r="F376" s="53" t="n"/>
      <c r="G376" s="53" t="n"/>
      <c r="H376" s="53" t="n"/>
      <c r="I376" s="93" t="n"/>
      <c r="J376" s="2145" t="n"/>
      <c r="K376" s="2145" t="n"/>
      <c r="L376" s="2145" t="n"/>
      <c r="M376" s="2145" t="n"/>
      <c r="N376" s="2145" t="n"/>
    </row>
    <row r="377" customFormat="1" s="1916">
      <c r="A377" s="53" t="n"/>
      <c r="B377" s="93" t="n"/>
      <c r="C377" s="2145" t="n"/>
      <c r="D377" s="2145" t="n"/>
      <c r="E377" s="2145" t="n"/>
      <c r="F377" s="53" t="n"/>
      <c r="G377" s="53" t="n"/>
      <c r="H377" s="53" t="n"/>
      <c r="I377" s="93" t="n"/>
      <c r="J377" s="2145" t="n"/>
      <c r="K377" s="2145" t="n"/>
      <c r="L377" s="2145" t="n"/>
      <c r="M377" s="2145" t="n"/>
      <c r="N377" s="2145" t="n"/>
    </row>
    <row r="378" customFormat="1" s="1916">
      <c r="A378" s="53" t="n"/>
      <c r="B378" s="93" t="n"/>
      <c r="C378" s="2145" t="n"/>
      <c r="D378" s="2145" t="n"/>
      <c r="E378" s="2145" t="n"/>
      <c r="F378" s="111" t="n"/>
      <c r="G378" s="53" t="n"/>
      <c r="H378" s="53" t="n"/>
      <c r="I378" s="93" t="n"/>
      <c r="J378" s="2145" t="n"/>
      <c r="K378" s="2145" t="n"/>
      <c r="L378" s="2145" t="n"/>
      <c r="M378" s="2145" t="n"/>
      <c r="N378" s="2145" t="n"/>
    </row>
    <row r="379" customFormat="1" s="1916">
      <c r="A379" s="53" t="n"/>
      <c r="B379" s="93" t="n"/>
      <c r="C379" s="2145" t="n"/>
      <c r="D379" s="2145" t="n"/>
      <c r="E379" s="2145" t="n"/>
      <c r="F379" s="53" t="n"/>
      <c r="G379" s="53" t="n"/>
      <c r="H379" s="53" t="n"/>
      <c r="I379" s="93" t="n"/>
      <c r="J379" s="2145" t="n"/>
      <c r="K379" s="2145" t="n"/>
      <c r="L379" s="2145" t="n"/>
      <c r="M379" s="2145" t="n"/>
      <c r="N379" s="2145" t="n"/>
    </row>
    <row r="380" customFormat="1" s="1916">
      <c r="A380" s="53" t="n"/>
      <c r="B380" s="93" t="n"/>
      <c r="C380" s="2145" t="n"/>
      <c r="D380" s="2145" t="n"/>
      <c r="E380" s="2145" t="n"/>
      <c r="F380" s="53" t="n"/>
      <c r="G380" s="53" t="n"/>
      <c r="H380" s="53" t="n"/>
      <c r="I380" s="93" t="n"/>
      <c r="J380" s="2145" t="n"/>
      <c r="K380" s="2145" t="n"/>
      <c r="L380" s="2145" t="n"/>
      <c r="M380" s="2145" t="n"/>
      <c r="N380" s="2145" t="n"/>
    </row>
    <row r="381" customFormat="1" s="1916">
      <c r="A381" s="53" t="n"/>
      <c r="B381" s="93" t="n"/>
      <c r="C381" s="2145" t="n"/>
      <c r="D381" s="2145" t="n"/>
      <c r="E381" s="2145" t="n"/>
      <c r="F381" s="53" t="n"/>
      <c r="G381" s="53" t="n"/>
      <c r="H381" s="53" t="n"/>
      <c r="I381" s="93" t="n"/>
      <c r="J381" s="2145" t="n"/>
      <c r="K381" s="2145" t="n"/>
      <c r="L381" s="2145" t="n"/>
      <c r="M381" s="2145" t="n"/>
      <c r="N381" s="2145" t="n"/>
    </row>
    <row r="382" customFormat="1" s="1916">
      <c r="A382" s="103" t="n"/>
      <c r="B382" s="103" t="n"/>
      <c r="C382" s="2147" t="n"/>
      <c r="D382" s="2147" t="n"/>
      <c r="E382" s="2147" t="n"/>
      <c r="F382" s="53" t="n"/>
      <c r="G382" s="53" t="n"/>
      <c r="H382" s="103" t="n"/>
      <c r="I382" s="103" t="n"/>
      <c r="J382" s="2147" t="n"/>
      <c r="K382" s="2147" t="n"/>
      <c r="L382" s="2147" t="n"/>
      <c r="M382" s="2147" t="n"/>
      <c r="N382" s="2147" t="n"/>
    </row>
    <row r="383" customFormat="1" s="1916">
      <c r="A383" s="53" t="n"/>
      <c r="B383" s="53" t="n"/>
      <c r="C383" s="2145" t="n"/>
      <c r="D383" s="2145" t="n"/>
      <c r="E383" s="2145" t="n"/>
      <c r="F383" s="53" t="n"/>
      <c r="G383" s="53" t="n"/>
    </row>
    <row r="384" customFormat="1" s="1916">
      <c r="A384" s="53" t="n"/>
      <c r="B384" s="53" t="n"/>
      <c r="C384" s="2145" t="n"/>
      <c r="D384" s="2145" t="n"/>
      <c r="E384" s="2147" t="n"/>
      <c r="F384" s="53" t="n"/>
      <c r="G384" s="53" t="n"/>
    </row>
    <row r="385" customFormat="1" s="1916">
      <c r="A385" s="53" t="n"/>
      <c r="B385" s="53" t="n"/>
      <c r="C385" s="2145" t="n"/>
      <c r="D385" s="2145" t="n"/>
      <c r="E385" s="2145" t="n"/>
      <c r="F385" s="53" t="n"/>
      <c r="G385" s="53" t="n"/>
    </row>
    <row r="386" customFormat="1" s="1916">
      <c r="A386" s="53" t="n"/>
      <c r="B386" s="53" t="n"/>
      <c r="C386" s="2145" t="n"/>
      <c r="D386" s="2145" t="n"/>
      <c r="E386" s="2145" t="n"/>
      <c r="F386" s="53" t="n"/>
      <c r="G386" s="53" t="n"/>
    </row>
    <row r="387" customFormat="1" s="1916">
      <c r="A387" s="53" t="n"/>
      <c r="B387" s="112" t="n"/>
      <c r="C387" s="2145" t="n"/>
      <c r="D387" s="2145" t="n"/>
      <c r="E387" s="2145" t="n"/>
      <c r="F387" s="53" t="n"/>
      <c r="G387" s="53" t="n"/>
    </row>
    <row r="388" customFormat="1" s="1916">
      <c r="A388" s="53" t="n"/>
      <c r="B388" s="112" t="n"/>
      <c r="C388" s="2145" t="n"/>
      <c r="D388" s="2145" t="n"/>
      <c r="E388" s="2145" t="n"/>
      <c r="F388" s="53" t="n"/>
      <c r="G388" s="53" t="n"/>
    </row>
    <row r="389" customFormat="1" s="1916">
      <c r="A389" s="53" t="n"/>
      <c r="B389" s="113" t="n"/>
      <c r="C389" s="2145" t="n"/>
      <c r="D389" s="2145" t="n"/>
      <c r="E389" s="2145" t="n"/>
      <c r="F389" s="53" t="n"/>
      <c r="G389" s="53" t="n"/>
    </row>
    <row r="390" customFormat="1" s="1916">
      <c r="A390" s="53" t="n"/>
      <c r="B390" s="113" t="n"/>
      <c r="C390" s="2145" t="n"/>
      <c r="D390" s="2145" t="n"/>
      <c r="E390" s="2145" t="n"/>
      <c r="F390" s="53" t="n"/>
      <c r="G390" s="53" t="n"/>
    </row>
    <row r="391" customFormat="1" s="1916">
      <c r="A391" s="53" t="n"/>
      <c r="B391" s="113" t="n"/>
      <c r="C391" s="2145" t="n"/>
      <c r="D391" s="2145" t="n"/>
      <c r="E391" s="2145" t="n"/>
      <c r="F391" s="53" t="n"/>
      <c r="G391" s="53" t="n"/>
    </row>
    <row r="392" customFormat="1" s="1916">
      <c r="A392" s="53" t="n"/>
      <c r="B392" s="113" t="n"/>
      <c r="C392" s="2145" t="n"/>
      <c r="D392" s="2145" t="n"/>
      <c r="E392" s="2145" t="n"/>
      <c r="F392" s="53" t="n"/>
      <c r="G392" s="53" t="n"/>
    </row>
    <row r="393" customFormat="1" s="1916">
      <c r="A393" s="53" t="n"/>
      <c r="B393" s="112" t="n"/>
      <c r="C393" s="2145" t="n"/>
      <c r="D393" s="2145" t="n"/>
      <c r="E393" s="2145" t="n"/>
      <c r="F393" s="53" t="n"/>
      <c r="G393" s="53" t="n"/>
    </row>
    <row r="394" customFormat="1" s="1916">
      <c r="A394" s="53" t="n"/>
      <c r="B394" s="112" t="n"/>
      <c r="C394" s="2145" t="n"/>
      <c r="D394" s="2145" t="n"/>
      <c r="E394" s="2145" t="n"/>
      <c r="F394" s="53" t="n"/>
      <c r="G394" s="53" t="n"/>
    </row>
    <row r="395" customFormat="1" s="1916">
      <c r="A395" s="53" t="n"/>
      <c r="B395" s="112" t="n"/>
      <c r="C395" s="2145" t="n"/>
      <c r="D395" s="2145" t="n"/>
      <c r="E395" s="2149" t="n"/>
      <c r="F395" s="53" t="n"/>
      <c r="G395" s="53" t="n"/>
      <c r="Q395" s="53" t="n"/>
    </row>
    <row r="396" customFormat="1" s="1916">
      <c r="A396" s="53" t="n"/>
      <c r="B396" s="113" t="n"/>
      <c r="C396" s="2145" t="n"/>
      <c r="D396" s="2145" t="n"/>
      <c r="E396" s="2145" t="n"/>
      <c r="F396" s="53" t="n"/>
      <c r="G396" s="53" t="n"/>
      <c r="H396" s="53" t="n"/>
      <c r="J396" s="2154" t="n"/>
      <c r="Q396" s="53" t="n"/>
    </row>
    <row r="397" customFormat="1" s="1916">
      <c r="A397" s="53" t="n"/>
      <c r="B397" s="53" t="n"/>
      <c r="C397" s="2145" t="n"/>
      <c r="D397" s="2145" t="n"/>
      <c r="E397" s="2145" t="n"/>
      <c r="F397" s="2145" t="n"/>
      <c r="G397" s="2145" t="n"/>
      <c r="Q397" s="53" t="n"/>
    </row>
    <row r="398" customFormat="1" s="1916">
      <c r="A398" s="53" t="n"/>
      <c r="B398" s="53" t="n"/>
      <c r="C398" s="2145" t="n"/>
      <c r="D398" s="2145" t="n"/>
      <c r="E398" s="2145" t="n"/>
      <c r="G398" s="540" t="n"/>
      <c r="Q398" s="53" t="n"/>
    </row>
    <row r="399" customFormat="1" s="1916">
      <c r="E399" s="2145" t="n"/>
    </row>
    <row r="400" customFormat="1" s="1916">
      <c r="A400" s="115" t="n"/>
    </row>
    <row r="401" customFormat="1" s="1916"/>
    <row r="402" customFormat="1" s="1916">
      <c r="A402" s="53" t="n"/>
      <c r="B402" s="53" t="n"/>
      <c r="C402" s="53" t="n"/>
      <c r="D402" s="53" t="n"/>
      <c r="E402" s="53" t="n"/>
      <c r="O402" s="53" t="n"/>
      <c r="P402" s="53" t="n"/>
      <c r="Q402" s="53" t="n"/>
      <c r="R402" s="53" t="n"/>
      <c r="S402" s="53" t="n"/>
    </row>
    <row r="403" customFormat="1" s="1916">
      <c r="A403" s="53" t="n"/>
      <c r="B403" s="53" t="n"/>
      <c r="C403" s="53" t="n"/>
      <c r="D403" s="53" t="n"/>
      <c r="E403" s="53" t="n"/>
      <c r="F403" s="53" t="n"/>
      <c r="G403" s="53" t="n"/>
      <c r="O403" s="53" t="n"/>
      <c r="P403" s="53" t="n"/>
      <c r="Q403" s="53" t="n"/>
      <c r="R403" s="53" t="n"/>
      <c r="S403" s="2145" t="n"/>
    </row>
    <row r="404" customFormat="1" s="1916">
      <c r="A404" s="53" t="n"/>
      <c r="B404" s="2155" t="n"/>
      <c r="C404" s="2145" t="n"/>
      <c r="D404" s="2145" t="n"/>
      <c r="E404" s="2145" t="n"/>
      <c r="F404" s="2285" t="n"/>
      <c r="G404" s="53" t="n"/>
      <c r="O404" s="53" t="n"/>
      <c r="P404" s="53" t="n"/>
      <c r="Q404" s="2145" t="n"/>
      <c r="R404" s="2145" t="n"/>
      <c r="S404" s="2145" t="n"/>
    </row>
    <row r="405" customFormat="1" s="1916">
      <c r="A405" s="53" t="n"/>
      <c r="B405" s="53" t="n"/>
      <c r="C405" s="2145" t="n"/>
      <c r="D405" s="2145" t="n"/>
      <c r="E405" s="2145" t="n"/>
      <c r="F405" s="53" t="n"/>
      <c r="G405" s="53" t="n"/>
      <c r="O405" s="53" t="n"/>
      <c r="P405" s="53" t="n"/>
      <c r="Q405" s="2145" t="n"/>
      <c r="R405" s="2285" t="n"/>
      <c r="S405" s="2145" t="n"/>
    </row>
    <row r="406" customFormat="1" s="1916">
      <c r="A406" s="53" t="n"/>
      <c r="B406" s="53" t="n"/>
      <c r="C406" s="2145" t="n"/>
      <c r="D406" s="2145" t="n"/>
      <c r="E406" s="2145" t="n"/>
      <c r="F406" s="53" t="n"/>
      <c r="G406" s="53" t="n"/>
      <c r="O406" s="53" t="n"/>
      <c r="P406" s="53" t="n"/>
      <c r="Q406" s="2145" t="n"/>
      <c r="R406" s="2285" t="n"/>
      <c r="S406" s="2145" t="n"/>
    </row>
    <row r="407" customFormat="1" s="1916">
      <c r="A407" s="53" t="n"/>
      <c r="B407" s="53" t="n"/>
      <c r="C407" s="2145" t="n"/>
      <c r="D407" s="2145" t="n"/>
      <c r="E407" s="2145" t="n"/>
      <c r="F407" s="53" t="n"/>
      <c r="G407" s="53" t="n"/>
      <c r="O407" s="53" t="n"/>
      <c r="P407" s="2145" t="n"/>
      <c r="Q407" s="2149" t="n"/>
      <c r="R407" s="53" t="n"/>
      <c r="S407" s="53" t="n"/>
      <c r="T407" s="53" t="n"/>
      <c r="U407" s="53" t="n"/>
      <c r="V407" s="53" t="n"/>
    </row>
    <row r="408" customFormat="1" s="1916">
      <c r="A408" s="53" t="n"/>
      <c r="B408" s="53" t="n"/>
      <c r="C408" s="2145" t="n"/>
      <c r="D408" s="2145" t="n"/>
      <c r="E408" s="2145" t="n"/>
      <c r="F408" s="53" t="n"/>
      <c r="G408" s="53" t="n"/>
      <c r="O408" s="53" t="n"/>
      <c r="P408" s="53" t="n"/>
      <c r="Q408" s="2149" t="n"/>
      <c r="R408" s="53" t="n"/>
      <c r="S408" s="53" t="n"/>
      <c r="T408" s="2145" t="n"/>
      <c r="U408" s="2145" t="n"/>
      <c r="V408" s="53" t="n"/>
    </row>
    <row r="409" customFormat="1" s="1916">
      <c r="A409" s="53" t="n"/>
      <c r="B409" s="53" t="n"/>
      <c r="C409" s="2145" t="n"/>
      <c r="D409" s="2145" t="n"/>
      <c r="E409" s="2145" t="n"/>
      <c r="F409" s="53" t="n"/>
      <c r="G409" s="53" t="n"/>
      <c r="O409" s="53" t="n"/>
      <c r="P409" s="53" t="n"/>
      <c r="Q409" s="2149" t="n"/>
      <c r="R409" s="53" t="n"/>
      <c r="S409" s="53" t="n"/>
      <c r="T409" s="2145" t="n"/>
      <c r="U409" s="2145" t="n"/>
      <c r="V409" s="53" t="n"/>
    </row>
    <row r="410" customFormat="1" s="1916">
      <c r="A410" s="53" t="n"/>
      <c r="B410" s="53" t="n"/>
      <c r="C410" s="2145" t="n"/>
      <c r="D410" s="2145" t="n"/>
      <c r="E410" s="2145" t="n"/>
      <c r="F410" s="53" t="n"/>
      <c r="G410" s="53" t="n"/>
      <c r="O410" s="53" t="n"/>
      <c r="P410" s="53" t="n"/>
      <c r="Q410" s="2149" t="n"/>
      <c r="R410" s="53" t="n"/>
      <c r="S410" s="53" t="n"/>
      <c r="T410" s="2145" t="n"/>
      <c r="U410" s="2145" t="n"/>
      <c r="V410" s="53" t="n"/>
    </row>
    <row r="411" customFormat="1" s="1916">
      <c r="A411" s="53" t="n"/>
      <c r="B411" s="53" t="n"/>
      <c r="C411" s="2145" t="n"/>
      <c r="D411" s="2145" t="n"/>
      <c r="E411" s="2145" t="n"/>
      <c r="F411" s="53" t="n"/>
      <c r="G411" s="53" t="n"/>
      <c r="O411" s="53" t="n"/>
      <c r="P411" s="53" t="n"/>
      <c r="Q411" s="2149" t="n"/>
      <c r="R411" s="53" t="n"/>
      <c r="S411" s="53" t="n"/>
      <c r="T411" s="2145" t="n"/>
      <c r="U411" s="2145" t="n"/>
      <c r="V411" s="53" t="n"/>
    </row>
    <row r="412" customFormat="1" s="1916">
      <c r="A412" s="53" t="n"/>
      <c r="B412" s="53" t="n"/>
      <c r="C412" s="2145" t="n"/>
      <c r="D412" s="2145" t="n"/>
      <c r="E412" s="2145" t="n"/>
      <c r="F412" s="53" t="n"/>
      <c r="G412" s="53" t="n"/>
      <c r="O412" s="53" t="n"/>
      <c r="P412" s="53" t="n"/>
      <c r="Q412" s="2149" t="n"/>
      <c r="R412" s="53" t="n"/>
      <c r="S412" s="53" t="n"/>
      <c r="T412" s="53" t="n"/>
      <c r="U412" s="53" t="n"/>
      <c r="V412" s="53" t="n"/>
    </row>
    <row r="413" customFormat="1" s="1916">
      <c r="A413" s="53" t="n"/>
      <c r="B413" s="53" t="n"/>
      <c r="C413" s="2145" t="n"/>
      <c r="D413" s="2145" t="n"/>
      <c r="E413" s="2145" t="n"/>
      <c r="F413" s="53" t="n"/>
      <c r="G413" s="53" t="n"/>
      <c r="O413" s="53" t="n"/>
      <c r="P413" s="53" t="n"/>
      <c r="Q413" s="2149" t="n"/>
      <c r="R413" s="53" t="n"/>
      <c r="S413" s="53" t="n"/>
      <c r="T413" s="53" t="n"/>
      <c r="U413" s="53" t="n"/>
      <c r="V413" s="53" t="n"/>
    </row>
    <row r="414" customFormat="1" s="1916">
      <c r="A414" s="53" t="n"/>
      <c r="B414" s="53" t="n"/>
      <c r="C414" s="2145" t="n"/>
      <c r="D414" s="2145" t="n"/>
      <c r="E414" s="2145" t="n"/>
      <c r="F414" s="53" t="n"/>
      <c r="G414" s="53" t="n"/>
      <c r="T414" s="53" t="n"/>
      <c r="U414" s="53" t="n"/>
      <c r="V414" s="53" t="n"/>
    </row>
    <row r="415" customFormat="1" s="1916">
      <c r="A415" s="53" t="n"/>
      <c r="B415" s="53" t="n"/>
      <c r="C415" s="2145" t="n"/>
      <c r="D415" s="2145" t="n"/>
      <c r="E415" s="2145" t="n"/>
      <c r="F415" s="53" t="n"/>
      <c r="G415" s="53" t="n"/>
      <c r="T415" s="53" t="n"/>
      <c r="U415" s="53" t="n"/>
      <c r="V415" s="53" t="n"/>
    </row>
    <row r="416" customFormat="1" s="1916">
      <c r="A416" s="53" t="n"/>
      <c r="B416" s="53" t="n"/>
      <c r="C416" s="2145" t="n"/>
      <c r="D416" s="2145" t="n"/>
      <c r="E416" s="2145" t="n"/>
      <c r="F416" s="2285" t="n"/>
      <c r="G416" s="53" t="n"/>
      <c r="T416" s="53" t="n"/>
      <c r="U416" s="53" t="n"/>
      <c r="V416" s="53" t="n"/>
    </row>
    <row r="417" customFormat="1" s="1916">
      <c r="A417" s="53" t="n"/>
      <c r="B417" s="53" t="n"/>
      <c r="C417" s="2145" t="n"/>
      <c r="D417" s="2145" t="n"/>
      <c r="E417" s="2145" t="n"/>
      <c r="F417" s="53" t="n"/>
      <c r="G417" s="53" t="n"/>
      <c r="T417" s="53" t="n"/>
      <c r="U417" s="53" t="n"/>
      <c r="V417" s="53" t="n"/>
    </row>
    <row r="418" customFormat="1" s="1916">
      <c r="A418" s="53" t="n"/>
      <c r="B418" s="53" t="n"/>
      <c r="C418" s="2145" t="n"/>
      <c r="D418" s="2145" t="n"/>
      <c r="E418" s="2145" t="n"/>
      <c r="F418" s="53" t="n"/>
      <c r="G418" s="53" t="n"/>
      <c r="T418" s="53" t="n"/>
      <c r="U418" s="53" t="n"/>
      <c r="V418" s="53" t="n"/>
    </row>
    <row r="419" customFormat="1" s="1916">
      <c r="A419" s="53" t="n"/>
      <c r="B419" s="53" t="n"/>
      <c r="C419" s="2145" t="n"/>
      <c r="D419" s="2145" t="n"/>
      <c r="E419" s="2145" t="n"/>
      <c r="F419" s="53" t="n"/>
      <c r="G419" s="53" t="n"/>
    </row>
    <row r="420" customFormat="1" s="1916">
      <c r="A420" s="53" t="n"/>
      <c r="B420" s="53" t="n"/>
      <c r="C420" s="2145" t="n"/>
      <c r="D420" s="2145" t="n"/>
      <c r="E420" s="2145" t="n"/>
      <c r="F420" s="53" t="n"/>
      <c r="G420" s="53" t="n"/>
    </row>
    <row r="421" customFormat="1" s="1916">
      <c r="A421" s="103" t="n"/>
      <c r="B421" s="103" t="n"/>
      <c r="C421" s="2147" t="n"/>
      <c r="D421" s="2147" t="n"/>
      <c r="E421" s="2147" t="n"/>
      <c r="F421" s="53" t="n"/>
      <c r="G421" s="53" t="n"/>
    </row>
    <row r="422" customFormat="1" s="1916">
      <c r="A422" s="103" t="n"/>
      <c r="B422" s="105" t="n"/>
      <c r="C422" s="2147" t="n"/>
      <c r="D422" s="2147" t="n"/>
      <c r="E422" s="2147" t="n"/>
      <c r="F422" s="53" t="n"/>
      <c r="G422" s="53" t="n"/>
    </row>
    <row r="423" customFormat="1" s="1916">
      <c r="A423" s="103" t="n"/>
      <c r="B423" s="103" t="n"/>
      <c r="C423" s="2147" t="n"/>
      <c r="D423" s="2147" t="n"/>
      <c r="E423" s="2147" t="n"/>
      <c r="F423" s="53" t="n"/>
      <c r="G423" s="53" t="n"/>
    </row>
    <row r="424" customFormat="1" s="1916">
      <c r="A424" s="103" t="n"/>
      <c r="B424" s="105" t="n"/>
      <c r="C424" s="2147" t="n"/>
      <c r="D424" s="2147" t="n"/>
      <c r="E424" s="2147" t="n"/>
      <c r="F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</row>
    <row r="425" customFormat="1" s="1916">
      <c r="A425" s="53" t="n"/>
      <c r="B425" s="53" t="n"/>
      <c r="C425" s="2145" t="n"/>
      <c r="D425" s="2145" t="n"/>
      <c r="E425" s="2145" t="n"/>
      <c r="F425" s="53" t="n"/>
      <c r="H425" s="53" t="n"/>
      <c r="I425" s="53" t="n"/>
      <c r="J425" s="53" t="n"/>
      <c r="K425" s="106" t="n"/>
      <c r="L425" s="106" t="n"/>
      <c r="M425" s="106" t="n"/>
      <c r="N425" s="106" t="n"/>
      <c r="O425" s="106" t="n"/>
    </row>
    <row r="426" customFormat="1" s="1916">
      <c r="A426" s="3" t="n"/>
      <c r="B426" s="2285" t="n"/>
      <c r="C426" s="3" t="n"/>
      <c r="D426" s="3" t="n"/>
      <c r="E426" s="2285" t="n"/>
      <c r="F426" s="107" t="n"/>
      <c r="H426" s="53" t="n"/>
      <c r="I426" s="540" t="n"/>
      <c r="J426" s="53" t="n"/>
      <c r="K426" s="106" t="n"/>
      <c r="L426" s="106" t="n"/>
      <c r="M426" s="106" t="n"/>
      <c r="N426" s="106" t="n"/>
      <c r="O426" s="106" t="n"/>
    </row>
    <row r="427" customFormat="1" s="1916">
      <c r="A427" s="53" t="n"/>
      <c r="B427" s="53" t="n"/>
      <c r="C427" s="53" t="n"/>
      <c r="D427" s="53" t="n"/>
      <c r="E427" s="53" t="n"/>
      <c r="F427" s="107" t="n"/>
      <c r="H427" s="53" t="n"/>
      <c r="I427" s="53" t="n"/>
      <c r="J427" s="53" t="n"/>
      <c r="K427" s="2145" t="n"/>
      <c r="L427" s="2145" t="n"/>
      <c r="M427" s="2145" t="n"/>
      <c r="N427" s="2145" t="n"/>
      <c r="O427" s="53" t="n"/>
    </row>
    <row r="428" customFormat="1" s="1916">
      <c r="A428" s="53" t="n"/>
      <c r="B428" s="53" t="n"/>
      <c r="C428" s="53" t="n"/>
      <c r="D428" s="53" t="n"/>
      <c r="E428" s="106" t="n"/>
      <c r="F428" s="106" t="n"/>
      <c r="H428" s="53" t="n"/>
      <c r="I428" s="93" t="n"/>
      <c r="J428" s="2145" t="n"/>
      <c r="K428" s="2145" t="n"/>
      <c r="L428" s="2145" t="n"/>
      <c r="M428" s="2145" t="n"/>
      <c r="N428" s="2145" t="n"/>
      <c r="O428" s="106" t="n"/>
    </row>
    <row r="429" customFormat="1" s="1916">
      <c r="A429" s="53" t="n"/>
      <c r="B429" s="53" t="n"/>
      <c r="C429" s="53" t="n"/>
      <c r="D429" s="53" t="n"/>
      <c r="E429" s="53" t="n"/>
      <c r="F429" s="53" t="n"/>
      <c r="H429" s="53" t="n"/>
      <c r="I429" s="93" t="n"/>
      <c r="J429" s="2145" t="n"/>
      <c r="K429" s="2145" t="n"/>
      <c r="L429" s="2145" t="n"/>
      <c r="M429" s="2145" t="n"/>
      <c r="N429" s="2145" t="n"/>
      <c r="O429" s="53" t="n"/>
    </row>
    <row r="430" customFormat="1" s="1916">
      <c r="A430" s="53" t="n"/>
      <c r="B430" s="53" t="n"/>
      <c r="C430" s="53" t="n"/>
      <c r="D430" s="53" t="n"/>
      <c r="E430" s="106" t="n"/>
      <c r="F430" s="106" t="n"/>
      <c r="H430" s="53" t="n"/>
      <c r="I430" s="93" t="n"/>
      <c r="J430" s="2145" t="n"/>
      <c r="K430" s="2145" t="n"/>
      <c r="L430" s="2145" t="n"/>
      <c r="M430" s="2145" t="n"/>
      <c r="N430" s="2145" t="n"/>
      <c r="O430" s="106" t="n"/>
    </row>
    <row r="431" customFormat="1" s="1916">
      <c r="A431" s="53" t="n"/>
      <c r="B431" s="53" t="n"/>
      <c r="C431" s="53" t="n"/>
      <c r="D431" s="53" t="n"/>
      <c r="E431" s="2286" t="n"/>
      <c r="F431" s="2286" t="n"/>
      <c r="G431" s="53" t="n"/>
      <c r="H431" s="103" t="n"/>
      <c r="I431" s="103" t="n"/>
      <c r="J431" s="2147" t="n"/>
      <c r="K431" s="2147" t="n"/>
      <c r="L431" s="2147" t="n"/>
      <c r="M431" s="2145" t="n"/>
      <c r="N431" s="2145" t="n"/>
      <c r="O431" s="106" t="n"/>
    </row>
    <row r="432" customFormat="1" s="1916">
      <c r="A432" s="53" t="n"/>
      <c r="B432" s="53" t="n"/>
      <c r="C432" s="2145" t="n"/>
      <c r="D432" s="2145" t="n"/>
      <c r="E432" s="2145" t="n"/>
      <c r="F432" s="2145" t="n"/>
      <c r="G432" s="53" t="n"/>
      <c r="H432" s="53" t="n"/>
      <c r="I432" s="53" t="n"/>
    </row>
    <row r="433" customFormat="1" s="1916">
      <c r="A433" s="53" t="n"/>
      <c r="B433" s="53" t="n"/>
      <c r="C433" s="53" t="n"/>
      <c r="D433" s="53" t="n"/>
      <c r="E433" s="2145" t="n"/>
      <c r="F433" s="53" t="n"/>
      <c r="G433" s="53" t="n"/>
      <c r="H433" s="110" t="n"/>
      <c r="I433" s="53" t="n"/>
      <c r="J433" s="53" t="n"/>
      <c r="K433" s="2145" t="n"/>
      <c r="L433" s="2145" t="n"/>
      <c r="M433" s="2145" t="n"/>
      <c r="N433" s="2145" t="n"/>
    </row>
    <row r="434" customFormat="1" s="1916">
      <c r="A434" s="53" t="n"/>
      <c r="B434" s="93" t="n"/>
      <c r="C434" s="2145" t="n"/>
      <c r="D434" s="2145" t="n"/>
      <c r="E434" s="2145" t="n"/>
      <c r="F434" s="53" t="n"/>
      <c r="G434" s="53" t="n"/>
      <c r="H434" s="2285" t="n"/>
      <c r="I434" s="93" t="n"/>
      <c r="J434" s="2145" t="n"/>
      <c r="K434" s="2145" t="n"/>
      <c r="L434" s="2145" t="n"/>
      <c r="M434" s="2145" t="n"/>
      <c r="N434" s="2145" t="n"/>
    </row>
    <row r="435" customFormat="1" s="1916">
      <c r="A435" s="53" t="n"/>
      <c r="B435" s="93" t="n"/>
      <c r="C435" s="2145" t="n"/>
      <c r="D435" s="2145" t="n"/>
      <c r="E435" s="2145" t="n"/>
      <c r="F435" s="53" t="n"/>
      <c r="G435" s="53" t="n"/>
      <c r="H435" s="53" t="n"/>
      <c r="I435" s="93" t="n"/>
      <c r="J435" s="2145" t="n"/>
      <c r="K435" s="2145" t="n"/>
      <c r="L435" s="2145" t="n"/>
      <c r="M435" s="2145" t="n"/>
      <c r="N435" s="2145" t="n"/>
    </row>
    <row r="436" customFormat="1" s="1916">
      <c r="A436" s="53" t="n"/>
      <c r="B436" s="93" t="n"/>
      <c r="C436" s="2145" t="n"/>
      <c r="D436" s="2145" t="n"/>
      <c r="E436" s="2145" t="n"/>
      <c r="F436" s="53" t="n"/>
      <c r="G436" s="53" t="n"/>
      <c r="H436" s="53" t="n"/>
      <c r="I436" s="93" t="n"/>
      <c r="J436" s="2145" t="n"/>
      <c r="K436" s="2145" t="n"/>
      <c r="L436" s="2145" t="n"/>
      <c r="M436" s="2145" t="n"/>
      <c r="N436" s="2145" t="n"/>
    </row>
    <row r="437" customFormat="1" s="1916">
      <c r="A437" s="53" t="n"/>
      <c r="B437" s="93" t="n"/>
      <c r="C437" s="2145" t="n"/>
      <c r="D437" s="2145" t="n"/>
      <c r="E437" s="2145" t="n"/>
      <c r="F437" s="111" t="n"/>
      <c r="G437" s="53" t="n"/>
      <c r="H437" s="53" t="n"/>
      <c r="I437" s="93" t="n"/>
      <c r="J437" s="2145" t="n"/>
      <c r="K437" s="2145" t="n"/>
      <c r="L437" s="2145" t="n"/>
      <c r="M437" s="2145" t="n"/>
      <c r="N437" s="2145" t="n"/>
    </row>
    <row r="438" customFormat="1" s="1916">
      <c r="A438" s="53" t="n"/>
      <c r="B438" s="93" t="n"/>
      <c r="C438" s="2145" t="n"/>
      <c r="D438" s="2145" t="n"/>
      <c r="E438" s="2145" t="n"/>
      <c r="F438" s="53" t="n"/>
      <c r="G438" s="53" t="n"/>
      <c r="H438" s="53" t="n"/>
      <c r="I438" s="93" t="n"/>
      <c r="J438" s="2145" t="n"/>
      <c r="K438" s="2145" t="n"/>
      <c r="L438" s="2145" t="n"/>
      <c r="M438" s="2145" t="n"/>
      <c r="N438" s="2145" t="n"/>
    </row>
    <row r="439" customFormat="1" s="1916">
      <c r="A439" s="53" t="n"/>
      <c r="B439" s="93" t="n"/>
      <c r="C439" s="2145" t="n"/>
      <c r="D439" s="2145" t="n"/>
      <c r="E439" s="2145" t="n"/>
      <c r="F439" s="53" t="n"/>
      <c r="G439" s="53" t="n"/>
      <c r="H439" s="53" t="n"/>
      <c r="I439" s="93" t="n"/>
      <c r="J439" s="2145" t="n"/>
      <c r="K439" s="2145" t="n"/>
      <c r="L439" s="2145" t="n"/>
      <c r="M439" s="2145" t="n"/>
      <c r="N439" s="2145" t="n"/>
    </row>
    <row r="440" customFormat="1" s="1916">
      <c r="A440" s="53" t="n"/>
      <c r="B440" s="93" t="n"/>
      <c r="C440" s="2145" t="n"/>
      <c r="D440" s="2145" t="n"/>
      <c r="E440" s="2145" t="n"/>
      <c r="F440" s="53" t="n"/>
      <c r="G440" s="53" t="n"/>
      <c r="H440" s="53" t="n"/>
      <c r="I440" s="93" t="n"/>
      <c r="J440" s="2145" t="n"/>
      <c r="K440" s="2145" t="n"/>
      <c r="L440" s="2145" t="n"/>
      <c r="M440" s="2145" t="n"/>
      <c r="N440" s="2145" t="n"/>
    </row>
    <row r="441" customFormat="1" s="1916">
      <c r="A441" s="103" t="n"/>
      <c r="B441" s="103" t="n"/>
      <c r="C441" s="2147" t="n"/>
      <c r="D441" s="2147" t="n"/>
      <c r="E441" s="2147" t="n"/>
      <c r="F441" s="53" t="n"/>
      <c r="G441" s="53" t="n"/>
      <c r="H441" s="103" t="n"/>
      <c r="I441" s="103" t="n"/>
      <c r="J441" s="2147" t="n"/>
      <c r="K441" s="2147" t="n"/>
      <c r="L441" s="2147" t="n"/>
      <c r="M441" s="2147" t="n"/>
      <c r="N441" s="2147" t="n"/>
    </row>
    <row r="442" customFormat="1" s="1916">
      <c r="A442" s="53" t="n"/>
      <c r="B442" s="53" t="n"/>
      <c r="C442" s="2145" t="n"/>
      <c r="D442" s="2145" t="n"/>
      <c r="E442" s="2145" t="n"/>
      <c r="F442" s="53" t="n"/>
      <c r="G442" s="53" t="n"/>
    </row>
    <row r="443" customFormat="1" s="1916">
      <c r="A443" s="53" t="n"/>
      <c r="B443" s="53" t="n"/>
      <c r="C443" s="2145" t="n"/>
      <c r="D443" s="2145" t="n"/>
      <c r="E443" s="2147" t="n"/>
      <c r="F443" s="53" t="n"/>
      <c r="G443" s="53" t="n"/>
    </row>
    <row r="444" customFormat="1" s="1916">
      <c r="A444" s="53" t="n"/>
      <c r="B444" s="53" t="n"/>
      <c r="C444" s="2145" t="n"/>
      <c r="D444" s="2145" t="n"/>
      <c r="E444" s="2145" t="n"/>
      <c r="F444" s="53" t="n"/>
      <c r="G444" s="53" t="n"/>
    </row>
    <row r="445" customFormat="1" s="1916">
      <c r="A445" s="53" t="n"/>
      <c r="B445" s="53" t="n"/>
      <c r="C445" s="2145" t="n"/>
      <c r="D445" s="2145" t="n"/>
      <c r="E445" s="2145" t="n"/>
      <c r="F445" s="53" t="n"/>
      <c r="G445" s="53" t="n"/>
    </row>
    <row r="446" customFormat="1" s="1916">
      <c r="A446" s="53" t="n"/>
      <c r="B446" s="112" t="n"/>
      <c r="C446" s="2145" t="n"/>
      <c r="D446" s="2145" t="n"/>
      <c r="E446" s="2145" t="n"/>
      <c r="F446" s="53" t="n"/>
      <c r="G446" s="53" t="n"/>
    </row>
    <row r="447" customFormat="1" s="1916">
      <c r="A447" s="53" t="n"/>
      <c r="B447" s="112" t="n"/>
      <c r="C447" s="2145" t="n"/>
      <c r="D447" s="2145" t="n"/>
      <c r="E447" s="2145" t="n"/>
      <c r="F447" s="53" t="n"/>
      <c r="G447" s="53" t="n"/>
    </row>
    <row r="448" customFormat="1" s="1916">
      <c r="A448" s="53" t="n"/>
      <c r="B448" s="113" t="n"/>
      <c r="C448" s="2145" t="n"/>
      <c r="D448" s="2145" t="n"/>
      <c r="E448" s="2145" t="n"/>
      <c r="F448" s="53" t="n"/>
      <c r="G448" s="53" t="n"/>
    </row>
    <row r="449" customFormat="1" s="1916">
      <c r="A449" s="53" t="n"/>
      <c r="B449" s="113" t="n"/>
      <c r="C449" s="2145" t="n"/>
      <c r="D449" s="2145" t="n"/>
      <c r="E449" s="2145" t="n"/>
      <c r="F449" s="53" t="n"/>
      <c r="G449" s="53" t="n"/>
    </row>
    <row r="450" customFormat="1" s="1916">
      <c r="A450" s="53" t="n"/>
      <c r="B450" s="113" t="n"/>
      <c r="C450" s="2145" t="n"/>
      <c r="D450" s="2145" t="n"/>
      <c r="E450" s="2145" t="n"/>
      <c r="F450" s="53" t="n"/>
      <c r="G450" s="53" t="n"/>
    </row>
    <row r="451" customFormat="1" s="1916">
      <c r="A451" s="53" t="n"/>
      <c r="B451" s="113" t="n"/>
      <c r="C451" s="2145" t="n"/>
      <c r="D451" s="2145" t="n"/>
      <c r="E451" s="2145" t="n"/>
      <c r="F451" s="53" t="n"/>
      <c r="G451" s="53" t="n"/>
    </row>
    <row r="452" customFormat="1" s="1916">
      <c r="A452" s="53" t="n"/>
      <c r="B452" s="112" t="n"/>
      <c r="C452" s="2145" t="n"/>
      <c r="D452" s="2145" t="n"/>
      <c r="E452" s="2145" t="n"/>
      <c r="F452" s="53" t="n"/>
      <c r="G452" s="53" t="n"/>
    </row>
    <row r="453" customFormat="1" s="1916">
      <c r="A453" s="53" t="n"/>
      <c r="B453" s="112" t="n"/>
      <c r="C453" s="2145" t="n"/>
      <c r="D453" s="2145" t="n"/>
      <c r="E453" s="2145" t="n"/>
      <c r="F453" s="53" t="n"/>
      <c r="G453" s="53" t="n"/>
    </row>
    <row r="454" customFormat="1" s="1916">
      <c r="A454" s="53" t="n"/>
      <c r="B454" s="112" t="n"/>
      <c r="C454" s="2145" t="n"/>
      <c r="D454" s="2145" t="n"/>
      <c r="E454" s="2149" t="n"/>
      <c r="F454" s="53" t="n"/>
      <c r="G454" s="53" t="n"/>
      <c r="Q454" s="53" t="n"/>
    </row>
    <row r="455" customFormat="1" s="1916">
      <c r="A455" s="53" t="n"/>
      <c r="B455" s="113" t="n"/>
      <c r="C455" s="2145" t="n"/>
      <c r="D455" s="2145" t="n"/>
      <c r="E455" s="2145" t="n"/>
      <c r="F455" s="53" t="n"/>
      <c r="G455" s="53" t="n"/>
      <c r="H455" s="53" t="n"/>
      <c r="J455" s="2154" t="n"/>
      <c r="Q455" s="53" t="n"/>
    </row>
    <row r="456" customFormat="1" s="1916">
      <c r="A456" s="53" t="n"/>
      <c r="B456" s="53" t="n"/>
      <c r="C456" s="2145" t="n"/>
      <c r="D456" s="2145" t="n"/>
      <c r="E456" s="2145" t="n"/>
      <c r="F456" s="2145" t="n"/>
      <c r="G456" s="2145" t="n"/>
      <c r="Q456" s="53" t="n"/>
    </row>
    <row r="457" customFormat="1" s="1916">
      <c r="A457" s="53" t="n"/>
      <c r="B457" s="53" t="n"/>
      <c r="C457" s="2145" t="n"/>
      <c r="D457" s="2145" t="n"/>
      <c r="E457" s="2145" t="n"/>
      <c r="G457" s="540" t="n"/>
      <c r="Q457" s="53" t="n"/>
    </row>
    <row r="458" customFormat="1" s="1916">
      <c r="E458" s="2145" t="n"/>
    </row>
    <row r="459" customFormat="1" s="1916"/>
    <row r="460" customFormat="1" s="1916"/>
    <row r="461" customFormat="1" s="1916">
      <c r="A461" s="53" t="n"/>
      <c r="B461" s="53" t="n"/>
      <c r="C461" s="53" t="n"/>
      <c r="D461" s="53" t="n"/>
      <c r="E461" s="53" t="n"/>
      <c r="O461" s="53" t="n"/>
      <c r="P461" s="53" t="n"/>
      <c r="Q461" s="53" t="n"/>
      <c r="R461" s="53" t="n"/>
      <c r="S461" s="53" t="n"/>
    </row>
    <row r="462" customFormat="1" s="1916">
      <c r="A462" s="53" t="n"/>
      <c r="B462" s="53" t="n"/>
      <c r="C462" s="53" t="n"/>
      <c r="D462" s="53" t="n"/>
      <c r="E462" s="53" t="n"/>
      <c r="F462" s="53" t="n"/>
      <c r="G462" s="53" t="n"/>
      <c r="O462" s="53" t="n"/>
      <c r="P462" s="53" t="n"/>
      <c r="Q462" s="53" t="n"/>
      <c r="R462" s="53" t="n"/>
      <c r="S462" s="2145" t="n"/>
    </row>
    <row r="463" customFormat="1" s="1916">
      <c r="A463" s="53" t="n"/>
      <c r="B463" s="2155" t="n"/>
      <c r="C463" s="2145" t="n"/>
      <c r="D463" s="2145" t="n"/>
      <c r="E463" s="2145" t="n"/>
      <c r="F463" s="2285" t="n"/>
      <c r="G463" s="53" t="n"/>
      <c r="O463" s="53" t="n"/>
      <c r="P463" s="53" t="n"/>
      <c r="Q463" s="2145" t="n"/>
      <c r="R463" s="2145" t="n"/>
      <c r="S463" s="2145" t="n"/>
    </row>
    <row r="464" customFormat="1" s="1916">
      <c r="A464" s="53" t="n"/>
      <c r="B464" s="53" t="n"/>
      <c r="C464" s="2145" t="n"/>
      <c r="D464" s="2145" t="n"/>
      <c r="E464" s="2145" t="n"/>
      <c r="F464" s="53" t="n"/>
      <c r="G464" s="53" t="n"/>
      <c r="O464" s="53" t="n"/>
      <c r="P464" s="53" t="n"/>
      <c r="Q464" s="2145" t="n"/>
      <c r="R464" s="2285" t="n"/>
      <c r="S464" s="2145" t="n"/>
    </row>
    <row r="465" customFormat="1" s="1916">
      <c r="A465" s="53" t="n"/>
      <c r="B465" s="53" t="n"/>
      <c r="C465" s="2145" t="n"/>
      <c r="D465" s="2145" t="n"/>
      <c r="E465" s="2145" t="n"/>
      <c r="F465" s="53" t="n"/>
      <c r="G465" s="53" t="n"/>
      <c r="O465" s="53" t="n"/>
      <c r="P465" s="53" t="n"/>
      <c r="Q465" s="2145" t="n"/>
      <c r="R465" s="2285" t="n"/>
      <c r="S465" s="2145" t="n"/>
    </row>
    <row r="466" customFormat="1" s="1916">
      <c r="A466" s="53" t="n"/>
      <c r="B466" s="53" t="n"/>
      <c r="C466" s="2145" t="n"/>
      <c r="D466" s="2145" t="n"/>
      <c r="E466" s="2145" t="n"/>
      <c r="F466" s="53" t="n"/>
      <c r="G466" s="53" t="n"/>
      <c r="O466" s="53" t="n"/>
      <c r="P466" s="2145" t="n"/>
      <c r="Q466" s="2149" t="n"/>
      <c r="R466" s="53" t="n"/>
      <c r="S466" s="53" t="n"/>
      <c r="T466" s="53" t="n"/>
      <c r="U466" s="53" t="n"/>
      <c r="V466" s="53" t="n"/>
    </row>
    <row r="467" customFormat="1" s="1916">
      <c r="A467" s="53" t="n"/>
      <c r="B467" s="53" t="n"/>
      <c r="C467" s="2145" t="n"/>
      <c r="D467" s="2145" t="n"/>
      <c r="E467" s="2145" t="n"/>
      <c r="F467" s="53" t="n"/>
      <c r="G467" s="53" t="n"/>
      <c r="O467" s="53" t="n"/>
      <c r="P467" s="53" t="n"/>
      <c r="Q467" s="2149" t="n"/>
      <c r="R467" s="53" t="n"/>
      <c r="S467" s="53" t="n"/>
      <c r="T467" s="2145" t="n"/>
      <c r="U467" s="2145" t="n"/>
      <c r="V467" s="53" t="n"/>
    </row>
    <row r="468" customFormat="1" s="1916">
      <c r="A468" s="53" t="n"/>
      <c r="B468" s="53" t="n"/>
      <c r="C468" s="2145" t="n"/>
      <c r="D468" s="2145" t="n"/>
      <c r="E468" s="2145" t="n"/>
      <c r="F468" s="53" t="n"/>
      <c r="G468" s="53" t="n"/>
      <c r="O468" s="53" t="n"/>
      <c r="P468" s="53" t="n"/>
      <c r="Q468" s="2149" t="n"/>
      <c r="R468" s="53" t="n"/>
      <c r="S468" s="53" t="n"/>
      <c r="T468" s="2145" t="n"/>
      <c r="U468" s="2145" t="n"/>
      <c r="V468" s="53" t="n"/>
    </row>
    <row r="469" customFormat="1" s="1916">
      <c r="A469" s="53" t="n"/>
      <c r="B469" s="53" t="n"/>
      <c r="C469" s="2145" t="n"/>
      <c r="D469" s="2145" t="n"/>
      <c r="E469" s="2145" t="n"/>
      <c r="F469" s="53" t="n"/>
      <c r="G469" s="53" t="n"/>
      <c r="O469" s="53" t="n"/>
      <c r="P469" s="53" t="n"/>
      <c r="Q469" s="2149" t="n"/>
      <c r="R469" s="53" t="n"/>
      <c r="S469" s="53" t="n"/>
      <c r="T469" s="2145" t="n"/>
      <c r="U469" s="2145" t="n"/>
      <c r="V469" s="53" t="n"/>
    </row>
    <row r="470" customFormat="1" s="1916">
      <c r="A470" s="53" t="n"/>
      <c r="B470" s="53" t="n"/>
      <c r="C470" s="2145" t="n"/>
      <c r="D470" s="2145" t="n"/>
      <c r="E470" s="2145" t="n"/>
      <c r="F470" s="53" t="n"/>
      <c r="G470" s="53" t="n"/>
      <c r="O470" s="53" t="n"/>
      <c r="P470" s="53" t="n"/>
      <c r="Q470" s="2149" t="n"/>
      <c r="R470" s="53" t="n"/>
      <c r="S470" s="53" t="n"/>
      <c r="T470" s="2145" t="n"/>
      <c r="U470" s="2145" t="n"/>
      <c r="V470" s="53" t="n"/>
    </row>
    <row r="471" customFormat="1" s="1916">
      <c r="A471" s="53" t="n"/>
      <c r="B471" s="53" t="n"/>
      <c r="C471" s="2145" t="n"/>
      <c r="D471" s="2145" t="n"/>
      <c r="E471" s="2145" t="n"/>
      <c r="F471" s="53" t="n"/>
      <c r="G471" s="53" t="n"/>
      <c r="O471" s="53" t="n"/>
      <c r="P471" s="53" t="n"/>
      <c r="Q471" s="2149" t="n"/>
      <c r="R471" s="53" t="n"/>
      <c r="S471" s="53" t="n"/>
      <c r="T471" s="53" t="n"/>
      <c r="U471" s="53" t="n"/>
      <c r="V471" s="53" t="n"/>
    </row>
    <row r="472" customFormat="1" s="1916">
      <c r="A472" s="53" t="n"/>
      <c r="B472" s="53" t="n"/>
      <c r="C472" s="2145" t="n"/>
      <c r="D472" s="2145" t="n"/>
      <c r="E472" s="2145" t="n"/>
      <c r="F472" s="53" t="n"/>
      <c r="G472" s="53" t="n"/>
      <c r="O472" s="53" t="n"/>
      <c r="P472" s="53" t="n"/>
      <c r="Q472" s="2149" t="n"/>
      <c r="R472" s="53" t="n"/>
      <c r="S472" s="53" t="n"/>
      <c r="T472" s="53" t="n"/>
      <c r="U472" s="53" t="n"/>
      <c r="V472" s="53" t="n"/>
    </row>
    <row r="473" customFormat="1" s="1916">
      <c r="A473" s="53" t="n"/>
      <c r="B473" s="53" t="n"/>
      <c r="C473" s="2145" t="n"/>
      <c r="D473" s="2145" t="n"/>
      <c r="E473" s="2145" t="n"/>
      <c r="F473" s="53" t="n"/>
      <c r="G473" s="53" t="n"/>
      <c r="T473" s="53" t="n"/>
      <c r="U473" s="53" t="n"/>
      <c r="V473" s="53" t="n"/>
    </row>
    <row r="474" customFormat="1" s="1916">
      <c r="A474" s="53" t="n"/>
      <c r="B474" s="53" t="n"/>
      <c r="C474" s="2145" t="n"/>
      <c r="D474" s="2145" t="n"/>
      <c r="E474" s="2145" t="n"/>
      <c r="F474" s="53" t="n"/>
      <c r="G474" s="53" t="n"/>
      <c r="T474" s="53" t="n"/>
      <c r="U474" s="53" t="n"/>
      <c r="V474" s="53" t="n"/>
    </row>
    <row r="475" customFormat="1" s="1916">
      <c r="A475" s="53" t="n"/>
      <c r="B475" s="53" t="n"/>
      <c r="C475" s="2145" t="n"/>
      <c r="D475" s="2145" t="n"/>
      <c r="E475" s="2145" t="n"/>
      <c r="F475" s="2285" t="n"/>
      <c r="G475" s="53" t="n"/>
      <c r="T475" s="53" t="n"/>
      <c r="U475" s="53" t="n"/>
      <c r="V475" s="53" t="n"/>
    </row>
    <row r="476" customFormat="1" s="1916">
      <c r="A476" s="53" t="n"/>
      <c r="B476" s="53" t="n"/>
      <c r="C476" s="2145" t="n"/>
      <c r="D476" s="2145" t="n"/>
      <c r="E476" s="2145" t="n"/>
      <c r="F476" s="53" t="n"/>
      <c r="G476" s="53" t="n"/>
      <c r="T476" s="53" t="n"/>
      <c r="U476" s="53" t="n"/>
      <c r="V476" s="53" t="n"/>
    </row>
    <row r="477" customFormat="1" s="1916">
      <c r="A477" s="53" t="n"/>
      <c r="B477" s="53" t="n"/>
      <c r="C477" s="2145" t="n"/>
      <c r="D477" s="2145" t="n"/>
      <c r="E477" s="2145" t="n"/>
      <c r="F477" s="53" t="n"/>
      <c r="G477" s="53" t="n"/>
      <c r="T477" s="53" t="n"/>
      <c r="U477" s="53" t="n"/>
      <c r="V477" s="53" t="n"/>
    </row>
    <row r="478" customFormat="1" s="1916">
      <c r="A478" s="53" t="n"/>
      <c r="B478" s="53" t="n"/>
      <c r="C478" s="2145" t="n"/>
      <c r="D478" s="2145" t="n"/>
      <c r="E478" s="2145" t="n"/>
      <c r="F478" s="53" t="n"/>
      <c r="G478" s="53" t="n"/>
    </row>
    <row r="479" customFormat="1" s="1916">
      <c r="A479" s="53" t="n"/>
      <c r="B479" s="53" t="n"/>
      <c r="C479" s="2145" t="n"/>
      <c r="D479" s="2145" t="n"/>
      <c r="E479" s="2145" t="n"/>
      <c r="F479" s="53" t="n"/>
      <c r="G479" s="53" t="n"/>
    </row>
    <row r="480" customFormat="1" s="1916">
      <c r="A480" s="103" t="n"/>
      <c r="B480" s="103" t="n"/>
      <c r="C480" s="2147" t="n"/>
      <c r="D480" s="2147" t="n"/>
      <c r="E480" s="2147" t="n"/>
      <c r="F480" s="53" t="n"/>
      <c r="G480" s="53" t="n"/>
    </row>
    <row r="481" customFormat="1" s="1916">
      <c r="A481" s="103" t="n"/>
      <c r="B481" s="105" t="n"/>
      <c r="C481" s="2147" t="n"/>
      <c r="D481" s="2147" t="n"/>
      <c r="E481" s="2147" t="n"/>
      <c r="F481" s="53" t="n"/>
      <c r="G481" s="53" t="n"/>
    </row>
    <row r="482" customFormat="1" s="1916">
      <c r="A482" s="103" t="n"/>
      <c r="B482" s="103" t="n"/>
      <c r="C482" s="2147" t="n"/>
      <c r="D482" s="2147" t="n"/>
      <c r="E482" s="2147" t="n"/>
      <c r="F482" s="53" t="n"/>
      <c r="G482" s="53" t="n"/>
    </row>
    <row r="483" customFormat="1" s="1916">
      <c r="A483" s="103" t="n"/>
      <c r="B483" s="105" t="n"/>
      <c r="C483" s="2147" t="n"/>
      <c r="D483" s="2147" t="n"/>
      <c r="E483" s="2147" t="n"/>
      <c r="F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</row>
    <row r="484" customFormat="1" s="1916">
      <c r="A484" s="53" t="n"/>
      <c r="B484" s="53" t="n"/>
      <c r="C484" s="2145" t="n"/>
      <c r="D484" s="2145" t="n"/>
      <c r="E484" s="2145" t="n"/>
      <c r="F484" s="53" t="n"/>
      <c r="H484" s="53" t="n"/>
      <c r="I484" s="53" t="n"/>
      <c r="J484" s="53" t="n"/>
      <c r="K484" s="106" t="n"/>
      <c r="L484" s="106" t="n"/>
      <c r="M484" s="106" t="n"/>
      <c r="N484" s="106" t="n"/>
      <c r="O484" s="106" t="n"/>
    </row>
    <row r="485" customFormat="1" s="1916">
      <c r="A485" s="3" t="n"/>
      <c r="B485" s="2285" t="n"/>
      <c r="C485" s="3" t="n"/>
      <c r="D485" s="3" t="n"/>
      <c r="E485" s="2285" t="n"/>
      <c r="F485" s="107" t="n"/>
      <c r="H485" s="53" t="n"/>
      <c r="I485" s="540" t="n"/>
      <c r="J485" s="53" t="n"/>
      <c r="K485" s="106" t="n"/>
      <c r="L485" s="106" t="n"/>
      <c r="M485" s="106" t="n"/>
      <c r="N485" s="106" t="n"/>
      <c r="O485" s="106" t="n"/>
    </row>
    <row r="486" customFormat="1" s="1916">
      <c r="A486" s="53" t="n"/>
      <c r="B486" s="53" t="n"/>
      <c r="C486" s="53" t="n"/>
      <c r="D486" s="53" t="n"/>
      <c r="E486" s="53" t="n"/>
      <c r="F486" s="107" t="n"/>
      <c r="H486" s="53" t="n"/>
      <c r="I486" s="53" t="n"/>
      <c r="J486" s="53" t="n"/>
      <c r="K486" s="2145" t="n"/>
      <c r="L486" s="2145" t="n"/>
      <c r="M486" s="2145" t="n"/>
      <c r="N486" s="2145" t="n"/>
      <c r="O486" s="53" t="n"/>
    </row>
    <row r="487" customFormat="1" s="1916">
      <c r="A487" s="53" t="n"/>
      <c r="B487" s="53" t="n"/>
      <c r="C487" s="53" t="n"/>
      <c r="D487" s="53" t="n"/>
      <c r="E487" s="106" t="n"/>
      <c r="F487" s="106" t="n"/>
      <c r="H487" s="53" t="n"/>
      <c r="I487" s="93" t="n"/>
      <c r="J487" s="2145" t="n"/>
      <c r="K487" s="2145" t="n"/>
      <c r="L487" s="2145" t="n"/>
      <c r="M487" s="2145" t="n"/>
      <c r="N487" s="2145" t="n"/>
      <c r="O487" s="106" t="n"/>
    </row>
    <row r="488" customFormat="1" s="1916">
      <c r="A488" s="53" t="n"/>
      <c r="B488" s="53" t="n"/>
      <c r="C488" s="53" t="n"/>
      <c r="D488" s="53" t="n"/>
      <c r="E488" s="53" t="n"/>
      <c r="F488" s="53" t="n"/>
      <c r="H488" s="53" t="n"/>
      <c r="I488" s="93" t="n"/>
      <c r="J488" s="2145" t="n"/>
      <c r="K488" s="2145" t="n"/>
      <c r="L488" s="2145" t="n"/>
      <c r="M488" s="2145" t="n"/>
      <c r="N488" s="2145" t="n"/>
      <c r="O488" s="53" t="n"/>
    </row>
    <row r="489" customFormat="1" s="1916">
      <c r="A489" s="53" t="n"/>
      <c r="B489" s="53" t="n"/>
      <c r="C489" s="53" t="n"/>
      <c r="D489" s="53" t="n"/>
      <c r="E489" s="106" t="n"/>
      <c r="F489" s="106" t="n"/>
      <c r="H489" s="53" t="n"/>
      <c r="I489" s="93" t="n"/>
      <c r="J489" s="2145" t="n"/>
      <c r="K489" s="2145" t="n"/>
      <c r="L489" s="2145" t="n"/>
      <c r="M489" s="2145" t="n"/>
      <c r="N489" s="2145" t="n"/>
      <c r="O489" s="106" t="n"/>
    </row>
    <row r="490" customFormat="1" s="1916">
      <c r="A490" s="53" t="n"/>
      <c r="B490" s="53" t="n"/>
      <c r="C490" s="53" t="n"/>
      <c r="D490" s="53" t="n"/>
      <c r="E490" s="2286" t="n"/>
      <c r="F490" s="2286" t="n"/>
      <c r="G490" s="53" t="n"/>
      <c r="H490" s="103" t="n"/>
      <c r="I490" s="103" t="n"/>
      <c r="J490" s="2147" t="n"/>
      <c r="K490" s="2147" t="n"/>
      <c r="L490" s="2147" t="n"/>
      <c r="M490" s="2145" t="n"/>
      <c r="N490" s="2145" t="n"/>
      <c r="O490" s="106" t="n"/>
    </row>
    <row r="491" customFormat="1" s="1916">
      <c r="A491" s="53" t="n"/>
      <c r="B491" s="53" t="n"/>
      <c r="C491" s="2145" t="n"/>
      <c r="D491" s="2145" t="n"/>
      <c r="E491" s="2145" t="n"/>
      <c r="F491" s="2145" t="n"/>
      <c r="G491" s="53" t="n"/>
      <c r="H491" s="53" t="n"/>
      <c r="I491" s="53" t="n"/>
    </row>
    <row r="492" customFormat="1" s="1916">
      <c r="A492" s="53" t="n"/>
      <c r="B492" s="53" t="n"/>
      <c r="C492" s="53" t="n"/>
      <c r="D492" s="53" t="n"/>
      <c r="E492" s="2145" t="n"/>
      <c r="F492" s="53" t="n"/>
      <c r="G492" s="53" t="n"/>
      <c r="H492" s="110" t="n"/>
      <c r="I492" s="53" t="n"/>
      <c r="J492" s="53" t="n"/>
      <c r="K492" s="2145" t="n"/>
      <c r="L492" s="2145" t="n"/>
      <c r="M492" s="2145" t="n"/>
      <c r="N492" s="2145" t="n"/>
    </row>
    <row r="493" customFormat="1" s="1916">
      <c r="A493" s="53" t="n"/>
      <c r="B493" s="93" t="n"/>
      <c r="C493" s="2145" t="n"/>
      <c r="D493" s="2145" t="n"/>
      <c r="E493" s="2145" t="n"/>
      <c r="F493" s="53" t="n"/>
      <c r="G493" s="53" t="n"/>
      <c r="H493" s="2285" t="n"/>
      <c r="I493" s="93" t="n"/>
      <c r="J493" s="2145" t="n"/>
      <c r="K493" s="2145" t="n"/>
      <c r="L493" s="2145" t="n"/>
      <c r="M493" s="2145" t="n"/>
      <c r="N493" s="2145" t="n"/>
    </row>
    <row r="494" customFormat="1" s="1916">
      <c r="A494" s="53" t="n"/>
      <c r="B494" s="93" t="n"/>
      <c r="C494" s="2145" t="n"/>
      <c r="D494" s="2145" t="n"/>
      <c r="E494" s="2145" t="n"/>
      <c r="F494" s="53" t="n"/>
      <c r="G494" s="53" t="n"/>
      <c r="H494" s="53" t="n"/>
      <c r="I494" s="93" t="n"/>
      <c r="J494" s="2145" t="n"/>
      <c r="K494" s="2145" t="n"/>
      <c r="L494" s="2145" t="n"/>
      <c r="M494" s="2145" t="n"/>
      <c r="N494" s="2145" t="n"/>
    </row>
    <row r="495" customFormat="1" s="1916">
      <c r="A495" s="53" t="n"/>
      <c r="B495" s="93" t="n"/>
      <c r="C495" s="2145" t="n"/>
      <c r="D495" s="2145" t="n"/>
      <c r="E495" s="2145" t="n"/>
      <c r="F495" s="53" t="n"/>
      <c r="G495" s="53" t="n"/>
      <c r="H495" s="53" t="n"/>
      <c r="I495" s="93" t="n"/>
      <c r="J495" s="2145" t="n"/>
      <c r="K495" s="2145" t="n"/>
      <c r="L495" s="2145" t="n"/>
      <c r="M495" s="2145" t="n"/>
      <c r="N495" s="2145" t="n"/>
    </row>
    <row r="496" customFormat="1" s="1916">
      <c r="A496" s="53" t="n"/>
      <c r="B496" s="93" t="n"/>
      <c r="C496" s="2145" t="n"/>
      <c r="D496" s="2145" t="n"/>
      <c r="E496" s="2145" t="n"/>
      <c r="F496" s="111" t="n"/>
      <c r="G496" s="53" t="n"/>
      <c r="H496" s="53" t="n"/>
      <c r="I496" s="93" t="n"/>
      <c r="J496" s="2145" t="n"/>
      <c r="K496" s="2145" t="n"/>
      <c r="L496" s="2145" t="n"/>
      <c r="M496" s="2145" t="n"/>
      <c r="N496" s="2145" t="n"/>
    </row>
    <row r="497" customFormat="1" s="1916">
      <c r="A497" s="53" t="n"/>
      <c r="B497" s="93" t="n"/>
      <c r="C497" s="2145" t="n"/>
      <c r="D497" s="2145" t="n"/>
      <c r="E497" s="2145" t="n"/>
      <c r="F497" s="111" t="n"/>
      <c r="G497" s="53" t="n"/>
      <c r="H497" s="53" t="n"/>
      <c r="I497" s="93" t="n"/>
      <c r="J497" s="2145" t="n"/>
      <c r="K497" s="2145" t="n"/>
      <c r="L497" s="2145" t="n"/>
      <c r="M497" s="2145" t="n"/>
      <c r="N497" s="2145" t="n"/>
    </row>
    <row r="498" customFormat="1" s="1916">
      <c r="A498" s="53" t="n"/>
      <c r="B498" s="93" t="n"/>
      <c r="C498" s="2145" t="n"/>
      <c r="D498" s="2145" t="n"/>
      <c r="E498" s="2145" t="n"/>
      <c r="F498" s="53" t="n"/>
      <c r="G498" s="53" t="n"/>
      <c r="H498" s="53" t="n"/>
      <c r="I498" s="93" t="n"/>
      <c r="J498" s="2145" t="n"/>
      <c r="K498" s="2145" t="n"/>
      <c r="L498" s="2145" t="n"/>
      <c r="M498" s="2145" t="n"/>
      <c r="N498" s="2145" t="n"/>
    </row>
    <row r="499" customFormat="1" s="1916">
      <c r="A499" s="53" t="n"/>
      <c r="B499" s="93" t="n"/>
      <c r="C499" s="2145" t="n"/>
      <c r="D499" s="2145" t="n"/>
      <c r="E499" s="2145" t="n"/>
      <c r="F499" s="53" t="n"/>
      <c r="G499" s="53" t="n"/>
      <c r="H499" s="53" t="n"/>
      <c r="I499" s="93" t="n"/>
      <c r="J499" s="2145" t="n"/>
      <c r="K499" s="2145" t="n"/>
      <c r="L499" s="2145" t="n"/>
      <c r="M499" s="2145" t="n"/>
      <c r="N499" s="2145" t="n"/>
    </row>
    <row r="500" customFormat="1" s="1916">
      <c r="A500" s="103" t="n"/>
      <c r="B500" s="103" t="n"/>
      <c r="C500" s="2147" t="n"/>
      <c r="D500" s="2147" t="n"/>
      <c r="E500" s="2147" t="n"/>
      <c r="F500" s="53" t="n"/>
      <c r="G500" s="53" t="n"/>
      <c r="H500" s="103" t="n"/>
      <c r="I500" s="103" t="n"/>
      <c r="J500" s="2147" t="n"/>
      <c r="K500" s="2147" t="n"/>
      <c r="L500" s="2147" t="n"/>
      <c r="M500" s="2147" t="n"/>
      <c r="N500" s="2147" t="n"/>
    </row>
    <row r="501" customFormat="1" s="1916">
      <c r="A501" s="53" t="n"/>
      <c r="B501" s="53" t="n"/>
      <c r="C501" s="2145" t="n"/>
      <c r="D501" s="2145" t="n"/>
      <c r="E501" s="2145" t="n"/>
      <c r="F501" s="53" t="n"/>
      <c r="G501" s="53" t="n"/>
    </row>
    <row r="502" customFormat="1" s="1916">
      <c r="A502" s="53" t="n"/>
      <c r="B502" s="53" t="n"/>
      <c r="C502" s="2145" t="n"/>
      <c r="D502" s="2145" t="n"/>
      <c r="E502" s="2147" t="n"/>
      <c r="F502" s="53" t="n"/>
      <c r="G502" s="53" t="n"/>
    </row>
    <row r="503" customFormat="1" s="1916">
      <c r="A503" s="53" t="n"/>
      <c r="B503" s="53" t="n"/>
      <c r="C503" s="2145" t="n"/>
      <c r="D503" s="2145" t="n"/>
      <c r="E503" s="2145" t="n"/>
      <c r="F503" s="53" t="n"/>
      <c r="G503" s="53" t="n"/>
    </row>
    <row r="504" customFormat="1" s="1916">
      <c r="A504" s="53" t="n"/>
      <c r="B504" s="53" t="n"/>
      <c r="C504" s="2145" t="n"/>
      <c r="D504" s="2145" t="n"/>
      <c r="E504" s="2145" t="n"/>
      <c r="F504" s="53" t="n"/>
      <c r="G504" s="53" t="n"/>
    </row>
    <row r="505" customFormat="1" s="1916">
      <c r="A505" s="53" t="n"/>
      <c r="B505" s="112" t="n"/>
      <c r="C505" s="2145" t="n"/>
      <c r="D505" s="2145" t="n"/>
      <c r="E505" s="2145" t="n"/>
      <c r="F505" s="53" t="n"/>
      <c r="G505" s="53" t="n"/>
    </row>
    <row r="506" customFormat="1" s="1916">
      <c r="A506" s="53" t="n"/>
      <c r="B506" s="112" t="n"/>
      <c r="C506" s="2145" t="n"/>
      <c r="D506" s="2145" t="n"/>
      <c r="E506" s="2145" t="n"/>
      <c r="F506" s="53" t="n"/>
      <c r="G506" s="53" t="n"/>
    </row>
    <row r="507" customFormat="1" s="1916">
      <c r="A507" s="53" t="n"/>
      <c r="B507" s="113" t="n"/>
      <c r="C507" s="2145" t="n"/>
      <c r="D507" s="2145" t="n"/>
      <c r="E507" s="2145" t="n"/>
      <c r="F507" s="53" t="n"/>
      <c r="G507" s="53" t="n"/>
    </row>
    <row r="508" customFormat="1" s="1916">
      <c r="A508" s="53" t="n"/>
      <c r="B508" s="113" t="n"/>
      <c r="C508" s="2145" t="n"/>
      <c r="D508" s="2145" t="n"/>
      <c r="E508" s="2145" t="n"/>
      <c r="F508" s="53" t="n"/>
      <c r="G508" s="53" t="n"/>
    </row>
    <row r="509" customFormat="1" s="1916">
      <c r="A509" s="53" t="n"/>
      <c r="B509" s="113" t="n"/>
      <c r="C509" s="2145" t="n"/>
      <c r="D509" s="2145" t="n"/>
      <c r="E509" s="2145" t="n"/>
      <c r="F509" s="53" t="n"/>
      <c r="G509" s="53" t="n"/>
    </row>
    <row r="510" customFormat="1" s="1916">
      <c r="A510" s="53" t="n"/>
      <c r="B510" s="113" t="n"/>
      <c r="C510" s="2145" t="n"/>
      <c r="D510" s="2145" t="n"/>
      <c r="E510" s="2145" t="n"/>
      <c r="F510" s="53" t="n"/>
      <c r="G510" s="53" t="n"/>
    </row>
    <row r="511" customFormat="1" s="1916">
      <c r="A511" s="53" t="n"/>
      <c r="B511" s="112" t="n"/>
      <c r="C511" s="2145" t="n"/>
      <c r="D511" s="2145" t="n"/>
      <c r="E511" s="2145" t="n"/>
      <c r="F511" s="53" t="n"/>
      <c r="G511" s="53" t="n"/>
    </row>
    <row r="512" customFormat="1" s="1916">
      <c r="A512" s="53" t="n"/>
      <c r="B512" s="112" t="n"/>
      <c r="C512" s="2145" t="n"/>
      <c r="D512" s="2145" t="n"/>
      <c r="E512" s="2145" t="n"/>
      <c r="F512" s="53" t="n"/>
      <c r="G512" s="53" t="n"/>
    </row>
    <row r="513" customFormat="1" s="1916">
      <c r="A513" s="53" t="n"/>
      <c r="B513" s="112" t="n"/>
      <c r="C513" s="2145" t="n"/>
      <c r="D513" s="2145" t="n"/>
      <c r="E513" s="2149" t="n"/>
      <c r="F513" s="53" t="n"/>
      <c r="G513" s="53" t="n"/>
      <c r="Q513" s="53" t="n"/>
    </row>
    <row r="514" customFormat="1" s="1916">
      <c r="A514" s="53" t="n"/>
      <c r="B514" s="113" t="n"/>
      <c r="C514" s="2145" t="n"/>
      <c r="D514" s="2145" t="n"/>
      <c r="E514" s="2145" t="n"/>
      <c r="F514" s="53" t="n"/>
      <c r="G514" s="53" t="n"/>
      <c r="H514" s="53" t="n"/>
      <c r="J514" s="2154" t="n"/>
      <c r="Q514" s="53" t="n"/>
    </row>
    <row r="515" customFormat="1" s="1916">
      <c r="A515" s="53" t="n"/>
      <c r="B515" s="53" t="n"/>
      <c r="C515" s="2145" t="n"/>
      <c r="D515" s="2145" t="n"/>
      <c r="E515" s="2145" t="n"/>
      <c r="F515" s="2145" t="n"/>
      <c r="G515" s="2145" t="n"/>
      <c r="Q515" s="53" t="n"/>
    </row>
    <row r="516" customFormat="1" s="1916">
      <c r="A516" s="53" t="n"/>
      <c r="B516" s="53" t="n"/>
      <c r="C516" s="2145" t="n"/>
      <c r="D516" s="2145" t="n"/>
      <c r="E516" s="2145" t="n"/>
      <c r="G516" s="540" t="n"/>
      <c r="Q516" s="53" t="n"/>
    </row>
    <row r="517" customFormat="1" s="1916">
      <c r="E517" s="2145" t="n"/>
    </row>
    <row r="518" customFormat="1" s="1916"/>
    <row r="519" customFormat="1" s="1916"/>
    <row r="520" customFormat="1" s="1916">
      <c r="A520" s="53" t="n"/>
      <c r="B520" s="53" t="n"/>
      <c r="C520" s="53" t="n"/>
      <c r="D520" s="53" t="n"/>
      <c r="E520" s="53" t="n"/>
      <c r="O520" s="53" t="n"/>
      <c r="P520" s="53" t="n"/>
      <c r="Q520" s="53" t="n"/>
      <c r="R520" s="53" t="n"/>
      <c r="S520" s="53" t="n"/>
    </row>
    <row r="521" customFormat="1" s="1916">
      <c r="A521" s="53" t="n"/>
      <c r="B521" s="53" t="n"/>
      <c r="C521" s="53" t="n"/>
      <c r="D521" s="53" t="n"/>
      <c r="E521" s="53" t="n"/>
      <c r="F521" s="53" t="n"/>
      <c r="G521" s="53" t="n"/>
      <c r="O521" s="53" t="n"/>
      <c r="P521" s="53" t="n"/>
      <c r="Q521" s="53" t="n"/>
      <c r="R521" s="53" t="n"/>
      <c r="S521" s="2145" t="n"/>
    </row>
    <row r="522" customFormat="1" s="1916">
      <c r="A522" s="53" t="n"/>
      <c r="B522" s="2155" t="n"/>
      <c r="C522" s="2145" t="n"/>
      <c r="D522" s="2145" t="n"/>
      <c r="E522" s="2145" t="n"/>
      <c r="F522" s="2285" t="n"/>
      <c r="G522" s="53" t="n"/>
      <c r="O522" s="53" t="n"/>
      <c r="P522" s="53" t="n"/>
      <c r="Q522" s="2145" t="n"/>
      <c r="R522" s="2145" t="n"/>
      <c r="S522" s="2145" t="n"/>
    </row>
    <row r="523" customFormat="1" s="1916">
      <c r="A523" s="53" t="n"/>
      <c r="B523" s="53" t="n"/>
      <c r="C523" s="2145" t="n"/>
      <c r="D523" s="2145" t="n"/>
      <c r="E523" s="2145" t="n"/>
      <c r="F523" s="53" t="n"/>
      <c r="G523" s="53" t="n"/>
      <c r="O523" s="53" t="n"/>
      <c r="P523" s="53" t="n"/>
      <c r="Q523" s="2145" t="n"/>
      <c r="R523" s="2285" t="n"/>
      <c r="S523" s="2145" t="n"/>
    </row>
    <row r="524" customFormat="1" s="1916">
      <c r="A524" s="53" t="n"/>
      <c r="B524" s="53" t="n"/>
      <c r="C524" s="2145" t="n"/>
      <c r="D524" s="2145" t="n"/>
      <c r="E524" s="2145" t="n"/>
      <c r="F524" s="53" t="n"/>
      <c r="G524" s="53" t="n"/>
      <c r="O524" s="53" t="n"/>
      <c r="P524" s="53" t="n"/>
      <c r="Q524" s="2145" t="n"/>
      <c r="R524" s="2285" t="n"/>
      <c r="S524" s="2145" t="n"/>
    </row>
    <row r="525" customFormat="1" s="1916">
      <c r="A525" s="53" t="n"/>
      <c r="B525" s="53" t="n"/>
      <c r="C525" s="2145" t="n"/>
      <c r="D525" s="2145" t="n"/>
      <c r="E525" s="2145" t="n"/>
      <c r="F525" s="53" t="n"/>
      <c r="G525" s="53" t="n"/>
      <c r="O525" s="53" t="n"/>
      <c r="P525" s="2145" t="n"/>
      <c r="Q525" s="2149" t="n"/>
      <c r="R525" s="53" t="n"/>
      <c r="S525" s="53" t="n"/>
      <c r="T525" s="53" t="n"/>
      <c r="U525" s="53" t="n"/>
      <c r="V525" s="53" t="n"/>
    </row>
    <row r="526" customFormat="1" s="1916">
      <c r="A526" s="53" t="n"/>
      <c r="B526" s="53" t="n"/>
      <c r="C526" s="2145" t="n"/>
      <c r="D526" s="2145" t="n"/>
      <c r="E526" s="2145" t="n"/>
      <c r="F526" s="53" t="n"/>
      <c r="G526" s="53" t="n"/>
      <c r="O526" s="53" t="n"/>
      <c r="P526" s="53" t="n"/>
      <c r="Q526" s="2149" t="n"/>
      <c r="R526" s="53" t="n"/>
      <c r="S526" s="53" t="n"/>
      <c r="T526" s="2145" t="n"/>
      <c r="U526" s="2145" t="n"/>
      <c r="V526" s="53" t="n"/>
    </row>
    <row r="527" customFormat="1" s="1916">
      <c r="A527" s="53" t="n"/>
      <c r="B527" s="53" t="n"/>
      <c r="C527" s="2145" t="n"/>
      <c r="D527" s="2145" t="n"/>
      <c r="E527" s="2145" t="n"/>
      <c r="F527" s="53" t="n"/>
      <c r="G527" s="53" t="n"/>
      <c r="O527" s="53" t="n"/>
      <c r="P527" s="53" t="n"/>
      <c r="Q527" s="2149" t="n"/>
      <c r="R527" s="53" t="n"/>
      <c r="S527" s="53" t="n"/>
      <c r="T527" s="2145" t="n"/>
      <c r="U527" s="2145" t="n"/>
      <c r="V527" s="53" t="n"/>
    </row>
    <row r="528" customFormat="1" s="1916">
      <c r="A528" s="53" t="n"/>
      <c r="B528" s="53" t="n"/>
      <c r="C528" s="2145" t="n"/>
      <c r="D528" s="2145" t="n"/>
      <c r="E528" s="2145" t="n"/>
      <c r="F528" s="53" t="n"/>
      <c r="G528" s="53" t="n"/>
      <c r="O528" s="53" t="n"/>
      <c r="P528" s="53" t="n"/>
      <c r="Q528" s="2149" t="n"/>
      <c r="R528" s="53" t="n"/>
      <c r="S528" s="53" t="n"/>
      <c r="T528" s="2145" t="n"/>
      <c r="U528" s="2145" t="n"/>
      <c r="V528" s="53" t="n"/>
    </row>
    <row r="529" customFormat="1" s="1916">
      <c r="A529" s="53" t="n"/>
      <c r="B529" s="53" t="n"/>
      <c r="C529" s="2145" t="n"/>
      <c r="D529" s="2145" t="n"/>
      <c r="E529" s="2145" t="n"/>
      <c r="F529" s="53" t="n"/>
      <c r="G529" s="53" t="n"/>
      <c r="O529" s="53" t="n"/>
      <c r="P529" s="53" t="n"/>
      <c r="Q529" s="2149" t="n"/>
      <c r="R529" s="53" t="n"/>
      <c r="S529" s="53" t="n"/>
      <c r="T529" s="2145" t="n"/>
      <c r="U529" s="2145" t="n"/>
      <c r="V529" s="53" t="n"/>
    </row>
    <row r="530" customFormat="1" s="1916">
      <c r="A530" s="53" t="n"/>
      <c r="B530" s="53" t="n"/>
      <c r="C530" s="2145" t="n"/>
      <c r="D530" s="2145" t="n"/>
      <c r="E530" s="2145" t="n"/>
      <c r="F530" s="53" t="n"/>
      <c r="G530" s="53" t="n"/>
      <c r="O530" s="53" t="n"/>
      <c r="P530" s="53" t="n"/>
      <c r="Q530" s="2149" t="n"/>
      <c r="R530" s="53" t="n"/>
      <c r="S530" s="53" t="n"/>
      <c r="T530" s="53" t="n"/>
      <c r="U530" s="53" t="n"/>
      <c r="V530" s="53" t="n"/>
    </row>
    <row r="531" customFormat="1" s="1916">
      <c r="A531" s="53" t="n"/>
      <c r="B531" s="53" t="n"/>
      <c r="C531" s="2145" t="n"/>
      <c r="D531" s="2145" t="n"/>
      <c r="E531" s="2145" t="n"/>
      <c r="F531" s="53" t="n"/>
      <c r="G531" s="53" t="n"/>
      <c r="O531" s="53" t="n"/>
      <c r="P531" s="53" t="n"/>
      <c r="Q531" s="2149" t="n"/>
      <c r="R531" s="53" t="n"/>
      <c r="S531" s="53" t="n"/>
      <c r="T531" s="53" t="n"/>
      <c r="U531" s="53" t="n"/>
      <c r="V531" s="53" t="n"/>
    </row>
    <row r="532" customFormat="1" s="1916">
      <c r="A532" s="53" t="n"/>
      <c r="B532" s="53" t="n"/>
      <c r="C532" s="2145" t="n"/>
      <c r="D532" s="2145" t="n"/>
      <c r="E532" s="2145" t="n"/>
      <c r="F532" s="53" t="n"/>
      <c r="G532" s="53" t="n"/>
      <c r="T532" s="53" t="n"/>
      <c r="U532" s="53" t="n"/>
      <c r="V532" s="53" t="n"/>
    </row>
    <row r="533" customFormat="1" s="1916">
      <c r="A533" s="53" t="n"/>
      <c r="B533" s="53" t="n"/>
      <c r="C533" s="2145" t="n"/>
      <c r="D533" s="2145" t="n"/>
      <c r="E533" s="2145" t="n"/>
      <c r="F533" s="53" t="n"/>
      <c r="G533" s="53" t="n"/>
      <c r="T533" s="53" t="n"/>
      <c r="U533" s="53" t="n"/>
      <c r="V533" s="53" t="n"/>
    </row>
    <row r="534" customFormat="1" s="1916">
      <c r="A534" s="53" t="n"/>
      <c r="B534" s="53" t="n"/>
      <c r="C534" s="2145" t="n"/>
      <c r="D534" s="2145" t="n"/>
      <c r="E534" s="2145" t="n"/>
      <c r="F534" s="2285" t="n"/>
      <c r="G534" s="53" t="n"/>
      <c r="T534" s="53" t="n"/>
      <c r="U534" s="53" t="n"/>
      <c r="V534" s="53" t="n"/>
    </row>
    <row r="535" customFormat="1" s="1916">
      <c r="A535" s="53" t="n"/>
      <c r="B535" s="53" t="n"/>
      <c r="C535" s="2145" t="n"/>
      <c r="D535" s="2145" t="n"/>
      <c r="E535" s="2145" t="n"/>
      <c r="F535" s="53" t="n"/>
      <c r="G535" s="53" t="n"/>
      <c r="T535" s="53" t="n"/>
      <c r="U535" s="53" t="n"/>
      <c r="V535" s="53" t="n"/>
    </row>
    <row r="536" customFormat="1" s="1916">
      <c r="A536" s="53" t="n"/>
      <c r="B536" s="53" t="n"/>
      <c r="C536" s="2145" t="n"/>
      <c r="D536" s="2145" t="n"/>
      <c r="E536" s="2145" t="n"/>
      <c r="F536" s="53" t="n"/>
      <c r="G536" s="53" t="n"/>
      <c r="T536" s="53" t="n"/>
      <c r="U536" s="53" t="n"/>
      <c r="V536" s="53" t="n"/>
    </row>
    <row r="537" customFormat="1" s="1916">
      <c r="A537" s="53" t="n"/>
      <c r="B537" s="53" t="n"/>
      <c r="C537" s="2145" t="n"/>
      <c r="D537" s="2145" t="n"/>
      <c r="E537" s="2145" t="n"/>
      <c r="F537" s="53" t="n"/>
      <c r="G537" s="53" t="n"/>
    </row>
    <row r="538" customFormat="1" s="1916">
      <c r="A538" s="53" t="n"/>
      <c r="B538" s="53" t="n"/>
      <c r="C538" s="2145" t="n"/>
      <c r="D538" s="2145" t="n"/>
      <c r="E538" s="2145" t="n"/>
      <c r="F538" s="53" t="n"/>
      <c r="G538" s="53" t="n"/>
    </row>
    <row r="539" customFormat="1" s="1916">
      <c r="A539" s="103" t="n"/>
      <c r="B539" s="103" t="n"/>
      <c r="C539" s="2147" t="n"/>
      <c r="D539" s="2147" t="n"/>
      <c r="E539" s="2147" t="n"/>
      <c r="F539" s="53" t="n"/>
      <c r="G539" s="53" t="n"/>
    </row>
    <row r="540" customFormat="1" s="1916">
      <c r="A540" s="103" t="n"/>
      <c r="B540" s="105" t="n"/>
      <c r="C540" s="2147" t="n"/>
      <c r="D540" s="2147" t="n"/>
      <c r="E540" s="2147" t="n"/>
      <c r="F540" s="53" t="n"/>
      <c r="G540" s="53" t="n"/>
    </row>
    <row r="541" customFormat="1" s="1916">
      <c r="A541" s="103" t="n"/>
      <c r="B541" s="103" t="n"/>
      <c r="C541" s="2147" t="n"/>
      <c r="D541" s="2147" t="n"/>
      <c r="E541" s="2147" t="n"/>
      <c r="F541" s="53" t="n"/>
      <c r="G541" s="53" t="n"/>
    </row>
    <row r="542" customFormat="1" s="1916">
      <c r="A542" s="103" t="n"/>
      <c r="B542" s="105" t="n"/>
      <c r="C542" s="2147" t="n"/>
      <c r="D542" s="2147" t="n"/>
      <c r="E542" s="2147" t="n"/>
      <c r="F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</row>
    <row r="543" customFormat="1" s="1916">
      <c r="A543" s="53" t="n"/>
      <c r="B543" s="53" t="n"/>
      <c r="C543" s="2145" t="n"/>
      <c r="D543" s="2145" t="n"/>
      <c r="E543" s="2145" t="n"/>
      <c r="F543" s="53" t="n"/>
      <c r="H543" s="53" t="n"/>
      <c r="I543" s="53" t="n"/>
      <c r="J543" s="53" t="n"/>
      <c r="K543" s="106" t="n"/>
      <c r="L543" s="106" t="n"/>
      <c r="M543" s="106" t="n"/>
      <c r="N543" s="106" t="n"/>
      <c r="O543" s="106" t="n"/>
    </row>
    <row r="544" customFormat="1" s="1916">
      <c r="A544" s="3" t="n"/>
      <c r="B544" s="2285" t="n"/>
      <c r="C544" s="3" t="n"/>
      <c r="D544" s="3" t="n"/>
      <c r="E544" s="2285" t="n"/>
      <c r="F544" s="107" t="n"/>
      <c r="H544" s="53" t="n"/>
      <c r="I544" s="540" t="n"/>
      <c r="J544" s="53" t="n"/>
      <c r="K544" s="106" t="n"/>
      <c r="L544" s="106" t="n"/>
      <c r="M544" s="106" t="n"/>
      <c r="N544" s="106" t="n"/>
      <c r="O544" s="106" t="n"/>
    </row>
    <row r="545" customFormat="1" s="1916">
      <c r="A545" s="53" t="n"/>
      <c r="B545" s="53" t="n"/>
      <c r="C545" s="53" t="n"/>
      <c r="D545" s="53" t="n"/>
      <c r="E545" s="53" t="n"/>
      <c r="F545" s="107" t="n"/>
      <c r="H545" s="53" t="n"/>
      <c r="I545" s="53" t="n"/>
      <c r="J545" s="53" t="n"/>
      <c r="K545" s="2145" t="n"/>
      <c r="L545" s="2145" t="n"/>
      <c r="M545" s="2145" t="n"/>
      <c r="N545" s="2145" t="n"/>
      <c r="O545" s="53" t="n"/>
    </row>
    <row r="546" customFormat="1" s="1916">
      <c r="A546" s="53" t="n"/>
      <c r="B546" s="53" t="n"/>
      <c r="C546" s="53" t="n"/>
      <c r="D546" s="53" t="n"/>
      <c r="E546" s="106" t="n"/>
      <c r="F546" s="106" t="n"/>
      <c r="H546" s="53" t="n"/>
      <c r="I546" s="93" t="n"/>
      <c r="J546" s="2145" t="n"/>
      <c r="K546" s="2145" t="n"/>
      <c r="L546" s="2145" t="n"/>
      <c r="M546" s="2145" t="n"/>
      <c r="N546" s="2145" t="n"/>
      <c r="O546" s="106" t="n"/>
    </row>
    <row r="547" customFormat="1" s="1916">
      <c r="A547" s="53" t="n"/>
      <c r="B547" s="53" t="n"/>
      <c r="C547" s="53" t="n"/>
      <c r="D547" s="53" t="n"/>
      <c r="E547" s="53" t="n"/>
      <c r="F547" s="53" t="n"/>
      <c r="H547" s="53" t="n"/>
      <c r="I547" s="93" t="n"/>
      <c r="J547" s="2145" t="n"/>
      <c r="K547" s="2145" t="n"/>
      <c r="L547" s="2145" t="n"/>
      <c r="M547" s="2145" t="n"/>
      <c r="N547" s="2145" t="n"/>
      <c r="O547" s="53" t="n"/>
    </row>
    <row r="548" customFormat="1" s="1916">
      <c r="A548" s="53" t="n"/>
      <c r="B548" s="53" t="n"/>
      <c r="C548" s="53" t="n"/>
      <c r="D548" s="53" t="n"/>
      <c r="E548" s="106" t="n"/>
      <c r="F548" s="106" t="n"/>
      <c r="H548" s="53" t="n"/>
      <c r="I548" s="93" t="n"/>
      <c r="J548" s="2145" t="n"/>
      <c r="K548" s="2145" t="n"/>
      <c r="L548" s="2145" t="n"/>
      <c r="M548" s="2145" t="n"/>
      <c r="N548" s="2145" t="n"/>
      <c r="O548" s="106" t="n"/>
    </row>
    <row r="549" customFormat="1" s="1916">
      <c r="A549" s="53" t="n"/>
      <c r="B549" s="53" t="n"/>
      <c r="C549" s="53" t="n"/>
      <c r="D549" s="53" t="n"/>
      <c r="E549" s="2286" t="n"/>
      <c r="F549" s="2286" t="n"/>
      <c r="G549" s="53" t="n"/>
      <c r="H549" s="103" t="n"/>
      <c r="I549" s="103" t="n"/>
      <c r="J549" s="2147" t="n"/>
      <c r="K549" s="2147" t="n"/>
      <c r="L549" s="2147" t="n"/>
      <c r="M549" s="2145" t="n"/>
      <c r="N549" s="2145" t="n"/>
      <c r="O549" s="106" t="n"/>
    </row>
    <row r="550" customFormat="1" s="1916">
      <c r="A550" s="53" t="n"/>
      <c r="B550" s="53" t="n"/>
      <c r="C550" s="2145" t="n"/>
      <c r="D550" s="2145" t="n"/>
      <c r="E550" s="2145" t="n"/>
      <c r="F550" s="2145" t="n"/>
      <c r="G550" s="53" t="n"/>
      <c r="H550" s="53" t="n"/>
      <c r="I550" s="53" t="n"/>
    </row>
    <row r="551" customFormat="1" s="1916">
      <c r="A551" s="53" t="n"/>
      <c r="B551" s="53" t="n"/>
      <c r="C551" s="53" t="n"/>
      <c r="D551" s="53" t="n"/>
      <c r="E551" s="2145" t="n"/>
      <c r="F551" s="53" t="n"/>
      <c r="G551" s="53" t="n"/>
      <c r="H551" s="110" t="n"/>
      <c r="I551" s="53" t="n"/>
      <c r="J551" s="53" t="n"/>
      <c r="K551" s="2145" t="n"/>
      <c r="L551" s="2145" t="n"/>
      <c r="M551" s="2145" t="n"/>
      <c r="N551" s="2145" t="n"/>
    </row>
    <row r="552" customFormat="1" s="1916">
      <c r="A552" s="53" t="n"/>
      <c r="B552" s="93" t="n"/>
      <c r="C552" s="2145" t="n"/>
      <c r="D552" s="2145" t="n"/>
      <c r="E552" s="2145" t="n"/>
      <c r="F552" s="53" t="n"/>
      <c r="G552" s="53" t="n"/>
      <c r="H552" s="2285" t="n"/>
      <c r="I552" s="93" t="n"/>
      <c r="J552" s="2145" t="n"/>
      <c r="K552" s="2145" t="n"/>
      <c r="L552" s="2145" t="n"/>
      <c r="M552" s="2145" t="n"/>
      <c r="N552" s="2145" t="n"/>
    </row>
    <row r="553" customFormat="1" s="1916">
      <c r="A553" s="53" t="n"/>
      <c r="B553" s="93" t="n"/>
      <c r="C553" s="2145" t="n"/>
      <c r="D553" s="2145" t="n"/>
      <c r="E553" s="2145" t="n"/>
      <c r="F553" s="53" t="n"/>
      <c r="G553" s="53" t="n"/>
      <c r="H553" s="53" t="n"/>
      <c r="I553" s="93" t="n"/>
      <c r="J553" s="2145" t="n"/>
      <c r="K553" s="2145" t="n"/>
      <c r="L553" s="2145" t="n"/>
      <c r="M553" s="2145" t="n"/>
      <c r="N553" s="2145" t="n"/>
    </row>
    <row r="554" customFormat="1" s="1916">
      <c r="A554" s="53" t="n"/>
      <c r="B554" s="93" t="n"/>
      <c r="C554" s="2145" t="n"/>
      <c r="D554" s="2145" t="n"/>
      <c r="E554" s="2145" t="n"/>
      <c r="F554" s="53" t="n"/>
      <c r="G554" s="53" t="n"/>
      <c r="H554" s="53" t="n"/>
      <c r="I554" s="93" t="n"/>
      <c r="J554" s="2145" t="n"/>
      <c r="K554" s="2145" t="n"/>
      <c r="L554" s="2145" t="n"/>
      <c r="M554" s="2145" t="n"/>
      <c r="N554" s="2145" t="n"/>
    </row>
    <row r="555" customFormat="1" s="1916">
      <c r="A555" s="53" t="n"/>
      <c r="B555" s="93" t="n"/>
      <c r="C555" s="2145" t="n"/>
      <c r="D555" s="2145" t="n"/>
      <c r="E555" s="2145" t="n"/>
      <c r="F555" s="111" t="n"/>
      <c r="G555" s="53" t="n"/>
      <c r="H555" s="53" t="n"/>
      <c r="I555" s="93" t="n"/>
      <c r="J555" s="2145" t="n"/>
      <c r="K555" s="2145" t="n"/>
      <c r="L555" s="2145" t="n"/>
      <c r="M555" s="2145" t="n"/>
      <c r="N555" s="2145" t="n"/>
    </row>
    <row r="556" customFormat="1" s="1916">
      <c r="A556" s="53" t="n"/>
      <c r="B556" s="93" t="n"/>
      <c r="C556" s="2145" t="n"/>
      <c r="D556" s="2145" t="n"/>
      <c r="E556" s="2145" t="n"/>
      <c r="F556" s="111" t="n"/>
      <c r="G556" s="53" t="n"/>
      <c r="H556" s="53" t="n"/>
      <c r="I556" s="93" t="n"/>
      <c r="J556" s="2145" t="n"/>
      <c r="K556" s="2145" t="n"/>
      <c r="L556" s="2145" t="n"/>
      <c r="M556" s="2145" t="n"/>
      <c r="N556" s="2145" t="n"/>
    </row>
    <row r="557" customFormat="1" s="1916">
      <c r="A557" s="53" t="n"/>
      <c r="B557" s="93" t="n"/>
      <c r="C557" s="2145" t="n"/>
      <c r="D557" s="2145" t="n"/>
      <c r="E557" s="2145" t="n"/>
      <c r="F557" s="53" t="n"/>
      <c r="G557" s="53" t="n"/>
      <c r="H557" s="53" t="n"/>
      <c r="I557" s="93" t="n"/>
      <c r="J557" s="2145" t="n"/>
      <c r="K557" s="2145" t="n"/>
      <c r="L557" s="2145" t="n"/>
      <c r="M557" s="2145" t="n"/>
      <c r="N557" s="2145" t="n"/>
    </row>
    <row r="558" customFormat="1" s="1916">
      <c r="A558" s="53" t="n"/>
      <c r="B558" s="93" t="n"/>
      <c r="C558" s="2145" t="n"/>
      <c r="D558" s="2145" t="n"/>
      <c r="E558" s="2145" t="n"/>
      <c r="F558" s="53" t="n"/>
      <c r="G558" s="53" t="n"/>
      <c r="H558" s="53" t="n"/>
      <c r="I558" s="93" t="n"/>
      <c r="J558" s="2145" t="n"/>
      <c r="K558" s="2145" t="n"/>
      <c r="L558" s="2145" t="n"/>
      <c r="M558" s="2145" t="n"/>
      <c r="N558" s="2145" t="n"/>
    </row>
    <row r="559" customFormat="1" s="1916">
      <c r="A559" s="103" t="n"/>
      <c r="B559" s="103" t="n"/>
      <c r="C559" s="2147" t="n"/>
      <c r="D559" s="2147" t="n"/>
      <c r="E559" s="2147" t="n"/>
      <c r="F559" s="53" t="n"/>
      <c r="G559" s="53" t="n"/>
      <c r="H559" s="103" t="n"/>
      <c r="I559" s="103" t="n"/>
      <c r="J559" s="2147" t="n"/>
      <c r="K559" s="2147" t="n"/>
      <c r="L559" s="2147" t="n"/>
      <c r="M559" s="2147" t="n"/>
      <c r="N559" s="2147" t="n"/>
    </row>
    <row r="560" customFormat="1" s="1916">
      <c r="A560" s="53" t="n"/>
      <c r="B560" s="53" t="n"/>
      <c r="C560" s="2145" t="n"/>
      <c r="D560" s="2145" t="n"/>
      <c r="E560" s="2145" t="n"/>
      <c r="F560" s="53" t="n"/>
      <c r="G560" s="53" t="n"/>
    </row>
    <row r="561" customFormat="1" s="1916">
      <c r="A561" s="53" t="n"/>
      <c r="B561" s="53" t="n"/>
      <c r="C561" s="2145" t="n"/>
      <c r="D561" s="2145" t="n"/>
      <c r="E561" s="2147" t="n"/>
      <c r="F561" s="53" t="n"/>
      <c r="G561" s="53" t="n"/>
    </row>
    <row r="562" customFormat="1" s="1916">
      <c r="A562" s="53" t="n"/>
      <c r="B562" s="53" t="n"/>
      <c r="C562" s="2145" t="n"/>
      <c r="D562" s="2145" t="n"/>
      <c r="E562" s="2145" t="n"/>
      <c r="F562" s="53" t="n"/>
      <c r="G562" s="53" t="n"/>
    </row>
    <row r="563" customFormat="1" s="1916">
      <c r="A563" s="53" t="n"/>
      <c r="B563" s="53" t="n"/>
      <c r="C563" s="2145" t="n"/>
      <c r="D563" s="2145" t="n"/>
      <c r="E563" s="2145" t="n"/>
      <c r="F563" s="53" t="n"/>
      <c r="G563" s="53" t="n"/>
    </row>
    <row r="564" customFormat="1" s="1916">
      <c r="A564" s="53" t="n"/>
      <c r="B564" s="112" t="n"/>
      <c r="C564" s="2145" t="n"/>
      <c r="D564" s="2145" t="n"/>
      <c r="E564" s="2145" t="n"/>
      <c r="F564" s="53" t="n"/>
      <c r="G564" s="53" t="n"/>
    </row>
    <row r="565" customFormat="1" s="1916">
      <c r="A565" s="53" t="n"/>
      <c r="B565" s="112" t="n"/>
      <c r="C565" s="2145" t="n"/>
      <c r="D565" s="2145" t="n"/>
      <c r="E565" s="2145" t="n"/>
      <c r="F565" s="53" t="n"/>
      <c r="G565" s="53" t="n"/>
    </row>
    <row r="566" customFormat="1" s="1916">
      <c r="A566" s="53" t="n"/>
      <c r="B566" s="113" t="n"/>
      <c r="C566" s="2145" t="n"/>
      <c r="D566" s="2145" t="n"/>
      <c r="E566" s="2145" t="n"/>
      <c r="F566" s="53" t="n"/>
      <c r="G566" s="53" t="n"/>
    </row>
    <row r="567" customFormat="1" s="1916">
      <c r="A567" s="53" t="n"/>
      <c r="B567" s="113" t="n"/>
      <c r="C567" s="2145" t="n"/>
      <c r="D567" s="2145" t="n"/>
      <c r="E567" s="2145" t="n"/>
      <c r="F567" s="53" t="n"/>
      <c r="G567" s="53" t="n"/>
    </row>
    <row r="568" customFormat="1" s="1916">
      <c r="A568" s="53" t="n"/>
      <c r="B568" s="113" t="n"/>
      <c r="C568" s="2145" t="n"/>
      <c r="D568" s="2145" t="n"/>
      <c r="E568" s="2145" t="n"/>
      <c r="F568" s="53" t="n"/>
      <c r="G568" s="53" t="n"/>
    </row>
    <row r="569" customFormat="1" s="1916">
      <c r="A569" s="53" t="n"/>
      <c r="B569" s="113" t="n"/>
      <c r="C569" s="2145" t="n"/>
      <c r="D569" s="2145" t="n"/>
      <c r="E569" s="2145" t="n"/>
      <c r="F569" s="53" t="n"/>
      <c r="G569" s="53" t="n"/>
    </row>
    <row r="570" customFormat="1" s="1916">
      <c r="A570" s="53" t="n"/>
      <c r="B570" s="112" t="n"/>
      <c r="C570" s="2145" t="n"/>
      <c r="D570" s="2145" t="n"/>
      <c r="E570" s="2145" t="n"/>
      <c r="F570" s="53" t="n"/>
      <c r="G570" s="53" t="n"/>
    </row>
    <row r="571" customFormat="1" s="1916">
      <c r="A571" s="53" t="n"/>
      <c r="B571" s="112" t="n"/>
      <c r="C571" s="2145" t="n"/>
      <c r="D571" s="2145" t="n"/>
      <c r="E571" s="2145" t="n"/>
      <c r="F571" s="53" t="n"/>
      <c r="G571" s="53" t="n"/>
    </row>
    <row r="572" customFormat="1" s="1916">
      <c r="A572" s="53" t="n"/>
      <c r="B572" s="112" t="n"/>
      <c r="C572" s="2145" t="n"/>
      <c r="D572" s="2145" t="n"/>
      <c r="E572" s="2149" t="n"/>
      <c r="F572" s="53" t="n"/>
      <c r="G572" s="53" t="n"/>
      <c r="Q572" s="53" t="n"/>
    </row>
    <row r="573" customFormat="1" s="1916">
      <c r="A573" s="53" t="n"/>
      <c r="B573" s="113" t="n"/>
      <c r="C573" s="2145" t="n"/>
      <c r="D573" s="2145" t="n"/>
      <c r="E573" s="2145" t="n"/>
      <c r="F573" s="53" t="n"/>
      <c r="G573" s="53" t="n"/>
      <c r="H573" s="53" t="n"/>
      <c r="J573" s="2154" t="n"/>
      <c r="Q573" s="53" t="n"/>
    </row>
    <row r="574" customFormat="1" s="1916">
      <c r="A574" s="53" t="n"/>
      <c r="B574" s="53" t="n"/>
      <c r="C574" s="2145" t="n"/>
      <c r="D574" s="2145" t="n"/>
      <c r="E574" s="2145" t="n"/>
      <c r="F574" s="2145" t="n"/>
      <c r="G574" s="2145" t="n"/>
      <c r="Q574" s="53" t="n"/>
    </row>
    <row r="575" customFormat="1" s="1916">
      <c r="A575" s="53" t="n"/>
      <c r="B575" s="53" t="n"/>
      <c r="C575" s="2145" t="n"/>
      <c r="D575" s="2145" t="n"/>
      <c r="E575" s="2145" t="n"/>
      <c r="G575" s="540" t="n"/>
      <c r="Q575" s="53" t="n"/>
    </row>
    <row r="576" customFormat="1" s="1916">
      <c r="E576" s="2145" t="n"/>
    </row>
    <row r="577" customFormat="1" s="1916"/>
    <row r="578" customFormat="1" s="1916"/>
    <row r="579" customFormat="1" s="1916"/>
    <row r="580" customFormat="1" s="1916"/>
    <row r="581" customFormat="1" s="1916"/>
    <row r="582" customFormat="1" s="1916"/>
    <row r="583" customFormat="1" s="1916"/>
    <row r="584">
      <c r="T584" s="1916" t="n"/>
      <c r="U584" s="1916" t="n"/>
      <c r="V584" s="1916" t="n"/>
      <c r="W584" s="191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5">
    <mergeCell ref="G43:G44"/>
    <mergeCell ref="H8:I8"/>
    <mergeCell ref="H47:I47"/>
    <mergeCell ref="J8:K8"/>
    <mergeCell ref="F8:G8"/>
  </mergeCells>
  <conditionalFormatting sqref="A80">
    <cfRule type="expression" priority="4" dxfId="4">
      <formula>$D$8="yes"</formula>
    </cfRule>
  </conditionalFormatting>
  <conditionalFormatting sqref="A80:B80">
    <cfRule type="expression" priority="1" dxfId="4">
      <formula>$D$6="yes"</formula>
    </cfRule>
  </conditionalFormatting>
  <conditionalFormatting sqref="D7">
    <cfRule type="cellIs" priority="7" operator="equal" dxfId="2">
      <formula>"Yes"</formula>
    </cfRule>
  </conditionalFormatting>
  <conditionalFormatting sqref="D8">
    <cfRule type="containsText" priority="13" operator="containsText" dxfId="10" text="Yes">
      <formula>NOT(ISERROR(SEARCH("Yes",D8)))</formula>
    </cfRule>
  </conditionalFormatting>
  <conditionalFormatting sqref="E43">
    <cfRule type="cellIs" priority="6" operator="equal" dxfId="9" stopIfTrue="1">
      <formula>"PW"</formula>
    </cfRule>
  </conditionalFormatting>
  <conditionalFormatting sqref="E80">
    <cfRule type="expression" priority="5" dxfId="4">
      <formula>$D$6="yes"</formula>
    </cfRule>
  </conditionalFormatting>
  <conditionalFormatting sqref="F43">
    <cfRule type="containsText" priority="8" operator="containsText" dxfId="2" text="10 hour days">
      <formula>NOT(ISERROR(SEARCH("10 hour days",F43)))</formula>
    </cfRule>
    <cfRule type="containsText" priority="9" operator="containsText" dxfId="4" text="8 hour days">
      <formula>NOT(ISERROR(SEARCH("8 hour days",F43)))</formula>
    </cfRule>
    <cfRule type="containsText" priority="10" operator="containsText" dxfId="2" text="10 hour days">
      <formula>NOT(ISERROR(SEARCH("10 hour days",F43)))</formula>
    </cfRule>
    <cfRule type="containsText" priority="11" operator="containsText" dxfId="4" text="8 hour days">
      <formula>NOT(ISERROR(SEARCH("8 hour days",F43)))</formula>
    </cfRule>
  </conditionalFormatting>
  <conditionalFormatting sqref="G88">
    <cfRule type="containsText" priority="14" operator="containsText" dxfId="2" text="owner">
      <formula>NOT(ISERROR(SEARCH("owner",G88)))</formula>
    </cfRule>
  </conditionalFormatting>
  <conditionalFormatting sqref="H74">
    <cfRule type="cellIs" priority="2" operator="lessThan" dxfId="2">
      <formula>0</formula>
    </cfRule>
    <cfRule type="cellIs" priority="3" operator="greaterThanOrEqual" dxfId="1">
      <formula>0</formula>
    </cfRule>
  </conditionalFormatting>
  <conditionalFormatting sqref="H39:I39">
    <cfRule type="cellIs" priority="12" operator="notEqual" dxfId="0">
      <formula>FALSE</formula>
    </cfRule>
  </conditionalFormatting>
  <dataValidations disablePrompts="1" count="3">
    <dataValidation sqref="G10 I10 K10" showDropDown="0" showInputMessage="1" showErrorMessage="1" allowBlank="1" type="list">
      <formula1>$W$51:$W$62</formula1>
    </dataValidation>
    <dataValidation sqref="A36" showDropDown="0" showInputMessage="1" showErrorMessage="1" allowBlank="1" type="list">
      <formula1>$O$36:$O$44</formula1>
    </dataValidation>
    <dataValidation sqref="G11 I11 K11" showDropDown="0" showInputMessage="1" showErrorMessage="1" allowBlank="1" type="list">
      <formula1>$P$52:$P$54</formula1>
    </dataValidation>
  </dataValidations>
  <hyperlinks>
    <hyperlink xmlns:r="http://schemas.openxmlformats.org/officeDocument/2006/relationships" ref="A80" r:id="rId1"/>
  </hyperlinks>
  <pageMargins left="0.75" right="0.75" top="0.5" bottom="0.25" header="0.5" footer="0.5"/>
  <pageSetup orientation="portrait" scale="61" horizontalDpi="4294967292" verticalDpi="4294967292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O584"/>
  <sheetViews>
    <sheetView zoomScaleNormal="100" workbookViewId="0">
      <selection activeCell="D12" sqref="D12"/>
    </sheetView>
  </sheetViews>
  <sheetFormatPr baseColWidth="8" defaultColWidth="11" defaultRowHeight="15.6"/>
  <cols>
    <col width="20.296875" customWidth="1" min="1" max="1"/>
    <col width="13.796875" customWidth="1" min="2" max="2"/>
    <col width="13.296875" customWidth="1" min="3" max="4"/>
    <col width="14.296875" customWidth="1" min="5" max="5"/>
    <col width="32.296875" customWidth="1" min="6" max="6"/>
    <col width="18" customWidth="1" min="7" max="7"/>
    <col width="17.796875" customWidth="1" min="8" max="8"/>
    <col width="19.5" customWidth="1" min="9" max="9"/>
    <col width="21.5" customWidth="1" min="10" max="10"/>
    <col width="19.296875" customWidth="1" min="11" max="12"/>
    <col width="12.69921875" customWidth="1" min="13" max="14"/>
    <col width="17.69921875" customWidth="1" min="15" max="15"/>
    <col width="16.69921875" customWidth="1" min="16" max="18"/>
    <col width="15.69921875" bestFit="1" customWidth="1" min="19" max="19"/>
    <col width="12" customWidth="1" min="20" max="20"/>
    <col width="13.796875" customWidth="1" min="21" max="23"/>
    <col width="19" bestFit="1" customWidth="1" min="24" max="24"/>
    <col width="2.69921875" customWidth="1" min="25" max="25"/>
    <col width="13.69921875" bestFit="1" customWidth="1" min="26" max="26"/>
    <col width="22.5" bestFit="1" customWidth="1" min="27" max="27"/>
    <col width="3.296875" customWidth="1" min="28" max="28"/>
    <col width="15.69921875" bestFit="1" customWidth="1" min="29" max="29"/>
    <col width="22.5" bestFit="1" customWidth="1" min="30" max="30"/>
    <col width="11.5" bestFit="1" customWidth="1" min="31" max="31"/>
    <col width="21.69921875" bestFit="1" customWidth="1" min="39" max="39"/>
    <col width="19" bestFit="1" customWidth="1" min="42" max="42"/>
    <col width="22.5" bestFit="1" customWidth="1" min="45" max="45"/>
    <col width="22.5" bestFit="1" customWidth="1" min="48" max="48"/>
    <col width="11.69921875" bestFit="1" customWidth="1" min="51" max="51"/>
    <col width="2.296875" customWidth="1" min="52" max="52"/>
    <col width="2.796875" customWidth="1" min="53" max="53"/>
    <col width="11.69921875" bestFit="1" customWidth="1" min="54" max="54"/>
    <col width="3" customWidth="1" min="55" max="55"/>
    <col width="3.296875" customWidth="1" min="56" max="56"/>
    <col width="11.69921875" bestFit="1" customWidth="1" min="57" max="57"/>
    <col width="2.19921875" customWidth="1" min="58" max="59"/>
    <col width="9" bestFit="1" customWidth="1" min="60" max="60"/>
    <col width="14.796875" bestFit="1" customWidth="1" min="61" max="61"/>
    <col width="9" bestFit="1" customWidth="1" min="62" max="62"/>
    <col width="2.796875" customWidth="1" min="63" max="63"/>
    <col width="12.5" bestFit="1" customWidth="1" min="64" max="64"/>
    <col width="7.69921875" bestFit="1" customWidth="1" min="65" max="65"/>
    <col width="3.296875" customWidth="1" min="66" max="66"/>
    <col width="13.69921875" bestFit="1" customWidth="1" min="67" max="67"/>
    <col width="9" bestFit="1" customWidth="1" min="68" max="68"/>
    <col width="3.296875" customWidth="1" min="69" max="69"/>
    <col width="15.69921875" bestFit="1" customWidth="1" min="70" max="70"/>
    <col width="21.69921875" bestFit="1" customWidth="1" min="81" max="81"/>
    <col width="19" bestFit="1" customWidth="1" min="84" max="84"/>
    <col width="22.5" bestFit="1" customWidth="1" min="87" max="87"/>
    <col width="22.5" bestFit="1" customWidth="1" min="90" max="90"/>
    <col width="11.69921875" bestFit="1" customWidth="1" min="93" max="93"/>
    <col width="2.296875" customWidth="1" min="94" max="94"/>
    <col width="2.796875" customWidth="1" min="95" max="95"/>
    <col width="11.69921875" bestFit="1" customWidth="1" min="96" max="96"/>
    <col width="3" customWidth="1" min="97" max="97"/>
    <col width="3.296875" customWidth="1" min="98" max="98"/>
    <col width="11.69921875" bestFit="1" customWidth="1" min="99" max="99"/>
    <col width="2.19921875" customWidth="1" min="100" max="101"/>
    <col width="9" bestFit="1" customWidth="1" min="102" max="102"/>
    <col width="14.796875" bestFit="1" customWidth="1" min="103" max="103"/>
    <col width="9" bestFit="1" customWidth="1" min="104" max="104"/>
    <col width="2.796875" customWidth="1" min="105" max="105"/>
    <col width="12.5" bestFit="1" customWidth="1" min="106" max="106"/>
    <col width="7.69921875" bestFit="1" customWidth="1" min="107" max="107"/>
    <col width="3.296875" customWidth="1" min="108" max="108"/>
    <col width="13.69921875" bestFit="1" customWidth="1" min="109" max="109"/>
    <col width="9" bestFit="1" customWidth="1" min="110" max="110"/>
    <col width="3.296875" customWidth="1" min="111" max="111"/>
    <col width="15.69921875" bestFit="1" customWidth="1" min="112" max="112"/>
  </cols>
  <sheetData>
    <row r="1" customFormat="1" s="585">
      <c r="A1" s="1662">
        <f>B16</f>
        <v/>
      </c>
      <c r="G1" s="586" t="inlineStr">
        <is>
          <t>Bidding Contacts:</t>
        </is>
      </c>
      <c r="M1" s="823" t="inlineStr">
        <is>
          <t xml:space="preserve">Layout </t>
        </is>
      </c>
      <c r="N1" s="823" t="inlineStr">
        <is>
          <t xml:space="preserve">Layout </t>
        </is>
      </c>
      <c r="O1" s="584" t="n"/>
      <c r="P1" s="584" t="n"/>
      <c r="Q1" s="584" t="n"/>
      <c r="R1" s="584" t="n"/>
    </row>
    <row r="2" ht="16.2" customFormat="1" customHeight="1" s="585" thickBot="1">
      <c r="A2" s="584" t="inlineStr">
        <is>
          <t>Project</t>
        </is>
      </c>
      <c r="B2" s="585">
        <f>'Gyp (USG 1-8")'!B2</f>
        <v/>
      </c>
      <c r="G2" s="588">
        <f>'Gyp (USG 1-8")'!G2</f>
        <v/>
      </c>
      <c r="H2" s="585">
        <f>'Gyp (USG 1-8")'!H2</f>
        <v/>
      </c>
      <c r="I2" s="585">
        <f>'Gyp (USG 1-8")'!I2</f>
        <v/>
      </c>
      <c r="M2" s="969" t="inlineStr">
        <is>
          <t xml:space="preserve">Building # </t>
        </is>
      </c>
      <c r="N2" s="969" t="inlineStr">
        <is>
          <t xml:space="preserve">Floor # </t>
        </is>
      </c>
      <c r="O2" s="969" t="inlineStr">
        <is>
          <t>Total SF per Floor</t>
        </is>
      </c>
      <c r="P2" s="1289" t="inlineStr">
        <is>
          <t xml:space="preserve">SF-Soft Surfaces </t>
        </is>
      </c>
      <c r="Q2" s="1290" t="inlineStr">
        <is>
          <t xml:space="preserve">SF-Hard Surfaces </t>
        </is>
      </c>
      <c r="R2" s="1291" t="inlineStr">
        <is>
          <t>SF-Corridors</t>
        </is>
      </c>
      <c r="S2" s="969" t="inlineStr">
        <is>
          <t>Bags</t>
        </is>
      </c>
      <c r="T2" s="969" t="inlineStr">
        <is>
          <t>Mobilizations</t>
        </is>
      </c>
      <c r="U2" s="969" t="inlineStr">
        <is>
          <t xml:space="preserve">Alt Mobs. </t>
        </is>
      </c>
      <c r="V2" s="969" t="inlineStr">
        <is>
          <t>Days per Area</t>
        </is>
      </c>
      <c r="W2" s="1331" t="inlineStr">
        <is>
          <t>Mat Totals</t>
        </is>
      </c>
      <c r="X2" s="1331" t="inlineStr">
        <is>
          <t>Bag Totals</t>
        </is>
      </c>
    </row>
    <row r="3" customFormat="1" s="585">
      <c r="A3" s="584" t="inlineStr">
        <is>
          <t>Bid Date</t>
        </is>
      </c>
      <c r="B3" s="587">
        <f>'Gyp (USG 1-8")'!B3</f>
        <v/>
      </c>
      <c r="G3" s="588">
        <f>'Gyp (USG 1-8")'!G3</f>
        <v/>
      </c>
      <c r="H3" s="585">
        <f>'Gyp (USG 1-8")'!H3</f>
        <v/>
      </c>
      <c r="I3" s="585">
        <f>'Gyp (USG 1-8")'!I3</f>
        <v/>
      </c>
      <c r="L3" s="633" t="n"/>
      <c r="N3" s="1292" t="n"/>
      <c r="O3" s="1393">
        <f>SUM(P3:R3)</f>
        <v/>
      </c>
      <c r="P3" s="1394" t="n"/>
      <c r="Q3" s="1395" t="n"/>
      <c r="R3" s="1396" t="n"/>
      <c r="S3" s="1337">
        <f>((P3+Q3+R3)/F22)*H33</f>
        <v/>
      </c>
      <c r="T3" s="970" t="n"/>
      <c r="U3" s="633" t="n"/>
    </row>
    <row r="4" customFormat="1" s="585">
      <c r="A4" s="584" t="inlineStr">
        <is>
          <t>Address</t>
        </is>
      </c>
      <c r="B4" s="585">
        <f>'Gyp (USG 1-8")'!B4</f>
        <v/>
      </c>
      <c r="G4" s="588">
        <f>'Gyp (USG 1-8")'!G4</f>
        <v/>
      </c>
      <c r="H4" s="585">
        <f>'Gyp (USG 1-8")'!H4</f>
        <v/>
      </c>
      <c r="I4" s="585">
        <f>'Gyp (USG 1-8")'!I4</f>
        <v/>
      </c>
      <c r="J4" s="594" t="n"/>
      <c r="L4" s="633" t="n"/>
      <c r="N4" s="1292" t="n"/>
      <c r="O4" s="1393">
        <f>SUM(P4:R4)</f>
        <v/>
      </c>
      <c r="P4" s="1394" t="n"/>
      <c r="Q4" s="1395" t="n"/>
      <c r="R4" s="1396" t="n"/>
      <c r="S4" s="1337">
        <f>((P4+Q4+R4)/F22)*H33</f>
        <v/>
      </c>
      <c r="T4" s="970" t="n"/>
      <c r="U4" s="633" t="n"/>
    </row>
    <row r="5" customFormat="1" s="585">
      <c r="A5" s="1637" t="inlineStr">
        <is>
          <t>Local?</t>
        </is>
      </c>
      <c r="B5" s="585">
        <f>'Gyp (USG 1-8")'!B5</f>
        <v/>
      </c>
      <c r="C5" s="590" t="inlineStr">
        <is>
          <t>&lt; 70 miles?</t>
        </is>
      </c>
      <c r="D5" s="1412" t="inlineStr">
        <is>
          <t xml:space="preserve">     Look-Up on Google Earth</t>
        </is>
      </c>
      <c r="E5" s="1413" t="n"/>
      <c r="G5" s="588">
        <f>'Gyp (USG 1-8")'!G5</f>
        <v/>
      </c>
      <c r="H5" s="585">
        <f>'Gyp (USG 1-8")'!H5</f>
        <v/>
      </c>
      <c r="I5" s="585">
        <f>'Gyp (USG 1-8")'!I5</f>
        <v/>
      </c>
      <c r="J5" s="594" t="n"/>
      <c r="L5" s="633" t="n"/>
      <c r="N5" s="1292" t="n"/>
      <c r="O5" s="1393">
        <f>SUM(P5:R5)</f>
        <v/>
      </c>
      <c r="P5" s="1394" t="n"/>
      <c r="Q5" s="1395" t="n"/>
      <c r="R5" s="1396" t="n"/>
      <c r="S5" s="1337">
        <f>((P5+Q5+R5)/F22)*H33</f>
        <v/>
      </c>
      <c r="T5" s="970" t="n"/>
      <c r="U5" s="633" t="n"/>
    </row>
    <row r="6" ht="16.2" customFormat="1" customHeight="1" s="585" thickBot="1">
      <c r="A6" s="584" t="inlineStr">
        <is>
          <t xml:space="preserve">Miles Away </t>
        </is>
      </c>
      <c r="B6" s="840">
        <f>'Gyp (USG 1-8")'!B6</f>
        <v/>
      </c>
      <c r="G6" s="588">
        <f>'Gyp (USG 1-8")'!G6</f>
        <v/>
      </c>
      <c r="H6" s="585">
        <f>'Gyp (USG 1-8")'!H6</f>
        <v/>
      </c>
      <c r="I6" s="585">
        <f>'Gyp (USG 1-8")'!I6</f>
        <v/>
      </c>
      <c r="J6" s="594" t="n"/>
      <c r="L6" s="633" t="n"/>
      <c r="M6" s="1650" t="inlineStr">
        <is>
          <t>Total from</t>
        </is>
      </c>
      <c r="N6" s="1651" t="inlineStr">
        <is>
          <t>Base Bid</t>
        </is>
      </c>
      <c r="O6" s="1393">
        <f>SUM(P6:R6)</f>
        <v/>
      </c>
      <c r="P6" s="1394">
        <f>'Gyp (USG 1-8")'!P28</f>
        <v/>
      </c>
      <c r="Q6" s="1395">
        <f>'Gyp (USG 1-8")'!Q28</f>
        <v/>
      </c>
      <c r="R6" s="1396">
        <f>'Gyp (USG 1-8")'!R28</f>
        <v/>
      </c>
      <c r="S6" s="1337">
        <f>((P6+Q6+R6)/F22)*H33</f>
        <v/>
      </c>
      <c r="T6" s="1652">
        <f>'Gyp (USG 1-8")'!T28</f>
        <v/>
      </c>
      <c r="U6" s="1650" t="inlineStr">
        <is>
          <t xml:space="preserve">Total from </t>
        </is>
      </c>
      <c r="V6" s="1653" t="inlineStr">
        <is>
          <t>Base Bid</t>
        </is>
      </c>
      <c r="AM6" s="2193" t="n">
        <v>1000</v>
      </c>
      <c r="AN6" s="2193" t="n"/>
      <c r="AO6" s="2193" t="n"/>
      <c r="AP6" s="2193">
        <f>AM6</f>
        <v/>
      </c>
      <c r="AQ6" s="2193" t="n"/>
      <c r="AR6" s="2193" t="n"/>
      <c r="AS6" s="2193">
        <f>AM6+AP6</f>
        <v/>
      </c>
      <c r="AT6" s="2193" t="n"/>
      <c r="AU6" s="2193" t="n"/>
      <c r="AV6" s="2193">
        <f>AS6</f>
        <v/>
      </c>
      <c r="AW6" s="1051">
        <f>IF(AM6&lt;=#REF!,#REF!,IF(AM6&lt;=#REF!,#REF!,IF(AM6&lt;=#REF!,#REF!,IF(AM6&lt;=#REF!,#REF!,IF(AM6&lt;=#REF!,#REF!,IF(AM6&lt;=#REF!,#REF!,IF(AM6&lt;=#REF!,#REF!,0.05)))))))</f>
        <v/>
      </c>
      <c r="AX6" s="2193">
        <f>AW6*AM6</f>
        <v/>
      </c>
      <c r="AY6" s="1051" t="n"/>
      <c r="AZ6" s="1051">
        <f>IF(AP6&lt;=#REF!,#REF!,IF(AP6&lt;=#REF!,#REF!,IF(AP6&lt;=#REF!,#REF!,IF(AP6&lt;=#REF!,#REF!,IF(AP6&lt;=#REF!,#REF!,IF(AP6&lt;=#REF!,#REF!,IF(AP6&lt;=#REF!,#REF!,0.05)))))))</f>
        <v/>
      </c>
      <c r="BA6" s="2193">
        <f>AZ6*AP6</f>
        <v/>
      </c>
      <c r="BB6" s="1051" t="n"/>
      <c r="BC6" s="1051">
        <f>IF(AS6&lt;=#REF!,#REF!,IF(AS6&lt;=#REF!,#REF!,IF(AS6&lt;=#REF!,#REF!,IF(AS6&lt;=#REF!,#REF!,IF(AS6&lt;=#REF!,#REF!,IF(AS6&lt;=#REF!,#REF!,IF(AS6&lt;=#REF!,#REF!,0.05)))))))</f>
        <v/>
      </c>
      <c r="BD6" s="2193">
        <f>BC6*SUM(BA6,AX6,AS6)</f>
        <v/>
      </c>
      <c r="BE6" s="1051" t="n"/>
      <c r="BF6" s="2194">
        <f>IF(AV6&lt;=#REF!,#REF!,IF(AV6&lt;=#REF!,#REF!,IF(AV6&lt;=#REF!,#REF!,IF(AV6&lt;=#REF!,#REF!,IF(AV6&lt;=#REF!,#REF!,IF(AV6&lt;=#REF!,#REF!,IF(AV6&lt;=#REF!,#REF!,0.05)))))))</f>
        <v/>
      </c>
      <c r="BG6" s="2193">
        <f>BF6*AV6</f>
        <v/>
      </c>
      <c r="BI6" s="1932">
        <f>0.07*SUM(AS6,AX6,BA6,BD6,BG6)</f>
        <v/>
      </c>
      <c r="BK6" s="1932">
        <f>SUM(BI6,BG6,BD6,BA6,AX6,AS6)</f>
        <v/>
      </c>
      <c r="BL6" s="1933">
        <f>SUM(BG6,BD6,BA6,AX6)</f>
        <v/>
      </c>
      <c r="BM6" s="1051">
        <f>BL6/BK6</f>
        <v/>
      </c>
      <c r="BP6" s="1051" t="n">
        <v>0.1</v>
      </c>
      <c r="BQ6" s="2193" t="n">
        <v>5000</v>
      </c>
      <c r="BS6" s="1051" t="n">
        <v>0.35</v>
      </c>
      <c r="BT6" s="2193" t="n">
        <v>2000</v>
      </c>
      <c r="BU6" s="2193" t="n"/>
      <c r="BV6" s="1051" t="n">
        <v>0.28</v>
      </c>
      <c r="BW6" s="2193" t="n">
        <v>9000</v>
      </c>
      <c r="BY6" s="2194" t="n">
        <v>0</v>
      </c>
      <c r="BZ6" s="2193" t="n">
        <v>9000</v>
      </c>
      <c r="CC6" s="2193" t="n">
        <v>1000</v>
      </c>
      <c r="CD6" s="2193" t="n"/>
      <c r="CE6" s="2193" t="n"/>
      <c r="CF6" s="2193">
        <f>CC6</f>
        <v/>
      </c>
      <c r="CG6" s="2193" t="n"/>
      <c r="CH6" s="2193" t="n"/>
      <c r="CI6" s="2193">
        <f>CC6+CF6</f>
        <v/>
      </c>
      <c r="CJ6" s="2193" t="n"/>
      <c r="CK6" s="2193" t="n"/>
      <c r="CL6" s="2193">
        <f>CI6</f>
        <v/>
      </c>
      <c r="CM6" s="1051">
        <f>IF(CC6&lt;=BQ$6,BP$6,IF(CC6&lt;=BQ$7,BP$7,IF(CC6&lt;=BQ$8,BP$8,IF(CC6&lt;=BQ$9,BP$9,IF(CC6&lt;=BQ$14,BP$14,IF(CC6&lt;=BQ$15,BP$15,IF(CC6&lt;=BQ$16,BP$16,0.05)))))))</f>
        <v/>
      </c>
      <c r="CN6" s="2193">
        <f>CM6*CC6</f>
        <v/>
      </c>
      <c r="CO6" s="1051" t="n"/>
      <c r="CP6" s="1051">
        <f>IF(CF6&lt;=BT$6,BS$6,IF(CF6&lt;=BT$7,BS$7,IF(CF6&lt;=BT$8,BS$8,IF(CF6&lt;=BT$9,BS$9,IF(CF6&lt;=BT$14,BS$14,IF(CF6&lt;=BT$15,BS$15,IF(CF6&lt;=BT$16,BS$16,0.05)))))))</f>
        <v/>
      </c>
      <c r="CQ6" s="2193">
        <f>CP6*CF6</f>
        <v/>
      </c>
      <c r="CR6" s="1051" t="n"/>
      <c r="CS6" s="1051">
        <f>IF(CI6&lt;=BW$6,BV$6,IF(CI6&lt;=BW$7,BV$7,IF(CI6&lt;=BW$8,BV$8,IF(CI6&lt;=BW$9,BV$9,IF(CI6&lt;=BW$14,BV$14,IF(CI6&lt;=BW$15,BV$15,IF(CI6&lt;=BW$16,BV$16,0.05)))))))</f>
        <v/>
      </c>
      <c r="CT6" s="2193">
        <f>CS6*SUM(CQ6,CN6,CI6)</f>
        <v/>
      </c>
      <c r="CU6" s="1051" t="n"/>
      <c r="CV6" s="2194">
        <f>IF(CL6&lt;=BZ$6,BY$6,IF(CL6&lt;=BZ$7,BY$7,IF(CL6&lt;=BZ$8,BY$8,IF(CL6&lt;=BZ$9,BY$9,IF(CL6&lt;=BZ$14,BY$14,IF(CL6&lt;=BZ$15,BY$15,IF(CL6&lt;=BZ$16,BY$16,0.05)))))))</f>
        <v/>
      </c>
      <c r="CW6" s="2193">
        <f>CV6*CL6</f>
        <v/>
      </c>
      <c r="CY6" s="1932">
        <f>0.07*SUM(CI6,CN6,CQ6,CT6,CW6)</f>
        <v/>
      </c>
      <c r="DA6" s="1932">
        <f>SUM(CY6,CW6,CT6,CQ6,CN6,CI6)</f>
        <v/>
      </c>
      <c r="DB6" s="1933">
        <f>SUM(CW6,CT6,CQ6,CN6)</f>
        <v/>
      </c>
      <c r="DC6" s="1051">
        <f>DB6/DA6</f>
        <v/>
      </c>
    </row>
    <row r="7" ht="16.2" customFormat="1" customHeight="1" s="585" thickBot="1">
      <c r="A7" s="589" t="inlineStr">
        <is>
          <t>Hard Bid?</t>
        </is>
      </c>
      <c r="B7" s="585" t="inlineStr">
        <is>
          <t>No</t>
        </is>
      </c>
      <c r="C7" s="1010" t="inlineStr">
        <is>
          <t>PrevailingWage?</t>
        </is>
      </c>
      <c r="D7" s="591">
        <f>'Gyp (USG 1-8")'!D7</f>
        <v/>
      </c>
      <c r="E7" s="591" t="n"/>
      <c r="F7" s="974" t="inlineStr">
        <is>
          <t>Total SF:</t>
        </is>
      </c>
      <c r="G7" s="1283">
        <f>G9+I9+K9</f>
        <v/>
      </c>
      <c r="H7" s="593" t="n"/>
      <c r="I7" s="594" t="n"/>
      <c r="J7" s="594" t="n"/>
      <c r="K7" s="594" t="n"/>
      <c r="L7" s="633" t="n"/>
      <c r="N7" s="1292" t="n"/>
      <c r="O7" s="1393">
        <f>SUM(P7:R7)</f>
        <v/>
      </c>
      <c r="P7" s="1394" t="n"/>
      <c r="Q7" s="1395" t="n"/>
      <c r="R7" s="1396" t="n"/>
      <c r="S7" s="1337">
        <f>((P7+Q7+R7)/F22)*H33</f>
        <v/>
      </c>
      <c r="T7" s="970" t="n"/>
      <c r="AM7" s="2193" t="n">
        <v>2000</v>
      </c>
      <c r="AN7" s="2193" t="n"/>
      <c r="AO7" s="2193" t="n"/>
      <c r="AP7" s="2193">
        <f>AM7</f>
        <v/>
      </c>
      <c r="AQ7" s="2193" t="n"/>
      <c r="AR7" s="2193" t="n"/>
      <c r="AS7" s="2193">
        <f>AM7+AP7</f>
        <v/>
      </c>
      <c r="AT7" s="2193" t="n"/>
      <c r="AU7" s="2193" t="n"/>
      <c r="AV7" s="2193">
        <f>AS7</f>
        <v/>
      </c>
      <c r="AW7" s="1051">
        <f>IF(AM7&lt;=#REF!,#REF!,IF(AM7&lt;=#REF!,#REF!,IF(AM7&lt;=#REF!,#REF!,IF(AM7&lt;=#REF!,#REF!,IF(AM7&lt;=#REF!,#REF!,IF(AM7&lt;=#REF!,#REF!,IF(AM7&lt;=#REF!,#REF!,0.05)))))))</f>
        <v/>
      </c>
      <c r="AX7" s="2193">
        <f>AW7*AM7</f>
        <v/>
      </c>
      <c r="AY7" s="1051" t="n"/>
      <c r="AZ7" s="1051">
        <f>IF(AP7&lt;=#REF!,#REF!,IF(AP7&lt;=#REF!,#REF!,IF(AP7&lt;=#REF!,#REF!,IF(AP7&lt;=#REF!,#REF!,IF(AP7&lt;=#REF!,#REF!,IF(AP7&lt;=#REF!,#REF!,IF(AP7&lt;=#REF!,#REF!,0.05)))))))</f>
        <v/>
      </c>
      <c r="BA7" s="2193">
        <f>AZ7*AP7</f>
        <v/>
      </c>
      <c r="BB7" s="1051" t="n"/>
      <c r="BC7" s="1051">
        <f>IF(AS7&lt;=#REF!,#REF!,IF(AS7&lt;=#REF!,#REF!,IF(AS7&lt;=#REF!,#REF!,IF(AS7&lt;=#REF!,#REF!,IF(AS7&lt;=#REF!,#REF!,IF(AS7&lt;=#REF!,#REF!,IF(AS7&lt;=#REF!,#REF!,0.05)))))))</f>
        <v/>
      </c>
      <c r="BD7" s="2193">
        <f>BC7*SUM(BA7,AX7,AS7)</f>
        <v/>
      </c>
      <c r="BE7" s="1051" t="n"/>
      <c r="BF7" s="2194">
        <f>IF(AV7&lt;=#REF!,#REF!,IF(AV7&lt;=#REF!,#REF!,IF(AV7&lt;=#REF!,#REF!,IF(AV7&lt;=#REF!,#REF!,IF(AV7&lt;=#REF!,#REF!,IF(AV7&lt;=#REF!,#REF!,IF(AV7&lt;=#REF!,#REF!,0.05)))))))</f>
        <v/>
      </c>
      <c r="BG7" s="2193">
        <f>BF7*AV7</f>
        <v/>
      </c>
      <c r="BI7" s="1932">
        <f>0.07*SUM(AS7,AX7,BA7,BD7,BG7)</f>
        <v/>
      </c>
      <c r="BK7" s="1932">
        <f>SUM(BI7,BG7,BD7,BA7,AX7,AS7)</f>
        <v/>
      </c>
      <c r="BL7" s="1933">
        <f>SUM(BG7,BD7,BA7,AX7)</f>
        <v/>
      </c>
      <c r="BM7" s="1051">
        <f>BL7/BK7</f>
        <v/>
      </c>
      <c r="BP7" s="1051" t="n">
        <v>0.05</v>
      </c>
      <c r="BQ7" s="2193" t="n">
        <v>1000000000</v>
      </c>
      <c r="BS7" s="1051" t="n">
        <v>0.3</v>
      </c>
      <c r="BT7" s="2193" t="n">
        <v>3000</v>
      </c>
      <c r="BU7" s="2193" t="n"/>
      <c r="BV7" s="1051" t="n">
        <v>0.24</v>
      </c>
      <c r="BW7" s="2193" t="n">
        <v>14000</v>
      </c>
      <c r="BY7" s="2194" t="n">
        <v>-0.04</v>
      </c>
      <c r="BZ7" s="2193" t="n">
        <v>14000</v>
      </c>
      <c r="CC7" s="2193" t="n">
        <v>2000</v>
      </c>
      <c r="CD7" s="2193" t="n"/>
      <c r="CE7" s="2193" t="n"/>
      <c r="CF7" s="2193">
        <f>CC7</f>
        <v/>
      </c>
      <c r="CG7" s="2193" t="n"/>
      <c r="CH7" s="2193" t="n"/>
      <c r="CI7" s="2193">
        <f>CC7+CF7</f>
        <v/>
      </c>
      <c r="CJ7" s="2193" t="n"/>
      <c r="CK7" s="2193" t="n"/>
      <c r="CL7" s="2193">
        <f>CI7</f>
        <v/>
      </c>
      <c r="CM7" s="1051">
        <f>IF(CC7&lt;=BQ$6,BP$6,IF(CC7&lt;=BQ$7,BP$7,IF(CC7&lt;=BQ$8,BP$8,IF(CC7&lt;=BQ$9,BP$9,IF(CC7&lt;=BQ$14,BP$14,IF(CC7&lt;=BQ$15,BP$15,IF(CC7&lt;=BQ$16,BP$16,0.05)))))))</f>
        <v/>
      </c>
      <c r="CN7" s="2193">
        <f>CM7*CC7</f>
        <v/>
      </c>
      <c r="CO7" s="1051" t="n"/>
      <c r="CP7" s="1051">
        <f>IF(CF7&lt;=BT$6,BS$6,IF(CF7&lt;=BT$7,BS$7,IF(CF7&lt;=BT$8,BS$8,IF(CF7&lt;=BT$9,BS$9,IF(CF7&lt;=BT$14,BS$14,IF(CF7&lt;=BT$15,BS$15,IF(CF7&lt;=BT$16,BS$16,0.05)))))))</f>
        <v/>
      </c>
      <c r="CQ7" s="2193">
        <f>CP7*CF7</f>
        <v/>
      </c>
      <c r="CR7" s="1051" t="n"/>
      <c r="CS7" s="1051">
        <f>IF(CI7&lt;=BW$6,BV$6,IF(CI7&lt;=BW$7,BV$7,IF(CI7&lt;=BW$8,BV$8,IF(CI7&lt;=BW$9,BV$9,IF(CI7&lt;=BW$14,BV$14,IF(CI7&lt;=BW$15,BV$15,IF(CI7&lt;=BW$16,BV$16,0.05)))))))</f>
        <v/>
      </c>
      <c r="CT7" s="2193">
        <f>CS7*SUM(CQ7,CN7,CI7)</f>
        <v/>
      </c>
      <c r="CU7" s="1051" t="n"/>
      <c r="CV7" s="2194">
        <f>IF(CL7&lt;=BZ$6,BY$6,IF(CL7&lt;=BZ$7,BY$7,IF(CL7&lt;=BZ$8,BY$8,IF(CL7&lt;=BZ$9,BY$9,IF(CL7&lt;=BZ$14,BY$14,IF(CL7&lt;=BZ$15,BY$15,IF(CL7&lt;=BZ$16,BY$16,0.05)))))))</f>
        <v/>
      </c>
      <c r="CW7" s="2193">
        <f>CV7*CL7</f>
        <v/>
      </c>
      <c r="CY7" s="1932">
        <f>0.07*SUM(CI7,CN7,CQ7,CT7,CW7)</f>
        <v/>
      </c>
      <c r="DA7" s="1932">
        <f>SUM(CY7,CW7,CT7,CQ7,CN7,CI7)</f>
        <v/>
      </c>
      <c r="DB7" s="1933">
        <f>SUM(CW7,CT7,CQ7,CN7)</f>
        <v/>
      </c>
      <c r="DC7" s="1051">
        <f>DB7/DA7</f>
        <v/>
      </c>
    </row>
    <row r="8" ht="16.2" customFormat="1" customHeight="1" s="585" thickBot="1">
      <c r="A8" s="589" t="inlineStr">
        <is>
          <t>Taxable?</t>
        </is>
      </c>
      <c r="B8" s="585">
        <f>'Gyp (USG 1-8")'!B8</f>
        <v/>
      </c>
      <c r="C8" s="1539" t="inlineStr">
        <is>
          <t>Remodel Tax?</t>
        </is>
      </c>
      <c r="D8" s="591">
        <f>'Gyp (USG 1-8")'!D8</f>
        <v/>
      </c>
      <c r="E8" s="591" t="n"/>
      <c r="F8" s="2195" t="inlineStr">
        <is>
          <t>Unit</t>
        </is>
      </c>
      <c r="G8" s="2126" t="n"/>
      <c r="H8" s="2196" t="inlineStr">
        <is>
          <t>Unit</t>
        </is>
      </c>
      <c r="I8" s="2126" t="n"/>
      <c r="J8" s="2197" t="inlineStr">
        <is>
          <t>Corridor</t>
        </is>
      </c>
      <c r="K8" s="2126" t="n"/>
      <c r="L8" s="633" t="n"/>
      <c r="N8" s="1292" t="n"/>
      <c r="O8" s="1393">
        <f>SUM(P8:R8)</f>
        <v/>
      </c>
      <c r="P8" s="1394" t="n"/>
      <c r="Q8" s="1395" t="n"/>
      <c r="R8" s="1396" t="n"/>
      <c r="S8" s="1337">
        <f>((P8+Q8+R8)/F22)*H33</f>
        <v/>
      </c>
      <c r="T8" s="970" t="n"/>
      <c r="AM8" s="2193" t="n">
        <v>3000</v>
      </c>
      <c r="AN8" s="2193" t="n"/>
      <c r="AO8" s="2193" t="n"/>
      <c r="AP8" s="2193">
        <f>AM8</f>
        <v/>
      </c>
      <c r="AQ8" s="2193" t="n"/>
      <c r="AR8" s="2193" t="n"/>
      <c r="AS8" s="2193">
        <f>AM8+AP8</f>
        <v/>
      </c>
      <c r="AT8" s="2193" t="n"/>
      <c r="AU8" s="2193" t="n"/>
      <c r="AV8" s="2193">
        <f>AS8</f>
        <v/>
      </c>
      <c r="AW8" s="1051">
        <f>IF(AM8&lt;=#REF!,#REF!,IF(AM8&lt;=#REF!,#REF!,IF(AM8&lt;=#REF!,#REF!,IF(AM8&lt;=#REF!,#REF!,IF(AM8&lt;=#REF!,#REF!,IF(AM8&lt;=#REF!,#REF!,IF(AM8&lt;=#REF!,#REF!,0.05)))))))</f>
        <v/>
      </c>
      <c r="AX8" s="2193">
        <f>AW8*AM8</f>
        <v/>
      </c>
      <c r="AY8" s="1051" t="n"/>
      <c r="AZ8" s="1051">
        <f>IF(AP8&lt;=#REF!,#REF!,IF(AP8&lt;=#REF!,#REF!,IF(AP8&lt;=#REF!,#REF!,IF(AP8&lt;=#REF!,#REF!,IF(AP8&lt;=#REF!,#REF!,IF(AP8&lt;=#REF!,#REF!,IF(AP8&lt;=#REF!,#REF!,0.05)))))))</f>
        <v/>
      </c>
      <c r="BA8" s="2193">
        <f>AZ8*AP8</f>
        <v/>
      </c>
      <c r="BB8" s="1051" t="n"/>
      <c r="BC8" s="1051">
        <f>IF(AS8&lt;=#REF!,#REF!,IF(AS8&lt;=#REF!,#REF!,IF(AS8&lt;=#REF!,#REF!,IF(AS8&lt;=#REF!,#REF!,IF(AS8&lt;=#REF!,#REF!,IF(AS8&lt;=#REF!,#REF!,IF(AS8&lt;=#REF!,#REF!,0.05)))))))</f>
        <v/>
      </c>
      <c r="BD8" s="2193">
        <f>BC8*SUM(BA8,AX8,AS8)</f>
        <v/>
      </c>
      <c r="BE8" s="1051" t="n"/>
      <c r="BF8" s="2194">
        <f>IF(AV8&lt;=#REF!,#REF!,IF(AV8&lt;=#REF!,#REF!,IF(AV8&lt;=#REF!,#REF!,IF(AV8&lt;=#REF!,#REF!,IF(AV8&lt;=#REF!,#REF!,IF(AV8&lt;=#REF!,#REF!,IF(AV8&lt;=#REF!,#REF!,0.05)))))))</f>
        <v/>
      </c>
      <c r="BG8" s="2193">
        <f>BF8*AV8</f>
        <v/>
      </c>
      <c r="BI8" s="1932">
        <f>0.07*SUM(AS8,AX8,BA8,BD8,BG8)</f>
        <v/>
      </c>
      <c r="BK8" s="1932">
        <f>SUM(BI8,BG8,BD8,BA8,AX8,AS8)</f>
        <v/>
      </c>
      <c r="BL8" s="1933">
        <f>SUM(BG8,BD8,BA8,AX8)</f>
        <v/>
      </c>
      <c r="BM8" s="1051">
        <f>BL8/BK8</f>
        <v/>
      </c>
      <c r="BP8" s="1051" t="n">
        <v>0.05</v>
      </c>
      <c r="BQ8" s="2193" t="n">
        <v>1000000000</v>
      </c>
      <c r="BS8" s="1051" t="n">
        <v>0.2</v>
      </c>
      <c r="BT8" s="2193" t="n">
        <v>4000</v>
      </c>
      <c r="BU8" s="2193" t="n"/>
      <c r="BV8" s="1051" t="n">
        <v>0.22</v>
      </c>
      <c r="BW8" s="2193" t="n">
        <v>19000</v>
      </c>
      <c r="BY8" s="2194" t="n">
        <v>-0.05</v>
      </c>
      <c r="BZ8" s="2193" t="n">
        <v>19000</v>
      </c>
      <c r="CC8" s="2193" t="n">
        <v>3000</v>
      </c>
      <c r="CD8" s="2193" t="n"/>
      <c r="CE8" s="2193" t="n"/>
      <c r="CF8" s="2193">
        <f>CC8</f>
        <v/>
      </c>
      <c r="CG8" s="2193" t="n"/>
      <c r="CH8" s="2193" t="n"/>
      <c r="CI8" s="2193">
        <f>CC8+CF8</f>
        <v/>
      </c>
      <c r="CJ8" s="2193" t="n"/>
      <c r="CK8" s="2193" t="n"/>
      <c r="CL8" s="2193">
        <f>CI8</f>
        <v/>
      </c>
      <c r="CM8" s="1051">
        <f>IF(CC8&lt;=BQ$6,BP$6,IF(CC8&lt;=BQ$7,BP$7,IF(CC8&lt;=BQ$8,BP$8,IF(CC8&lt;=BQ$9,BP$9,IF(CC8&lt;=BQ$14,BP$14,IF(CC8&lt;=BQ$15,BP$15,IF(CC8&lt;=BQ$16,BP$16,0.05)))))))</f>
        <v/>
      </c>
      <c r="CN8" s="2193">
        <f>CM8*CC8</f>
        <v/>
      </c>
      <c r="CO8" s="1051" t="n"/>
      <c r="CP8" s="1051">
        <f>IF(CF8&lt;=BT$6,BS$6,IF(CF8&lt;=BT$7,BS$7,IF(CF8&lt;=BT$8,BS$8,IF(CF8&lt;=BT$9,BS$9,IF(CF8&lt;=BT$14,BS$14,IF(CF8&lt;=BT$15,BS$15,IF(CF8&lt;=BT$16,BS$16,0.05)))))))</f>
        <v/>
      </c>
      <c r="CQ8" s="2193">
        <f>CP8*CF8</f>
        <v/>
      </c>
      <c r="CR8" s="1051" t="n"/>
      <c r="CS8" s="1051">
        <f>IF(CI8&lt;=BW$6,BV$6,IF(CI8&lt;=BW$7,BV$7,IF(CI8&lt;=BW$8,BV$8,IF(CI8&lt;=BW$9,BV$9,IF(CI8&lt;=BW$14,BV$14,IF(CI8&lt;=BW$15,BV$15,IF(CI8&lt;=BW$16,BV$16,0.05)))))))</f>
        <v/>
      </c>
      <c r="CT8" s="2193">
        <f>CS8*SUM(CQ8,CN8,CI8)</f>
        <v/>
      </c>
      <c r="CU8" s="1051" t="n"/>
      <c r="CV8" s="2194">
        <f>IF(CL8&lt;=BZ$6,BY$6,IF(CL8&lt;=BZ$7,BY$7,IF(CL8&lt;=BZ$8,BY$8,IF(CL8&lt;=BZ$9,BY$9,IF(CL8&lt;=BZ$14,BY$14,IF(CL8&lt;=BZ$15,BY$15,IF(CL8&lt;=BZ$16,BY$16,0.05)))))))</f>
        <v/>
      </c>
      <c r="CW8" s="2193">
        <f>CV8*CL8</f>
        <v/>
      </c>
      <c r="CY8" s="1932">
        <f>0.07*SUM(CI8,CN8,CQ8,CT8,CW8)</f>
        <v/>
      </c>
      <c r="DA8" s="1932">
        <f>SUM(CY8,CW8,CT8,CQ8,CN8,CI8)</f>
        <v/>
      </c>
      <c r="DB8" s="1933">
        <f>SUM(CW8,CT8,CQ8,CN8)</f>
        <v/>
      </c>
      <c r="DC8" s="1051">
        <f>DB8/DA8</f>
        <v/>
      </c>
    </row>
    <row r="9" customFormat="1" s="585">
      <c r="A9" s="589" t="inlineStr">
        <is>
          <t>Approx Start Date</t>
        </is>
      </c>
      <c r="B9" s="587" t="n"/>
      <c r="C9" s="591" t="n"/>
      <c r="D9" s="591" t="n"/>
      <c r="E9" s="600" t="n"/>
      <c r="F9" s="975" t="inlineStr">
        <is>
          <t xml:space="preserve">SF - Soft Surfaces: </t>
        </is>
      </c>
      <c r="G9" s="1352">
        <f>P28</f>
        <v/>
      </c>
      <c r="H9" s="976" t="inlineStr">
        <is>
          <t>SF - Hard Surfaces:</t>
        </is>
      </c>
      <c r="I9" s="1353">
        <f>Q28</f>
        <v/>
      </c>
      <c r="J9" s="977" t="inlineStr">
        <is>
          <t>SF - Corridors:</t>
        </is>
      </c>
      <c r="K9" s="1354">
        <f>R28</f>
        <v/>
      </c>
      <c r="L9" s="633" t="n"/>
      <c r="N9" s="1292" t="n"/>
      <c r="O9" s="1393">
        <f>SUM(P9:R9)</f>
        <v/>
      </c>
      <c r="P9" s="1394" t="n"/>
      <c r="Q9" s="1395" t="n"/>
      <c r="R9" s="1396" t="n"/>
      <c r="S9" s="1337">
        <f>((P9+Q9+R9)/F22)*H33</f>
        <v/>
      </c>
      <c r="T9" s="970" t="n"/>
      <c r="AM9" s="2193" t="n">
        <v>4000</v>
      </c>
      <c r="AN9" s="2193" t="n"/>
      <c r="AO9" s="2193" t="n"/>
      <c r="AP9" s="2193">
        <f>AM9</f>
        <v/>
      </c>
      <c r="AQ9" s="2193" t="n"/>
      <c r="AR9" s="2193" t="n"/>
      <c r="AS9" s="2193">
        <f>AM9+AP9</f>
        <v/>
      </c>
      <c r="AT9" s="2193" t="n"/>
      <c r="AU9" s="2193" t="n"/>
      <c r="AV9" s="2193">
        <f>AS9</f>
        <v/>
      </c>
      <c r="AW9" s="1051">
        <f>IF(AM9&lt;=#REF!,#REF!,IF(AM9&lt;=#REF!,#REF!,IF(AM9&lt;=#REF!,#REF!,IF(AM9&lt;=#REF!,#REF!,IF(AM9&lt;=#REF!,#REF!,IF(AM9&lt;=#REF!,#REF!,IF(AM9&lt;=#REF!,#REF!,0.05)))))))</f>
        <v/>
      </c>
      <c r="AX9" s="2193">
        <f>AW9*AM9</f>
        <v/>
      </c>
      <c r="AY9" s="1051" t="n"/>
      <c r="AZ9" s="1051">
        <f>IF(AP9&lt;=#REF!,#REF!,IF(AP9&lt;=#REF!,#REF!,IF(AP9&lt;=#REF!,#REF!,IF(AP9&lt;=#REF!,#REF!,IF(AP9&lt;=#REF!,#REF!,IF(AP9&lt;=#REF!,#REF!,IF(AP9&lt;=#REF!,#REF!,0.05)))))))</f>
        <v/>
      </c>
      <c r="BA9" s="2193">
        <f>AZ9*AP9</f>
        <v/>
      </c>
      <c r="BB9" s="1051" t="n"/>
      <c r="BC9" s="1051">
        <f>IF(AS9&lt;=#REF!,#REF!,IF(AS9&lt;=#REF!,#REF!,IF(AS9&lt;=#REF!,#REF!,IF(AS9&lt;=#REF!,#REF!,IF(AS9&lt;=#REF!,#REF!,IF(AS9&lt;=#REF!,#REF!,IF(AS9&lt;=#REF!,#REF!,0.05)))))))</f>
        <v/>
      </c>
      <c r="BD9" s="2193">
        <f>BC9*SUM(BA9,AX9,AS9)</f>
        <v/>
      </c>
      <c r="BE9" s="1051" t="n"/>
      <c r="BF9" s="2194">
        <f>IF(AV9&lt;=#REF!,#REF!,IF(AV9&lt;=#REF!,#REF!,IF(AV9&lt;=#REF!,#REF!,IF(AV9&lt;=#REF!,#REF!,IF(AV9&lt;=#REF!,#REF!,IF(AV9&lt;=#REF!,#REF!,IF(AV9&lt;=#REF!,#REF!,0.05)))))))</f>
        <v/>
      </c>
      <c r="BG9" s="2193">
        <f>BF9*AV9</f>
        <v/>
      </c>
      <c r="BI9" s="1932">
        <f>0.07*SUM(AS9,AX9,BA9,BD9,BG9)</f>
        <v/>
      </c>
      <c r="BK9" s="1932">
        <f>SUM(BI9,BG9,BD9,BA9,AX9,AS9)</f>
        <v/>
      </c>
      <c r="BL9" s="1933">
        <f>SUM(BG9,BD9,BA9,AX9)</f>
        <v/>
      </c>
      <c r="BM9" s="1051">
        <f>BL9/BK9</f>
        <v/>
      </c>
      <c r="BP9" s="1051" t="n">
        <v>0.05</v>
      </c>
      <c r="BQ9" s="2193" t="n">
        <v>1000000000</v>
      </c>
      <c r="BS9" s="1051" t="n">
        <v>0.1</v>
      </c>
      <c r="BT9" s="2193" t="n">
        <v>7000</v>
      </c>
      <c r="BU9" s="2193" t="n"/>
      <c r="BV9" s="1051" t="n">
        <v>0.2</v>
      </c>
      <c r="BW9" s="2193" t="n">
        <v>24000</v>
      </c>
      <c r="BY9" s="2194" t="n">
        <v>-0.05</v>
      </c>
      <c r="BZ9" s="2193" t="n">
        <v>34000</v>
      </c>
      <c r="CC9" s="2193" t="n">
        <v>4000</v>
      </c>
      <c r="CD9" s="2193" t="n"/>
      <c r="CE9" s="2193" t="n"/>
      <c r="CF9" s="2193">
        <f>CC9</f>
        <v/>
      </c>
      <c r="CG9" s="2193" t="n"/>
      <c r="CH9" s="2193" t="n"/>
      <c r="CI9" s="2193">
        <f>CC9+CF9</f>
        <v/>
      </c>
      <c r="CJ9" s="2193" t="n"/>
      <c r="CK9" s="2193" t="n"/>
      <c r="CL9" s="2193">
        <f>CI9</f>
        <v/>
      </c>
      <c r="CM9" s="1051">
        <f>IF(CC9&lt;=BQ$6,BP$6,IF(CC9&lt;=BQ$7,BP$7,IF(CC9&lt;=BQ$8,BP$8,IF(CC9&lt;=BQ$9,BP$9,IF(CC9&lt;=BQ$14,BP$14,IF(CC9&lt;=BQ$15,BP$15,IF(CC9&lt;=BQ$16,BP$16,0.05)))))))</f>
        <v/>
      </c>
      <c r="CN9" s="2193">
        <f>CM9*CC9</f>
        <v/>
      </c>
      <c r="CO9" s="1051" t="n"/>
      <c r="CP9" s="1051">
        <f>IF(CF9&lt;=BT$6,BS$6,IF(CF9&lt;=BT$7,BS$7,IF(CF9&lt;=BT$8,BS$8,IF(CF9&lt;=BT$9,BS$9,IF(CF9&lt;=BT$14,BS$14,IF(CF9&lt;=BT$15,BS$15,IF(CF9&lt;=BT$16,BS$16,0.05)))))))</f>
        <v/>
      </c>
      <c r="CQ9" s="2193">
        <f>CP9*CF9</f>
        <v/>
      </c>
      <c r="CR9" s="1051" t="n"/>
      <c r="CS9" s="1051">
        <f>IF(CI9&lt;=BW$6,BV$6,IF(CI9&lt;=BW$7,BV$7,IF(CI9&lt;=BW$8,BV$8,IF(CI9&lt;=BW$9,BV$9,IF(CI9&lt;=BW$14,BV$14,IF(CI9&lt;=BW$15,BV$15,IF(CI9&lt;=BW$16,BV$16,0.05)))))))</f>
        <v/>
      </c>
      <c r="CT9" s="2193">
        <f>CS9*SUM(CQ9,CN9,CI9)</f>
        <v/>
      </c>
      <c r="CU9" s="1051" t="n"/>
      <c r="CV9" s="2194">
        <f>IF(CL9&lt;=BZ$6,BY$6,IF(CL9&lt;=BZ$7,BY$7,IF(CL9&lt;=BZ$8,BY$8,IF(CL9&lt;=BZ$9,BY$9,IF(CL9&lt;=BZ$14,BY$14,IF(CL9&lt;=BZ$15,BY$15,IF(CL9&lt;=BZ$16,BY$16,0.05)))))))</f>
        <v/>
      </c>
      <c r="CW9" s="2193">
        <f>CV9*CL9</f>
        <v/>
      </c>
      <c r="CY9" s="1932">
        <f>0.07*SUM(CI9,CN9,CQ9,CT9,CW9)</f>
        <v/>
      </c>
      <c r="DA9" s="1932">
        <f>SUM(CY9,CW9,CT9,CQ9,CN9,CI9)</f>
        <v/>
      </c>
      <c r="DB9" s="1933">
        <f>SUM(CW9,CT9,CQ9,CN9)</f>
        <v/>
      </c>
      <c r="DC9" s="1051">
        <f>DB9/DA9</f>
        <v/>
      </c>
    </row>
    <row r="10" customFormat="1" s="585">
      <c r="A10" s="602" t="inlineStr">
        <is>
          <t>Architect</t>
        </is>
      </c>
      <c r="B10" s="603">
        <f>'Gyp (USG 1-8")'!B10</f>
        <v/>
      </c>
      <c r="C10" s="591" t="n"/>
      <c r="D10" s="591" t="n"/>
      <c r="E10" s="600" t="n"/>
      <c r="F10" s="978" t="inlineStr">
        <is>
          <t xml:space="preserve">Ave Thickness: </t>
        </is>
      </c>
      <c r="G10" s="1158" t="n">
        <v>1.25</v>
      </c>
      <c r="H10" s="979" t="inlineStr">
        <is>
          <t>Ave Thickness:</t>
        </is>
      </c>
      <c r="I10" s="1158" t="n">
        <v>1</v>
      </c>
      <c r="J10" s="980" t="inlineStr">
        <is>
          <t>Ave Thickness:</t>
        </is>
      </c>
      <c r="K10" s="1158">
        <f>G10</f>
        <v/>
      </c>
      <c r="N10" s="1292" t="n"/>
      <c r="O10" s="1393">
        <f>SUM(P10:R10)</f>
        <v/>
      </c>
      <c r="P10" s="1394" t="n"/>
      <c r="Q10" s="1395" t="n"/>
      <c r="R10" s="1396" t="n"/>
      <c r="S10" s="1337">
        <f>((P10+Q10+R10)/F22)*H33</f>
        <v/>
      </c>
      <c r="T10" s="970" t="n"/>
      <c r="AM10" s="2193" t="n"/>
      <c r="AN10" s="2193" t="n"/>
      <c r="AO10" s="2193" t="n"/>
      <c r="AP10" s="2193" t="n"/>
      <c r="AQ10" s="2193" t="n"/>
      <c r="AR10" s="2193" t="n"/>
      <c r="AS10" s="2193" t="n"/>
      <c r="AT10" s="2193" t="n"/>
      <c r="AU10" s="2193" t="n"/>
      <c r="AV10" s="2193" t="n"/>
      <c r="AW10" s="1051" t="n"/>
      <c r="AX10" s="2193" t="n"/>
      <c r="AY10" s="1051" t="n"/>
      <c r="AZ10" s="1051" t="n"/>
      <c r="BA10" s="2193" t="n"/>
      <c r="BB10" s="1051" t="n"/>
      <c r="BC10" s="1051" t="n"/>
      <c r="BD10" s="2193" t="n"/>
      <c r="BE10" s="1051" t="n"/>
      <c r="BF10" s="2194" t="n"/>
      <c r="BG10" s="2193" t="n"/>
      <c r="BI10" s="1932" t="n"/>
      <c r="BK10" s="1932" t="n"/>
      <c r="BL10" s="1933" t="n"/>
      <c r="BM10" s="1051" t="n"/>
      <c r="BP10" s="1051" t="n"/>
      <c r="BQ10" s="2193" t="n"/>
      <c r="BS10" s="1051" t="n"/>
      <c r="BT10" s="2193" t="n"/>
      <c r="BU10" s="2193" t="n"/>
      <c r="BV10" s="1051" t="n"/>
      <c r="BW10" s="2193" t="n"/>
      <c r="BY10" s="2194" t="n"/>
      <c r="BZ10" s="2193" t="n"/>
      <c r="CC10" s="2193" t="n"/>
      <c r="CD10" s="2193" t="n"/>
      <c r="CE10" s="2193" t="n"/>
      <c r="CF10" s="2193" t="n"/>
      <c r="CG10" s="2193" t="n"/>
      <c r="CH10" s="2193" t="n"/>
      <c r="CI10" s="2193" t="n"/>
      <c r="CJ10" s="2193" t="n"/>
      <c r="CK10" s="2193" t="n"/>
      <c r="CL10" s="2193" t="n"/>
      <c r="CM10" s="1051" t="n"/>
      <c r="CN10" s="2193" t="n"/>
      <c r="CO10" s="1051" t="n"/>
      <c r="CP10" s="1051" t="n"/>
      <c r="CQ10" s="2193" t="n"/>
      <c r="CR10" s="1051" t="n"/>
      <c r="CS10" s="1051" t="n"/>
      <c r="CT10" s="2193" t="n"/>
      <c r="CU10" s="1051" t="n"/>
      <c r="CV10" s="2194" t="n"/>
      <c r="CW10" s="2193" t="n"/>
      <c r="CY10" s="1932" t="n"/>
      <c r="DA10" s="1932" t="n"/>
      <c r="DB10" s="1933" t="n"/>
      <c r="DC10" s="1051" t="n"/>
    </row>
    <row r="11" customFormat="1" s="585">
      <c r="A11" s="602" t="inlineStr">
        <is>
          <t>Drawings Dated</t>
        </is>
      </c>
      <c r="B11" s="587">
        <f>'Gyp (USG 1-8")'!B11</f>
        <v/>
      </c>
      <c r="C11" s="591" t="n"/>
      <c r="D11" s="591" t="n"/>
      <c r="E11" s="600" t="n"/>
      <c r="F11" s="978" t="inlineStr">
        <is>
          <t>Mix Design: (default= 2500psi @1.8)</t>
        </is>
      </c>
      <c r="G11" s="1110" t="n">
        <v>1.8</v>
      </c>
      <c r="H11" s="979" t="inlineStr">
        <is>
          <t xml:space="preserve">Mix Design: </t>
        </is>
      </c>
      <c r="I11" s="1110">
        <f>G11</f>
        <v/>
      </c>
      <c r="J11" s="980" t="inlineStr">
        <is>
          <t xml:space="preserve">Mix Design: </t>
        </is>
      </c>
      <c r="K11" s="1110">
        <f>G11</f>
        <v/>
      </c>
      <c r="N11" s="1292" t="n"/>
      <c r="O11" s="1393">
        <f>SUM(P11:R11)</f>
        <v/>
      </c>
      <c r="P11" s="1394" t="n"/>
      <c r="Q11" s="1395" t="n"/>
      <c r="R11" s="1396" t="n"/>
      <c r="S11" s="1337">
        <f>((P11+Q11+R11)/F22)*H33</f>
        <v/>
      </c>
      <c r="T11" s="970" t="n"/>
      <c r="AM11" s="2193" t="n"/>
      <c r="AN11" s="2193" t="n"/>
      <c r="AO11" s="2193" t="n"/>
      <c r="AP11" s="2193" t="n"/>
      <c r="AQ11" s="2193" t="n"/>
      <c r="AR11" s="2193" t="n"/>
      <c r="AS11" s="2193" t="n"/>
      <c r="AT11" s="2193" t="n"/>
      <c r="AU11" s="2193" t="n"/>
      <c r="AV11" s="2193" t="n"/>
      <c r="AW11" s="1051" t="n"/>
      <c r="AX11" s="2193" t="n"/>
      <c r="AY11" s="1051" t="n"/>
      <c r="AZ11" s="1051" t="n"/>
      <c r="BA11" s="2193" t="n"/>
      <c r="BB11" s="1051" t="n"/>
      <c r="BC11" s="1051" t="n"/>
      <c r="BD11" s="2193" t="n"/>
      <c r="BE11" s="1051" t="n"/>
      <c r="BF11" s="2194" t="n"/>
      <c r="BG11" s="2193" t="n"/>
      <c r="BI11" s="1932" t="n"/>
      <c r="BK11" s="1932" t="n"/>
      <c r="BL11" s="1933" t="n"/>
      <c r="BM11" s="1051" t="n"/>
      <c r="BP11" s="1051" t="n"/>
      <c r="BQ11" s="2193" t="n"/>
      <c r="BS11" s="1051" t="n"/>
      <c r="BT11" s="2193" t="n"/>
      <c r="BU11" s="2193" t="n"/>
      <c r="BV11" s="1051" t="n"/>
      <c r="BW11" s="2193" t="n"/>
      <c r="BY11" s="2194" t="n"/>
      <c r="BZ11" s="2193" t="n"/>
      <c r="CC11" s="2193" t="n"/>
      <c r="CD11" s="2193" t="n"/>
      <c r="CE11" s="2193" t="n"/>
      <c r="CF11" s="2193" t="n"/>
      <c r="CG11" s="2193" t="n"/>
      <c r="CH11" s="2193" t="n"/>
      <c r="CI11" s="2193" t="n"/>
      <c r="CJ11" s="2193" t="n"/>
      <c r="CK11" s="2193" t="n"/>
      <c r="CL11" s="2193" t="n"/>
      <c r="CM11" s="1051" t="n"/>
      <c r="CN11" s="2193" t="n"/>
      <c r="CO11" s="1051" t="n"/>
      <c r="CP11" s="1051" t="n"/>
      <c r="CQ11" s="2193" t="n"/>
      <c r="CR11" s="1051" t="n"/>
      <c r="CS11" s="1051" t="n"/>
      <c r="CT11" s="2193" t="n"/>
      <c r="CU11" s="1051" t="n"/>
      <c r="CV11" s="2194" t="n"/>
      <c r="CW11" s="2193" t="n"/>
      <c r="CY11" s="1932" t="n"/>
      <c r="DA11" s="1932" t="n"/>
      <c r="DB11" s="1933" t="n"/>
      <c r="DC11" s="1051" t="n"/>
    </row>
    <row r="12" customFormat="1" s="585">
      <c r="A12" s="606" t="inlineStr">
        <is>
          <t>New / Reno:</t>
        </is>
      </c>
      <c r="B12" s="603">
        <f>'Gyp (USG 1-8")'!B12</f>
        <v/>
      </c>
      <c r="C12" s="591" t="n"/>
      <c r="D12" s="591" t="n"/>
      <c r="E12" s="600" t="n"/>
      <c r="F12" s="978" t="inlineStr">
        <is>
          <t>Yield Per Bag (1/8")</t>
        </is>
      </c>
      <c r="G12" s="981" t="n">
        <v>254.52</v>
      </c>
      <c r="H12" s="979" t="inlineStr">
        <is>
          <t>Yield Per Bag (1/8")</t>
        </is>
      </c>
      <c r="I12" s="982" t="n">
        <v>254.52</v>
      </c>
      <c r="J12" s="980" t="inlineStr">
        <is>
          <t>Yield Per Bag (1/8")</t>
        </is>
      </c>
      <c r="K12" s="983" t="n">
        <v>254.52</v>
      </c>
      <c r="L12" s="633" t="n"/>
      <c r="N12" s="1292" t="n"/>
      <c r="O12" s="1393">
        <f>SUM(P12:R12)</f>
        <v/>
      </c>
      <c r="P12" s="1394" t="n"/>
      <c r="Q12" s="1395" t="n"/>
      <c r="R12" s="1396" t="n"/>
      <c r="S12" s="1337">
        <f>((P12+Q12+R12)/F22)*H33</f>
        <v/>
      </c>
      <c r="T12" s="970" t="n"/>
      <c r="AM12" s="2193" t="n"/>
      <c r="AN12" s="2193" t="n"/>
      <c r="AO12" s="2193" t="n"/>
      <c r="AP12" s="2193" t="n"/>
      <c r="AQ12" s="2193" t="n"/>
      <c r="AR12" s="2193" t="n"/>
      <c r="AS12" s="2193" t="n"/>
      <c r="AT12" s="2193" t="n"/>
      <c r="AU12" s="2193" t="n"/>
      <c r="AV12" s="2193" t="n"/>
      <c r="AW12" s="1051" t="n"/>
      <c r="AX12" s="2193" t="n"/>
      <c r="AY12" s="1051" t="n"/>
      <c r="AZ12" s="1051" t="n"/>
      <c r="BA12" s="2193" t="n"/>
      <c r="BB12" s="1051" t="n"/>
      <c r="BC12" s="1051" t="n"/>
      <c r="BD12" s="2193" t="n"/>
      <c r="BE12" s="1051" t="n"/>
      <c r="BF12" s="2194" t="n"/>
      <c r="BG12" s="2193" t="n"/>
      <c r="BI12" s="1932" t="n"/>
      <c r="BK12" s="1932" t="n"/>
      <c r="BL12" s="1933" t="n"/>
      <c r="BM12" s="1051" t="n"/>
      <c r="BP12" s="1051" t="n"/>
      <c r="BQ12" s="2193" t="n"/>
      <c r="BS12" s="1051" t="n"/>
      <c r="BT12" s="2193" t="n"/>
      <c r="BU12" s="2193" t="n"/>
      <c r="BV12" s="1051" t="n"/>
      <c r="BW12" s="2193" t="n"/>
      <c r="BY12" s="2194" t="n"/>
      <c r="BZ12" s="2193" t="n"/>
      <c r="CC12" s="2193" t="n"/>
      <c r="CD12" s="2193" t="n"/>
      <c r="CE12" s="2193" t="n"/>
      <c r="CF12" s="2193" t="n"/>
      <c r="CG12" s="2193" t="n"/>
      <c r="CH12" s="2193" t="n"/>
      <c r="CI12" s="2193" t="n"/>
      <c r="CJ12" s="2193" t="n"/>
      <c r="CK12" s="2193" t="n"/>
      <c r="CL12" s="2193" t="n"/>
      <c r="CM12" s="1051" t="n"/>
      <c r="CN12" s="2193" t="n"/>
      <c r="CO12" s="1051" t="n"/>
      <c r="CP12" s="1051" t="n"/>
      <c r="CQ12" s="2193" t="n"/>
      <c r="CR12" s="1051" t="n"/>
      <c r="CS12" s="1051" t="n"/>
      <c r="CT12" s="2193" t="n"/>
      <c r="CU12" s="1051" t="n"/>
      <c r="CV12" s="2194" t="n"/>
      <c r="CW12" s="2193" t="n"/>
      <c r="CY12" s="1932" t="n"/>
      <c r="DA12" s="1932" t="n"/>
      <c r="DB12" s="1933" t="n"/>
      <c r="DC12" s="1051" t="n"/>
    </row>
    <row r="13" ht="16.2" customFormat="1" customHeight="1" s="585" thickBot="1">
      <c r="A13" s="606" t="inlineStr">
        <is>
          <t>Hallow Plank Subfloor:</t>
        </is>
      </c>
      <c r="B13" s="585">
        <f>'Gyp (USG 1-8")'!B13</f>
        <v/>
      </c>
      <c r="C13" s="591" t="n"/>
      <c r="D13" s="591" t="n"/>
      <c r="E13" s="600" t="n"/>
      <c r="F13" s="978" t="inlineStr">
        <is>
          <t xml:space="preserve">Bag Type: </t>
        </is>
      </c>
      <c r="G13" s="2198" t="inlineStr">
        <is>
          <t>Levelrock 2500</t>
        </is>
      </c>
      <c r="H13" s="2199" t="inlineStr">
        <is>
          <t xml:space="preserve">Bag Type: </t>
        </is>
      </c>
      <c r="I13" s="2200">
        <f>G13</f>
        <v/>
      </c>
      <c r="J13" s="2201" t="inlineStr">
        <is>
          <t xml:space="preserve">Bag Type: </t>
        </is>
      </c>
      <c r="K13" s="2202">
        <f>G13</f>
        <v/>
      </c>
      <c r="L13" s="633" t="n"/>
      <c r="N13" s="1293" t="n"/>
      <c r="O13" s="1393">
        <f>SUM(P13:R13)</f>
        <v/>
      </c>
      <c r="P13" s="1394" t="n"/>
      <c r="Q13" s="1395" t="n"/>
      <c r="R13" s="1396" t="n"/>
      <c r="S13" s="1337">
        <f>((P13+Q13+R13)/F22)*H33</f>
        <v/>
      </c>
      <c r="T13" s="970" t="n"/>
      <c r="AM13" s="2193" t="n"/>
      <c r="AN13" s="2193" t="n"/>
      <c r="AO13" s="2193" t="n"/>
      <c r="AP13" s="2193" t="n"/>
      <c r="AQ13" s="2193" t="n"/>
      <c r="AR13" s="2193" t="n"/>
      <c r="AS13" s="2193" t="n"/>
      <c r="AT13" s="2193" t="n"/>
      <c r="AU13" s="2193" t="n"/>
      <c r="AV13" s="2193" t="n"/>
      <c r="AW13" s="1051" t="n"/>
      <c r="AX13" s="2193" t="n"/>
      <c r="AY13" s="1051" t="n"/>
      <c r="AZ13" s="1051" t="n"/>
      <c r="BA13" s="2193" t="n"/>
      <c r="BB13" s="1051" t="n"/>
      <c r="BC13" s="1051" t="n"/>
      <c r="BD13" s="2193" t="n"/>
      <c r="BE13" s="1051" t="n"/>
      <c r="BF13" s="2194" t="n"/>
      <c r="BG13" s="2193" t="n"/>
      <c r="BI13" s="1932" t="n"/>
      <c r="BK13" s="1932" t="n"/>
      <c r="BL13" s="1933" t="n"/>
      <c r="BM13" s="1051" t="n"/>
      <c r="BP13" s="1051" t="n"/>
      <c r="BQ13" s="2193" t="n"/>
      <c r="BS13" s="1051" t="n"/>
      <c r="BT13" s="2193" t="n"/>
      <c r="BU13" s="2193" t="n"/>
      <c r="BV13" s="1051" t="n"/>
      <c r="BW13" s="2193" t="n"/>
      <c r="BY13" s="2194" t="n"/>
      <c r="BZ13" s="2193" t="n"/>
      <c r="CC13" s="2193" t="n"/>
      <c r="CD13" s="2193" t="n"/>
      <c r="CE13" s="2193" t="n"/>
      <c r="CF13" s="2193" t="n"/>
      <c r="CG13" s="2193" t="n"/>
      <c r="CH13" s="2193" t="n"/>
      <c r="CI13" s="2193" t="n"/>
      <c r="CJ13" s="2193" t="n"/>
      <c r="CK13" s="2193" t="n"/>
      <c r="CL13" s="2193" t="n"/>
      <c r="CM13" s="1051" t="n"/>
      <c r="CN13" s="2193" t="n"/>
      <c r="CO13" s="1051" t="n"/>
      <c r="CP13" s="1051" t="n"/>
      <c r="CQ13" s="2193" t="n"/>
      <c r="CR13" s="1051" t="n"/>
      <c r="CS13" s="1051" t="n"/>
      <c r="CT13" s="2193" t="n"/>
      <c r="CU13" s="1051" t="n"/>
      <c r="CV13" s="2194" t="n"/>
      <c r="CW13" s="2193" t="n"/>
      <c r="CY13" s="1932" t="n"/>
      <c r="DA13" s="1932" t="n"/>
      <c r="DB13" s="1933" t="n"/>
      <c r="DC13" s="1051" t="n"/>
    </row>
    <row r="14" customFormat="1" s="585">
      <c r="A14" s="606" t="inlineStr">
        <is>
          <t>ISO Strip at All Areas:</t>
        </is>
      </c>
      <c r="B14" s="585">
        <f>'Gyp (USG 1-8")'!B14</f>
        <v/>
      </c>
      <c r="C14" s="591" t="n"/>
      <c r="D14" s="591" t="n"/>
      <c r="E14" s="600" t="n"/>
      <c r="F14" s="989" t="inlineStr">
        <is>
          <t xml:space="preserve">Yield at 3/4" </t>
        </is>
      </c>
      <c r="G14" s="862" t="n">
        <v>40</v>
      </c>
      <c r="H14" s="1112" t="inlineStr">
        <is>
          <t>42 more realistic</t>
        </is>
      </c>
      <c r="I14" s="863" t="n"/>
      <c r="K14" s="1934" t="n"/>
      <c r="L14" s="633" t="n"/>
      <c r="N14" s="1292" t="n"/>
      <c r="O14" s="1393">
        <f>SUM(P14:R14)</f>
        <v/>
      </c>
      <c r="P14" s="1394" t="n"/>
      <c r="Q14" s="1395" t="n"/>
      <c r="R14" s="1396" t="n"/>
      <c r="S14" s="1337">
        <f>((P14+Q14+R14)/F22)*H33</f>
        <v/>
      </c>
      <c r="T14" s="970" t="n"/>
      <c r="AM14" s="2193" t="n">
        <v>5000</v>
      </c>
      <c r="AN14" s="2193" t="n"/>
      <c r="AO14" s="2193" t="n"/>
      <c r="AP14" s="2193">
        <f>AM14</f>
        <v/>
      </c>
      <c r="AQ14" s="2193" t="n"/>
      <c r="AR14" s="2193" t="n"/>
      <c r="AS14" s="2193">
        <f>AM14+AP14</f>
        <v/>
      </c>
      <c r="AT14" s="2193" t="n"/>
      <c r="AU14" s="2193" t="n"/>
      <c r="AV14" s="2193">
        <f>AS14</f>
        <v/>
      </c>
      <c r="AW14" s="1051">
        <f>IF(AM14&lt;=#REF!,#REF!,IF(AM14&lt;=#REF!,#REF!,IF(AM14&lt;=#REF!,#REF!,IF(AM14&lt;=#REF!,#REF!,IF(AM14&lt;=#REF!,#REF!,IF(AM14&lt;=#REF!,#REF!,IF(AM14&lt;=#REF!,#REF!,0.05)))))))</f>
        <v/>
      </c>
      <c r="AX14" s="2193">
        <f>AW14*AM14</f>
        <v/>
      </c>
      <c r="AY14" s="1051" t="n"/>
      <c r="AZ14" s="1051">
        <f>IF(AP14&lt;=#REF!,#REF!,IF(AP14&lt;=#REF!,#REF!,IF(AP14&lt;=#REF!,#REF!,IF(AP14&lt;=#REF!,#REF!,IF(AP14&lt;=#REF!,#REF!,IF(AP14&lt;=#REF!,#REF!,IF(AP14&lt;=#REF!,#REF!,0.05)))))))</f>
        <v/>
      </c>
      <c r="BA14" s="2193">
        <f>AZ14*AP14</f>
        <v/>
      </c>
      <c r="BB14" s="1051" t="n"/>
      <c r="BC14" s="1051">
        <f>IF(AS14&lt;=#REF!,#REF!,IF(AS14&lt;=#REF!,#REF!,IF(AS14&lt;=#REF!,#REF!,IF(AS14&lt;=#REF!,#REF!,IF(AS14&lt;=#REF!,#REF!,IF(AS14&lt;=#REF!,#REF!,IF(AS14&lt;=#REF!,#REF!,0.05)))))))</f>
        <v/>
      </c>
      <c r="BD14" s="2193">
        <f>BC14*SUM(BA14,AX14,AS14)</f>
        <v/>
      </c>
      <c r="BE14" s="1051" t="n"/>
      <c r="BF14" s="2194">
        <f>IF(AV14&lt;=#REF!,#REF!,IF(AV14&lt;=#REF!,#REF!,IF(AV14&lt;=#REF!,#REF!,IF(AV14&lt;=#REF!,#REF!,IF(AV14&lt;=#REF!,#REF!,IF(AV14&lt;=#REF!,#REF!,IF(AV14&lt;=#REF!,#REF!,0.05)))))))</f>
        <v/>
      </c>
      <c r="BG14" s="2193">
        <f>BF14*AV14</f>
        <v/>
      </c>
      <c r="BI14" s="1932">
        <f>0.07*SUM(AS14,AX14,BA14,BD14,BG14)</f>
        <v/>
      </c>
      <c r="BK14" s="1932">
        <f>SUM(BI14,BG14,BD14,BA14,AX14,AS14)</f>
        <v/>
      </c>
      <c r="BL14" s="1933">
        <f>SUM(BG14,BD14,BA14,AX14)</f>
        <v/>
      </c>
      <c r="BM14" s="1051">
        <f>BL14/BK14</f>
        <v/>
      </c>
      <c r="BP14" s="1051" t="n">
        <v>0.05</v>
      </c>
      <c r="BQ14" s="2193" t="n">
        <v>1000000000</v>
      </c>
      <c r="BS14" s="1051" t="n">
        <v>0.05</v>
      </c>
      <c r="BT14" s="2193" t="n">
        <v>10000</v>
      </c>
      <c r="BU14" s="2193" t="n"/>
      <c r="BV14" s="1051" t="n">
        <v>0.18</v>
      </c>
      <c r="BW14" s="2193" t="n">
        <v>1000000000</v>
      </c>
      <c r="BY14" s="2194" t="n">
        <v>-0.055</v>
      </c>
      <c r="BZ14" s="2193" t="n">
        <v>44000</v>
      </c>
      <c r="CC14" s="2193" t="n">
        <v>5000</v>
      </c>
      <c r="CD14" s="2193" t="n"/>
      <c r="CE14" s="2193" t="n"/>
      <c r="CF14" s="2193">
        <f>CC14</f>
        <v/>
      </c>
      <c r="CG14" s="2193" t="n"/>
      <c r="CH14" s="2193" t="n"/>
      <c r="CI14" s="2193">
        <f>CC14+CF14</f>
        <v/>
      </c>
      <c r="CJ14" s="2193" t="n"/>
      <c r="CK14" s="2193" t="n"/>
      <c r="CL14" s="2193">
        <f>CI14</f>
        <v/>
      </c>
      <c r="CM14" s="1051">
        <f>IF(CC14&lt;=BQ$6,BP$6,IF(CC14&lt;=BQ$7,BP$7,IF(CC14&lt;=BQ$8,BP$8,IF(CC14&lt;=BQ$9,BP$9,IF(CC14&lt;=BQ$14,BP$14,IF(CC14&lt;=BQ$15,BP$15,IF(CC14&lt;=BQ$16,BP$16,0.05)))))))</f>
        <v/>
      </c>
      <c r="CN14" s="2193">
        <f>CM14*CC14</f>
        <v/>
      </c>
      <c r="CO14" s="1051" t="n"/>
      <c r="CP14" s="1051">
        <f>IF(CF14&lt;=BT$6,BS$6,IF(CF14&lt;=BT$7,BS$7,IF(CF14&lt;=BT$8,BS$8,IF(CF14&lt;=BT$9,BS$9,IF(CF14&lt;=BT$14,BS$14,IF(CF14&lt;=BT$15,BS$15,IF(CF14&lt;=BT$16,BS$16,0.05)))))))</f>
        <v/>
      </c>
      <c r="CQ14" s="2193">
        <f>CP14*CF14</f>
        <v/>
      </c>
      <c r="CR14" s="1051" t="n"/>
      <c r="CS14" s="1051">
        <f>IF(CI14&lt;=BW$6,BV$6,IF(CI14&lt;=BW$7,BV$7,IF(CI14&lt;=BW$8,BV$8,IF(CI14&lt;=BW$9,BV$9,IF(CI14&lt;=BW$14,BV$14,IF(CI14&lt;=BW$15,BV$15,IF(CI14&lt;=BW$16,BV$16,0.05)))))))</f>
        <v/>
      </c>
      <c r="CT14" s="2193">
        <f>CS14*SUM(CQ14,CN14,CI14)</f>
        <v/>
      </c>
      <c r="CU14" s="1051" t="n"/>
      <c r="CV14" s="2194">
        <f>IF(CL14&lt;=BZ$6,BY$6,IF(CL14&lt;=BZ$7,BY$7,IF(CL14&lt;=BZ$8,BY$8,IF(CL14&lt;=BZ$9,BY$9,IF(CL14&lt;=BZ$14,BY$14,IF(CL14&lt;=BZ$15,BY$15,IF(CL14&lt;=BZ$16,BY$16,0.05)))))))</f>
        <v/>
      </c>
      <c r="CW14" s="2193">
        <f>CV14*CL14</f>
        <v/>
      </c>
      <c r="CY14" s="1932">
        <f>0.07*SUM(CI14,CN14,CQ14,CT14,CW14)</f>
        <v/>
      </c>
      <c r="DA14" s="1932">
        <f>SUM(CY14,CW14,CT14,CQ14,CN14,CI14)</f>
        <v/>
      </c>
      <c r="DB14" s="1933">
        <f>SUM(CW14,CT14,CQ14,CN14)</f>
        <v/>
      </c>
      <c r="DC14" s="1051">
        <f>DB14/DA14</f>
        <v/>
      </c>
    </row>
    <row r="15" customFormat="1" s="585">
      <c r="A15" s="606" t="inlineStr">
        <is>
          <t>Metal Lath Reinfrcmnt:</t>
        </is>
      </c>
      <c r="B15" s="585">
        <f>'Gyp (USG 1-8")'!B15</f>
        <v/>
      </c>
      <c r="C15" s="591" t="n"/>
      <c r="D15" s="591" t="n"/>
      <c r="E15" s="591" t="n"/>
      <c r="F15" s="864" t="inlineStr">
        <is>
          <t xml:space="preserve">Yield per 1/8" </t>
        </is>
      </c>
      <c r="G15" s="585">
        <f>G14*6</f>
        <v/>
      </c>
      <c r="I15" s="868" t="n"/>
      <c r="K15" s="1934" t="n"/>
      <c r="L15" s="633" t="n"/>
      <c r="N15" s="1292" t="n"/>
      <c r="O15" s="1393">
        <f>SUM(P15:R15)</f>
        <v/>
      </c>
      <c r="P15" s="1394" t="n"/>
      <c r="Q15" s="1395" t="n"/>
      <c r="R15" s="1396" t="n"/>
      <c r="S15" s="1337">
        <f>((P15+Q15+R15)/F22)*H33</f>
        <v/>
      </c>
      <c r="T15" s="970" t="n"/>
      <c r="AM15" s="2193" t="n">
        <v>6000</v>
      </c>
      <c r="AN15" s="2193" t="n"/>
      <c r="AO15" s="2193" t="n"/>
      <c r="AP15" s="2193">
        <f>AM15</f>
        <v/>
      </c>
      <c r="AQ15" s="2193" t="n"/>
      <c r="AR15" s="2193" t="n"/>
      <c r="AS15" s="2193">
        <f>AM15+AP15</f>
        <v/>
      </c>
      <c r="AT15" s="2193" t="n"/>
      <c r="AU15" s="2193" t="n"/>
      <c r="AV15" s="2193">
        <f>AS15</f>
        <v/>
      </c>
      <c r="AW15" s="1051">
        <f>IF(AM15&lt;=#REF!,#REF!,IF(AM15&lt;=#REF!,#REF!,IF(AM15&lt;=#REF!,#REF!,IF(AM15&lt;=#REF!,#REF!,IF(AM15&lt;=#REF!,#REF!,IF(AM15&lt;=#REF!,#REF!,IF(AM15&lt;=#REF!,#REF!,0.05)))))))</f>
        <v/>
      </c>
      <c r="AX15" s="2193">
        <f>AW15*AM15</f>
        <v/>
      </c>
      <c r="AY15" s="1051" t="n"/>
      <c r="AZ15" s="1051">
        <f>IF(AP15&lt;=#REF!,#REF!,IF(AP15&lt;=#REF!,#REF!,IF(AP15&lt;=#REF!,#REF!,IF(AP15&lt;=#REF!,#REF!,IF(AP15&lt;=#REF!,#REF!,IF(AP15&lt;=#REF!,#REF!,IF(AP15&lt;=#REF!,#REF!,0.05)))))))</f>
        <v/>
      </c>
      <c r="BA15" s="2193">
        <f>AZ15*AP15</f>
        <v/>
      </c>
      <c r="BB15" s="1051" t="n"/>
      <c r="BC15" s="1051">
        <f>IF(AS15&lt;=#REF!,#REF!,IF(AS15&lt;=#REF!,#REF!,IF(AS15&lt;=#REF!,#REF!,IF(AS15&lt;=#REF!,#REF!,IF(AS15&lt;=#REF!,#REF!,IF(AS15&lt;=#REF!,#REF!,IF(AS15&lt;=#REF!,#REF!,0.05)))))))</f>
        <v/>
      </c>
      <c r="BD15" s="2193">
        <f>BC15*SUM(BA15,AX15,AS15)</f>
        <v/>
      </c>
      <c r="BE15" s="1051" t="n"/>
      <c r="BF15" s="2194">
        <f>IF(AV15&lt;=#REF!,#REF!,IF(AV15&lt;=#REF!,#REF!,IF(AV15&lt;=#REF!,#REF!,IF(AV15&lt;=#REF!,#REF!,IF(AV15&lt;=#REF!,#REF!,IF(AV15&lt;=#REF!,#REF!,IF(AV15&lt;=#REF!,#REF!,0.05)))))))</f>
        <v/>
      </c>
      <c r="BG15" s="2193">
        <f>BF15*AV15</f>
        <v/>
      </c>
      <c r="BI15" s="1932">
        <f>0.07*SUM(AS15,AX15,BA15,BD15,BG15)</f>
        <v/>
      </c>
      <c r="BK15" s="1932">
        <f>SUM(BI15,BG15,BD15,BA15,AX15,AS15)</f>
        <v/>
      </c>
      <c r="BL15" s="1933">
        <f>SUM(BG15,BD15,BA15,AX15)</f>
        <v/>
      </c>
      <c r="BM15" s="1051">
        <f>BL15/BK15</f>
        <v/>
      </c>
      <c r="BP15" s="1051" t="n">
        <v>0.05</v>
      </c>
      <c r="BQ15" s="2193" t="n">
        <v>1000000000</v>
      </c>
      <c r="BS15" s="1051" t="n">
        <v>0.03</v>
      </c>
      <c r="BT15" s="2193" t="n">
        <v>1000000000</v>
      </c>
      <c r="BU15" s="2193" t="n"/>
      <c r="BV15" s="1051" t="n">
        <v>0.18</v>
      </c>
      <c r="BW15" s="2193" t="n">
        <v>1000000000</v>
      </c>
      <c r="BY15" s="2194" t="n">
        <v>-0.06</v>
      </c>
      <c r="BZ15" s="2193" t="n">
        <v>1000000000</v>
      </c>
      <c r="CC15" s="2193" t="n">
        <v>6000</v>
      </c>
      <c r="CD15" s="2193" t="n"/>
      <c r="CE15" s="2193" t="n"/>
      <c r="CF15" s="2193">
        <f>CC15</f>
        <v/>
      </c>
      <c r="CG15" s="2193" t="n"/>
      <c r="CH15" s="2193" t="n"/>
      <c r="CI15" s="2193">
        <f>CC15+CF15</f>
        <v/>
      </c>
      <c r="CJ15" s="2193" t="n"/>
      <c r="CK15" s="2193" t="n"/>
      <c r="CL15" s="2193">
        <f>CI15</f>
        <v/>
      </c>
      <c r="CM15" s="1051">
        <f>IF(CC15&lt;=BQ$6,BP$6,IF(CC15&lt;=BQ$7,BP$7,IF(CC15&lt;=BQ$8,BP$8,IF(CC15&lt;=BQ$9,BP$9,IF(CC15&lt;=BQ$14,BP$14,IF(CC15&lt;=BQ$15,BP$15,IF(CC15&lt;=BQ$16,BP$16,0.05)))))))</f>
        <v/>
      </c>
      <c r="CN15" s="2193">
        <f>CM15*CC15</f>
        <v/>
      </c>
      <c r="CO15" s="1051" t="n"/>
      <c r="CP15" s="1051">
        <f>IF(CF15&lt;=BT$6,BS$6,IF(CF15&lt;=BT$7,BS$7,IF(CF15&lt;=BT$8,BS$8,IF(CF15&lt;=BT$9,BS$9,IF(CF15&lt;=BT$14,BS$14,IF(CF15&lt;=BT$15,BS$15,IF(CF15&lt;=BT$16,BS$16,0.05)))))))</f>
        <v/>
      </c>
      <c r="CQ15" s="2193">
        <f>CP15*CF15</f>
        <v/>
      </c>
      <c r="CR15" s="1051" t="n"/>
      <c r="CS15" s="1051">
        <f>IF(CI15&lt;=BW$6,BV$6,IF(CI15&lt;=BW$7,BV$7,IF(CI15&lt;=BW$8,BV$8,IF(CI15&lt;=BW$9,BV$9,IF(CI15&lt;=BW$14,BV$14,IF(CI15&lt;=BW$15,BV$15,IF(CI15&lt;=BW$16,BV$16,0.05)))))))</f>
        <v/>
      </c>
      <c r="CT15" s="2193">
        <f>CS15*SUM(CQ15,CN15,CI15)</f>
        <v/>
      </c>
      <c r="CU15" s="1051" t="n"/>
      <c r="CV15" s="2194">
        <f>IF(CL15&lt;=BZ$6,BY$6,IF(CL15&lt;=BZ$7,BY$7,IF(CL15&lt;=BZ$8,BY$8,IF(CL15&lt;=BZ$9,BY$9,IF(CL15&lt;=BZ$14,BY$14,IF(CL15&lt;=BZ$15,BY$15,IF(CL15&lt;=BZ$16,BY$16,0.05)))))))</f>
        <v/>
      </c>
      <c r="CW15" s="2193">
        <f>CV15*CL15</f>
        <v/>
      </c>
      <c r="CY15" s="1932">
        <f>0.07*SUM(CI15,CN15,CQ15,CT15,CW15)</f>
        <v/>
      </c>
      <c r="DA15" s="1932">
        <f>SUM(CY15,CW15,CT15,CQ15,CN15,CI15)</f>
        <v/>
      </c>
      <c r="DB15" s="1933">
        <f>SUM(CW15,CT15,CQ15,CN15)</f>
        <v/>
      </c>
      <c r="DC15" s="1051">
        <f>DB15/DA15</f>
        <v/>
      </c>
    </row>
    <row r="16" customFormat="1" s="585">
      <c r="A16" s="608" t="inlineStr">
        <is>
          <t>System-    Gyp:</t>
        </is>
      </c>
      <c r="B16" s="1662" t="inlineStr">
        <is>
          <t>N25 1/4"</t>
        </is>
      </c>
      <c r="C16" s="1654" t="inlineStr">
        <is>
          <t>+ 1" Gyp</t>
        </is>
      </c>
      <c r="D16" s="1655" t="inlineStr">
        <is>
          <t>1.8 Mix:2500psi</t>
        </is>
      </c>
      <c r="E16" s="591" t="n"/>
      <c r="F16" s="990" t="inlineStr">
        <is>
          <t>Eights req at Thickness</t>
        </is>
      </c>
      <c r="G16" s="1061" t="n">
        <v>6</v>
      </c>
      <c r="H16" s="991" t="inlineStr">
        <is>
          <t xml:space="preserve">*change this depending on depth, 1"=8… 3/4"=6* </t>
        </is>
      </c>
      <c r="I16" s="868" t="n"/>
      <c r="K16" s="1934" t="n"/>
      <c r="L16" s="633" t="n"/>
      <c r="N16" s="1292" t="n"/>
      <c r="O16" s="1393">
        <f>SUM(P16:R16)</f>
        <v/>
      </c>
      <c r="P16" s="1394" t="n"/>
      <c r="Q16" s="1395" t="n"/>
      <c r="R16" s="1396" t="n"/>
      <c r="S16" s="1337">
        <f>((P16+Q16+R16)/F22)*H33</f>
        <v/>
      </c>
      <c r="T16" s="970" t="n"/>
      <c r="AM16" s="2193" t="n">
        <v>7000</v>
      </c>
      <c r="AN16" s="2193" t="n"/>
      <c r="AO16" s="2193" t="n"/>
      <c r="AP16" s="2193">
        <f>AM16</f>
        <v/>
      </c>
      <c r="AQ16" s="2193" t="n"/>
      <c r="AR16" s="2193" t="n"/>
      <c r="AS16" s="2193">
        <f>AM16+AP16</f>
        <v/>
      </c>
      <c r="AT16" s="2193" t="n"/>
      <c r="AU16" s="2193" t="n"/>
      <c r="AV16" s="2193">
        <f>AS16</f>
        <v/>
      </c>
      <c r="AW16" s="1051">
        <f>IF(AM16&lt;=#REF!,#REF!,IF(AM16&lt;=#REF!,#REF!,IF(AM16&lt;=#REF!,#REF!,IF(AM16&lt;=#REF!,#REF!,IF(AM16&lt;=#REF!,#REF!,IF(AM16&lt;=#REF!,#REF!,IF(AM16&lt;=#REF!,#REF!,0.05)))))))</f>
        <v/>
      </c>
      <c r="AX16" s="2193">
        <f>AW16*AM16</f>
        <v/>
      </c>
      <c r="AY16" s="1051" t="n"/>
      <c r="AZ16" s="1051">
        <f>IF(AP16&lt;=#REF!,#REF!,IF(AP16&lt;=#REF!,#REF!,IF(AP16&lt;=#REF!,#REF!,IF(AP16&lt;=#REF!,#REF!,IF(AP16&lt;=#REF!,#REF!,IF(AP16&lt;=#REF!,#REF!,IF(AP16&lt;=#REF!,#REF!,0.05)))))))</f>
        <v/>
      </c>
      <c r="BA16" s="2193">
        <f>AZ16*AP16</f>
        <v/>
      </c>
      <c r="BB16" s="1051" t="n"/>
      <c r="BC16" s="1051">
        <f>IF(AS16&lt;=#REF!,#REF!,IF(AS16&lt;=#REF!,#REF!,IF(AS16&lt;=#REF!,#REF!,IF(AS16&lt;=#REF!,#REF!,IF(AS16&lt;=#REF!,#REF!,IF(AS16&lt;=#REF!,#REF!,IF(AS16&lt;=#REF!,#REF!,0.05)))))))</f>
        <v/>
      </c>
      <c r="BD16" s="2193">
        <f>BC16*SUM(BA16,AX16,AS16)</f>
        <v/>
      </c>
      <c r="BE16" s="1051" t="n"/>
      <c r="BF16" s="2194">
        <f>IF(AV16&lt;=#REF!,#REF!,IF(AV16&lt;=#REF!,#REF!,IF(AV16&lt;=#REF!,#REF!,IF(AV16&lt;=#REF!,#REF!,IF(AV16&lt;=#REF!,#REF!,IF(AV16&lt;=#REF!,#REF!,IF(AV16&lt;=#REF!,#REF!,0.05)))))))</f>
        <v/>
      </c>
      <c r="BG16" s="2193">
        <f>BF16*AV16</f>
        <v/>
      </c>
      <c r="BI16" s="1932">
        <f>0.07*SUM(AS16,AX16,BA16,BD16,BG16)</f>
        <v/>
      </c>
      <c r="BK16" s="1932">
        <f>SUM(BI16,BG16,BD16,BA16,AX16,AS16)</f>
        <v/>
      </c>
      <c r="BL16" s="1933">
        <f>SUM(BG16,BD16,BA16,AX16)</f>
        <v/>
      </c>
      <c r="BM16" s="1051">
        <f>BL16/BK16</f>
        <v/>
      </c>
      <c r="BP16" s="1051" t="n">
        <v>0.05</v>
      </c>
      <c r="BQ16" s="2193" t="n">
        <v>1000000000</v>
      </c>
      <c r="BS16" s="1051" t="n">
        <v>0.03</v>
      </c>
      <c r="BT16" s="2193" t="n">
        <v>1000000000</v>
      </c>
      <c r="BU16" s="2193" t="n"/>
      <c r="BV16" s="1051" t="n">
        <v>0.18</v>
      </c>
      <c r="BW16" s="2193" t="n">
        <v>1000000000</v>
      </c>
      <c r="BY16" s="2194" t="n">
        <v>0</v>
      </c>
      <c r="BZ16" s="2193" t="n">
        <v>1000000000</v>
      </c>
      <c r="CC16" s="2193" t="n">
        <v>7000</v>
      </c>
      <c r="CD16" s="2193" t="n"/>
      <c r="CE16" s="2193" t="n"/>
      <c r="CF16" s="2193">
        <f>CC16</f>
        <v/>
      </c>
      <c r="CG16" s="2193" t="n"/>
      <c r="CH16" s="2193" t="n"/>
      <c r="CI16" s="2193">
        <f>CC16+CF16</f>
        <v/>
      </c>
      <c r="CJ16" s="2193" t="n"/>
      <c r="CK16" s="2193" t="n"/>
      <c r="CL16" s="2193">
        <f>CI16</f>
        <v/>
      </c>
      <c r="CM16" s="1051">
        <f>IF(CC16&lt;=BQ$6,BP$6,IF(CC16&lt;=BQ$7,BP$7,IF(CC16&lt;=BQ$8,BP$8,IF(CC16&lt;=BQ$9,BP$9,IF(CC16&lt;=BQ$14,BP$14,IF(CC16&lt;=BQ$15,BP$15,IF(CC16&lt;=BQ$16,BP$16,0.05)))))))</f>
        <v/>
      </c>
      <c r="CN16" s="2193">
        <f>CM16*CC16</f>
        <v/>
      </c>
      <c r="CO16" s="1051" t="n"/>
      <c r="CP16" s="1051">
        <f>IF(CF16&lt;=BT$6,BS$6,IF(CF16&lt;=BT$7,BS$7,IF(CF16&lt;=BT$8,BS$8,IF(CF16&lt;=BT$9,BS$9,IF(CF16&lt;=BT$14,BS$14,IF(CF16&lt;=BT$15,BS$15,IF(CF16&lt;=BT$16,BS$16,0.05)))))))</f>
        <v/>
      </c>
      <c r="CQ16" s="2193">
        <f>CP16*CF16</f>
        <v/>
      </c>
      <c r="CR16" s="1051" t="n"/>
      <c r="CS16" s="1051">
        <f>IF(CI16&lt;=BW$6,BV$6,IF(CI16&lt;=BW$7,BV$7,IF(CI16&lt;=BW$8,BV$8,IF(CI16&lt;=BW$9,BV$9,IF(CI16&lt;=BW$14,BV$14,IF(CI16&lt;=BW$15,BV$15,IF(CI16&lt;=BW$16,BV$16,0.05)))))))</f>
        <v/>
      </c>
      <c r="CT16" s="2193">
        <f>CS16*SUM(CQ16,CN16,CI16)</f>
        <v/>
      </c>
      <c r="CU16" s="1051" t="n"/>
      <c r="CV16" s="2194">
        <f>IF(CL16&lt;=BZ$6,BY$6,IF(CL16&lt;=BZ$7,BY$7,IF(CL16&lt;=BZ$8,BY$8,IF(CL16&lt;=BZ$9,BY$9,IF(CL16&lt;=BZ$14,BY$14,IF(CL16&lt;=BZ$15,BY$15,IF(CL16&lt;=BZ$16,BY$16,0.05)))))))</f>
        <v/>
      </c>
      <c r="CW16" s="2193">
        <f>CV16*CL16</f>
        <v/>
      </c>
      <c r="CY16" s="1932">
        <f>0.07*SUM(CI16,CN16,CQ16,CT16,CW16)</f>
        <v/>
      </c>
      <c r="DA16" s="1932">
        <f>SUM(CY16,CW16,CT16,CQ16,CN16,CI16)</f>
        <v/>
      </c>
      <c r="DB16" s="1933">
        <f>SUM(CW16,CT16,CQ16,CN16)</f>
        <v/>
      </c>
      <c r="DC16" s="1051">
        <f>DB16/DA16</f>
        <v/>
      </c>
    </row>
    <row r="17" ht="16.2" customFormat="1" customHeight="1" s="585" thickBot="1">
      <c r="A17" s="1553" t="inlineStr">
        <is>
          <t>** USG **</t>
        </is>
      </c>
      <c r="B17" s="600" t="n"/>
      <c r="C17" s="591" t="n"/>
      <c r="D17" s="591" t="n"/>
      <c r="E17" s="591" t="n"/>
      <c r="F17" s="990" t="inlineStr">
        <is>
          <t xml:space="preserve">Yield/FT </t>
        </is>
      </c>
      <c r="G17" s="585">
        <f>G15/G16</f>
        <v/>
      </c>
      <c r="I17" s="868" t="n"/>
      <c r="K17" s="1934" t="n"/>
      <c r="L17" s="633" t="n"/>
      <c r="N17" s="1292" t="n"/>
      <c r="O17" s="1393">
        <f>SUM(P17:R17)</f>
        <v/>
      </c>
      <c r="P17" s="1394" t="n"/>
      <c r="Q17" s="1395" t="n"/>
      <c r="R17" s="1396" t="n"/>
      <c r="S17" s="1337">
        <f>((P17+Q17+R17)/F22)*H33</f>
        <v/>
      </c>
      <c r="T17" s="970" t="n"/>
      <c r="AM17" s="2193" t="n">
        <v>8000</v>
      </c>
      <c r="AN17" s="2193" t="n"/>
      <c r="AO17" s="2193" t="n"/>
      <c r="AP17" s="2193">
        <f>AM17</f>
        <v/>
      </c>
      <c r="AQ17" s="2193" t="n"/>
      <c r="AR17" s="2193" t="n"/>
      <c r="AS17" s="2193">
        <f>AM17+AP17</f>
        <v/>
      </c>
      <c r="AT17" s="2193" t="n"/>
      <c r="AU17" s="2193" t="n"/>
      <c r="AV17" s="2193">
        <f>AS17</f>
        <v/>
      </c>
      <c r="AW17" s="1051">
        <f>IF(AM17&lt;=#REF!,#REF!,IF(AM17&lt;=#REF!,#REF!,IF(AM17&lt;=#REF!,#REF!,IF(AM17&lt;=#REF!,#REF!,IF(AM17&lt;=#REF!,#REF!,IF(AM17&lt;=#REF!,#REF!,IF(AM17&lt;=#REF!,#REF!,0.05)))))))</f>
        <v/>
      </c>
      <c r="AX17" s="2193">
        <f>AW17*AM17</f>
        <v/>
      </c>
      <c r="AY17" s="1051" t="n"/>
      <c r="AZ17" s="1051">
        <f>IF(AP17&lt;=#REF!,#REF!,IF(AP17&lt;=#REF!,#REF!,IF(AP17&lt;=#REF!,#REF!,IF(AP17&lt;=#REF!,#REF!,IF(AP17&lt;=#REF!,#REF!,IF(AP17&lt;=#REF!,#REF!,IF(AP17&lt;=#REF!,#REF!,0.05)))))))</f>
        <v/>
      </c>
      <c r="BA17" s="2193">
        <f>AZ17*AP17</f>
        <v/>
      </c>
      <c r="BB17" s="1051" t="n"/>
      <c r="BC17" s="1051">
        <f>IF(AS17&lt;=#REF!,#REF!,IF(AS17&lt;=#REF!,#REF!,IF(AS17&lt;=#REF!,#REF!,IF(AS17&lt;=#REF!,#REF!,IF(AS17&lt;=#REF!,#REF!,IF(AS17&lt;=#REF!,#REF!,IF(AS17&lt;=#REF!,#REF!,0.05)))))))</f>
        <v/>
      </c>
      <c r="BD17" s="2193">
        <f>BC17*SUM(BA17,AX17,AS17)</f>
        <v/>
      </c>
      <c r="BE17" s="1051" t="n"/>
      <c r="BF17" s="2194">
        <f>IF(AV17&lt;=#REF!,#REF!,IF(AV17&lt;=#REF!,#REF!,IF(AV17&lt;=#REF!,#REF!,IF(AV17&lt;=#REF!,#REF!,IF(AV17&lt;=#REF!,#REF!,IF(AV17&lt;=#REF!,#REF!,IF(AV17&lt;=#REF!,#REF!,0.05)))))))</f>
        <v/>
      </c>
      <c r="BG17" s="2193">
        <f>BF17*AV17</f>
        <v/>
      </c>
      <c r="BI17" s="1932">
        <f>0.07*SUM(AS17,AX17,BA17,BD17,BG17)</f>
        <v/>
      </c>
      <c r="BK17" s="1932">
        <f>SUM(BI17,BG17,BD17,BA17,AX17,AS17)</f>
        <v/>
      </c>
      <c r="BL17" s="1933">
        <f>SUM(BG17,BD17,BA17,AX17)</f>
        <v/>
      </c>
      <c r="BM17" s="1051">
        <f>BL17/BK17</f>
        <v/>
      </c>
      <c r="CC17" s="2193" t="n">
        <v>8000</v>
      </c>
      <c r="CD17" s="2193" t="n"/>
      <c r="CE17" s="2193" t="n"/>
      <c r="CF17" s="2193">
        <f>CC17</f>
        <v/>
      </c>
      <c r="CG17" s="2193" t="n"/>
      <c r="CH17" s="2193" t="n"/>
      <c r="CI17" s="2193">
        <f>CC17+CF17</f>
        <v/>
      </c>
      <c r="CJ17" s="2193" t="n"/>
      <c r="CK17" s="2193" t="n"/>
      <c r="CL17" s="2193">
        <f>CI17</f>
        <v/>
      </c>
      <c r="CM17" s="1051">
        <f>IF(CC17&lt;=BQ$6,BP$6,IF(CC17&lt;=BQ$7,BP$7,IF(CC17&lt;=BQ$8,BP$8,IF(CC17&lt;=BQ$9,BP$9,IF(CC17&lt;=BQ$14,BP$14,IF(CC17&lt;=BQ$15,BP$15,IF(CC17&lt;=BQ$16,BP$16,0.05)))))))</f>
        <v/>
      </c>
      <c r="CN17" s="2193">
        <f>CM17*CC17</f>
        <v/>
      </c>
      <c r="CO17" s="1051" t="n"/>
      <c r="CP17" s="1051">
        <f>IF(CF17&lt;=BT$6,BS$6,IF(CF17&lt;=BT$7,BS$7,IF(CF17&lt;=BT$8,BS$8,IF(CF17&lt;=BT$9,BS$9,IF(CF17&lt;=BT$14,BS$14,IF(CF17&lt;=BT$15,BS$15,IF(CF17&lt;=BT$16,BS$16,0.05)))))))</f>
        <v/>
      </c>
      <c r="CQ17" s="2193">
        <f>CP17*CF17</f>
        <v/>
      </c>
      <c r="CR17" s="1051" t="n"/>
      <c r="CS17" s="1051">
        <f>IF(CI17&lt;=BW$6,BV$6,IF(CI17&lt;=BW$7,BV$7,IF(CI17&lt;=BW$8,BV$8,IF(CI17&lt;=BW$9,BV$9,IF(CI17&lt;=BW$14,BV$14,IF(CI17&lt;=BW$15,BV$15,IF(CI17&lt;=BW$16,BV$16,0.05)))))))</f>
        <v/>
      </c>
      <c r="CT17" s="2193">
        <f>CS17*SUM(CQ17,CN17,CI17)</f>
        <v/>
      </c>
      <c r="CU17" s="1051" t="n"/>
      <c r="CV17" s="2194">
        <f>IF(CL17&lt;=BZ$6,BY$6,IF(CL17&lt;=BZ$7,BY$7,IF(CL17&lt;=BZ$8,BY$8,IF(CL17&lt;=BZ$9,BY$9,IF(CL17&lt;=BZ$14,BY$14,IF(CL17&lt;=BZ$15,BY$15,IF(CL17&lt;=BZ$16,BY$16,0.05)))))))</f>
        <v/>
      </c>
      <c r="CW17" s="2193">
        <f>CV17*CL17</f>
        <v/>
      </c>
      <c r="CY17" s="1932">
        <f>0.07*SUM(CI17,CN17,CQ17,CT17,CW17)</f>
        <v/>
      </c>
      <c r="DA17" s="1932">
        <f>SUM(CY17,CW17,CT17,CQ17,CN17,CI17)</f>
        <v/>
      </c>
      <c r="DB17" s="1933">
        <f>SUM(CW17,CT17,CQ17,CN17)</f>
        <v/>
      </c>
      <c r="DC17" s="1051">
        <f>DB17/DA17</f>
        <v/>
      </c>
    </row>
    <row r="18" ht="16.2" customFormat="1" customHeight="1" s="585" thickBot="1">
      <c r="A18" s="612" t="inlineStr">
        <is>
          <t>Total Base Bid:</t>
        </is>
      </c>
      <c r="B18" s="1938">
        <f>E87</f>
        <v/>
      </c>
      <c r="C18" s="614" t="n"/>
      <c r="D18" s="614" t="inlineStr">
        <is>
          <t>$ / SF:</t>
        </is>
      </c>
      <c r="E18" s="1938">
        <f>C87</f>
        <v/>
      </c>
      <c r="F18" s="864" t="inlineStr">
        <is>
          <t xml:space="preserve">Gyp Waste </t>
        </is>
      </c>
      <c r="G18" s="1165" t="n">
        <v>0.03</v>
      </c>
      <c r="H18" s="585" t="inlineStr">
        <is>
          <t>*Adjust these if needed</t>
        </is>
      </c>
      <c r="I18" s="868" t="n"/>
      <c r="K18" s="617" t="n"/>
      <c r="L18" s="633" t="n"/>
      <c r="N18" s="1292" t="n"/>
      <c r="O18" s="1393">
        <f>SUM(P18:R18)</f>
        <v/>
      </c>
      <c r="P18" s="1394" t="n"/>
      <c r="Q18" s="1395" t="n"/>
      <c r="R18" s="1396" t="n"/>
      <c r="S18" s="1337">
        <f>((P18+Q18+R18)/F22)*H33</f>
        <v/>
      </c>
      <c r="T18" s="970" t="n"/>
      <c r="AM18" s="2193" t="n">
        <v>9000</v>
      </c>
      <c r="AN18" s="2193" t="n"/>
      <c r="AO18" s="2193" t="n"/>
      <c r="AP18" s="2193">
        <f>AM18</f>
        <v/>
      </c>
      <c r="AQ18" s="2193" t="n"/>
      <c r="AR18" s="2193" t="n"/>
      <c r="AS18" s="2193">
        <f>AM18+AP18</f>
        <v/>
      </c>
      <c r="AT18" s="2193" t="n"/>
      <c r="AU18" s="2193" t="n"/>
      <c r="AV18" s="2193">
        <f>AS18</f>
        <v/>
      </c>
      <c r="AW18" s="1051">
        <f>IF(AM18&lt;=#REF!,#REF!,IF(AM18&lt;=#REF!,#REF!,IF(AM18&lt;=#REF!,#REF!,IF(AM18&lt;=#REF!,#REF!,IF(AM18&lt;=#REF!,#REF!,IF(AM18&lt;=#REF!,#REF!,IF(AM18&lt;=#REF!,#REF!,0.05)))))))</f>
        <v/>
      </c>
      <c r="AX18" s="2193">
        <f>AW18*AM18</f>
        <v/>
      </c>
      <c r="AY18" s="1051" t="n"/>
      <c r="AZ18" s="1051">
        <f>IF(AP18&lt;=#REF!,#REF!,IF(AP18&lt;=#REF!,#REF!,IF(AP18&lt;=#REF!,#REF!,IF(AP18&lt;=#REF!,#REF!,IF(AP18&lt;=#REF!,#REF!,IF(AP18&lt;=#REF!,#REF!,IF(AP18&lt;=#REF!,#REF!,0.05)))))))</f>
        <v/>
      </c>
      <c r="BA18" s="2193">
        <f>AZ18*AP18</f>
        <v/>
      </c>
      <c r="BB18" s="1051" t="n"/>
      <c r="BC18" s="1051">
        <f>IF(AS18&lt;=#REF!,#REF!,IF(AS18&lt;=#REF!,#REF!,IF(AS18&lt;=#REF!,#REF!,IF(AS18&lt;=#REF!,#REF!,IF(AS18&lt;=#REF!,#REF!,IF(AS18&lt;=#REF!,#REF!,IF(AS18&lt;=#REF!,#REF!,0.05)))))))</f>
        <v/>
      </c>
      <c r="BD18" s="2193">
        <f>BC18*SUM(BA18,AX18,AS18)</f>
        <v/>
      </c>
      <c r="BE18" s="1051" t="n"/>
      <c r="BF18" s="2194">
        <f>IF(AV18&lt;=#REF!,#REF!,IF(AV18&lt;=#REF!,#REF!,IF(AV18&lt;=#REF!,#REF!,IF(AV18&lt;=#REF!,#REF!,IF(AV18&lt;=#REF!,#REF!,IF(AV18&lt;=#REF!,#REF!,IF(AV18&lt;=#REF!,#REF!,0.05)))))))</f>
        <v/>
      </c>
      <c r="BG18" s="2193">
        <f>BF18*AV18</f>
        <v/>
      </c>
      <c r="BI18" s="1932">
        <f>0.07*SUM(AS18,AX18,BA18,BD18,BG18)</f>
        <v/>
      </c>
      <c r="BK18" s="1932">
        <f>SUM(BI18,BG18,BD18,BA18,AX18,AS18)</f>
        <v/>
      </c>
      <c r="BL18" s="1933">
        <f>SUM(BG18,BD18,BA18,AX18)</f>
        <v/>
      </c>
      <c r="BM18" s="1051">
        <f>BL18/BK18</f>
        <v/>
      </c>
      <c r="CC18" s="2193" t="n">
        <v>9000</v>
      </c>
      <c r="CD18" s="2193" t="n"/>
      <c r="CE18" s="2193" t="n"/>
      <c r="CF18" s="2193">
        <f>CC18</f>
        <v/>
      </c>
      <c r="CG18" s="2193" t="n"/>
      <c r="CH18" s="2193" t="n"/>
      <c r="CI18" s="2193">
        <f>CC18+CF18</f>
        <v/>
      </c>
      <c r="CJ18" s="2193" t="n"/>
      <c r="CK18" s="2193" t="n"/>
      <c r="CL18" s="2193">
        <f>CI18</f>
        <v/>
      </c>
      <c r="CM18" s="1051">
        <f>IF(CC18&lt;=BQ$6,BP$6,IF(CC18&lt;=BQ$7,BP$7,IF(CC18&lt;=BQ$8,BP$8,IF(CC18&lt;=BQ$9,BP$9,IF(CC18&lt;=BQ$14,BP$14,IF(CC18&lt;=BQ$15,BP$15,IF(CC18&lt;=BQ$16,BP$16,0.05)))))))</f>
        <v/>
      </c>
      <c r="CN18" s="2193">
        <f>CM18*CC18</f>
        <v/>
      </c>
      <c r="CO18" s="1051" t="n"/>
      <c r="CP18" s="1051">
        <f>IF(CF18&lt;=BT$6,BS$6,IF(CF18&lt;=BT$7,BS$7,IF(CF18&lt;=BT$8,BS$8,IF(CF18&lt;=BT$9,BS$9,IF(CF18&lt;=BT$14,BS$14,IF(CF18&lt;=BT$15,BS$15,IF(CF18&lt;=BT$16,BS$16,0.05)))))))</f>
        <v/>
      </c>
      <c r="CQ18" s="2193">
        <f>CP18*CF18</f>
        <v/>
      </c>
      <c r="CR18" s="1051" t="n"/>
      <c r="CS18" s="1051">
        <f>IF(CI18&lt;=BW$6,BV$6,IF(CI18&lt;=BW$7,BV$7,IF(CI18&lt;=BW$8,BV$8,IF(CI18&lt;=BW$9,BV$9,IF(CI18&lt;=BW$14,BV$14,IF(CI18&lt;=BW$15,BV$15,IF(CI18&lt;=BW$16,BV$16,0.05)))))))</f>
        <v/>
      </c>
      <c r="CT18" s="2193">
        <f>CS18*SUM(CQ18,CN18,CI18)</f>
        <v/>
      </c>
      <c r="CU18" s="1051" t="n"/>
      <c r="CV18" s="2194">
        <f>IF(CL18&lt;=BZ$6,BY$6,IF(CL18&lt;=BZ$7,BY$7,IF(CL18&lt;=BZ$8,BY$8,IF(CL18&lt;=BZ$9,BY$9,IF(CL18&lt;=BZ$14,BY$14,IF(CL18&lt;=BZ$15,BY$15,IF(CL18&lt;=BZ$16,BY$16,0.05)))))))</f>
        <v/>
      </c>
      <c r="CW18" s="2193">
        <f>CV18*CL18</f>
        <v/>
      </c>
      <c r="CY18" s="1932">
        <f>0.07*SUM(CI18,CN18,CQ18,CT18,CW18)</f>
        <v/>
      </c>
      <c r="DA18" s="1932">
        <f>SUM(CY18,CW18,CT18,CQ18,CN18,CI18)</f>
        <v/>
      </c>
      <c r="DB18" s="1933">
        <f>SUM(CW18,CT18,CQ18,CN18)</f>
        <v/>
      </c>
      <c r="DC18" s="1051">
        <f>DB18/DA18</f>
        <v/>
      </c>
    </row>
    <row r="19" customFormat="1" s="585">
      <c r="A19" s="616" t="inlineStr">
        <is>
          <t xml:space="preserve">MATERIAL - </t>
        </is>
      </c>
      <c r="B19" s="617" t="inlineStr">
        <is>
          <t>Quantity</t>
        </is>
      </c>
      <c r="C19" s="1781" t="inlineStr">
        <is>
          <t>Units</t>
        </is>
      </c>
      <c r="D19" s="617" t="inlineStr">
        <is>
          <t>Cost/Unit</t>
        </is>
      </c>
      <c r="E19" s="992" t="inlineStr">
        <is>
          <t xml:space="preserve">Subtotal </t>
        </is>
      </c>
      <c r="F19" s="585" t="inlineStr">
        <is>
          <t xml:space="preserve">Sand Waste </t>
        </is>
      </c>
      <c r="G19" s="1165" t="n">
        <v>0.1</v>
      </c>
      <c r="H19" s="1877" t="inlineStr">
        <is>
          <t>for large bids</t>
        </is>
      </c>
      <c r="I19" s="993" t="n"/>
      <c r="K19" s="2014" t="n"/>
      <c r="L19" s="633" t="n"/>
      <c r="N19" s="1292" t="n"/>
      <c r="O19" s="1393">
        <f>SUM(P19:R19)</f>
        <v/>
      </c>
      <c r="P19" s="1394" t="n"/>
      <c r="Q19" s="1395" t="n"/>
      <c r="R19" s="1396" t="n"/>
      <c r="S19" s="1337">
        <f>((P19+Q19+R19)/F22)*H33</f>
        <v/>
      </c>
      <c r="T19" s="970" t="n"/>
      <c r="AM19" s="2193" t="n">
        <v>10000</v>
      </c>
      <c r="AN19" s="2193" t="n"/>
      <c r="AO19" s="2193" t="n"/>
      <c r="AP19" s="2193">
        <f>AM19</f>
        <v/>
      </c>
      <c r="AQ19" s="2193" t="n"/>
      <c r="AR19" s="2193" t="n"/>
      <c r="AS19" s="2193">
        <f>AM19+AP19</f>
        <v/>
      </c>
      <c r="AT19" s="2193" t="n"/>
      <c r="AU19" s="2193" t="n"/>
      <c r="AV19" s="2193">
        <f>AS19</f>
        <v/>
      </c>
      <c r="AW19" s="1051">
        <f>IF(AM19&lt;=#REF!,#REF!,IF(AM19&lt;=#REF!,#REF!,IF(AM19&lt;=#REF!,#REF!,IF(AM19&lt;=#REF!,#REF!,IF(AM19&lt;=#REF!,#REF!,IF(AM19&lt;=#REF!,#REF!,IF(AM19&lt;=#REF!,#REF!,0.05)))))))</f>
        <v/>
      </c>
      <c r="AX19" s="2193">
        <f>AW19*AM19</f>
        <v/>
      </c>
      <c r="AY19" s="1051" t="n"/>
      <c r="AZ19" s="1051">
        <f>IF(AP19&lt;=#REF!,#REF!,IF(AP19&lt;=#REF!,#REF!,IF(AP19&lt;=#REF!,#REF!,IF(AP19&lt;=#REF!,#REF!,IF(AP19&lt;=#REF!,#REF!,IF(AP19&lt;=#REF!,#REF!,IF(AP19&lt;=#REF!,#REF!,0.05)))))))</f>
        <v/>
      </c>
      <c r="BA19" s="2193">
        <f>AZ19*AP19</f>
        <v/>
      </c>
      <c r="BB19" s="1051" t="n"/>
      <c r="BC19" s="1051">
        <f>IF(AS19&lt;=#REF!,#REF!,IF(AS19&lt;=#REF!,#REF!,IF(AS19&lt;=#REF!,#REF!,IF(AS19&lt;=#REF!,#REF!,IF(AS19&lt;=#REF!,#REF!,IF(AS19&lt;=#REF!,#REF!,IF(AS19&lt;=#REF!,#REF!,0.05)))))))</f>
        <v/>
      </c>
      <c r="BD19" s="2193">
        <f>BC19*SUM(BA19,AX19,AS19)</f>
        <v/>
      </c>
      <c r="BE19" s="1051" t="n"/>
      <c r="BF19" s="2194">
        <f>IF(AV19&lt;=#REF!,#REF!,IF(AV19&lt;=#REF!,#REF!,IF(AV19&lt;=#REF!,#REF!,IF(AV19&lt;=#REF!,#REF!,IF(AV19&lt;=#REF!,#REF!,IF(AV19&lt;=#REF!,#REF!,IF(AV19&lt;=#REF!,#REF!,0.05)))))))</f>
        <v/>
      </c>
      <c r="BG19" s="2193">
        <f>BF19*AV19</f>
        <v/>
      </c>
      <c r="BI19" s="1932">
        <f>0.07*SUM(AS19,AX19,BA19,BD19,BG19)</f>
        <v/>
      </c>
      <c r="BK19" s="1932">
        <f>SUM(BI19,BG19,BD19,BA19,AX19,AS19)</f>
        <v/>
      </c>
      <c r="BL19" s="1933">
        <f>SUM(BG19,BD19,BA19,AX19)</f>
        <v/>
      </c>
      <c r="BM19" s="1051">
        <f>BL19/BK19</f>
        <v/>
      </c>
      <c r="CC19" s="2193" t="n">
        <v>10000</v>
      </c>
      <c r="CD19" s="2193" t="n"/>
      <c r="CE19" s="2193" t="n"/>
      <c r="CF19" s="2193">
        <f>CC19</f>
        <v/>
      </c>
      <c r="CG19" s="2193" t="n"/>
      <c r="CH19" s="2193" t="n"/>
      <c r="CI19" s="2193">
        <f>CC19+CF19</f>
        <v/>
      </c>
      <c r="CJ19" s="2193" t="n"/>
      <c r="CK19" s="2193" t="n"/>
      <c r="CL19" s="2193">
        <f>CI19</f>
        <v/>
      </c>
      <c r="CM19" s="1051">
        <f>IF(CC19&lt;=BQ$6,BP$6,IF(CC19&lt;=BQ$7,BP$7,IF(CC19&lt;=BQ$8,BP$8,IF(CC19&lt;=BQ$9,BP$9,IF(CC19&lt;=BQ$14,BP$14,IF(CC19&lt;=BQ$15,BP$15,IF(CC19&lt;=BQ$16,BP$16,0.05)))))))</f>
        <v/>
      </c>
      <c r="CN19" s="2193">
        <f>CM19*CC19</f>
        <v/>
      </c>
      <c r="CO19" s="1051" t="n"/>
      <c r="CP19" s="1051">
        <f>IF(CF19&lt;=BT$6,BS$6,IF(CF19&lt;=BT$7,BS$7,IF(CF19&lt;=BT$8,BS$8,IF(CF19&lt;=BT$9,BS$9,IF(CF19&lt;=BT$14,BS$14,IF(CF19&lt;=BT$15,BS$15,IF(CF19&lt;=BT$16,BS$16,0.05)))))))</f>
        <v/>
      </c>
      <c r="CQ19" s="2193">
        <f>CP19*CF19</f>
        <v/>
      </c>
      <c r="CR19" s="1051" t="n"/>
      <c r="CS19" s="1051">
        <f>IF(CI19&lt;=BW$6,BV$6,IF(CI19&lt;=BW$7,BV$7,IF(CI19&lt;=BW$8,BV$8,IF(CI19&lt;=BW$9,BV$9,IF(CI19&lt;=BW$14,BV$14,IF(CI19&lt;=BW$15,BV$15,IF(CI19&lt;=BW$16,BV$16,0.05)))))))</f>
        <v/>
      </c>
      <c r="CT19" s="2193">
        <f>CS19*SUM(CQ19,CN19,CI19)</f>
        <v/>
      </c>
      <c r="CU19" s="1051" t="n"/>
      <c r="CV19" s="2194">
        <f>IF(CL19&lt;=BZ$6,BY$6,IF(CL19&lt;=BZ$7,BY$7,IF(CL19&lt;=BZ$8,BY$8,IF(CL19&lt;=BZ$9,BY$9,IF(CL19&lt;=BZ$14,BY$14,IF(CL19&lt;=BZ$15,BY$15,IF(CL19&lt;=BZ$16,BY$16,0.05)))))))</f>
        <v/>
      </c>
      <c r="CW19" s="2193">
        <f>CV19*CL19</f>
        <v/>
      </c>
      <c r="CY19" s="1932">
        <f>0.07*SUM(CI19,CN19,CQ19,CT19,CW19)</f>
        <v/>
      </c>
      <c r="DA19" s="1932">
        <f>SUM(CY19,CW19,CT19,CQ19,CN19,CI19)</f>
        <v/>
      </c>
      <c r="DB19" s="1933">
        <f>SUM(CW19,CT19,CQ19,CN19)</f>
        <v/>
      </c>
      <c r="DC19" s="1051">
        <f>DB19/DA19</f>
        <v/>
      </c>
    </row>
    <row r="20" ht="16.2" customFormat="1" customHeight="1" s="585" thickBot="1">
      <c r="A20" s="624" t="n"/>
      <c r="B20" s="2096" t="n"/>
      <c r="C20" s="2203" t="n"/>
      <c r="D20" s="1942" t="n"/>
      <c r="E20" s="1943">
        <f>B20*D20</f>
        <v/>
      </c>
      <c r="F20" s="874" t="inlineStr">
        <is>
          <t>Sound Mat Waste</t>
        </is>
      </c>
      <c r="G20" s="1166" t="n">
        <v>0.04</v>
      </c>
      <c r="H20" s="874" t="n"/>
      <c r="I20" s="875" t="n"/>
      <c r="L20" s="633" t="n"/>
      <c r="N20" s="1292" t="n"/>
      <c r="O20" s="1393">
        <f>SUM(P20:R20)</f>
        <v/>
      </c>
      <c r="P20" s="1394" t="n"/>
      <c r="Q20" s="1395" t="n"/>
      <c r="R20" s="1396" t="n"/>
      <c r="S20" s="1337">
        <f>((P20+Q20+R20)/F22)*H33</f>
        <v/>
      </c>
      <c r="T20" s="970" t="n"/>
      <c r="AM20" s="2193" t="n">
        <v>11000</v>
      </c>
      <c r="AN20" s="2193" t="n"/>
      <c r="AO20" s="2193" t="n"/>
      <c r="AP20" s="2193">
        <f>AM20</f>
        <v/>
      </c>
      <c r="AQ20" s="2193" t="n"/>
      <c r="AR20" s="2193" t="n"/>
      <c r="AS20" s="2193">
        <f>AM20+AP20</f>
        <v/>
      </c>
      <c r="AT20" s="2193" t="n"/>
      <c r="AU20" s="2193" t="n"/>
      <c r="AV20" s="2193">
        <f>AS20</f>
        <v/>
      </c>
      <c r="AW20" s="1051">
        <f>IF(AM20&lt;=#REF!,#REF!,IF(AM20&lt;=#REF!,#REF!,IF(AM20&lt;=#REF!,#REF!,IF(AM20&lt;=#REF!,#REF!,IF(AM20&lt;=#REF!,#REF!,IF(AM20&lt;=#REF!,#REF!,IF(AM20&lt;=#REF!,#REF!,0.05)))))))</f>
        <v/>
      </c>
      <c r="AX20" s="2193">
        <f>AW20*AM20</f>
        <v/>
      </c>
      <c r="AY20" s="1051" t="n"/>
      <c r="AZ20" s="1051">
        <f>IF(AP20&lt;=#REF!,#REF!,IF(AP20&lt;=#REF!,#REF!,IF(AP20&lt;=#REF!,#REF!,IF(AP20&lt;=#REF!,#REF!,IF(AP20&lt;=#REF!,#REF!,IF(AP20&lt;=#REF!,#REF!,IF(AP20&lt;=#REF!,#REF!,0.05)))))))</f>
        <v/>
      </c>
      <c r="BA20" s="2193">
        <f>AZ20*AP20</f>
        <v/>
      </c>
      <c r="BB20" s="1051" t="n"/>
      <c r="BC20" s="1051">
        <f>IF(AS20&lt;=#REF!,#REF!,IF(AS20&lt;=#REF!,#REF!,IF(AS20&lt;=#REF!,#REF!,IF(AS20&lt;=#REF!,#REF!,IF(AS20&lt;=#REF!,#REF!,IF(AS20&lt;=#REF!,#REF!,IF(AS20&lt;=#REF!,#REF!,0.05)))))))</f>
        <v/>
      </c>
      <c r="BD20" s="2193">
        <f>BC20*SUM(BA20,AX20,AS20)</f>
        <v/>
      </c>
      <c r="BE20" s="1051" t="n"/>
      <c r="BF20" s="2194">
        <f>IF(AV20&lt;=#REF!,#REF!,IF(AV20&lt;=#REF!,#REF!,IF(AV20&lt;=#REF!,#REF!,IF(AV20&lt;=#REF!,#REF!,IF(AV20&lt;=#REF!,#REF!,IF(AV20&lt;=#REF!,#REF!,IF(AV20&lt;=#REF!,#REF!,0.05)))))))</f>
        <v/>
      </c>
      <c r="BG20" s="2193">
        <f>BF20*AV20</f>
        <v/>
      </c>
      <c r="BI20" s="1932">
        <f>0.07*SUM(AS20,AX20,BA20,BD20,BG20)</f>
        <v/>
      </c>
      <c r="BK20" s="1932">
        <f>SUM(BI20,BG20,BD20,BA20,AX20,AS20)</f>
        <v/>
      </c>
      <c r="BL20" s="1933">
        <f>SUM(BG20,BD20,BA20,AX20)</f>
        <v/>
      </c>
      <c r="BM20" s="1051">
        <f>BL20/BK20</f>
        <v/>
      </c>
      <c r="CC20" s="2193" t="n">
        <v>11000</v>
      </c>
      <c r="CD20" s="2193" t="n"/>
      <c r="CE20" s="2193" t="n"/>
      <c r="CF20" s="2193">
        <f>CC20</f>
        <v/>
      </c>
      <c r="CG20" s="2193" t="n"/>
      <c r="CH20" s="2193" t="n"/>
      <c r="CI20" s="2193">
        <f>CC20+CF20</f>
        <v/>
      </c>
      <c r="CJ20" s="2193" t="n"/>
      <c r="CK20" s="2193" t="n"/>
      <c r="CL20" s="2193">
        <f>CI20</f>
        <v/>
      </c>
      <c r="CM20" s="1051">
        <f>IF(CC20&lt;=BQ$6,BP$6,IF(CC20&lt;=BQ$7,BP$7,IF(CC20&lt;=BQ$8,BP$8,IF(CC20&lt;=BQ$9,BP$9,IF(CC20&lt;=BQ$14,BP$14,IF(CC20&lt;=BQ$15,BP$15,IF(CC20&lt;=BQ$16,BP$16,0.05)))))))</f>
        <v/>
      </c>
      <c r="CN20" s="2193">
        <f>CM20*CC20</f>
        <v/>
      </c>
      <c r="CO20" s="1051" t="n"/>
      <c r="CP20" s="1051">
        <f>IF(CF20&lt;=BT$6,BS$6,IF(CF20&lt;=BT$7,BS$7,IF(CF20&lt;=BT$8,BS$8,IF(CF20&lt;=BT$9,BS$9,IF(CF20&lt;=BT$14,BS$14,IF(CF20&lt;=BT$15,BS$15,IF(CF20&lt;=BT$16,BS$16,0.05)))))))</f>
        <v/>
      </c>
      <c r="CQ20" s="2193">
        <f>CP20*CF20</f>
        <v/>
      </c>
      <c r="CR20" s="1051" t="n"/>
      <c r="CS20" s="1051">
        <f>IF(CI20&lt;=BW$6,BV$6,IF(CI20&lt;=BW$7,BV$7,IF(CI20&lt;=BW$8,BV$8,IF(CI20&lt;=BW$9,BV$9,IF(CI20&lt;=BW$14,BV$14,IF(CI20&lt;=BW$15,BV$15,IF(CI20&lt;=BW$16,BV$16,0.05)))))))</f>
        <v/>
      </c>
      <c r="CT20" s="2193">
        <f>CS20*SUM(CQ20,CN20,CI20)</f>
        <v/>
      </c>
      <c r="CU20" s="1051" t="n"/>
      <c r="CV20" s="2194">
        <f>IF(CL20&lt;=BZ$6,BY$6,IF(CL20&lt;=BZ$7,BY$7,IF(CL20&lt;=BZ$8,BY$8,IF(CL20&lt;=BZ$9,BY$9,IF(CL20&lt;=BZ$14,BY$14,IF(CL20&lt;=BZ$15,BY$15,IF(CL20&lt;=BZ$16,BY$16,0.05)))))))</f>
        <v/>
      </c>
      <c r="CW20" s="2193">
        <f>CV20*CL20</f>
        <v/>
      </c>
      <c r="CY20" s="1932">
        <f>0.07*SUM(CI20,CN20,CQ20,CT20,CW20)</f>
        <v/>
      </c>
      <c r="DA20" s="1932">
        <f>SUM(CY20,CW20,CT20,CQ20,CN20,CI20)</f>
        <v/>
      </c>
      <c r="DB20" s="1933">
        <f>SUM(CW20,CT20,CQ20,CN20)</f>
        <v/>
      </c>
      <c r="DC20" s="1051">
        <f>DB20/DA20</f>
        <v/>
      </c>
    </row>
    <row r="21" customFormat="1" s="585">
      <c r="A21" s="1559" t="inlineStr">
        <is>
          <t>USG Levelrock</t>
        </is>
      </c>
      <c r="B21" s="2096" t="n"/>
      <c r="C21" s="2203" t="n"/>
      <c r="D21" s="1942" t="n"/>
      <c r="E21" s="1943">
        <f>B21*D21</f>
        <v/>
      </c>
      <c r="L21" s="633" t="n"/>
      <c r="N21" s="1292" t="n"/>
      <c r="O21" s="1393">
        <f>SUM(P21:R21)</f>
        <v/>
      </c>
      <c r="P21" s="1394" t="n"/>
      <c r="Q21" s="1395" t="n"/>
      <c r="R21" s="1396" t="n"/>
      <c r="S21" s="1337">
        <f>((P21+Q21+R21)/F22)*H33</f>
        <v/>
      </c>
      <c r="T21" s="970" t="n"/>
      <c r="AM21" s="2193" t="n">
        <v>12000</v>
      </c>
      <c r="AN21" s="2193" t="n"/>
      <c r="AO21" s="2193" t="n"/>
      <c r="AP21" s="2193">
        <f>AM21</f>
        <v/>
      </c>
      <c r="AQ21" s="2193" t="n"/>
      <c r="AR21" s="2193" t="n"/>
      <c r="AS21" s="2193">
        <f>AM21+AP21</f>
        <v/>
      </c>
      <c r="AT21" s="2193" t="n"/>
      <c r="AU21" s="2193" t="n"/>
      <c r="AV21" s="2193">
        <f>AS21</f>
        <v/>
      </c>
      <c r="AW21" s="1051">
        <f>IF(AM21&lt;=#REF!,#REF!,IF(AM21&lt;=#REF!,#REF!,IF(AM21&lt;=#REF!,#REF!,IF(AM21&lt;=#REF!,#REF!,IF(AM21&lt;=#REF!,#REF!,IF(AM21&lt;=#REF!,#REF!,IF(AM21&lt;=#REF!,#REF!,0.05)))))))</f>
        <v/>
      </c>
      <c r="AX21" s="2193">
        <f>AW21*AM21</f>
        <v/>
      </c>
      <c r="AY21" s="1051" t="n"/>
      <c r="AZ21" s="1051">
        <f>IF(AP21&lt;=#REF!,#REF!,IF(AP21&lt;=#REF!,#REF!,IF(AP21&lt;=#REF!,#REF!,IF(AP21&lt;=#REF!,#REF!,IF(AP21&lt;=#REF!,#REF!,IF(AP21&lt;=#REF!,#REF!,IF(AP21&lt;=#REF!,#REF!,0.05)))))))</f>
        <v/>
      </c>
      <c r="BA21" s="2193">
        <f>AZ21*AP21</f>
        <v/>
      </c>
      <c r="BB21" s="1051" t="n"/>
      <c r="BC21" s="1051">
        <f>IF(AS21&lt;=#REF!,#REF!,IF(AS21&lt;=#REF!,#REF!,IF(AS21&lt;=#REF!,#REF!,IF(AS21&lt;=#REF!,#REF!,IF(AS21&lt;=#REF!,#REF!,IF(AS21&lt;=#REF!,#REF!,IF(AS21&lt;=#REF!,#REF!,0.05)))))))</f>
        <v/>
      </c>
      <c r="BD21" s="2193">
        <f>BC21*SUM(BA21,AX21,AS21)</f>
        <v/>
      </c>
      <c r="BE21" s="1051" t="n"/>
      <c r="BF21" s="2194">
        <f>IF(AV21&lt;=#REF!,#REF!,IF(AV21&lt;=#REF!,#REF!,IF(AV21&lt;=#REF!,#REF!,IF(AV21&lt;=#REF!,#REF!,IF(AV21&lt;=#REF!,#REF!,IF(AV21&lt;=#REF!,#REF!,IF(AV21&lt;=#REF!,#REF!,0.05)))))))</f>
        <v/>
      </c>
      <c r="BG21" s="2193">
        <f>BF21*AV21</f>
        <v/>
      </c>
      <c r="BI21" s="1932">
        <f>0.07*SUM(AS21,AX21,BA21,BD21,BG21)</f>
        <v/>
      </c>
      <c r="BK21" s="1932">
        <f>SUM(BI21,BG21,BD21,BA21,AX21,AS21)</f>
        <v/>
      </c>
      <c r="BL21" s="1933">
        <f>SUM(BG21,BD21,BA21,AX21)</f>
        <v/>
      </c>
      <c r="BM21" s="1051">
        <f>BL21/BK21</f>
        <v/>
      </c>
      <c r="CC21" s="2193" t="n">
        <v>12000</v>
      </c>
      <c r="CD21" s="2193" t="n"/>
      <c r="CE21" s="2193" t="n"/>
      <c r="CF21" s="2193">
        <f>CC21</f>
        <v/>
      </c>
      <c r="CG21" s="2193" t="n"/>
      <c r="CH21" s="2193" t="n"/>
      <c r="CI21" s="2193">
        <f>CC21+CF21</f>
        <v/>
      </c>
      <c r="CJ21" s="2193" t="n"/>
      <c r="CK21" s="2193" t="n"/>
      <c r="CL21" s="2193">
        <f>CI21</f>
        <v/>
      </c>
      <c r="CM21" s="1051">
        <f>IF(CC21&lt;=BQ$6,BP$6,IF(CC21&lt;=BQ$7,BP$7,IF(CC21&lt;=BQ$8,BP$8,IF(CC21&lt;=BQ$9,BP$9,IF(CC21&lt;=BQ$14,BP$14,IF(CC21&lt;=BQ$15,BP$15,IF(CC21&lt;=BQ$16,BP$16,0.05)))))))</f>
        <v/>
      </c>
      <c r="CN21" s="2193">
        <f>CM21*CC21</f>
        <v/>
      </c>
      <c r="CO21" s="1051" t="n"/>
      <c r="CP21" s="1051">
        <f>IF(CF21&lt;=BT$6,BS$6,IF(CF21&lt;=BT$7,BS$7,IF(CF21&lt;=BT$8,BS$8,IF(CF21&lt;=BT$9,BS$9,IF(CF21&lt;=BT$14,BS$14,IF(CF21&lt;=BT$15,BS$15,IF(CF21&lt;=BT$16,BS$16,0.05)))))))</f>
        <v/>
      </c>
      <c r="CQ21" s="2193">
        <f>CP21*CF21</f>
        <v/>
      </c>
      <c r="CR21" s="1051" t="n"/>
      <c r="CS21" s="1051">
        <f>IF(CI21&lt;=BW$6,BV$6,IF(CI21&lt;=BW$7,BV$7,IF(CI21&lt;=BW$8,BV$8,IF(CI21&lt;=BW$9,BV$9,IF(CI21&lt;=BW$14,BV$14,IF(CI21&lt;=BW$15,BV$15,IF(CI21&lt;=BW$16,BV$16,0.05)))))))</f>
        <v/>
      </c>
      <c r="CT21" s="2193">
        <f>CS21*SUM(CQ21,CN21,CI21)</f>
        <v/>
      </c>
      <c r="CU21" s="1051" t="n"/>
      <c r="CV21" s="2194">
        <f>IF(CL21&lt;=BZ$6,BY$6,IF(CL21&lt;=BZ$7,BY$7,IF(CL21&lt;=BZ$8,BY$8,IF(CL21&lt;=BZ$9,BY$9,IF(CL21&lt;=BZ$14,BY$14,IF(CL21&lt;=BZ$15,BY$15,IF(CL21&lt;=BZ$16,BY$16,0.05)))))))</f>
        <v/>
      </c>
      <c r="CW21" s="2193">
        <f>CV21*CL21</f>
        <v/>
      </c>
      <c r="CY21" s="1932">
        <f>0.07*SUM(CI21,CN21,CQ21,CT21,CW21)</f>
        <v/>
      </c>
      <c r="DA21" s="1932">
        <f>SUM(CY21,CW21,CT21,CQ21,CN21,CI21)</f>
        <v/>
      </c>
      <c r="DB21" s="1933">
        <f>SUM(CW21,CT21,CQ21,CN21)</f>
        <v/>
      </c>
      <c r="DC21" s="1051">
        <f>DB21/DA21</f>
        <v/>
      </c>
    </row>
    <row r="22" customFormat="1" s="585">
      <c r="A22" s="641" t="inlineStr">
        <is>
          <t>MATERIAL - Gypsum Underlayments</t>
        </is>
      </c>
      <c r="B22" s="2204" t="n"/>
      <c r="C22" s="643" t="n"/>
      <c r="D22" s="643" t="n"/>
      <c r="E22" s="2205">
        <f>B22*D22</f>
        <v/>
      </c>
      <c r="F22" s="1284">
        <f>SUM(F23:F25)</f>
        <v/>
      </c>
      <c r="G22" s="887" t="inlineStr">
        <is>
          <t>SF Total</t>
        </is>
      </c>
      <c r="H22" s="837" t="inlineStr">
        <is>
          <t>Ave Gyp Thickness</t>
        </is>
      </c>
      <c r="I22" s="2206" t="inlineStr">
        <is>
          <t>1/8's Req at Thickness</t>
        </is>
      </c>
      <c r="J22" s="822" t="inlineStr">
        <is>
          <t xml:space="preserve">Yield/FT </t>
        </is>
      </c>
      <c r="K22" s="1140" t="inlineStr">
        <is>
          <t>1.8 = 2500 psi</t>
        </is>
      </c>
      <c r="L22" s="1140" t="inlineStr">
        <is>
          <t>1.4 = 3000 psi</t>
        </is>
      </c>
      <c r="O22" s="1393">
        <f>SUM(P22:R22)</f>
        <v/>
      </c>
      <c r="P22" s="1394" t="n"/>
      <c r="Q22" s="1395" t="n"/>
      <c r="R22" s="1396" t="n"/>
      <c r="S22" s="1337">
        <f>((P22+Q22+R22)/F22)*H33</f>
        <v/>
      </c>
      <c r="T22" s="970" t="n"/>
      <c r="AM22" s="2193" t="n">
        <v>13000</v>
      </c>
      <c r="AN22" s="2193" t="n"/>
      <c r="AO22" s="2193" t="n"/>
      <c r="AP22" s="2193">
        <f>AM22</f>
        <v/>
      </c>
      <c r="AQ22" s="2193" t="n"/>
      <c r="AR22" s="2193" t="n"/>
      <c r="AS22" s="2193">
        <f>AM22+AP22</f>
        <v/>
      </c>
      <c r="AT22" s="2193" t="n"/>
      <c r="AU22" s="2193" t="n"/>
      <c r="AV22" s="2193">
        <f>AS22</f>
        <v/>
      </c>
      <c r="AW22" s="1051">
        <f>IF(AM22&lt;=#REF!,#REF!,IF(AM22&lt;=#REF!,#REF!,IF(AM22&lt;=#REF!,#REF!,IF(AM22&lt;=#REF!,#REF!,IF(AM22&lt;=#REF!,#REF!,IF(AM22&lt;=#REF!,#REF!,IF(AM22&lt;=#REF!,#REF!,0.05)))))))</f>
        <v/>
      </c>
      <c r="AX22" s="2193">
        <f>AW22*AM22</f>
        <v/>
      </c>
      <c r="AY22" s="1051" t="n"/>
      <c r="AZ22" s="1051">
        <f>IF(AP22&lt;=#REF!,#REF!,IF(AP22&lt;=#REF!,#REF!,IF(AP22&lt;=#REF!,#REF!,IF(AP22&lt;=#REF!,#REF!,IF(AP22&lt;=#REF!,#REF!,IF(AP22&lt;=#REF!,#REF!,IF(AP22&lt;=#REF!,#REF!,0.05)))))))</f>
        <v/>
      </c>
      <c r="BA22" s="2193">
        <f>AZ22*AP22</f>
        <v/>
      </c>
      <c r="BB22" s="1051" t="n"/>
      <c r="BC22" s="1051">
        <f>IF(AS22&lt;=#REF!,#REF!,IF(AS22&lt;=#REF!,#REF!,IF(AS22&lt;=#REF!,#REF!,IF(AS22&lt;=#REF!,#REF!,IF(AS22&lt;=#REF!,#REF!,IF(AS22&lt;=#REF!,#REF!,IF(AS22&lt;=#REF!,#REF!,0.05)))))))</f>
        <v/>
      </c>
      <c r="BD22" s="2193">
        <f>BC22*SUM(BA22,AX22,AS22)</f>
        <v/>
      </c>
      <c r="BE22" s="1051" t="n"/>
      <c r="BF22" s="2194">
        <f>IF(AV22&lt;=#REF!,#REF!,IF(AV22&lt;=#REF!,#REF!,IF(AV22&lt;=#REF!,#REF!,IF(AV22&lt;=#REF!,#REF!,IF(AV22&lt;=#REF!,#REF!,IF(AV22&lt;=#REF!,#REF!,IF(AV22&lt;=#REF!,#REF!,0.05)))))))</f>
        <v/>
      </c>
      <c r="BG22" s="2193">
        <f>BF22*AV22</f>
        <v/>
      </c>
      <c r="BI22" s="1932">
        <f>0.07*SUM(AS22,AX22,BA22,BD22,BG22)</f>
        <v/>
      </c>
      <c r="BK22" s="1932">
        <f>SUM(BI22,BG22,BD22,BA22,AX22,AS22)</f>
        <v/>
      </c>
      <c r="BL22" s="1933">
        <f>SUM(BG22,BD22,BA22,AX22)</f>
        <v/>
      </c>
      <c r="BM22" s="1051">
        <f>BL22/BK22</f>
        <v/>
      </c>
      <c r="CC22" s="2193" t="n">
        <v>13000</v>
      </c>
      <c r="CD22" s="2193" t="n"/>
      <c r="CE22" s="2193" t="n"/>
      <c r="CF22" s="2193">
        <f>CC22</f>
        <v/>
      </c>
      <c r="CG22" s="2193" t="n"/>
      <c r="CH22" s="2193" t="n"/>
      <c r="CI22" s="2193">
        <f>CC22+CF22</f>
        <v/>
      </c>
      <c r="CJ22" s="2193" t="n"/>
      <c r="CK22" s="2193" t="n"/>
      <c r="CL22" s="2193">
        <f>CI22</f>
        <v/>
      </c>
      <c r="CM22" s="1051">
        <f>IF(CC22&lt;=BQ$6,BP$6,IF(CC22&lt;=BQ$7,BP$7,IF(CC22&lt;=BQ$8,BP$8,IF(CC22&lt;=BQ$9,BP$9,IF(CC22&lt;=BQ$14,BP$14,IF(CC22&lt;=BQ$15,BP$15,IF(CC22&lt;=BQ$16,BP$16,0.05)))))))</f>
        <v/>
      </c>
      <c r="CN22" s="2193">
        <f>CM22*CC22</f>
        <v/>
      </c>
      <c r="CO22" s="1051" t="n"/>
      <c r="CP22" s="1051">
        <f>IF(CF22&lt;=BT$6,BS$6,IF(CF22&lt;=BT$7,BS$7,IF(CF22&lt;=BT$8,BS$8,IF(CF22&lt;=BT$9,BS$9,IF(CF22&lt;=BT$14,BS$14,IF(CF22&lt;=BT$15,BS$15,IF(CF22&lt;=BT$16,BS$16,0.05)))))))</f>
        <v/>
      </c>
      <c r="CQ22" s="2193">
        <f>CP22*CF22</f>
        <v/>
      </c>
      <c r="CR22" s="1051" t="n"/>
      <c r="CS22" s="1051">
        <f>IF(CI22&lt;=BW$6,BV$6,IF(CI22&lt;=BW$7,BV$7,IF(CI22&lt;=BW$8,BV$8,IF(CI22&lt;=BW$9,BV$9,IF(CI22&lt;=BW$14,BV$14,IF(CI22&lt;=BW$15,BV$15,IF(CI22&lt;=BW$16,BV$16,0.05)))))))</f>
        <v/>
      </c>
      <c r="CT22" s="2193">
        <f>CS22*SUM(CQ22,CN22,CI22)</f>
        <v/>
      </c>
      <c r="CU22" s="1051" t="n"/>
      <c r="CV22" s="2194">
        <f>IF(CL22&lt;=BZ$6,BY$6,IF(CL22&lt;=BZ$7,BY$7,IF(CL22&lt;=BZ$8,BY$8,IF(CL22&lt;=BZ$9,BY$9,IF(CL22&lt;=BZ$14,BY$14,IF(CL22&lt;=BZ$15,BY$15,IF(CL22&lt;=BZ$16,BY$16,0.05)))))))</f>
        <v/>
      </c>
      <c r="CW22" s="2193">
        <f>CV22*CL22</f>
        <v/>
      </c>
      <c r="CY22" s="1932">
        <f>0.07*SUM(CI22,CN22,CQ22,CT22,CW22)</f>
        <v/>
      </c>
      <c r="DA22" s="1932">
        <f>SUM(CY22,CW22,CT22,CQ22,CN22,CI22)</f>
        <v/>
      </c>
      <c r="DB22" s="1933">
        <f>SUM(CW22,CT22,CQ22,CN22)</f>
        <v/>
      </c>
      <c r="DC22" s="1051">
        <f>DB22/DA22</f>
        <v/>
      </c>
    </row>
    <row r="23" customFormat="1" s="585">
      <c r="A23" s="647" t="inlineStr">
        <is>
          <t>Levelrock 2500 (SSA)</t>
        </is>
      </c>
      <c r="B23" s="2207">
        <f>(F23/J23)*(1+G18)</f>
        <v/>
      </c>
      <c r="C23" s="2179" t="inlineStr">
        <is>
          <t>bags w/ waste</t>
        </is>
      </c>
      <c r="D23" s="2208" t="n">
        <v>14.08</v>
      </c>
      <c r="E23" s="1962">
        <f>B23*D23</f>
        <v/>
      </c>
      <c r="F23" s="2209">
        <f>G9</f>
        <v/>
      </c>
      <c r="G23" s="996" t="inlineStr">
        <is>
          <t>SF - Soft Surfaces</t>
        </is>
      </c>
      <c r="H23" s="2210">
        <f>G10</f>
        <v/>
      </c>
      <c r="I23" s="1147">
        <f>H23*8</f>
        <v/>
      </c>
      <c r="J23" s="1162">
        <f>IF(G11=P52,R52,IF(G11=P54,R54))</f>
        <v/>
      </c>
      <c r="K23" s="590" t="n">
        <v>40</v>
      </c>
      <c r="L23" s="585" t="n">
        <v>34</v>
      </c>
      <c r="O23" s="1393">
        <f>SUM(P23:R23)</f>
        <v/>
      </c>
      <c r="P23" s="1394" t="n"/>
      <c r="Q23" s="1395" t="n"/>
      <c r="R23" s="1396" t="n"/>
      <c r="S23" s="1337">
        <f>((P23+Q23+R23)/F22)*H33</f>
        <v/>
      </c>
      <c r="T23" s="997" t="n"/>
      <c r="AM23" s="2193" t="n">
        <v>14000</v>
      </c>
      <c r="AN23" s="2193" t="n"/>
      <c r="AO23" s="2193" t="n"/>
      <c r="AP23" s="2193">
        <f>AM23</f>
        <v/>
      </c>
      <c r="AQ23" s="2193" t="n"/>
      <c r="AR23" s="2193" t="n"/>
      <c r="AS23" s="2193">
        <f>AM23+AP23</f>
        <v/>
      </c>
      <c r="AT23" s="2193" t="n"/>
      <c r="AU23" s="2193" t="n"/>
      <c r="AV23" s="2193">
        <f>AS23</f>
        <v/>
      </c>
      <c r="AW23" s="1051">
        <f>IF(AM23&lt;=#REF!,#REF!,IF(AM23&lt;=#REF!,#REF!,IF(AM23&lt;=#REF!,#REF!,IF(AM23&lt;=#REF!,#REF!,IF(AM23&lt;=#REF!,#REF!,IF(AM23&lt;=#REF!,#REF!,IF(AM23&lt;=#REF!,#REF!,0.05)))))))</f>
        <v/>
      </c>
      <c r="AX23" s="2193">
        <f>AW23*AM23</f>
        <v/>
      </c>
      <c r="AY23" s="1051" t="n"/>
      <c r="AZ23" s="1051">
        <f>IF(AP23&lt;=#REF!,#REF!,IF(AP23&lt;=#REF!,#REF!,IF(AP23&lt;=#REF!,#REF!,IF(AP23&lt;=#REF!,#REF!,IF(AP23&lt;=#REF!,#REF!,IF(AP23&lt;=#REF!,#REF!,IF(AP23&lt;=#REF!,#REF!,0.05)))))))</f>
        <v/>
      </c>
      <c r="BA23" s="2193">
        <f>AZ23*AP23</f>
        <v/>
      </c>
      <c r="BB23" s="1051" t="n"/>
      <c r="BC23" s="1051">
        <f>IF(AS23&lt;=#REF!,#REF!,IF(AS23&lt;=#REF!,#REF!,IF(AS23&lt;=#REF!,#REF!,IF(AS23&lt;=#REF!,#REF!,IF(AS23&lt;=#REF!,#REF!,IF(AS23&lt;=#REF!,#REF!,IF(AS23&lt;=#REF!,#REF!,0.05)))))))</f>
        <v/>
      </c>
      <c r="BD23" s="2193">
        <f>BC23*SUM(BA23,AX23,AS23)</f>
        <v/>
      </c>
      <c r="BE23" s="1051" t="n"/>
      <c r="BF23" s="2194">
        <f>IF(AV23&lt;=#REF!,#REF!,IF(AV23&lt;=#REF!,#REF!,IF(AV23&lt;=#REF!,#REF!,IF(AV23&lt;=#REF!,#REF!,IF(AV23&lt;=#REF!,#REF!,IF(AV23&lt;=#REF!,#REF!,IF(AV23&lt;=#REF!,#REF!,0.05)))))))</f>
        <v/>
      </c>
      <c r="BG23" s="2193">
        <f>BF23*AV23</f>
        <v/>
      </c>
      <c r="BI23" s="1932">
        <f>0.07*SUM(AS23,AX23,BA23,BD23,BG23)</f>
        <v/>
      </c>
      <c r="BK23" s="1932">
        <f>SUM(BI23,BG23,BD23,BA23,AX23,AS23)</f>
        <v/>
      </c>
      <c r="BL23" s="1933">
        <f>SUM(BG23,BD23,BA23,AX23)</f>
        <v/>
      </c>
      <c r="BM23" s="1051">
        <f>BL23/BK23</f>
        <v/>
      </c>
      <c r="CC23" s="2193" t="n">
        <v>14000</v>
      </c>
      <c r="CD23" s="2193" t="n"/>
      <c r="CE23" s="2193" t="n"/>
      <c r="CF23" s="2193">
        <f>CC23</f>
        <v/>
      </c>
      <c r="CG23" s="2193" t="n"/>
      <c r="CH23" s="2193" t="n"/>
      <c r="CI23" s="2193">
        <f>CC23+CF23</f>
        <v/>
      </c>
      <c r="CJ23" s="2193" t="n"/>
      <c r="CK23" s="2193" t="n"/>
      <c r="CL23" s="2193">
        <f>CI23</f>
        <v/>
      </c>
      <c r="CM23" s="1051">
        <f>IF(CC23&lt;=BQ$6,BP$6,IF(CC23&lt;=BQ$7,BP$7,IF(CC23&lt;=BQ$8,BP$8,IF(CC23&lt;=BQ$9,BP$9,IF(CC23&lt;=BQ$14,BP$14,IF(CC23&lt;=BQ$15,BP$15,IF(CC23&lt;=BQ$16,BP$16,0.05)))))))</f>
        <v/>
      </c>
      <c r="CN23" s="2193">
        <f>CM23*CC23</f>
        <v/>
      </c>
      <c r="CO23" s="1051" t="n"/>
      <c r="CP23" s="1051">
        <f>IF(CF23&lt;=BT$6,BS$6,IF(CF23&lt;=BT$7,BS$7,IF(CF23&lt;=BT$8,BS$8,IF(CF23&lt;=BT$9,BS$9,IF(CF23&lt;=BT$14,BS$14,IF(CF23&lt;=BT$15,BS$15,IF(CF23&lt;=BT$16,BS$16,0.05)))))))</f>
        <v/>
      </c>
      <c r="CQ23" s="2193">
        <f>CP23*CF23</f>
        <v/>
      </c>
      <c r="CR23" s="1051" t="n"/>
      <c r="CS23" s="1051">
        <f>IF(CI23&lt;=BW$6,BV$6,IF(CI23&lt;=BW$7,BV$7,IF(CI23&lt;=BW$8,BV$8,IF(CI23&lt;=BW$9,BV$9,IF(CI23&lt;=BW$14,BV$14,IF(CI23&lt;=BW$15,BV$15,IF(CI23&lt;=BW$16,BV$16,0.05)))))))</f>
        <v/>
      </c>
      <c r="CT23" s="2193">
        <f>CS23*SUM(CQ23,CN23,CI23)</f>
        <v/>
      </c>
      <c r="CU23" s="1051" t="n"/>
      <c r="CV23" s="2194">
        <f>IF(CL23&lt;=BZ$6,BY$6,IF(CL23&lt;=BZ$7,BY$7,IF(CL23&lt;=BZ$8,BY$8,IF(CL23&lt;=BZ$9,BY$9,IF(CL23&lt;=BZ$14,BY$14,IF(CL23&lt;=BZ$15,BY$15,IF(CL23&lt;=BZ$16,BY$16,0.05)))))))</f>
        <v/>
      </c>
      <c r="CW23" s="2193">
        <f>CV23*CL23</f>
        <v/>
      </c>
      <c r="CY23" s="1932">
        <f>0.07*SUM(CI23,CN23,CQ23,CT23,CW23)</f>
        <v/>
      </c>
      <c r="DA23" s="1932">
        <f>SUM(CY23,CW23,CT23,CQ23,CN23,CI23)</f>
        <v/>
      </c>
      <c r="DB23" s="1933">
        <f>SUM(CW23,CT23,CQ23,CN23)</f>
        <v/>
      </c>
      <c r="DC23" s="1051">
        <f>DB23/DA23</f>
        <v/>
      </c>
    </row>
    <row r="24" customFormat="1" s="585">
      <c r="A24" s="647" t="inlineStr">
        <is>
          <t>Levelrock 2500 (HSA)</t>
        </is>
      </c>
      <c r="B24" s="2211">
        <f>(F24/J24)*(1+G18)</f>
        <v/>
      </c>
      <c r="C24" s="2212">
        <f>C23</f>
        <v/>
      </c>
      <c r="D24" s="2212">
        <f>D23</f>
        <v/>
      </c>
      <c r="E24" s="1962">
        <f>B24*D24</f>
        <v/>
      </c>
      <c r="F24" s="2213">
        <f>I9</f>
        <v/>
      </c>
      <c r="G24" s="999" t="inlineStr">
        <is>
          <t>SF - Hard Surfaces</t>
        </is>
      </c>
      <c r="H24" s="2214">
        <f>I10</f>
        <v/>
      </c>
      <c r="I24" s="1148">
        <f>H24*8</f>
        <v/>
      </c>
      <c r="J24" s="1163">
        <f>IF(I11=P52,S52,IF(I11=P54,S54))</f>
        <v/>
      </c>
      <c r="K24" s="590" t="n">
        <v>42</v>
      </c>
      <c r="L24" s="585" t="n">
        <v>36</v>
      </c>
      <c r="O24" s="1393">
        <f>SUM(P24:R24)</f>
        <v/>
      </c>
      <c r="P24" s="1394" t="n"/>
      <c r="Q24" s="1395" t="n"/>
      <c r="R24" s="1396" t="n"/>
      <c r="S24" s="1337">
        <f>((P24+Q24+R24)/F22)*H33</f>
        <v/>
      </c>
      <c r="T24" s="970" t="n"/>
      <c r="AM24" s="2193" t="n">
        <v>15000</v>
      </c>
      <c r="AN24" s="2193" t="n"/>
      <c r="AO24" s="2193" t="n"/>
      <c r="AP24" s="2193">
        <f>AM24</f>
        <v/>
      </c>
      <c r="AQ24" s="2193" t="n"/>
      <c r="AR24" s="2193" t="n"/>
      <c r="AS24" s="2193">
        <f>AM24+AP24</f>
        <v/>
      </c>
      <c r="AT24" s="2193" t="n"/>
      <c r="AU24" s="2193" t="n"/>
      <c r="AV24" s="2193">
        <f>AS24</f>
        <v/>
      </c>
      <c r="AW24" s="1051">
        <f>IF(AM24&lt;=#REF!,#REF!,IF(AM24&lt;=#REF!,#REF!,IF(AM24&lt;=#REF!,#REF!,IF(AM24&lt;=#REF!,#REF!,IF(AM24&lt;=#REF!,#REF!,IF(AM24&lt;=#REF!,#REF!,IF(AM24&lt;=#REF!,#REF!,0.05)))))))</f>
        <v/>
      </c>
      <c r="AX24" s="2193">
        <f>AW24*AM24</f>
        <v/>
      </c>
      <c r="AY24" s="1051" t="n"/>
      <c r="AZ24" s="1051">
        <f>IF(AP24&lt;=#REF!,#REF!,IF(AP24&lt;=#REF!,#REF!,IF(AP24&lt;=#REF!,#REF!,IF(AP24&lt;=#REF!,#REF!,IF(AP24&lt;=#REF!,#REF!,IF(AP24&lt;=#REF!,#REF!,IF(AP24&lt;=#REF!,#REF!,0.05)))))))</f>
        <v/>
      </c>
      <c r="BA24" s="2193">
        <f>AZ24*AP24</f>
        <v/>
      </c>
      <c r="BB24" s="1051" t="n"/>
      <c r="BC24" s="1051">
        <f>IF(AS24&lt;=#REF!,#REF!,IF(AS24&lt;=#REF!,#REF!,IF(AS24&lt;=#REF!,#REF!,IF(AS24&lt;=#REF!,#REF!,IF(AS24&lt;=#REF!,#REF!,IF(AS24&lt;=#REF!,#REF!,IF(AS24&lt;=#REF!,#REF!,0.05)))))))</f>
        <v/>
      </c>
      <c r="BD24" s="2193">
        <f>BC24*SUM(BA24,AX24,AS24)</f>
        <v/>
      </c>
      <c r="BE24" s="1051" t="n"/>
      <c r="BF24" s="2194">
        <f>IF(AV24&lt;=#REF!,#REF!,IF(AV24&lt;=#REF!,#REF!,IF(AV24&lt;=#REF!,#REF!,IF(AV24&lt;=#REF!,#REF!,IF(AV24&lt;=#REF!,#REF!,IF(AV24&lt;=#REF!,#REF!,IF(AV24&lt;=#REF!,#REF!,0.05)))))))</f>
        <v/>
      </c>
      <c r="BG24" s="2193">
        <f>BF24*AV24</f>
        <v/>
      </c>
      <c r="BI24" s="1932">
        <f>0.07*SUM(AS24,AX24,BA24,BD24,BG24)</f>
        <v/>
      </c>
      <c r="BK24" s="1932">
        <f>SUM(BI24,BG24,BD24,BA24,AX24,AS24)</f>
        <v/>
      </c>
      <c r="BL24" s="1933">
        <f>SUM(BG24,BD24,BA24,AX24)</f>
        <v/>
      </c>
      <c r="BM24" s="1051">
        <f>BL24/BK24</f>
        <v/>
      </c>
      <c r="CC24" s="2193" t="n">
        <v>15000</v>
      </c>
      <c r="CD24" s="2193" t="n"/>
      <c r="CE24" s="2193" t="n"/>
      <c r="CF24" s="2193">
        <f>CC24</f>
        <v/>
      </c>
      <c r="CG24" s="2193" t="n"/>
      <c r="CH24" s="2193" t="n"/>
      <c r="CI24" s="2193">
        <f>CC24+CF24</f>
        <v/>
      </c>
      <c r="CJ24" s="2193" t="n"/>
      <c r="CK24" s="2193" t="n"/>
      <c r="CL24" s="2193">
        <f>CI24</f>
        <v/>
      </c>
      <c r="CM24" s="1051">
        <f>IF(CC24&lt;=BQ$6,BP$6,IF(CC24&lt;=BQ$7,BP$7,IF(CC24&lt;=BQ$8,BP$8,IF(CC24&lt;=BQ$9,BP$9,IF(CC24&lt;=BQ$14,BP$14,IF(CC24&lt;=BQ$15,BP$15,IF(CC24&lt;=BQ$16,BP$16,0.05)))))))</f>
        <v/>
      </c>
      <c r="CN24" s="2193">
        <f>CM24*CC24</f>
        <v/>
      </c>
      <c r="CO24" s="1051" t="n"/>
      <c r="CP24" s="1051">
        <f>IF(CF24&lt;=BT$6,BS$6,IF(CF24&lt;=BT$7,BS$7,IF(CF24&lt;=BT$8,BS$8,IF(CF24&lt;=BT$9,BS$9,IF(CF24&lt;=BT$14,BS$14,IF(CF24&lt;=BT$15,BS$15,IF(CF24&lt;=BT$16,BS$16,0.05)))))))</f>
        <v/>
      </c>
      <c r="CQ24" s="2193">
        <f>CP24*CF24</f>
        <v/>
      </c>
      <c r="CR24" s="1051" t="n"/>
      <c r="CS24" s="1051">
        <f>IF(CI24&lt;=BW$6,BV$6,IF(CI24&lt;=BW$7,BV$7,IF(CI24&lt;=BW$8,BV$8,IF(CI24&lt;=BW$9,BV$9,IF(CI24&lt;=BW$14,BV$14,IF(CI24&lt;=BW$15,BV$15,IF(CI24&lt;=BW$16,BV$16,0.05)))))))</f>
        <v/>
      </c>
      <c r="CT24" s="2193">
        <f>CS24*SUM(CQ24,CN24,CI24)</f>
        <v/>
      </c>
      <c r="CU24" s="1051" t="n"/>
      <c r="CV24" s="2194">
        <f>IF(CL24&lt;=BZ$6,BY$6,IF(CL24&lt;=BZ$7,BY$7,IF(CL24&lt;=BZ$8,BY$8,IF(CL24&lt;=BZ$9,BY$9,IF(CL24&lt;=BZ$14,BY$14,IF(CL24&lt;=BZ$15,BY$15,IF(CL24&lt;=BZ$16,BY$16,0.05)))))))</f>
        <v/>
      </c>
      <c r="CW24" s="2193">
        <f>CV24*CL24</f>
        <v/>
      </c>
      <c r="CY24" s="1932">
        <f>0.07*SUM(CI24,CN24,CQ24,CT24,CW24)</f>
        <v/>
      </c>
      <c r="DA24" s="1932">
        <f>SUM(CY24,CW24,CT24,CQ24,CN24,CI24)</f>
        <v/>
      </c>
      <c r="DB24" s="1933">
        <f>SUM(CW24,CT24,CQ24,CN24)</f>
        <v/>
      </c>
      <c r="DC24" s="1051">
        <f>DB24/DA24</f>
        <v/>
      </c>
    </row>
    <row r="25" customFormat="1" s="585">
      <c r="A25" s="647" t="inlineStr">
        <is>
          <t>Levelrock 2500 (Corr)</t>
        </is>
      </c>
      <c r="B25" s="2215">
        <f>(F25/J25)*(1+G18)</f>
        <v/>
      </c>
      <c r="C25" s="2216">
        <f>C23</f>
        <v/>
      </c>
      <c r="D25" s="2216">
        <f>D23</f>
        <v/>
      </c>
      <c r="E25" s="1962">
        <f>B25*D25</f>
        <v/>
      </c>
      <c r="F25" s="2217">
        <f>K9</f>
        <v/>
      </c>
      <c r="G25" s="1001" t="inlineStr">
        <is>
          <t>SF - Corridors</t>
        </is>
      </c>
      <c r="H25" s="2218">
        <f>K10</f>
        <v/>
      </c>
      <c r="I25" s="1149">
        <f>H25*8</f>
        <v/>
      </c>
      <c r="J25" s="1164">
        <f>IF(K11=P52,T52,IF(K11=P54,T54))</f>
        <v/>
      </c>
      <c r="K25" s="1142" t="n">
        <v>40</v>
      </c>
      <c r="L25" s="784" t="n">
        <v>34</v>
      </c>
      <c r="O25" s="1393">
        <f>SUM(P25:R25)</f>
        <v/>
      </c>
      <c r="P25" s="1394" t="n"/>
      <c r="Q25" s="1395" t="n"/>
      <c r="R25" s="1396" t="n"/>
      <c r="S25" s="1337">
        <f>((P25+Q25+R25)/F22)*H33</f>
        <v/>
      </c>
      <c r="T25" s="970" t="n"/>
      <c r="AM25" s="2193" t="n">
        <v>16000</v>
      </c>
      <c r="AN25" s="2193" t="n"/>
      <c r="AO25" s="2193" t="n"/>
      <c r="AP25" s="2193">
        <f>AM25</f>
        <v/>
      </c>
      <c r="AQ25" s="2193" t="n"/>
      <c r="AR25" s="2193" t="n"/>
      <c r="AS25" s="2193">
        <f>AM25+AP25</f>
        <v/>
      </c>
      <c r="AT25" s="2193" t="n"/>
      <c r="AU25" s="2193" t="n"/>
      <c r="AV25" s="2193">
        <f>AS25</f>
        <v/>
      </c>
      <c r="AW25" s="1051">
        <f>IF(AM25&lt;=#REF!,#REF!,IF(AM25&lt;=#REF!,#REF!,IF(AM25&lt;=#REF!,#REF!,IF(AM25&lt;=#REF!,#REF!,IF(AM25&lt;=#REF!,#REF!,IF(AM25&lt;=#REF!,#REF!,IF(AM25&lt;=#REF!,#REF!,0.05)))))))</f>
        <v/>
      </c>
      <c r="AX25" s="2193">
        <f>AW25*AM25</f>
        <v/>
      </c>
      <c r="AY25" s="1051" t="n"/>
      <c r="AZ25" s="1051">
        <f>IF(AP25&lt;=#REF!,#REF!,IF(AP25&lt;=#REF!,#REF!,IF(AP25&lt;=#REF!,#REF!,IF(AP25&lt;=#REF!,#REF!,IF(AP25&lt;=#REF!,#REF!,IF(AP25&lt;=#REF!,#REF!,IF(AP25&lt;=#REF!,#REF!,0.05)))))))</f>
        <v/>
      </c>
      <c r="BA25" s="2193">
        <f>AZ25*AP25</f>
        <v/>
      </c>
      <c r="BB25" s="1051" t="n"/>
      <c r="BC25" s="1051">
        <f>IF(AS25&lt;=#REF!,#REF!,IF(AS25&lt;=#REF!,#REF!,IF(AS25&lt;=#REF!,#REF!,IF(AS25&lt;=#REF!,#REF!,IF(AS25&lt;=#REF!,#REF!,IF(AS25&lt;=#REF!,#REF!,IF(AS25&lt;=#REF!,#REF!,0.05)))))))</f>
        <v/>
      </c>
      <c r="BD25" s="2193">
        <f>BC25*SUM(BA25,AX25,AS25)</f>
        <v/>
      </c>
      <c r="BE25" s="1051" t="n"/>
      <c r="BF25" s="2194">
        <f>IF(AV25&lt;=#REF!,#REF!,IF(AV25&lt;=#REF!,#REF!,IF(AV25&lt;=#REF!,#REF!,IF(AV25&lt;=#REF!,#REF!,IF(AV25&lt;=#REF!,#REF!,IF(AV25&lt;=#REF!,#REF!,IF(AV25&lt;=#REF!,#REF!,0.05)))))))</f>
        <v/>
      </c>
      <c r="BG25" s="2193">
        <f>BF25*AV25</f>
        <v/>
      </c>
      <c r="BI25" s="1932">
        <f>0.07*SUM(AS25,AX25,BA25,BD25,BG25)</f>
        <v/>
      </c>
      <c r="BK25" s="1932">
        <f>SUM(BI25,BG25,BD25,BA25,AX25,AS25)</f>
        <v/>
      </c>
      <c r="BL25" s="1933">
        <f>SUM(BG25,BD25,BA25,AX25)</f>
        <v/>
      </c>
      <c r="BM25" s="1051">
        <f>BL25/BK25</f>
        <v/>
      </c>
      <c r="CC25" s="2193" t="n">
        <v>16000</v>
      </c>
      <c r="CD25" s="2193" t="n"/>
      <c r="CE25" s="2193" t="n"/>
      <c r="CF25" s="2193">
        <f>CC25</f>
        <v/>
      </c>
      <c r="CG25" s="2193" t="n"/>
      <c r="CH25" s="2193" t="n"/>
      <c r="CI25" s="2193">
        <f>CC25+CF25</f>
        <v/>
      </c>
      <c r="CJ25" s="2193" t="n"/>
      <c r="CK25" s="2193" t="n"/>
      <c r="CL25" s="2193">
        <f>CI25</f>
        <v/>
      </c>
      <c r="CM25" s="1051">
        <f>IF(CC25&lt;=BQ$6,BP$6,IF(CC25&lt;=BQ$7,BP$7,IF(CC25&lt;=BQ$8,BP$8,IF(CC25&lt;=BQ$9,BP$9,IF(CC25&lt;=BQ$14,BP$14,IF(CC25&lt;=BQ$15,BP$15,IF(CC25&lt;=BQ$16,BP$16,0.05)))))))</f>
        <v/>
      </c>
      <c r="CN25" s="2193">
        <f>CM25*CC25</f>
        <v/>
      </c>
      <c r="CO25" s="1051" t="n"/>
      <c r="CP25" s="1051">
        <f>IF(CF25&lt;=BT$6,BS$6,IF(CF25&lt;=BT$7,BS$7,IF(CF25&lt;=BT$8,BS$8,IF(CF25&lt;=BT$9,BS$9,IF(CF25&lt;=BT$14,BS$14,IF(CF25&lt;=BT$15,BS$15,IF(CF25&lt;=BT$16,BS$16,0.05)))))))</f>
        <v/>
      </c>
      <c r="CQ25" s="2193">
        <f>CP25*CF25</f>
        <v/>
      </c>
      <c r="CR25" s="1051" t="n"/>
      <c r="CS25" s="1051">
        <f>IF(CI25&lt;=BW$6,BV$6,IF(CI25&lt;=BW$7,BV$7,IF(CI25&lt;=BW$8,BV$8,IF(CI25&lt;=BW$9,BV$9,IF(CI25&lt;=BW$14,BV$14,IF(CI25&lt;=BW$15,BV$15,IF(CI25&lt;=BW$16,BV$16,0.05)))))))</f>
        <v/>
      </c>
      <c r="CT25" s="2193">
        <f>CS25*SUM(CQ25,CN25,CI25)</f>
        <v/>
      </c>
      <c r="CU25" s="1051" t="n"/>
      <c r="CV25" s="2194">
        <f>IF(CL25&lt;=BZ$6,BY$6,IF(CL25&lt;=BZ$7,BY$7,IF(CL25&lt;=BZ$8,BY$8,IF(CL25&lt;=BZ$9,BY$9,IF(CL25&lt;=BZ$14,BY$14,IF(CL25&lt;=BZ$15,BY$15,IF(CL25&lt;=BZ$16,BY$16,0.05)))))))</f>
        <v/>
      </c>
      <c r="CW25" s="2193">
        <f>CV25*CL25</f>
        <v/>
      </c>
      <c r="CY25" s="1932">
        <f>0.07*SUM(CI25,CN25,CQ25,CT25,CW25)</f>
        <v/>
      </c>
      <c r="DA25" s="1932">
        <f>SUM(CY25,CW25,CT25,CQ25,CN25,CI25)</f>
        <v/>
      </c>
      <c r="DB25" s="1933">
        <f>SUM(CW25,CT25,CQ25,CN25)</f>
        <v/>
      </c>
      <c r="DC25" s="1051">
        <f>DB25/DA25</f>
        <v/>
      </c>
    </row>
    <row r="26" customFormat="1" s="585">
      <c r="A26" s="641" t="inlineStr">
        <is>
          <t>MATERIAL - Extras</t>
        </is>
      </c>
      <c r="B26" s="1066" t="n"/>
      <c r="C26" s="1066" t="n"/>
      <c r="D26" s="1066" t="n"/>
      <c r="E26" s="1067" t="n"/>
      <c r="F26" s="600" t="n"/>
      <c r="G26" s="600" t="n"/>
      <c r="H26" s="600" t="n"/>
      <c r="I26" s="1934" t="n"/>
      <c r="J26" s="2219" t="n"/>
      <c r="K26" s="1141" t="inlineStr">
        <is>
          <t>NO Mat = 42</t>
        </is>
      </c>
      <c r="L26" s="1141" t="inlineStr">
        <is>
          <t>NO Mat = 36</t>
        </is>
      </c>
      <c r="O26" s="1393">
        <f>SUM(P26:R26)</f>
        <v/>
      </c>
      <c r="P26" s="1394" t="n"/>
      <c r="Q26" s="1395" t="n"/>
      <c r="R26" s="1396" t="n"/>
      <c r="S26" s="1337">
        <f>((P26+Q26+R26)/F22)*H33</f>
        <v/>
      </c>
      <c r="T26" s="970" t="n"/>
      <c r="AM26" s="2220" t="n">
        <v>17000</v>
      </c>
      <c r="AN26" s="2220" t="n"/>
      <c r="AO26" s="2220" t="n"/>
      <c r="AP26" s="2220">
        <f>AM26</f>
        <v/>
      </c>
      <c r="AQ26" s="2220" t="n"/>
      <c r="AR26" s="2220" t="n"/>
      <c r="AS26" s="2220">
        <f>AM26+AP26</f>
        <v/>
      </c>
      <c r="AT26" s="2220" t="n"/>
      <c r="AU26" s="2220" t="n"/>
      <c r="AV26" s="2193">
        <f>AS26</f>
        <v/>
      </c>
      <c r="AW26" s="1004">
        <f>IF(AM26&lt;=#REF!,#REF!,IF(AM26&lt;=#REF!,#REF!,IF(AM26&lt;=#REF!,#REF!,IF(AM26&lt;=#REF!,#REF!,IF(AM26&lt;=#REF!,#REF!,IF(AM26&lt;=#REF!,#REF!,IF(AM26&lt;=#REF!,#REF!,0.05)))))))</f>
        <v/>
      </c>
      <c r="AX26" s="2220">
        <f>AW26*AM26</f>
        <v/>
      </c>
      <c r="AY26" s="1004" t="n"/>
      <c r="AZ26" s="1004">
        <f>IF(AP26&lt;=#REF!,#REF!,IF(AP26&lt;=#REF!,#REF!,IF(AP26&lt;=#REF!,#REF!,IF(AP26&lt;=#REF!,#REF!,IF(AP26&lt;=#REF!,#REF!,IF(AP26&lt;=#REF!,#REF!,IF(AP26&lt;=#REF!,#REF!,0.05)))))))</f>
        <v/>
      </c>
      <c r="BA26" s="2220">
        <f>AZ26*AP26</f>
        <v/>
      </c>
      <c r="BB26" s="1004" t="n"/>
      <c r="BC26" s="1004">
        <f>IF(AS26&lt;=#REF!,#REF!,IF(AS26&lt;=#REF!,#REF!,IF(AS26&lt;=#REF!,#REF!,IF(AS26&lt;=#REF!,#REF!,IF(AS26&lt;=#REF!,#REF!,IF(AS26&lt;=#REF!,#REF!,IF(AS26&lt;=#REF!,#REF!,0.05)))))))</f>
        <v/>
      </c>
      <c r="BD26" s="2193">
        <f>BC26*SUM(BA26,AX26,AS26)</f>
        <v/>
      </c>
      <c r="BE26" s="1004" t="n"/>
      <c r="BF26" s="2221">
        <f>IF(AV26&lt;=#REF!,#REF!,IF(AV26&lt;=#REF!,#REF!,IF(AV26&lt;=#REF!,#REF!,IF(AV26&lt;=#REF!,#REF!,IF(AV26&lt;=#REF!,#REF!,IF(AV26&lt;=#REF!,#REF!,IF(AV26&lt;=#REF!,#REF!,0.05)))))))</f>
        <v/>
      </c>
      <c r="BG26" s="2220">
        <f>BF26*AV26</f>
        <v/>
      </c>
      <c r="BH26" s="667" t="n"/>
      <c r="BI26" s="1968">
        <f>0.07*SUM(AS26,AX26,BA26,BD26,BG26)</f>
        <v/>
      </c>
      <c r="BJ26" s="667" t="n"/>
      <c r="BK26" s="1968">
        <f>SUM(BI26,BG26,BD26,BA26,AX26,AS26)</f>
        <v/>
      </c>
      <c r="BL26" s="1969">
        <f>SUM(BG26,BD26,BA26,AX26)</f>
        <v/>
      </c>
      <c r="BM26" s="1004">
        <f>BL26/BK26</f>
        <v/>
      </c>
      <c r="CC26" s="2220" t="n">
        <v>17000</v>
      </c>
      <c r="CD26" s="2220" t="n"/>
      <c r="CE26" s="2220" t="n"/>
      <c r="CF26" s="2220">
        <f>CC26</f>
        <v/>
      </c>
      <c r="CG26" s="2220" t="n"/>
      <c r="CH26" s="2220" t="n"/>
      <c r="CI26" s="2220">
        <f>CC26+CF26</f>
        <v/>
      </c>
      <c r="CJ26" s="2220" t="n"/>
      <c r="CK26" s="2220" t="n"/>
      <c r="CL26" s="2193">
        <f>CI26</f>
        <v/>
      </c>
      <c r="CM26" s="1004">
        <f>IF(CC26&lt;=BQ$6,BP$6,IF(CC26&lt;=BQ$7,BP$7,IF(CC26&lt;=BQ$8,BP$8,IF(CC26&lt;=BQ$9,BP$9,IF(CC26&lt;=BQ$14,BP$14,IF(CC26&lt;=BQ$15,BP$15,IF(CC26&lt;=BQ$16,BP$16,0.05)))))))</f>
        <v/>
      </c>
      <c r="CN26" s="2220">
        <f>CM26*CC26</f>
        <v/>
      </c>
      <c r="CO26" s="1004" t="n"/>
      <c r="CP26" s="1004">
        <f>IF(CF26&lt;=BT$6,BS$6,IF(CF26&lt;=BT$7,BS$7,IF(CF26&lt;=BT$8,BS$8,IF(CF26&lt;=BT$9,BS$9,IF(CF26&lt;=BT$14,BS$14,IF(CF26&lt;=BT$15,BS$15,IF(CF26&lt;=BT$16,BS$16,0.05)))))))</f>
        <v/>
      </c>
      <c r="CQ26" s="2220">
        <f>CP26*CF26</f>
        <v/>
      </c>
      <c r="CR26" s="1004" t="n"/>
      <c r="CS26" s="1004">
        <f>IF(CI26&lt;=BW$6,BV$6,IF(CI26&lt;=BW$7,BV$7,IF(CI26&lt;=BW$8,BV$8,IF(CI26&lt;=BW$9,BV$9,IF(CI26&lt;=BW$14,BV$14,IF(CI26&lt;=BW$15,BV$15,IF(CI26&lt;=BW$16,BV$16,0.05)))))))</f>
        <v/>
      </c>
      <c r="CT26" s="2193">
        <f>CS26*SUM(CQ26,CN26,CI26)</f>
        <v/>
      </c>
      <c r="CU26" s="1004" t="n"/>
      <c r="CV26" s="2221">
        <f>IF(CL26&lt;=BZ$6,BY$6,IF(CL26&lt;=BZ$7,BY$7,IF(CL26&lt;=BZ$8,BY$8,IF(CL26&lt;=BZ$9,BY$9,IF(CL26&lt;=BZ$14,BY$14,IF(CL26&lt;=BZ$15,BY$15,IF(CL26&lt;=BZ$16,BY$16,0.05)))))))</f>
        <v/>
      </c>
      <c r="CW26" s="2220">
        <f>CV26*CL26</f>
        <v/>
      </c>
      <c r="CX26" s="667" t="n"/>
      <c r="CY26" s="1968">
        <f>0.07*SUM(CI26,CN26,CQ26,CT26,CW26)</f>
        <v/>
      </c>
      <c r="CZ26" s="667" t="n"/>
      <c r="DA26" s="1968">
        <f>SUM(CY26,CW26,CT26,CQ26,CN26,CI26)</f>
        <v/>
      </c>
      <c r="DB26" s="1969">
        <f>SUM(CW26,CT26,CQ26,CN26)</f>
        <v/>
      </c>
      <c r="DC26" s="1004">
        <f>DB26/DA26</f>
        <v/>
      </c>
    </row>
    <row r="27" ht="16.2" customFormat="1" customHeight="1" s="585" thickBot="1">
      <c r="A27" s="1522" t="inlineStr">
        <is>
          <t>USG Primer (53gal Drum)</t>
        </is>
      </c>
      <c r="B27" s="2096">
        <f>(F23+F25)/1200</f>
        <v/>
      </c>
      <c r="C27" s="1977" t="inlineStr">
        <is>
          <t>gallons</t>
        </is>
      </c>
      <c r="D27" s="1944">
        <f>891/53</f>
        <v/>
      </c>
      <c r="E27" s="1962">
        <f>B27*D27</f>
        <v/>
      </c>
      <c r="F27" s="1176" t="inlineStr">
        <is>
          <t>*Sealer @ Soft Surfc &amp; Corridors ONLY</t>
        </is>
      </c>
      <c r="G27" s="1521" t="inlineStr">
        <is>
          <t>($21.60 = $108 /5 gal -or- $16.81 = $891 /53 gal drum)-Aug2024</t>
        </is>
      </c>
      <c r="H27" s="780" t="n"/>
      <c r="I27" s="2222" t="n"/>
      <c r="N27" s="1292" t="n"/>
      <c r="O27" s="1398">
        <f>SUM(P27:R27)</f>
        <v/>
      </c>
      <c r="P27" s="1399" t="n"/>
      <c r="Q27" s="1399" t="n"/>
      <c r="R27" s="1399" t="n"/>
      <c r="S27" s="1338">
        <f>((P27+Q27+R27)/F22)*H33</f>
        <v/>
      </c>
      <c r="T27" s="1335" t="n"/>
      <c r="U27" s="1129" t="n"/>
      <c r="V27" s="1135" t="n"/>
      <c r="W27" s="1135" t="n"/>
      <c r="X27" s="784" t="n"/>
      <c r="AM27" s="2193" t="n">
        <v>18000</v>
      </c>
      <c r="AN27" s="2193" t="n"/>
      <c r="AO27" s="2193" t="n"/>
      <c r="AP27" s="2193">
        <f>AM27</f>
        <v/>
      </c>
      <c r="AQ27" s="2193" t="n"/>
      <c r="AR27" s="2193" t="n"/>
      <c r="AS27" s="2193">
        <f>AM27+AP27</f>
        <v/>
      </c>
      <c r="AT27" s="2193" t="n"/>
      <c r="AU27" s="2193" t="n"/>
      <c r="AV27" s="2193">
        <f>AS27</f>
        <v/>
      </c>
      <c r="AW27" s="1051">
        <f>IF(AM27&lt;=#REF!,#REF!,IF(AM27&lt;=#REF!,#REF!,IF(AM27&lt;=#REF!,#REF!,IF(AM27&lt;=#REF!,#REF!,IF(AM27&lt;=#REF!,#REF!,IF(AM27&lt;=#REF!,#REF!,IF(AM27&lt;=#REF!,#REF!,0.05)))))))</f>
        <v/>
      </c>
      <c r="AX27" s="2193">
        <f>AW27*AM27</f>
        <v/>
      </c>
      <c r="AY27" s="1051" t="n"/>
      <c r="AZ27" s="1051">
        <f>IF(AP27&lt;=#REF!,#REF!,IF(AP27&lt;=#REF!,#REF!,IF(AP27&lt;=#REF!,#REF!,IF(AP27&lt;=#REF!,#REF!,IF(AP27&lt;=#REF!,#REF!,IF(AP27&lt;=#REF!,#REF!,IF(AP27&lt;=#REF!,#REF!,0.05)))))))</f>
        <v/>
      </c>
      <c r="BA27" s="2193">
        <f>AZ27*AP27</f>
        <v/>
      </c>
      <c r="BB27" s="1051" t="n"/>
      <c r="BC27" s="1051">
        <f>IF(AS27&lt;=#REF!,#REF!,IF(AS27&lt;=#REF!,#REF!,IF(AS27&lt;=#REF!,#REF!,IF(AS27&lt;=#REF!,#REF!,IF(AS27&lt;=#REF!,#REF!,IF(AS27&lt;=#REF!,#REF!,IF(AS27&lt;=#REF!,#REF!,0.05)))))))</f>
        <v/>
      </c>
      <c r="BD27" s="2193">
        <f>BC27*SUM(BA27,AX27,AS27)</f>
        <v/>
      </c>
      <c r="BE27" s="1051" t="n"/>
      <c r="BF27" s="2194">
        <f>IF(AV27&lt;=#REF!,#REF!,IF(AV27&lt;=#REF!,#REF!,IF(AV27&lt;=#REF!,#REF!,IF(AV27&lt;=#REF!,#REF!,IF(AV27&lt;=#REF!,#REF!,IF(AV27&lt;=#REF!,#REF!,IF(AV27&lt;=#REF!,#REF!,0.05)))))))</f>
        <v/>
      </c>
      <c r="BG27" s="2193">
        <f>BF27*AV27</f>
        <v/>
      </c>
      <c r="BI27" s="1932">
        <f>0.07*SUM(AS27,AX27,BA27,BD27,BG27)</f>
        <v/>
      </c>
      <c r="BK27" s="1932">
        <f>SUM(BI27,BG27,BD27,BA27,AX27,AS27)</f>
        <v/>
      </c>
      <c r="BL27" s="1933">
        <f>SUM(BG27,BD27,BA27,AX27)</f>
        <v/>
      </c>
      <c r="BM27" s="1051">
        <f>BL27/BK27</f>
        <v/>
      </c>
      <c r="CC27" s="2193" t="n">
        <v>18000</v>
      </c>
      <c r="CD27" s="2193" t="n"/>
      <c r="CE27" s="2193" t="n"/>
      <c r="CF27" s="2193">
        <f>CC27</f>
        <v/>
      </c>
      <c r="CG27" s="2193" t="n"/>
      <c r="CH27" s="2193" t="n"/>
      <c r="CI27" s="2193">
        <f>CC27+CF27</f>
        <v/>
      </c>
      <c r="CJ27" s="2193" t="n"/>
      <c r="CK27" s="2193" t="n"/>
      <c r="CL27" s="2193">
        <f>CI27</f>
        <v/>
      </c>
      <c r="CM27" s="1051">
        <f>IF(CC27&lt;=BQ$6,BP$6,IF(CC27&lt;=BQ$7,BP$7,IF(CC27&lt;=BQ$8,BP$8,IF(CC27&lt;=BQ$9,BP$9,IF(CC27&lt;=BQ$14,BP$14,IF(CC27&lt;=BQ$15,BP$15,IF(CC27&lt;=BQ$16,BP$16,0.05)))))))</f>
        <v/>
      </c>
      <c r="CN27" s="2193">
        <f>CM27*CC27</f>
        <v/>
      </c>
      <c r="CO27" s="1051" t="n"/>
      <c r="CP27" s="1051">
        <f>IF(CF27&lt;=BT$6,BS$6,IF(CF27&lt;=BT$7,BS$7,IF(CF27&lt;=BT$8,BS$8,IF(CF27&lt;=BT$9,BS$9,IF(CF27&lt;=BT$14,BS$14,IF(CF27&lt;=BT$15,BS$15,IF(CF27&lt;=BT$16,BS$16,0.05)))))))</f>
        <v/>
      </c>
      <c r="CQ27" s="2193">
        <f>CP27*CF27</f>
        <v/>
      </c>
      <c r="CR27" s="1051" t="n"/>
      <c r="CS27" s="1051">
        <f>IF(CI27&lt;=BW$6,BV$6,IF(CI27&lt;=BW$7,BV$7,IF(CI27&lt;=BW$8,BV$8,IF(CI27&lt;=BW$9,BV$9,IF(CI27&lt;=BW$14,BV$14,IF(CI27&lt;=BW$15,BV$15,IF(CI27&lt;=BW$16,BV$16,0.05)))))))</f>
        <v/>
      </c>
      <c r="CT27" s="2193">
        <f>CS27*SUM(CQ27,CN27,CI27)</f>
        <v/>
      </c>
      <c r="CU27" s="1051" t="n"/>
      <c r="CV27" s="2194">
        <f>IF(CL27&lt;=BZ$6,BY$6,IF(CL27&lt;=BZ$7,BY$7,IF(CL27&lt;=BZ$8,BY$8,IF(CL27&lt;=BZ$9,BY$9,IF(CL27&lt;=BZ$14,BY$14,IF(CL27&lt;=BZ$15,BY$15,IF(CL27&lt;=BZ$16,BY$16,0.05)))))))</f>
        <v/>
      </c>
      <c r="CW27" s="2193">
        <f>CV27*CL27</f>
        <v/>
      </c>
      <c r="CY27" s="1932">
        <f>0.07*SUM(CI27,CN27,CQ27,CT27,CW27)</f>
        <v/>
      </c>
      <c r="DA27" s="1932">
        <f>SUM(CY27,CW27,CT27,CQ27,CN27,CI27)</f>
        <v/>
      </c>
      <c r="DB27" s="1933">
        <f>SUM(CW27,CT27,CQ27,CN27)</f>
        <v/>
      </c>
      <c r="DC27" s="1051">
        <f>DB27/DA27</f>
        <v/>
      </c>
    </row>
    <row r="28" ht="16.2" customFormat="1" customHeight="1" s="585" thickBot="1">
      <c r="A28" s="1522" t="inlineStr">
        <is>
          <t>ISO Strip 3" adhsv (roll)</t>
        </is>
      </c>
      <c r="B28" s="2096">
        <f>IF(B14="Yes",((F23+F24+F25)/(1200*1.8)),(F24/(1200*1.8)))</f>
        <v/>
      </c>
      <c r="C28" s="1977" t="inlineStr">
        <is>
          <t>rolls</t>
        </is>
      </c>
      <c r="D28" s="1944" t="n">
        <v>48.75</v>
      </c>
      <c r="E28" s="1962">
        <f>B28*D28</f>
        <v/>
      </c>
      <c r="F28" s="600" t="n"/>
      <c r="G28" s="1521" t="inlineStr">
        <is>
          <t>(16 rolls /bag: $48.75 = $780 /16) = 450 LF /roll</t>
        </is>
      </c>
      <c r="H28" s="600" t="n"/>
      <c r="I28" s="1934" t="n"/>
      <c r="N28" s="1283">
        <f>SUM(P28:R28)</f>
        <v/>
      </c>
      <c r="O28" s="1403">
        <f>SUM(O3:O27)</f>
        <v/>
      </c>
      <c r="P28" s="1349">
        <f>SUM(P3:P27)</f>
        <v/>
      </c>
      <c r="Q28" s="1350">
        <f>SUM(Q3:Q27)</f>
        <v/>
      </c>
      <c r="R28" s="1351">
        <f>SUM(R3:R27)</f>
        <v/>
      </c>
      <c r="S28" s="1336">
        <f>SUM(S3:S27)</f>
        <v/>
      </c>
      <c r="T28" s="1332">
        <f>SUM(T3:T27)</f>
        <v/>
      </c>
      <c r="U28" s="1333">
        <f>SUM(U3:U27)</f>
        <v/>
      </c>
      <c r="V28" s="1333">
        <f>SUM(V3:V27)</f>
        <v/>
      </c>
      <c r="W28" s="1333">
        <f>SUM(W3:W27)</f>
        <v/>
      </c>
      <c r="X28" s="1333">
        <f>SUM(X3:X27)</f>
        <v/>
      </c>
      <c r="AM28" s="2193" t="n">
        <v>19000</v>
      </c>
      <c r="AN28" s="2193" t="n"/>
      <c r="AO28" s="2193" t="n"/>
      <c r="AP28" s="2193">
        <f>AM28</f>
        <v/>
      </c>
      <c r="AQ28" s="2193" t="n"/>
      <c r="AR28" s="2193" t="n"/>
      <c r="AS28" s="2193">
        <f>AM28+AP28</f>
        <v/>
      </c>
      <c r="AT28" s="2193" t="n"/>
      <c r="AU28" s="2193" t="n"/>
      <c r="AV28" s="2193">
        <f>AS28</f>
        <v/>
      </c>
      <c r="AW28" s="1051">
        <f>IF(AM28&lt;=#REF!,#REF!,IF(AM28&lt;=#REF!,#REF!,IF(AM28&lt;=#REF!,#REF!,IF(AM28&lt;=#REF!,#REF!,IF(AM28&lt;=#REF!,#REF!,IF(AM28&lt;=#REF!,#REF!,IF(AM28&lt;=#REF!,#REF!,0.05)))))))</f>
        <v/>
      </c>
      <c r="AX28" s="2193">
        <f>AW28*AM28</f>
        <v/>
      </c>
      <c r="AY28" s="1051" t="n"/>
      <c r="AZ28" s="1051">
        <f>IF(AP28&lt;=#REF!,#REF!,IF(AP28&lt;=#REF!,#REF!,IF(AP28&lt;=#REF!,#REF!,IF(AP28&lt;=#REF!,#REF!,IF(AP28&lt;=#REF!,#REF!,IF(AP28&lt;=#REF!,#REF!,IF(AP28&lt;=#REF!,#REF!,0.05)))))))</f>
        <v/>
      </c>
      <c r="BA28" s="2193">
        <f>AZ28*AP28</f>
        <v/>
      </c>
      <c r="BB28" s="1051" t="n"/>
      <c r="BC28" s="1051">
        <f>IF(AS28&lt;=#REF!,#REF!,IF(AS28&lt;=#REF!,#REF!,IF(AS28&lt;=#REF!,#REF!,IF(AS28&lt;=#REF!,#REF!,IF(AS28&lt;=#REF!,#REF!,IF(AS28&lt;=#REF!,#REF!,IF(AS28&lt;=#REF!,#REF!,0.05)))))))</f>
        <v/>
      </c>
      <c r="BD28" s="2193">
        <f>BC28*SUM(BA28,AX28,AS28)</f>
        <v/>
      </c>
      <c r="BE28" s="1051" t="n"/>
      <c r="BF28" s="2194">
        <f>IF(AV28&lt;=#REF!,#REF!,IF(AV28&lt;=#REF!,#REF!,IF(AV28&lt;=#REF!,#REF!,IF(AV28&lt;=#REF!,#REF!,IF(AV28&lt;=#REF!,#REF!,IF(AV28&lt;=#REF!,#REF!,IF(AV28&lt;=#REF!,#REF!,0.05)))))))</f>
        <v/>
      </c>
      <c r="BG28" s="2193">
        <f>BF28*AV28</f>
        <v/>
      </c>
      <c r="BI28" s="1932">
        <f>0.07*SUM(AS28,AX28,BA28,BD28,BG28)</f>
        <v/>
      </c>
      <c r="BK28" s="1932">
        <f>SUM(BI28,BG28,BD28,BA28,AX28,AS28)</f>
        <v/>
      </c>
      <c r="BL28" s="1933">
        <f>SUM(BG28,BD28,BA28,AX28)</f>
        <v/>
      </c>
      <c r="BM28" s="1051">
        <f>BL28/BK28</f>
        <v/>
      </c>
      <c r="CC28" s="2193" t="n">
        <v>19000</v>
      </c>
      <c r="CD28" s="2193" t="n"/>
      <c r="CE28" s="2193" t="n"/>
      <c r="CF28" s="2193">
        <f>CC28</f>
        <v/>
      </c>
      <c r="CG28" s="2193" t="n"/>
      <c r="CH28" s="2193" t="n"/>
      <c r="CI28" s="2193">
        <f>CC28+CF28</f>
        <v/>
      </c>
      <c r="CJ28" s="2193" t="n"/>
      <c r="CK28" s="2193" t="n"/>
      <c r="CL28" s="2193">
        <f>CI28</f>
        <v/>
      </c>
      <c r="CM28" s="1051">
        <f>IF(CC28&lt;=BQ$6,BP$6,IF(CC28&lt;=BQ$7,BP$7,IF(CC28&lt;=BQ$8,BP$8,IF(CC28&lt;=BQ$9,BP$9,IF(CC28&lt;=BQ$14,BP$14,IF(CC28&lt;=BQ$15,BP$15,IF(CC28&lt;=BQ$16,BP$16,0.05)))))))</f>
        <v/>
      </c>
      <c r="CN28" s="2193">
        <f>CM28*CC28</f>
        <v/>
      </c>
      <c r="CO28" s="1051" t="n"/>
      <c r="CP28" s="1051">
        <f>IF(CF28&lt;=BT$6,BS$6,IF(CF28&lt;=BT$7,BS$7,IF(CF28&lt;=BT$8,BS$8,IF(CF28&lt;=BT$9,BS$9,IF(CF28&lt;=BT$14,BS$14,IF(CF28&lt;=BT$15,BS$15,IF(CF28&lt;=BT$16,BS$16,0.05)))))))</f>
        <v/>
      </c>
      <c r="CQ28" s="2193">
        <f>CP28*CF28</f>
        <v/>
      </c>
      <c r="CR28" s="1051" t="n"/>
      <c r="CS28" s="1051">
        <f>IF(CI28&lt;=BW$6,BV$6,IF(CI28&lt;=BW$7,BV$7,IF(CI28&lt;=BW$8,BV$8,IF(CI28&lt;=BW$9,BV$9,IF(CI28&lt;=BW$14,BV$14,IF(CI28&lt;=BW$15,BV$15,IF(CI28&lt;=BW$16,BV$16,0.05)))))))</f>
        <v/>
      </c>
      <c r="CT28" s="2193">
        <f>CS28*SUM(CQ28,CN28,CI28)</f>
        <v/>
      </c>
      <c r="CU28" s="1051" t="n"/>
      <c r="CV28" s="2194">
        <f>IF(CL28&lt;=BZ$6,BY$6,IF(CL28&lt;=BZ$7,BY$7,IF(CL28&lt;=BZ$8,BY$8,IF(CL28&lt;=BZ$9,BY$9,IF(CL28&lt;=BZ$14,BY$14,IF(CL28&lt;=BZ$15,BY$15,IF(CL28&lt;=BZ$16,BY$16,0.05)))))))</f>
        <v/>
      </c>
      <c r="CW28" s="2193">
        <f>CV28*CL28</f>
        <v/>
      </c>
      <c r="CY28" s="1932">
        <f>0.07*SUM(CI28,CN28,CQ28,CT28,CW28)</f>
        <v/>
      </c>
      <c r="DA28" s="1932">
        <f>SUM(CY28,CW28,CT28,CQ28,CN28,CI28)</f>
        <v/>
      </c>
      <c r="DB28" s="1933">
        <f>SUM(CW28,CT28,CQ28,CN28)</f>
        <v/>
      </c>
      <c r="DC28" s="1051">
        <f>DB28/DA28</f>
        <v/>
      </c>
    </row>
    <row r="29" ht="16.2" customFormat="1" customHeight="1" s="585" thickBot="1">
      <c r="A29" s="1522" t="inlineStr">
        <is>
          <t>Joint Tape (rolls)</t>
        </is>
      </c>
      <c r="B29" s="2096">
        <f>F24/240</f>
        <v/>
      </c>
      <c r="C29" s="1977" t="inlineStr">
        <is>
          <t>rolls</t>
        </is>
      </c>
      <c r="D29" s="1944" t="n">
        <v>5.75</v>
      </c>
      <c r="E29" s="1962">
        <f>B29*D29</f>
        <v/>
      </c>
      <c r="F29" s="600" t="n"/>
      <c r="G29" s="600" t="n"/>
      <c r="H29" s="600" t="n"/>
      <c r="I29" s="600" t="n"/>
      <c r="O29" s="1046" t="inlineStr">
        <is>
          <t>Soft Surf + Corrs.</t>
        </is>
      </c>
      <c r="R29" s="939" t="n"/>
      <c r="S29" s="2223" t="n"/>
      <c r="T29" s="2223" t="n"/>
      <c r="U29" s="2223" t="n"/>
      <c r="V29" s="2223" t="n"/>
      <c r="W29" s="2223" t="n"/>
      <c r="AY29" s="2193" t="n">
        <v>20000</v>
      </c>
      <c r="AZ29" s="2193" t="n"/>
      <c r="BA29" s="2193" t="n"/>
      <c r="BB29" s="2193">
        <f>AY29</f>
        <v/>
      </c>
      <c r="BC29" s="2193" t="n"/>
      <c r="BD29" s="2193" t="n"/>
      <c r="BE29" s="2193">
        <f>AY29+BB29</f>
        <v/>
      </c>
      <c r="BF29" s="2193" t="n"/>
      <c r="BG29" s="2193" t="n"/>
      <c r="BH29" s="2193">
        <f>BE29</f>
        <v/>
      </c>
      <c r="BI29" s="1051">
        <f>IF(AY29&lt;=#REF!,#REF!,IF(AY29&lt;=#REF!,#REF!,IF(AY29&lt;=#REF!,#REF!,IF(AY29&lt;=#REF!,#REF!,IF(AY29&lt;=#REF!,#REF!,IF(AY29&lt;=#REF!,#REF!,IF(AY29&lt;=#REF!,#REF!,0.05)))))))</f>
        <v/>
      </c>
      <c r="BJ29" s="2193">
        <f>BI29*AY29</f>
        <v/>
      </c>
      <c r="BK29" s="1051" t="n"/>
      <c r="BL29" s="1051">
        <f>IF(BB29&lt;=#REF!,#REF!,IF(BB29&lt;=#REF!,#REF!,IF(BB29&lt;=#REF!,#REF!,IF(BB29&lt;=#REF!,#REF!,IF(BB29&lt;=#REF!,#REF!,IF(BB29&lt;=#REF!,#REF!,IF(BB29&lt;=#REF!,#REF!,0.05)))))))</f>
        <v/>
      </c>
      <c r="BM29" s="2193">
        <f>BL29*BB29</f>
        <v/>
      </c>
      <c r="BN29" s="1051" t="n"/>
      <c r="BO29" s="1051">
        <f>IF(BE29&lt;=#REF!,#REF!,IF(BE29&lt;=#REF!,#REF!,IF(BE29&lt;=#REF!,#REF!,IF(BE29&lt;=#REF!,#REF!,IF(BE29&lt;=#REF!,#REF!,IF(BE29&lt;=#REF!,#REF!,IF(BE29&lt;=#REF!,#REF!,0.05)))))))</f>
        <v/>
      </c>
      <c r="BP29" s="2193">
        <f>BO29*SUM(BM29,BJ29,BE29)</f>
        <v/>
      </c>
      <c r="BQ29" s="1051" t="n"/>
      <c r="BR29" s="2194">
        <f>IF(BH29&lt;=#REF!,#REF!,IF(BH29&lt;=#REF!,#REF!,IF(BH29&lt;=#REF!,#REF!,IF(BH29&lt;=#REF!,#REF!,IF(BH29&lt;=#REF!,#REF!,IF(BH29&lt;=#REF!,#REF!,IF(BH29&lt;=#REF!,#REF!,0.05)))))))</f>
        <v/>
      </c>
      <c r="BS29" s="2193">
        <f>BR29*BH29</f>
        <v/>
      </c>
      <c r="BU29" s="1932">
        <f>0.07*SUM(BE29,BJ29,BM29,BP29,BS29)</f>
        <v/>
      </c>
      <c r="BW29" s="1932">
        <f>SUM(BU29,BS29,BP29,BM29,BJ29,BE29)</f>
        <v/>
      </c>
      <c r="BX29" s="1933">
        <f>SUM(BS29,BP29,BM29,BJ29)</f>
        <v/>
      </c>
      <c r="BY29" s="1051">
        <f>BX29/BW29</f>
        <v/>
      </c>
      <c r="CO29" s="2193" t="n">
        <v>20000</v>
      </c>
      <c r="CP29" s="2193" t="n"/>
      <c r="CQ29" s="2193" t="n"/>
      <c r="CR29" s="2193">
        <f>CO29</f>
        <v/>
      </c>
      <c r="CS29" s="2193" t="n"/>
      <c r="CT29" s="2193" t="n"/>
      <c r="CU29" s="2193">
        <f>CO29+CR29</f>
        <v/>
      </c>
      <c r="CV29" s="2193" t="n"/>
      <c r="CW29" s="2193" t="n"/>
      <c r="CX29" s="2193">
        <f>CU29</f>
        <v/>
      </c>
      <c r="CY29" s="1051">
        <f>IF(CO29&lt;=BQ$6,BP$6,IF(CO29&lt;=BQ$7,BP$7,IF(CO29&lt;=BQ$8,BP$8,IF(CO29&lt;=BQ$9,BP$9,IF(CO29&lt;=BQ$14,BP$14,IF(CO29&lt;=BQ$15,BP$15,IF(CO29&lt;=BQ$16,BP$16,0.05)))))))</f>
        <v/>
      </c>
      <c r="CZ29" s="2193">
        <f>CY29*CO29</f>
        <v/>
      </c>
      <c r="DA29" s="1051" t="n"/>
      <c r="DB29" s="1051">
        <f>IF(CR29&lt;=BT$6,BS$6,IF(CR29&lt;=BT$7,BS$7,IF(CR29&lt;=BT$8,BS$8,IF(CR29&lt;=BT$9,BS$9,IF(CR29&lt;=BT$14,BS$14,IF(CR29&lt;=BT$15,BS$15,IF(CR29&lt;=BT$16,BS$16,0.05)))))))</f>
        <v/>
      </c>
      <c r="DC29" s="2193">
        <f>DB29*CR29</f>
        <v/>
      </c>
      <c r="DD29" s="1051" t="n"/>
      <c r="DE29" s="1051">
        <f>IF(CU29&lt;=BW$6,BV$6,IF(CU29&lt;=BW$7,BV$7,IF(CU29&lt;=BW$8,BV$8,IF(CU29&lt;=BW$9,BV$9,IF(CU29&lt;=BW$14,BV$14,IF(CU29&lt;=BW$15,BV$15,IF(CU29&lt;=BW$16,BV$16,0.05)))))))</f>
        <v/>
      </c>
      <c r="DF29" s="2193">
        <f>DE29*SUM(DC29,CZ29,CU29)</f>
        <v/>
      </c>
      <c r="DG29" s="1051" t="n"/>
      <c r="DH29" s="2194">
        <f>IF(CX29&lt;=BZ$6,BY$6,IF(CX29&lt;=BZ$7,BY$7,IF(CX29&lt;=BZ$8,BY$8,IF(CX29&lt;=BZ$9,BY$9,IF(CX29&lt;=BZ$14,BY$14,IF(CX29&lt;=BZ$15,BY$15,IF(CX29&lt;=BZ$16,BY$16,0.05)))))))</f>
        <v/>
      </c>
      <c r="DI29" s="2193">
        <f>DH29*CX29</f>
        <v/>
      </c>
      <c r="DK29" s="1932">
        <f>0.07*SUM(CU29,CZ29,DC29,DF29,DI29)</f>
        <v/>
      </c>
      <c r="DM29" s="1932">
        <f>SUM(DK29,DI29,DF29,DC29,CZ29,CU29)</f>
        <v/>
      </c>
      <c r="DN29" s="1933">
        <f>SUM(DI29,DF29,DC29,CZ29)</f>
        <v/>
      </c>
      <c r="DO29" s="1051">
        <f>DN29/DM29</f>
        <v/>
      </c>
    </row>
    <row r="30" ht="16.2" customFormat="1" customHeight="1" s="585" thickBot="1">
      <c r="A30" s="1778" t="n"/>
      <c r="B30" s="2096" t="n"/>
      <c r="C30" s="1977" t="n"/>
      <c r="D30" s="1944" t="n"/>
      <c r="E30" s="1962">
        <f>B30*D30</f>
        <v/>
      </c>
      <c r="F30" s="600" t="n"/>
      <c r="G30" s="600" t="n"/>
      <c r="H30" s="2224">
        <f>(F22/300)/0.1</f>
        <v/>
      </c>
      <c r="I30" s="1175" t="inlineStr">
        <is>
          <t>Add for Sealer</t>
        </is>
      </c>
      <c r="J30" s="1613" t="inlineStr">
        <is>
          <t>=(sf / 300) / 10% = Sealer *Material ONLY*</t>
        </is>
      </c>
      <c r="K30" s="855" t="n"/>
      <c r="O30" s="1330">
        <f>SUM(P28,R28)</f>
        <v/>
      </c>
      <c r="P30" s="1340" t="inlineStr">
        <is>
          <t>% Soft Surf</t>
        </is>
      </c>
      <c r="Q30" s="1340" t="inlineStr">
        <is>
          <t>% Hard Surf / Mat</t>
        </is>
      </c>
      <c r="R30" s="1340" t="inlineStr">
        <is>
          <t>% Corridors</t>
        </is>
      </c>
      <c r="T30" s="2223" t="n"/>
      <c r="U30" s="2223" t="n"/>
      <c r="V30" s="2223" t="n"/>
      <c r="W30" s="2223" t="n"/>
      <c r="AY30" s="2193" t="n">
        <v>21000</v>
      </c>
      <c r="AZ30" s="2193" t="n"/>
      <c r="BA30" s="2193" t="n"/>
      <c r="BB30" s="2193">
        <f>AY30</f>
        <v/>
      </c>
      <c r="BC30" s="2193" t="n"/>
      <c r="BD30" s="2193" t="n"/>
      <c r="BE30" s="2193">
        <f>AY30+BB30</f>
        <v/>
      </c>
      <c r="BF30" s="2193" t="n"/>
      <c r="BG30" s="2193" t="n"/>
      <c r="BH30" s="2193">
        <f>BE30</f>
        <v/>
      </c>
      <c r="BI30" s="1051">
        <f>IF(AY30&lt;=#REF!,#REF!,IF(AY30&lt;=#REF!,#REF!,IF(AY30&lt;=#REF!,#REF!,IF(AY30&lt;=#REF!,#REF!,IF(AY30&lt;=#REF!,#REF!,IF(AY30&lt;=#REF!,#REF!,IF(AY30&lt;=#REF!,#REF!,0.05)))))))</f>
        <v/>
      </c>
      <c r="BJ30" s="2193">
        <f>BI30*AY30</f>
        <v/>
      </c>
      <c r="BK30" s="1051" t="n"/>
      <c r="BL30" s="1051">
        <f>IF(BB30&lt;=#REF!,#REF!,IF(BB30&lt;=#REF!,#REF!,IF(BB30&lt;=#REF!,#REF!,IF(BB30&lt;=#REF!,#REF!,IF(BB30&lt;=#REF!,#REF!,IF(BB30&lt;=#REF!,#REF!,IF(BB30&lt;=#REF!,#REF!,0.05)))))))</f>
        <v/>
      </c>
      <c r="BM30" s="2193">
        <f>BL30*BB30</f>
        <v/>
      </c>
      <c r="BN30" s="1051" t="n"/>
      <c r="BO30" s="1051">
        <f>IF(BE30&lt;=#REF!,#REF!,IF(BE30&lt;=#REF!,#REF!,IF(BE30&lt;=#REF!,#REF!,IF(BE30&lt;=#REF!,#REF!,IF(BE30&lt;=#REF!,#REF!,IF(BE30&lt;=#REF!,#REF!,IF(BE30&lt;=#REF!,#REF!,0.05)))))))</f>
        <v/>
      </c>
      <c r="BP30" s="2193">
        <f>BO30*SUM(BM30,BJ30,BE30)</f>
        <v/>
      </c>
      <c r="BQ30" s="1051" t="n"/>
      <c r="BR30" s="2194">
        <f>IF(BH30&lt;=#REF!,#REF!,IF(BH30&lt;=#REF!,#REF!,IF(BH30&lt;=#REF!,#REF!,IF(BH30&lt;=#REF!,#REF!,IF(BH30&lt;=#REF!,#REF!,IF(BH30&lt;=#REF!,#REF!,IF(BH30&lt;=#REF!,#REF!,0.05)))))))</f>
        <v/>
      </c>
      <c r="BS30" s="2193">
        <f>BR30*BH30</f>
        <v/>
      </c>
      <c r="BU30" s="1932">
        <f>0.07*SUM(BE30,BJ30,BM30,BP30,BS30)</f>
        <v/>
      </c>
      <c r="BW30" s="1932">
        <f>SUM(BU30,BS30,BP30,BM30,BJ30,BE30)</f>
        <v/>
      </c>
      <c r="BX30" s="1933">
        <f>SUM(BS30,BP30,BM30,BJ30)</f>
        <v/>
      </c>
      <c r="BY30" s="1051">
        <f>BX30/BW30</f>
        <v/>
      </c>
      <c r="CO30" s="2193" t="n">
        <v>21000</v>
      </c>
      <c r="CP30" s="2193" t="n"/>
      <c r="CQ30" s="2193" t="n"/>
      <c r="CR30" s="2193">
        <f>CO30</f>
        <v/>
      </c>
      <c r="CS30" s="2193" t="n"/>
      <c r="CT30" s="2193" t="n"/>
      <c r="CU30" s="2193">
        <f>CO30+CR30</f>
        <v/>
      </c>
      <c r="CV30" s="2193" t="n"/>
      <c r="CW30" s="2193" t="n"/>
      <c r="CX30" s="2193">
        <f>CU30</f>
        <v/>
      </c>
      <c r="CY30" s="1051">
        <f>IF(CO30&lt;=BQ$6,BP$6,IF(CO30&lt;=BQ$7,BP$7,IF(CO30&lt;=BQ$8,BP$8,IF(CO30&lt;=BQ$9,BP$9,IF(CO30&lt;=BQ$14,BP$14,IF(CO30&lt;=BQ$15,BP$15,IF(CO30&lt;=BQ$16,BP$16,0.05)))))))</f>
        <v/>
      </c>
      <c r="CZ30" s="2193">
        <f>CY30*CO30</f>
        <v/>
      </c>
      <c r="DA30" s="1051" t="n"/>
      <c r="DB30" s="1051">
        <f>IF(CR30&lt;=BT$6,BS$6,IF(CR30&lt;=BT$7,BS$7,IF(CR30&lt;=BT$8,BS$8,IF(CR30&lt;=BT$9,BS$9,IF(CR30&lt;=BT$14,BS$14,IF(CR30&lt;=BT$15,BS$15,IF(CR30&lt;=BT$16,BS$16,0.05)))))))</f>
        <v/>
      </c>
      <c r="DC30" s="2193">
        <f>DB30*CR30</f>
        <v/>
      </c>
      <c r="DD30" s="1051" t="n"/>
      <c r="DE30" s="1051">
        <f>IF(CU30&lt;=BW$6,BV$6,IF(CU30&lt;=BW$7,BV$7,IF(CU30&lt;=BW$8,BV$8,IF(CU30&lt;=BW$9,BV$9,IF(CU30&lt;=BW$14,BV$14,IF(CU30&lt;=BW$15,BV$15,IF(CU30&lt;=BW$16,BV$16,0.05)))))))</f>
        <v/>
      </c>
      <c r="DF30" s="2193">
        <f>DE30*SUM(DC30,CZ30,CU30)</f>
        <v/>
      </c>
      <c r="DG30" s="1051" t="n"/>
      <c r="DH30" s="2194">
        <f>IF(CX30&lt;=BZ$6,BY$6,IF(CX30&lt;=BZ$7,BY$7,IF(CX30&lt;=BZ$8,BY$8,IF(CX30&lt;=BZ$9,BY$9,IF(CX30&lt;=BZ$14,BY$14,IF(CX30&lt;=BZ$15,BY$15,IF(CX30&lt;=BZ$16,BY$16,0.05)))))))</f>
        <v/>
      </c>
      <c r="DI30" s="2193">
        <f>DH30*CX30</f>
        <v/>
      </c>
      <c r="DK30" s="1932">
        <f>0.07*SUM(CU30,CZ30,DC30,DF30,DI30)</f>
        <v/>
      </c>
      <c r="DM30" s="1932">
        <f>SUM(DK30,DI30,DF30,DC30,CZ30,CU30)</f>
        <v/>
      </c>
      <c r="DN30" s="1933">
        <f>SUM(DI30,DF30,DC30,CZ30)</f>
        <v/>
      </c>
      <c r="DO30" s="1051">
        <f>DN30/DM30</f>
        <v/>
      </c>
    </row>
    <row r="31" ht="16.2" customFormat="1" customHeight="1" s="585" thickBot="1">
      <c r="A31" s="1778" t="n"/>
      <c r="B31" s="2096" t="n"/>
      <c r="C31" s="1977" t="n"/>
      <c r="D31" s="1944" t="n"/>
      <c r="E31" s="1962">
        <f>B31*D31</f>
        <v/>
      </c>
      <c r="F31" s="600" t="n"/>
      <c r="G31" s="600" t="n"/>
      <c r="H31" s="2225">
        <f>ROUNDUP((((2*8)*(C46)*(1+C53)*(1+C54))*(1+G83))*G55,0)</f>
        <v/>
      </c>
      <c r="I31" s="1606" t="inlineStr">
        <is>
          <t>Add for Offsite Storage</t>
        </is>
      </c>
      <c r="J31" s="601" t="inlineStr">
        <is>
          <t>2 guys x 8 hrs + Markups x # of mobz</t>
        </is>
      </c>
      <c r="O31" s="747">
        <f>O30/N28</f>
        <v/>
      </c>
      <c r="P31" s="747">
        <f>P28/N28</f>
        <v/>
      </c>
      <c r="Q31" s="747">
        <f>Q28/N28</f>
        <v/>
      </c>
      <c r="R31" s="747">
        <f>R28/N28</f>
        <v/>
      </c>
      <c r="T31" s="2226" t="n"/>
      <c r="U31" s="2223" t="n"/>
      <c r="V31" s="2223" t="n"/>
      <c r="W31" s="2223" t="n"/>
      <c r="AY31" s="2193" t="n">
        <v>22000</v>
      </c>
      <c r="AZ31" s="2193" t="n"/>
      <c r="BA31" s="2193" t="n"/>
      <c r="BB31" s="2193">
        <f>AY31</f>
        <v/>
      </c>
      <c r="BC31" s="2193" t="n"/>
      <c r="BD31" s="2193" t="n"/>
      <c r="BE31" s="2193">
        <f>AY31+BB31</f>
        <v/>
      </c>
      <c r="BF31" s="2193" t="n"/>
      <c r="BG31" s="2193" t="n"/>
      <c r="BH31" s="2193">
        <f>BE31</f>
        <v/>
      </c>
      <c r="BI31" s="1051">
        <f>IF(AY31&lt;=#REF!,#REF!,IF(AY31&lt;=#REF!,#REF!,IF(AY31&lt;=#REF!,#REF!,IF(AY31&lt;=#REF!,#REF!,IF(AY31&lt;=#REF!,#REF!,IF(AY31&lt;=#REF!,#REF!,IF(AY31&lt;=#REF!,#REF!,0.05)))))))</f>
        <v/>
      </c>
      <c r="BJ31" s="2193">
        <f>BI31*AY31</f>
        <v/>
      </c>
      <c r="BK31" s="1051" t="n"/>
      <c r="BL31" s="1051">
        <f>IF(BB31&lt;=#REF!,#REF!,IF(BB31&lt;=#REF!,#REF!,IF(BB31&lt;=#REF!,#REF!,IF(BB31&lt;=#REF!,#REF!,IF(BB31&lt;=#REF!,#REF!,IF(BB31&lt;=#REF!,#REF!,IF(BB31&lt;=#REF!,#REF!,0.05)))))))</f>
        <v/>
      </c>
      <c r="BM31" s="2193">
        <f>BL31*BB31</f>
        <v/>
      </c>
      <c r="BN31" s="1051" t="n"/>
      <c r="BO31" s="1051">
        <f>IF(BE31&lt;=#REF!,#REF!,IF(BE31&lt;=#REF!,#REF!,IF(BE31&lt;=#REF!,#REF!,IF(BE31&lt;=#REF!,#REF!,IF(BE31&lt;=#REF!,#REF!,IF(BE31&lt;=#REF!,#REF!,IF(BE31&lt;=#REF!,#REF!,0.05)))))))</f>
        <v/>
      </c>
      <c r="BP31" s="2193">
        <f>BO31*SUM(BM31,BJ31,BE31)</f>
        <v/>
      </c>
      <c r="BQ31" s="1051" t="n"/>
      <c r="BR31" s="2194">
        <f>IF(BH31&lt;=#REF!,#REF!,IF(BH31&lt;=#REF!,#REF!,IF(BH31&lt;=#REF!,#REF!,IF(BH31&lt;=#REF!,#REF!,IF(BH31&lt;=#REF!,#REF!,IF(BH31&lt;=#REF!,#REF!,IF(BH31&lt;=#REF!,#REF!,0.05)))))))</f>
        <v/>
      </c>
      <c r="BS31" s="2193">
        <f>BR31*BH31</f>
        <v/>
      </c>
      <c r="BU31" s="1932">
        <f>0.07*SUM(BE31,BJ31,BM31,BP31,BS31)</f>
        <v/>
      </c>
      <c r="BW31" s="1932">
        <f>SUM(BU31,BS31,BP31,BM31,BJ31,BE31)</f>
        <v/>
      </c>
      <c r="BX31" s="1933">
        <f>SUM(BS31,BP31,BM31,BJ31)</f>
        <v/>
      </c>
      <c r="BY31" s="1051">
        <f>BX31/BW31</f>
        <v/>
      </c>
      <c r="CO31" s="2193" t="n">
        <v>22000</v>
      </c>
      <c r="CP31" s="2193" t="n"/>
      <c r="CQ31" s="2193" t="n"/>
      <c r="CR31" s="2193">
        <f>CO31</f>
        <v/>
      </c>
      <c r="CS31" s="2193" t="n"/>
      <c r="CT31" s="2193" t="n"/>
      <c r="CU31" s="2193">
        <f>CO31+CR31</f>
        <v/>
      </c>
      <c r="CV31" s="2193" t="n"/>
      <c r="CW31" s="2193" t="n"/>
      <c r="CX31" s="2193">
        <f>CU31</f>
        <v/>
      </c>
      <c r="CY31" s="1051">
        <f>IF(CO31&lt;=BQ$6,BP$6,IF(CO31&lt;=BQ$7,BP$7,IF(CO31&lt;=BQ$8,BP$8,IF(CO31&lt;=BQ$9,BP$9,IF(CO31&lt;=BQ$14,BP$14,IF(CO31&lt;=BQ$15,BP$15,IF(CO31&lt;=BQ$16,BP$16,0.05)))))))</f>
        <v/>
      </c>
      <c r="CZ31" s="2193">
        <f>CY31*CO31</f>
        <v/>
      </c>
      <c r="DA31" s="1051" t="n"/>
      <c r="DB31" s="1051">
        <f>IF(CR31&lt;=BT$6,BS$6,IF(CR31&lt;=BT$7,BS$7,IF(CR31&lt;=BT$8,BS$8,IF(CR31&lt;=BT$9,BS$9,IF(CR31&lt;=BT$14,BS$14,IF(CR31&lt;=BT$15,BS$15,IF(CR31&lt;=BT$16,BS$16,0.05)))))))</f>
        <v/>
      </c>
      <c r="DC31" s="2193">
        <f>DB31*CR31</f>
        <v/>
      </c>
      <c r="DD31" s="1051" t="n"/>
      <c r="DE31" s="1051">
        <f>IF(CU31&lt;=BW$6,BV$6,IF(CU31&lt;=BW$7,BV$7,IF(CU31&lt;=BW$8,BV$8,IF(CU31&lt;=BW$9,BV$9,IF(CU31&lt;=BW$14,BV$14,IF(CU31&lt;=BW$15,BV$15,IF(CU31&lt;=BW$16,BV$16,0.05)))))))</f>
        <v/>
      </c>
      <c r="DF31" s="2193">
        <f>DE31*SUM(DC31,CZ31,CU31)</f>
        <v/>
      </c>
      <c r="DG31" s="1051" t="n"/>
      <c r="DH31" s="2194">
        <f>IF(CX31&lt;=BZ$6,BY$6,IF(CX31&lt;=BZ$7,BY$7,IF(CX31&lt;=BZ$8,BY$8,IF(CX31&lt;=BZ$9,BY$9,IF(CX31&lt;=BZ$14,BY$14,IF(CX31&lt;=BZ$15,BY$15,IF(CX31&lt;=BZ$16,BY$16,0.05)))))))</f>
        <v/>
      </c>
      <c r="DI31" s="2193">
        <f>DH31*CX31</f>
        <v/>
      </c>
      <c r="DK31" s="1932">
        <f>0.07*SUM(CU31,CZ31,DC31,DF31,DI31)</f>
        <v/>
      </c>
      <c r="DM31" s="1932">
        <f>SUM(DK31,DI31,DF31,DC31,CZ31,CU31)</f>
        <v/>
      </c>
      <c r="DN31" s="1933">
        <f>SUM(DI31,DF31,DC31,CZ31)</f>
        <v/>
      </c>
      <c r="DO31" s="1051">
        <f>DN31/DM31</f>
        <v/>
      </c>
    </row>
    <row r="32" ht="16.05" customFormat="1" customHeight="1" s="585" thickBot="1">
      <c r="A32" s="641" t="inlineStr">
        <is>
          <t>MATERIAL - Sand</t>
        </is>
      </c>
      <c r="B32" s="2227" t="n"/>
      <c r="C32" s="1977" t="n"/>
      <c r="D32" s="1977" t="n"/>
      <c r="E32" s="1978" t="n"/>
      <c r="F32" s="600" t="n"/>
      <c r="G32" s="600" t="n"/>
      <c r="H32" s="600" t="n"/>
      <c r="T32" s="600" t="n"/>
      <c r="U32" s="600" t="n"/>
      <c r="V32" s="600" t="n"/>
      <c r="W32" s="600" t="n"/>
      <c r="AY32" s="2193" t="n">
        <v>23000</v>
      </c>
      <c r="AZ32" s="2193" t="n"/>
      <c r="BA32" s="2193" t="n"/>
      <c r="BB32" s="2193">
        <f>AY32</f>
        <v/>
      </c>
      <c r="BC32" s="2193" t="n"/>
      <c r="BD32" s="2193" t="n"/>
      <c r="BE32" s="2193">
        <f>AY32+BB32</f>
        <v/>
      </c>
      <c r="BF32" s="2193" t="n"/>
      <c r="BG32" s="2193" t="n"/>
      <c r="BH32" s="2193">
        <f>BE32</f>
        <v/>
      </c>
      <c r="BI32" s="1051">
        <f>IF(AY32&lt;=#REF!,#REF!,IF(AY32&lt;=#REF!,#REF!,IF(AY32&lt;=#REF!,#REF!,IF(AY32&lt;=#REF!,#REF!,IF(AY32&lt;=#REF!,#REF!,IF(AY32&lt;=#REF!,#REF!,IF(AY32&lt;=#REF!,#REF!,0.05)))))))</f>
        <v/>
      </c>
      <c r="BJ32" s="2193">
        <f>BI32*AY32</f>
        <v/>
      </c>
      <c r="BK32" s="1051" t="n"/>
      <c r="BL32" s="1051">
        <f>IF(BB32&lt;=#REF!,#REF!,IF(BB32&lt;=#REF!,#REF!,IF(BB32&lt;=#REF!,#REF!,IF(BB32&lt;=#REF!,#REF!,IF(BB32&lt;=#REF!,#REF!,IF(BB32&lt;=#REF!,#REF!,IF(BB32&lt;=#REF!,#REF!,0.05)))))))</f>
        <v/>
      </c>
      <c r="BM32" s="2193">
        <f>BL32*BB32</f>
        <v/>
      </c>
      <c r="BN32" s="1051" t="n"/>
      <c r="BO32" s="1051">
        <f>IF(BE32&lt;=#REF!,#REF!,IF(BE32&lt;=#REF!,#REF!,IF(BE32&lt;=#REF!,#REF!,IF(BE32&lt;=#REF!,#REF!,IF(BE32&lt;=#REF!,#REF!,IF(BE32&lt;=#REF!,#REF!,IF(BE32&lt;=#REF!,#REF!,0.05)))))))</f>
        <v/>
      </c>
      <c r="BP32" s="2193">
        <f>BO32*SUM(BM32,BJ32,BE32)</f>
        <v/>
      </c>
      <c r="BQ32" s="1051" t="n"/>
      <c r="BR32" s="2194">
        <f>IF(BH32&lt;=#REF!,#REF!,IF(BH32&lt;=#REF!,#REF!,IF(BH32&lt;=#REF!,#REF!,IF(BH32&lt;=#REF!,#REF!,IF(BH32&lt;=#REF!,#REF!,IF(BH32&lt;=#REF!,#REF!,IF(BH32&lt;=#REF!,#REF!,0.05)))))))</f>
        <v/>
      </c>
      <c r="BS32" s="2193">
        <f>BR32*BH32</f>
        <v/>
      </c>
      <c r="BU32" s="1932">
        <f>0.07*SUM(BE32,BJ32,BM32,BP32,BS32)</f>
        <v/>
      </c>
      <c r="BW32" s="1932">
        <f>SUM(BU32,BS32,BP32,BM32,BJ32,BE32)</f>
        <v/>
      </c>
      <c r="BX32" s="1933">
        <f>SUM(BS32,BP32,BM32,BJ32)</f>
        <v/>
      </c>
      <c r="BY32" s="1051">
        <f>BX32/BW32</f>
        <v/>
      </c>
      <c r="CO32" s="2193" t="n">
        <v>23000</v>
      </c>
      <c r="CP32" s="2193" t="n"/>
      <c r="CQ32" s="2193" t="n"/>
      <c r="CR32" s="2193">
        <f>CO32</f>
        <v/>
      </c>
      <c r="CS32" s="2193" t="n"/>
      <c r="CT32" s="2193" t="n"/>
      <c r="CU32" s="2193">
        <f>CO32+CR32</f>
        <v/>
      </c>
      <c r="CV32" s="2193" t="n"/>
      <c r="CW32" s="2193" t="n"/>
      <c r="CX32" s="2193">
        <f>CU32</f>
        <v/>
      </c>
      <c r="CY32" s="1051">
        <f>IF(CO32&lt;=BQ$6,BP$6,IF(CO32&lt;=BQ$7,BP$7,IF(CO32&lt;=BQ$8,BP$8,IF(CO32&lt;=BQ$9,BP$9,IF(CO32&lt;=BQ$14,BP$14,IF(CO32&lt;=BQ$15,BP$15,IF(CO32&lt;=BQ$16,BP$16,0.05)))))))</f>
        <v/>
      </c>
      <c r="CZ32" s="2193">
        <f>CY32*CO32</f>
        <v/>
      </c>
      <c r="DA32" s="1051" t="n"/>
      <c r="DB32" s="1051">
        <f>IF(CR32&lt;=BT$6,BS$6,IF(CR32&lt;=BT$7,BS$7,IF(CR32&lt;=BT$8,BS$8,IF(CR32&lt;=BT$9,BS$9,IF(CR32&lt;=BT$14,BS$14,IF(CR32&lt;=BT$15,BS$15,IF(CR32&lt;=BT$16,BS$16,0.05)))))))</f>
        <v/>
      </c>
      <c r="DC32" s="2193">
        <f>DB32*CR32</f>
        <v/>
      </c>
      <c r="DD32" s="1051" t="n"/>
      <c r="DE32" s="1051">
        <f>IF(CU32&lt;=BW$6,BV$6,IF(CU32&lt;=BW$7,BV$7,IF(CU32&lt;=BW$8,BV$8,IF(CU32&lt;=BW$9,BV$9,IF(CU32&lt;=BW$14,BV$14,IF(CU32&lt;=BW$15,BV$15,IF(CU32&lt;=BW$16,BV$16,0.05)))))))</f>
        <v/>
      </c>
      <c r="DF32" s="2193">
        <f>DE32*SUM(DC32,CZ32,CU32)</f>
        <v/>
      </c>
      <c r="DG32" s="1051" t="n"/>
      <c r="DH32" s="2194">
        <f>IF(CX32&lt;=BZ$6,BY$6,IF(CX32&lt;=BZ$7,BY$7,IF(CX32&lt;=BZ$8,BY$8,IF(CX32&lt;=BZ$9,BY$9,IF(CX32&lt;=BZ$14,BY$14,IF(CX32&lt;=BZ$15,BY$15,IF(CX32&lt;=BZ$16,BY$16,0.05)))))))</f>
        <v/>
      </c>
      <c r="DI32" s="2193">
        <f>DH32*CX32</f>
        <v/>
      </c>
      <c r="DK32" s="1932">
        <f>0.07*SUM(CU32,CZ32,DC32,DF32,DI32)</f>
        <v/>
      </c>
      <c r="DM32" s="1932">
        <f>SUM(DK32,DI32,DF32,DC32,CZ32,CU32)</f>
        <v/>
      </c>
      <c r="DN32" s="1933">
        <f>SUM(DI32,DF32,DC32,CZ32)</f>
        <v/>
      </c>
      <c r="DO32" s="1051">
        <f>DN32/DM32</f>
        <v/>
      </c>
    </row>
    <row r="33" ht="16.2" customFormat="1" customHeight="1" s="585" thickBot="1">
      <c r="A33" s="647" t="inlineStr">
        <is>
          <t>Sand (per Ton)</t>
        </is>
      </c>
      <c r="B33" s="2096">
        <f>((IF(G11=P52,Q52,IF(G11=P54,Q54))*H33)/2000)*(1+G19)</f>
        <v/>
      </c>
      <c r="C33" s="1066" t="inlineStr">
        <is>
          <t>tons w/ waste</t>
        </is>
      </c>
      <c r="D33" s="1944" t="n">
        <v>35</v>
      </c>
      <c r="E33" s="1962">
        <f>B33*D33</f>
        <v/>
      </c>
      <c r="F33" s="600" t="inlineStr">
        <is>
          <t>(Total Bags x Mix Design)/2000</t>
        </is>
      </c>
      <c r="H33" s="1392">
        <f>B23+B24+B25</f>
        <v/>
      </c>
      <c r="I33" s="1008" t="inlineStr">
        <is>
          <t>Total Bags</t>
        </is>
      </c>
      <c r="T33" s="620" t="n"/>
      <c r="U33" s="620" t="n"/>
      <c r="AY33" s="2193" t="n">
        <v>24000</v>
      </c>
      <c r="AZ33" s="2193" t="n"/>
      <c r="BA33" s="2193" t="n"/>
      <c r="BB33" s="2193">
        <f>AY33</f>
        <v/>
      </c>
      <c r="BC33" s="2193" t="n"/>
      <c r="BD33" s="2193" t="n"/>
      <c r="BE33" s="2193">
        <f>AY33+BB33</f>
        <v/>
      </c>
      <c r="BF33" s="2193" t="n"/>
      <c r="BG33" s="2193" t="n"/>
      <c r="BH33" s="2193">
        <f>BE33</f>
        <v/>
      </c>
      <c r="BI33" s="1051">
        <f>IF(AY33&lt;=#REF!,#REF!,IF(AY33&lt;=#REF!,#REF!,IF(AY33&lt;=#REF!,#REF!,IF(AY33&lt;=#REF!,#REF!,IF(AY33&lt;=#REF!,#REF!,IF(AY33&lt;=#REF!,#REF!,IF(AY33&lt;=#REF!,#REF!,0.05)))))))</f>
        <v/>
      </c>
      <c r="BJ33" s="2193">
        <f>BI33*AY33</f>
        <v/>
      </c>
      <c r="BK33" s="1051" t="n"/>
      <c r="BL33" s="1051">
        <f>IF(BB33&lt;=#REF!,#REF!,IF(BB33&lt;=#REF!,#REF!,IF(BB33&lt;=#REF!,#REF!,IF(BB33&lt;=#REF!,#REF!,IF(BB33&lt;=#REF!,#REF!,IF(BB33&lt;=#REF!,#REF!,IF(BB33&lt;=#REF!,#REF!,0.05)))))))</f>
        <v/>
      </c>
      <c r="BM33" s="2193">
        <f>BL33*BB33</f>
        <v/>
      </c>
      <c r="BN33" s="1051" t="n"/>
      <c r="BO33" s="1051">
        <f>IF(BE33&lt;=#REF!,#REF!,IF(BE33&lt;=#REF!,#REF!,IF(BE33&lt;=#REF!,#REF!,IF(BE33&lt;=#REF!,#REF!,IF(BE33&lt;=#REF!,#REF!,IF(BE33&lt;=#REF!,#REF!,IF(BE33&lt;=#REF!,#REF!,0.05)))))))</f>
        <v/>
      </c>
      <c r="BP33" s="2193">
        <f>BO33*SUM(BM33,BJ33,BE33)</f>
        <v/>
      </c>
      <c r="BQ33" s="1051" t="n"/>
      <c r="BR33" s="2194">
        <f>IF(BH33&lt;=#REF!,#REF!,IF(BH33&lt;=#REF!,#REF!,IF(BH33&lt;=#REF!,#REF!,IF(BH33&lt;=#REF!,#REF!,IF(BH33&lt;=#REF!,#REF!,IF(BH33&lt;=#REF!,#REF!,IF(BH33&lt;=#REF!,#REF!,0.05)))))))</f>
        <v/>
      </c>
      <c r="BS33" s="2193">
        <f>BR33*BH33</f>
        <v/>
      </c>
      <c r="BU33" s="1932">
        <f>0.07*SUM(BE33,BJ33,BM33,BP33,BS33)</f>
        <v/>
      </c>
      <c r="BW33" s="1932">
        <f>SUM(BU33,BS33,BP33,BM33,BJ33,BE33)</f>
        <v/>
      </c>
      <c r="BX33" s="1933">
        <f>SUM(BS33,BP33,BM33,BJ33)</f>
        <v/>
      </c>
      <c r="BY33" s="1051">
        <f>BX33/BW33</f>
        <v/>
      </c>
      <c r="CO33" s="2193" t="n">
        <v>24000</v>
      </c>
      <c r="CP33" s="2193" t="n"/>
      <c r="CQ33" s="2193" t="n"/>
      <c r="CR33" s="2193">
        <f>CO33</f>
        <v/>
      </c>
      <c r="CS33" s="2193" t="n"/>
      <c r="CT33" s="2193" t="n"/>
      <c r="CU33" s="2193">
        <f>CO33+CR33</f>
        <v/>
      </c>
      <c r="CV33" s="2193" t="n"/>
      <c r="CW33" s="2193" t="n"/>
      <c r="CX33" s="2193">
        <f>CU33</f>
        <v/>
      </c>
      <c r="CY33" s="1051">
        <f>IF(CO33&lt;=BQ$6,BP$6,IF(CO33&lt;=BQ$7,BP$7,IF(CO33&lt;=BQ$8,BP$8,IF(CO33&lt;=BQ$9,BP$9,IF(CO33&lt;=BQ$14,BP$14,IF(CO33&lt;=BQ$15,BP$15,IF(CO33&lt;=BQ$16,BP$16,0.05)))))))</f>
        <v/>
      </c>
      <c r="CZ33" s="2193">
        <f>CY33*CO33</f>
        <v/>
      </c>
      <c r="DA33" s="1051" t="n"/>
      <c r="DB33" s="1051">
        <f>IF(CR33&lt;=BT$6,BS$6,IF(CR33&lt;=BT$7,BS$7,IF(CR33&lt;=BT$8,BS$8,IF(CR33&lt;=BT$9,BS$9,IF(CR33&lt;=BT$14,BS$14,IF(CR33&lt;=BT$15,BS$15,IF(CR33&lt;=BT$16,BS$16,0.05)))))))</f>
        <v/>
      </c>
      <c r="DC33" s="2193">
        <f>DB33*CR33</f>
        <v/>
      </c>
      <c r="DD33" s="1051" t="n"/>
      <c r="DE33" s="1051">
        <f>IF(CU33&lt;=BW$6,BV$6,IF(CU33&lt;=BW$7,BV$7,IF(CU33&lt;=BW$8,BV$8,IF(CU33&lt;=BW$9,BV$9,IF(CU33&lt;=BW$14,BV$14,IF(CU33&lt;=BW$15,BV$15,IF(CU33&lt;=BW$16,BV$16,0.05)))))))</f>
        <v/>
      </c>
      <c r="DF33" s="2193">
        <f>DE33*SUM(DC33,CZ33,CU33)</f>
        <v/>
      </c>
      <c r="DG33" s="1051" t="n"/>
      <c r="DH33" s="2194">
        <f>IF(CX33&lt;=BZ$6,BY$6,IF(CX33&lt;=BZ$7,BY$7,IF(CX33&lt;=BZ$8,BY$8,IF(CX33&lt;=BZ$9,BY$9,IF(CX33&lt;=BZ$14,BY$14,IF(CX33&lt;=BZ$15,BY$15,IF(CX33&lt;=BZ$16,BY$16,0.05)))))))</f>
        <v/>
      </c>
      <c r="DI33" s="2193">
        <f>DH33*CX33</f>
        <v/>
      </c>
      <c r="DK33" s="1932">
        <f>0.07*SUM(CU33,CZ33,DC33,DF33,DI33)</f>
        <v/>
      </c>
      <c r="DM33" s="1932">
        <f>SUM(DK33,DI33,DF33,DC33,CZ33,CU33)</f>
        <v/>
      </c>
      <c r="DN33" s="1933">
        <f>SUM(DI33,DF33,DC33,CZ33)</f>
        <v/>
      </c>
      <c r="DO33" s="1051">
        <f>DN33/DM33</f>
        <v/>
      </c>
    </row>
    <row r="34" ht="16.05" customFormat="1" customHeight="1" s="585">
      <c r="A34" s="647" t="n"/>
      <c r="B34" s="2096" t="n"/>
      <c r="C34" s="1977" t="n"/>
      <c r="D34" s="1944" t="n"/>
      <c r="E34" s="1962">
        <f>B34*D34</f>
        <v/>
      </c>
      <c r="F34" s="948" t="n"/>
      <c r="G34" s="600" t="n"/>
      <c r="H34" s="600" t="n"/>
      <c r="S34" s="593" t="n"/>
      <c r="T34" s="593" t="n"/>
      <c r="U34" s="593" t="n"/>
      <c r="AY34" s="2193" t="n">
        <v>25000</v>
      </c>
      <c r="AZ34" s="2193" t="n"/>
      <c r="BA34" s="2193" t="n"/>
      <c r="BB34" s="2193">
        <f>AY34</f>
        <v/>
      </c>
      <c r="BC34" s="2193" t="n"/>
      <c r="BD34" s="2193" t="n"/>
      <c r="BE34" s="2193">
        <f>AY34+BB34</f>
        <v/>
      </c>
      <c r="BF34" s="2193" t="n"/>
      <c r="BG34" s="2193" t="n"/>
      <c r="BH34" s="2193">
        <f>BE34</f>
        <v/>
      </c>
      <c r="BI34" s="1051">
        <f>IF(AY34&lt;=#REF!,#REF!,IF(AY34&lt;=#REF!,#REF!,IF(AY34&lt;=#REF!,#REF!,IF(AY34&lt;=#REF!,#REF!,IF(AY34&lt;=#REF!,#REF!,IF(AY34&lt;=#REF!,#REF!,IF(AY34&lt;=#REF!,#REF!,0.05)))))))</f>
        <v/>
      </c>
      <c r="BJ34" s="2193">
        <f>BI34*AY34</f>
        <v/>
      </c>
      <c r="BK34" s="1051" t="n"/>
      <c r="BL34" s="1051">
        <f>IF(BB34&lt;=#REF!,#REF!,IF(BB34&lt;=#REF!,#REF!,IF(BB34&lt;=#REF!,#REF!,IF(BB34&lt;=#REF!,#REF!,IF(BB34&lt;=#REF!,#REF!,IF(BB34&lt;=#REF!,#REF!,IF(BB34&lt;=#REF!,#REF!,0.05)))))))</f>
        <v/>
      </c>
      <c r="BM34" s="2193">
        <f>BL34*BB34</f>
        <v/>
      </c>
      <c r="BN34" s="1051" t="n"/>
      <c r="BO34" s="1051">
        <f>IF(BE34&lt;=#REF!,#REF!,IF(BE34&lt;=#REF!,#REF!,IF(BE34&lt;=#REF!,#REF!,IF(BE34&lt;=#REF!,#REF!,IF(BE34&lt;=#REF!,#REF!,IF(BE34&lt;=#REF!,#REF!,IF(BE34&lt;=#REF!,#REF!,0.05)))))))</f>
        <v/>
      </c>
      <c r="BP34" s="2193">
        <f>BO34*SUM(BM34,BJ34,BE34)</f>
        <v/>
      </c>
      <c r="BQ34" s="1051" t="n"/>
      <c r="BR34" s="2194">
        <f>IF(BH34&lt;=#REF!,#REF!,IF(BH34&lt;=#REF!,#REF!,IF(BH34&lt;=#REF!,#REF!,IF(BH34&lt;=#REF!,#REF!,IF(BH34&lt;=#REF!,#REF!,IF(BH34&lt;=#REF!,#REF!,IF(BH34&lt;=#REF!,#REF!,0.05)))))))</f>
        <v/>
      </c>
      <c r="BS34" s="2193">
        <f>BR34*BH34</f>
        <v/>
      </c>
      <c r="BU34" s="1932">
        <f>0.07*SUM(BE34,BJ34,BM34,BP34,BS34)</f>
        <v/>
      </c>
      <c r="BW34" s="1932">
        <f>SUM(BU34,BS34,BP34,BM34,BJ34,BE34)</f>
        <v/>
      </c>
      <c r="BX34" s="1933">
        <f>SUM(BS34,BP34,BM34,BJ34)</f>
        <v/>
      </c>
      <c r="BY34" s="1051">
        <f>BX34/BW34</f>
        <v/>
      </c>
      <c r="CO34" s="2193" t="n">
        <v>25000</v>
      </c>
      <c r="CP34" s="2193" t="n"/>
      <c r="CQ34" s="2193" t="n"/>
      <c r="CR34" s="2193">
        <f>CO34</f>
        <v/>
      </c>
      <c r="CS34" s="2193" t="n"/>
      <c r="CT34" s="2193" t="n"/>
      <c r="CU34" s="2193">
        <f>CO34+CR34</f>
        <v/>
      </c>
      <c r="CV34" s="2193" t="n"/>
      <c r="CW34" s="2193" t="n"/>
      <c r="CX34" s="2193">
        <f>CU34</f>
        <v/>
      </c>
      <c r="CY34" s="1051">
        <f>IF(CO34&lt;=BQ$6,BP$6,IF(CO34&lt;=BQ$7,BP$7,IF(CO34&lt;=BQ$8,BP$8,IF(CO34&lt;=BQ$9,BP$9,IF(CO34&lt;=BQ$14,BP$14,IF(CO34&lt;=BQ$15,BP$15,IF(CO34&lt;=BQ$16,BP$16,0.05)))))))</f>
        <v/>
      </c>
      <c r="CZ34" s="2193">
        <f>CY34*CO34</f>
        <v/>
      </c>
      <c r="DA34" s="1051" t="n"/>
      <c r="DB34" s="1051">
        <f>IF(CR34&lt;=BT$6,BS$6,IF(CR34&lt;=BT$7,BS$7,IF(CR34&lt;=BT$8,BS$8,IF(CR34&lt;=BT$9,BS$9,IF(CR34&lt;=BT$14,BS$14,IF(CR34&lt;=BT$15,BS$15,IF(CR34&lt;=BT$16,BS$16,0.05)))))))</f>
        <v/>
      </c>
      <c r="DC34" s="2193">
        <f>DB34*CR34</f>
        <v/>
      </c>
      <c r="DD34" s="1051" t="n"/>
      <c r="DE34" s="1051">
        <f>IF(CU34&lt;=BW$6,BV$6,IF(CU34&lt;=BW$7,BV$7,IF(CU34&lt;=BW$8,BV$8,IF(CU34&lt;=BW$9,BV$9,IF(CU34&lt;=BW$14,BV$14,IF(CU34&lt;=BW$15,BV$15,IF(CU34&lt;=BW$16,BV$16,0.05)))))))</f>
        <v/>
      </c>
      <c r="DF34" s="2193">
        <f>DE34*SUM(DC34,CZ34,CU34)</f>
        <v/>
      </c>
      <c r="DG34" s="1051" t="n"/>
      <c r="DH34" s="2194">
        <f>IF(CX34&lt;=BZ$6,BY$6,IF(CX34&lt;=BZ$7,BY$7,IF(CX34&lt;=BZ$8,BY$8,IF(CX34&lt;=BZ$9,BY$9,IF(CX34&lt;=BZ$14,BY$14,IF(CX34&lt;=BZ$15,BY$15,IF(CX34&lt;=BZ$16,BY$16,0.05)))))))</f>
        <v/>
      </c>
      <c r="DI34" s="2193">
        <f>DH34*CX34</f>
        <v/>
      </c>
      <c r="DK34" s="1932">
        <f>0.07*SUM(CU34,CZ34,DC34,DF34,DI34)</f>
        <v/>
      </c>
      <c r="DM34" s="1932">
        <f>SUM(DK34,DI34,DF34,DC34,CZ34,CU34)</f>
        <v/>
      </c>
      <c r="DN34" s="1933">
        <f>SUM(DI34,DF34,DC34,CZ34)</f>
        <v/>
      </c>
      <c r="DO34" s="1051">
        <f>DN34/DM34</f>
        <v/>
      </c>
    </row>
    <row r="35" customFormat="1" s="585">
      <c r="A35" s="641" t="inlineStr">
        <is>
          <t>MATERIAL - Sound Mat</t>
        </is>
      </c>
      <c r="B35" s="1520" t="inlineStr">
        <is>
          <t>USG</t>
        </is>
      </c>
      <c r="C35" s="1977" t="n"/>
      <c r="D35" s="1977" t="n"/>
      <c r="E35" s="1978" t="n"/>
      <c r="F35" s="600" t="n"/>
      <c r="G35" s="600" t="n"/>
      <c r="I35" s="959" t="inlineStr">
        <is>
          <t>[GrassWorx = 384 (for all)]</t>
        </is>
      </c>
      <c r="O35" s="1323" t="inlineStr">
        <is>
          <t>Sound Mat $$$$</t>
        </is>
      </c>
      <c r="T35" s="600" t="n"/>
      <c r="U35" s="600" t="n"/>
      <c r="AY35" s="2193" t="n">
        <v>26000</v>
      </c>
      <c r="AZ35" s="2193" t="n"/>
      <c r="BA35" s="2193" t="n"/>
      <c r="BB35" s="2193">
        <f>AY35</f>
        <v/>
      </c>
      <c r="BC35" s="2193" t="n"/>
      <c r="BD35" s="2193" t="n"/>
      <c r="BE35" s="2193">
        <f>AY35+BB35</f>
        <v/>
      </c>
      <c r="BF35" s="2193" t="n"/>
      <c r="BG35" s="2193" t="n"/>
      <c r="BH35" s="2193">
        <f>BE35</f>
        <v/>
      </c>
      <c r="BI35" s="1051">
        <f>IF(AY35&lt;=#REF!,#REF!,IF(AY35&lt;=#REF!,#REF!,IF(AY35&lt;=#REF!,#REF!,IF(AY35&lt;=#REF!,#REF!,IF(AY35&lt;=#REF!,#REF!,IF(AY35&lt;=#REF!,#REF!,IF(AY35&lt;=#REF!,#REF!,0.05)))))))</f>
        <v/>
      </c>
      <c r="BJ35" s="2193">
        <f>BI35*AY35</f>
        <v/>
      </c>
      <c r="BK35" s="1051" t="n"/>
      <c r="BL35" s="1051">
        <f>IF(BB35&lt;=#REF!,#REF!,IF(BB35&lt;=#REF!,#REF!,IF(BB35&lt;=#REF!,#REF!,IF(BB35&lt;=#REF!,#REF!,IF(BB35&lt;=#REF!,#REF!,IF(BB35&lt;=#REF!,#REF!,IF(BB35&lt;=#REF!,#REF!,0.05)))))))</f>
        <v/>
      </c>
      <c r="BM35" s="2193">
        <f>BL35*BB35</f>
        <v/>
      </c>
      <c r="BN35" s="1051" t="n"/>
      <c r="BO35" s="1051">
        <f>IF(BE35&lt;=#REF!,#REF!,IF(BE35&lt;=#REF!,#REF!,IF(BE35&lt;=#REF!,#REF!,IF(BE35&lt;=#REF!,#REF!,IF(BE35&lt;=#REF!,#REF!,IF(BE35&lt;=#REF!,#REF!,IF(BE35&lt;=#REF!,#REF!,0.05)))))))</f>
        <v/>
      </c>
      <c r="BP35" s="2193">
        <f>BO35*SUM(BM35,BJ35,BE35)</f>
        <v/>
      </c>
      <c r="BQ35" s="1051" t="n"/>
      <c r="BR35" s="2194">
        <f>IF(BH35&lt;=#REF!,#REF!,IF(BH35&lt;=#REF!,#REF!,IF(BH35&lt;=#REF!,#REF!,IF(BH35&lt;=#REF!,#REF!,IF(BH35&lt;=#REF!,#REF!,IF(BH35&lt;=#REF!,#REF!,IF(BH35&lt;=#REF!,#REF!,0.05)))))))</f>
        <v/>
      </c>
      <c r="BS35" s="2193">
        <f>BR35*BH35</f>
        <v/>
      </c>
      <c r="BU35" s="1932">
        <f>0.07*SUM(BE35,BJ35,BM35,BP35,BS35)</f>
        <v/>
      </c>
      <c r="BW35" s="1932">
        <f>SUM(BU35,BS35,BP35,BM35,BJ35,BE35)</f>
        <v/>
      </c>
      <c r="BX35" s="1933">
        <f>SUM(BS35,BP35,BM35,BJ35)</f>
        <v/>
      </c>
      <c r="BY35" s="1051">
        <f>BX35/BW35</f>
        <v/>
      </c>
      <c r="CO35" s="2193" t="n">
        <v>26000</v>
      </c>
      <c r="CP35" s="2193" t="n"/>
      <c r="CQ35" s="2193" t="n"/>
      <c r="CR35" s="2193">
        <f>CO35</f>
        <v/>
      </c>
      <c r="CS35" s="2193" t="n"/>
      <c r="CT35" s="2193" t="n"/>
      <c r="CU35" s="2193">
        <f>CO35+CR35</f>
        <v/>
      </c>
      <c r="CV35" s="2193" t="n"/>
      <c r="CW35" s="2193" t="n"/>
      <c r="CX35" s="2193">
        <f>CU35</f>
        <v/>
      </c>
      <c r="CY35" s="1051">
        <f>IF(CO35&lt;=BQ$6,BP$6,IF(CO35&lt;=BQ$7,BP$7,IF(CO35&lt;=BQ$8,BP$8,IF(CO35&lt;=BQ$9,BP$9,IF(CO35&lt;=BQ$14,BP$14,IF(CO35&lt;=BQ$15,BP$15,IF(CO35&lt;=BQ$16,BP$16,0.05)))))))</f>
        <v/>
      </c>
      <c r="CZ35" s="2193">
        <f>CY35*CO35</f>
        <v/>
      </c>
      <c r="DA35" s="1051" t="n"/>
      <c r="DB35" s="1051">
        <f>IF(CR35&lt;=BT$6,BS$6,IF(CR35&lt;=BT$7,BS$7,IF(CR35&lt;=BT$8,BS$8,IF(CR35&lt;=BT$9,BS$9,IF(CR35&lt;=BT$14,BS$14,IF(CR35&lt;=BT$15,BS$15,IF(CR35&lt;=BT$16,BS$16,0.05)))))))</f>
        <v/>
      </c>
      <c r="DC35" s="2193">
        <f>DB35*CR35</f>
        <v/>
      </c>
      <c r="DD35" s="1051" t="n"/>
      <c r="DE35" s="1051">
        <f>IF(CU35&lt;=BW$6,BV$6,IF(CU35&lt;=BW$7,BV$7,IF(CU35&lt;=BW$8,BV$8,IF(CU35&lt;=BW$9,BV$9,IF(CU35&lt;=BW$14,BV$14,IF(CU35&lt;=BW$15,BV$15,IF(CU35&lt;=BW$16,BV$16,0.05)))))))</f>
        <v/>
      </c>
      <c r="DF35" s="2193">
        <f>DE35*SUM(DC35,CZ35,CU35)</f>
        <v/>
      </c>
      <c r="DG35" s="1051" t="n"/>
      <c r="DH35" s="2194">
        <f>IF(CX35&lt;=BZ$6,BY$6,IF(CX35&lt;=BZ$7,BY$7,IF(CX35&lt;=BZ$8,BY$8,IF(CX35&lt;=BZ$9,BY$9,IF(CX35&lt;=BZ$14,BY$14,IF(CX35&lt;=BZ$15,BY$15,IF(CX35&lt;=BZ$16,BY$16,0.05)))))))</f>
        <v/>
      </c>
      <c r="DI35" s="2193">
        <f>DH35*CX35</f>
        <v/>
      </c>
      <c r="DK35" s="1932">
        <f>0.07*SUM(CU35,CZ35,DC35,DF35,DI35)</f>
        <v/>
      </c>
      <c r="DM35" s="1932">
        <f>SUM(DK35,DI35,DF35,DC35,CZ35,CU35)</f>
        <v/>
      </c>
      <c r="DN35" s="1933">
        <f>SUM(DI35,DF35,DC35,CZ35)</f>
        <v/>
      </c>
      <c r="DO35" s="1051">
        <f>DN35/DM35</f>
        <v/>
      </c>
    </row>
    <row r="36" customFormat="1" s="585">
      <c r="A36" s="1707" t="inlineStr">
        <is>
          <t>SAM-N25   (1/4")</t>
        </is>
      </c>
      <c r="B36" s="2228">
        <f>ROUNDUP(IF(A36=O37,(F24/Q37),IF(A36=O38,(F24/Q38),IF(A36=O39,(F24/Q39),IF(A36=O40,(F24/Q40),IF(A36=O42,(F24/Q42),IF(A36=O43,(F24/Q43),IF(A36=O44,(F24/Q44),"none")))))))*(1+G20),0)</f>
        <v/>
      </c>
      <c r="C36" s="1977" t="inlineStr">
        <is>
          <t>rolls</t>
        </is>
      </c>
      <c r="D36" s="1944">
        <f>IF(A36=O37,(P37),IF(A36=O38,(P38),IF(A36=O39,(P39),IF(A36=O40,(P40),IF(A36=O42,(P42),IF(A36=O43,(P43),IF(A36=O44,(P44),"none")))))))</f>
        <v/>
      </c>
      <c r="E36" s="1962">
        <f>B36*D36</f>
        <v/>
      </c>
      <c r="F36" s="948" t="n"/>
      <c r="G36" s="600" t="n"/>
      <c r="H36" s="1534">
        <f>IF(A36=O37,280,IF(A36=O38,208,IF(A36=O39,208,IF(A36=O40,260,IF(A36=O42,384,IF(A36=O43,384,IF(A36=O44,384,"error")))))))</f>
        <v/>
      </c>
      <c r="I36" s="1607" t="inlineStr">
        <is>
          <t>Mat Rolls /Truck Load</t>
        </is>
      </c>
      <c r="K36" s="633" t="inlineStr">
        <is>
          <t>shipping on gyp = 20%</t>
        </is>
      </c>
      <c r="L36" s="2135">
        <f>(ROUNDUP(SUM(E20:E26)*B40,0))</f>
        <v/>
      </c>
      <c r="N36" s="1934" t="n"/>
      <c r="O36" s="1323" t="inlineStr">
        <is>
          <t>USG $: 1/8/2026</t>
        </is>
      </c>
      <c r="P36" s="1010" t="inlineStr">
        <is>
          <t xml:space="preserve">Price </t>
        </is>
      </c>
      <c r="Q36" s="1010" t="inlineStr">
        <is>
          <t xml:space="preserve">Sqft per Roll </t>
        </is>
      </c>
      <c r="R36" s="1010" t="inlineStr">
        <is>
          <t xml:space="preserve">$ per Sqft </t>
        </is>
      </c>
      <c r="S36" s="1411" t="inlineStr">
        <is>
          <t>($ per 10-2024)</t>
        </is>
      </c>
      <c r="AY36" s="2193" t="n">
        <v>27000</v>
      </c>
      <c r="AZ36" s="2193" t="n"/>
      <c r="BA36" s="2193" t="n"/>
      <c r="BB36" s="2193">
        <f>AY36</f>
        <v/>
      </c>
      <c r="BC36" s="2193" t="n"/>
      <c r="BD36" s="2193" t="n"/>
      <c r="BE36" s="2193">
        <f>AY36+BB36</f>
        <v/>
      </c>
      <c r="BF36" s="2193" t="n"/>
      <c r="BG36" s="2193" t="n"/>
      <c r="BH36" s="2193">
        <f>BE36</f>
        <v/>
      </c>
      <c r="BI36" s="1051">
        <f>IF(AY36&lt;=#REF!,#REF!,IF(AY36&lt;=#REF!,#REF!,IF(AY36&lt;=#REF!,#REF!,IF(AY36&lt;=#REF!,#REF!,IF(AY36&lt;=#REF!,#REF!,IF(AY36&lt;=#REF!,#REF!,IF(AY36&lt;=#REF!,#REF!,0.05)))))))</f>
        <v/>
      </c>
      <c r="BJ36" s="2193">
        <f>BI36*AY36</f>
        <v/>
      </c>
      <c r="BK36" s="1051" t="n"/>
      <c r="BL36" s="1051">
        <f>IF(BB36&lt;=#REF!,#REF!,IF(BB36&lt;=#REF!,#REF!,IF(BB36&lt;=#REF!,#REF!,IF(BB36&lt;=#REF!,#REF!,IF(BB36&lt;=#REF!,#REF!,IF(BB36&lt;=#REF!,#REF!,IF(BB36&lt;=#REF!,#REF!,0.05)))))))</f>
        <v/>
      </c>
      <c r="BM36" s="2193">
        <f>BL36*BB36</f>
        <v/>
      </c>
      <c r="BN36" s="1051" t="n"/>
      <c r="BO36" s="1051">
        <f>IF(BE36&lt;=#REF!,#REF!,IF(BE36&lt;=#REF!,#REF!,IF(BE36&lt;=#REF!,#REF!,IF(BE36&lt;=#REF!,#REF!,IF(BE36&lt;=#REF!,#REF!,IF(BE36&lt;=#REF!,#REF!,IF(BE36&lt;=#REF!,#REF!,0.05)))))))</f>
        <v/>
      </c>
      <c r="BP36" s="2193">
        <f>BO36*SUM(BM36,BJ36,BE36)</f>
        <v/>
      </c>
      <c r="BQ36" s="1051" t="n"/>
      <c r="BR36" s="2194">
        <f>IF(BH36&lt;=#REF!,#REF!,IF(BH36&lt;=#REF!,#REF!,IF(BH36&lt;=#REF!,#REF!,IF(BH36&lt;=#REF!,#REF!,IF(BH36&lt;=#REF!,#REF!,IF(BH36&lt;=#REF!,#REF!,IF(BH36&lt;=#REF!,#REF!,0.05)))))))</f>
        <v/>
      </c>
      <c r="BS36" s="2193">
        <f>BR36*BH36</f>
        <v/>
      </c>
      <c r="BU36" s="1932">
        <f>0.07*SUM(BE36,BJ36,BM36,BP36,BS36)</f>
        <v/>
      </c>
      <c r="BW36" s="1932">
        <f>SUM(BU36,BS36,BP36,BM36,BJ36,BE36)</f>
        <v/>
      </c>
      <c r="BX36" s="1933">
        <f>SUM(BS36,BP36,BM36,BJ36)</f>
        <v/>
      </c>
      <c r="BY36" s="1051">
        <f>BX36/BW36</f>
        <v/>
      </c>
      <c r="CO36" s="2193" t="n">
        <v>27000</v>
      </c>
      <c r="CP36" s="2193" t="n"/>
      <c r="CQ36" s="2193" t="n"/>
      <c r="CR36" s="2193">
        <f>CO36</f>
        <v/>
      </c>
      <c r="CS36" s="2193" t="n"/>
      <c r="CT36" s="2193" t="n"/>
      <c r="CU36" s="2193">
        <f>CO36+CR36</f>
        <v/>
      </c>
      <c r="CV36" s="2193" t="n"/>
      <c r="CW36" s="2193" t="n"/>
      <c r="CX36" s="2193">
        <f>CU36</f>
        <v/>
      </c>
      <c r="CY36" s="1051">
        <f>IF(CO36&lt;=BQ$6,BP$6,IF(CO36&lt;=BQ$7,BP$7,IF(CO36&lt;=BQ$8,BP$8,IF(CO36&lt;=BQ$9,BP$9,IF(CO36&lt;=BQ$14,BP$14,IF(CO36&lt;=BQ$15,BP$15,IF(CO36&lt;=BQ$16,BP$16,0.05)))))))</f>
        <v/>
      </c>
      <c r="CZ36" s="2193">
        <f>CY36*CO36</f>
        <v/>
      </c>
      <c r="DA36" s="1051" t="n"/>
      <c r="DB36" s="1051">
        <f>IF(CR36&lt;=BT$6,BS$6,IF(CR36&lt;=BT$7,BS$7,IF(CR36&lt;=BT$8,BS$8,IF(CR36&lt;=BT$9,BS$9,IF(CR36&lt;=BT$14,BS$14,IF(CR36&lt;=BT$15,BS$15,IF(CR36&lt;=BT$16,BS$16,0.05)))))))</f>
        <v/>
      </c>
      <c r="DC36" s="2193">
        <f>DB36*CR36</f>
        <v/>
      </c>
      <c r="DD36" s="1051" t="n"/>
      <c r="DE36" s="1051">
        <f>IF(CU36&lt;=BW$6,BV$6,IF(CU36&lt;=BW$7,BV$7,IF(CU36&lt;=BW$8,BV$8,IF(CU36&lt;=BW$9,BV$9,IF(CU36&lt;=BW$14,BV$14,IF(CU36&lt;=BW$15,BV$15,IF(CU36&lt;=BW$16,BV$16,0.05)))))))</f>
        <v/>
      </c>
      <c r="DF36" s="2193">
        <f>DE36*SUM(DC36,CZ36,CU36)</f>
        <v/>
      </c>
      <c r="DG36" s="1051" t="n"/>
      <c r="DH36" s="2194">
        <f>IF(CX36&lt;=BZ$6,BY$6,IF(CX36&lt;=BZ$7,BY$7,IF(CX36&lt;=BZ$8,BY$8,IF(CX36&lt;=BZ$9,BY$9,IF(CX36&lt;=BZ$14,BY$14,IF(CX36&lt;=BZ$15,BY$15,IF(CX36&lt;=BZ$16,BY$16,0.05)))))))</f>
        <v/>
      </c>
      <c r="DI36" s="2193">
        <f>DH36*CX36</f>
        <v/>
      </c>
      <c r="DK36" s="1932">
        <f>0.07*SUM(CU36,CZ36,DC36,DF36,DI36)</f>
        <v/>
      </c>
      <c r="DM36" s="1932">
        <f>SUM(DK36,DI36,DF36,DC36,CZ36,CU36)</f>
        <v/>
      </c>
      <c r="DN36" s="1933">
        <f>SUM(DI36,DF36,DC36,CZ36)</f>
        <v/>
      </c>
      <c r="DO36" s="1051">
        <f>DN36/DM36</f>
        <v/>
      </c>
    </row>
    <row r="37" customFormat="1" s="585">
      <c r="A37" s="688" t="n"/>
      <c r="B37" s="2229" t="n"/>
      <c r="C37" s="2230" t="n"/>
      <c r="D37" s="1985" t="n"/>
      <c r="E37" s="1986">
        <f>B37*D37</f>
        <v/>
      </c>
      <c r="F37" s="600" t="n"/>
      <c r="G37" s="600" t="n"/>
      <c r="H37" s="714" t="inlineStr">
        <is>
          <t>[280 = USG 1/8"]</t>
        </is>
      </c>
      <c r="I37" s="1617" t="inlineStr">
        <is>
          <t>[Formulated = 448]</t>
        </is>
      </c>
      <c r="K37" s="633" t="inlineStr">
        <is>
          <t>shipping on mat,primr,iso,tape = 10%</t>
        </is>
      </c>
      <c r="L37" s="2127">
        <f>(ROUNDUP(((SUM(E27:E31,IF(B36&lt;448,(SUM(E35:E37)),0)))*D40),0))</f>
        <v/>
      </c>
      <c r="M37" s="585" t="inlineStr">
        <is>
          <t>159k vs 159,300 Hard Surfaces</t>
        </is>
      </c>
      <c r="N37" s="1947" t="inlineStr">
        <is>
          <t>1/8"</t>
        </is>
      </c>
      <c r="O37" s="1012" t="inlineStr">
        <is>
          <t>SAM-N12   (1/8")</t>
        </is>
      </c>
      <c r="P37" s="2231">
        <f>Q37*R37</f>
        <v/>
      </c>
      <c r="Q37" s="1014" t="n">
        <v>494</v>
      </c>
      <c r="R37" s="2232" t="n">
        <v>0.48</v>
      </c>
      <c r="S37" s="2223" t="inlineStr">
        <is>
          <t>Bag Price (2500)</t>
        </is>
      </c>
      <c r="T37" s="2135" t="n">
        <v>14.08</v>
      </c>
      <c r="U37" s="1519" t="inlineStr">
        <is>
          <t>-or- (3500)</t>
        </is>
      </c>
      <c r="V37" s="1928" t="n">
        <v>18.6</v>
      </c>
      <c r="AY37" s="2193" t="n">
        <v>28000</v>
      </c>
      <c r="AZ37" s="2193" t="n"/>
      <c r="BA37" s="2193" t="n"/>
      <c r="BB37" s="2193">
        <f>AY37</f>
        <v/>
      </c>
      <c r="BC37" s="2193" t="n"/>
      <c r="BD37" s="2193" t="n"/>
      <c r="BE37" s="2193">
        <f>AY37+BB37</f>
        <v/>
      </c>
      <c r="BF37" s="2193" t="n"/>
      <c r="BG37" s="2193" t="n"/>
      <c r="BH37" s="2193">
        <f>BE37</f>
        <v/>
      </c>
      <c r="BI37" s="1051">
        <f>IF(AY37&lt;=#REF!,#REF!,IF(AY37&lt;=#REF!,#REF!,IF(AY37&lt;=#REF!,#REF!,IF(AY37&lt;=#REF!,#REF!,IF(AY37&lt;=#REF!,#REF!,IF(AY37&lt;=#REF!,#REF!,IF(AY37&lt;=#REF!,#REF!,0.05)))))))</f>
        <v/>
      </c>
      <c r="BJ37" s="2193">
        <f>BI37*AY37</f>
        <v/>
      </c>
      <c r="BK37" s="1051" t="n"/>
      <c r="BL37" s="1051">
        <f>IF(BB37&lt;=#REF!,#REF!,IF(BB37&lt;=#REF!,#REF!,IF(BB37&lt;=#REF!,#REF!,IF(BB37&lt;=#REF!,#REF!,IF(BB37&lt;=#REF!,#REF!,IF(BB37&lt;=#REF!,#REF!,IF(BB37&lt;=#REF!,#REF!,0.05)))))))</f>
        <v/>
      </c>
      <c r="BM37" s="2193">
        <f>BL37*BB37</f>
        <v/>
      </c>
      <c r="BN37" s="1051" t="n"/>
      <c r="BO37" s="1051">
        <f>IF(BE37&lt;=#REF!,#REF!,IF(BE37&lt;=#REF!,#REF!,IF(BE37&lt;=#REF!,#REF!,IF(BE37&lt;=#REF!,#REF!,IF(BE37&lt;=#REF!,#REF!,IF(BE37&lt;=#REF!,#REF!,IF(BE37&lt;=#REF!,#REF!,0.05)))))))</f>
        <v/>
      </c>
      <c r="BP37" s="2193">
        <f>BO37*SUM(BM37,BJ37,BE37)</f>
        <v/>
      </c>
      <c r="BQ37" s="1051" t="n"/>
      <c r="BR37" s="2194">
        <f>IF(BH37&lt;=#REF!,#REF!,IF(BH37&lt;=#REF!,#REF!,IF(BH37&lt;=#REF!,#REF!,IF(BH37&lt;=#REF!,#REF!,IF(BH37&lt;=#REF!,#REF!,IF(BH37&lt;=#REF!,#REF!,IF(BH37&lt;=#REF!,#REF!,0.05)))))))</f>
        <v/>
      </c>
      <c r="BS37" s="2193">
        <f>BR37*BH37</f>
        <v/>
      </c>
      <c r="BU37" s="1932">
        <f>0.07*SUM(BE37,BJ37,BM37,BP37,BS37)</f>
        <v/>
      </c>
      <c r="BW37" s="1932">
        <f>SUM(BU37,BS37,BP37,BM37,BJ37,BE37)</f>
        <v/>
      </c>
      <c r="BX37" s="1933">
        <f>SUM(BS37,BP37,BM37,BJ37)</f>
        <v/>
      </c>
      <c r="BY37" s="1051">
        <f>BX37/BW37</f>
        <v/>
      </c>
      <c r="CO37" s="2193" t="n">
        <v>28000</v>
      </c>
      <c r="CP37" s="2193" t="n"/>
      <c r="CQ37" s="2193" t="n"/>
      <c r="CR37" s="2193">
        <f>CO37</f>
        <v/>
      </c>
      <c r="CS37" s="2193" t="n"/>
      <c r="CT37" s="2193" t="n"/>
      <c r="CU37" s="2193">
        <f>CO37+CR37</f>
        <v/>
      </c>
      <c r="CV37" s="2193" t="n"/>
      <c r="CW37" s="2193" t="n"/>
      <c r="CX37" s="2193">
        <f>CU37</f>
        <v/>
      </c>
      <c r="CY37" s="1051">
        <f>IF(CO37&lt;=BQ$6,BP$6,IF(CO37&lt;=BQ$7,BP$7,IF(CO37&lt;=BQ$8,BP$8,IF(CO37&lt;=BQ$9,BP$9,IF(CO37&lt;=BQ$14,BP$14,IF(CO37&lt;=BQ$15,BP$15,IF(CO37&lt;=BQ$16,BP$16,0.05)))))))</f>
        <v/>
      </c>
      <c r="CZ37" s="2193">
        <f>CY37*CO37</f>
        <v/>
      </c>
      <c r="DA37" s="1051" t="n"/>
      <c r="DB37" s="1051">
        <f>IF(CR37&lt;=BT$6,BS$6,IF(CR37&lt;=BT$7,BS$7,IF(CR37&lt;=BT$8,BS$8,IF(CR37&lt;=BT$9,BS$9,IF(CR37&lt;=BT$14,BS$14,IF(CR37&lt;=BT$15,BS$15,IF(CR37&lt;=BT$16,BS$16,0.05)))))))</f>
        <v/>
      </c>
      <c r="DC37" s="2193">
        <f>DB37*CR37</f>
        <v/>
      </c>
      <c r="DD37" s="1051" t="n"/>
      <c r="DE37" s="1051">
        <f>IF(CU37&lt;=BW$6,BV$6,IF(CU37&lt;=BW$7,BV$7,IF(CU37&lt;=BW$8,BV$8,IF(CU37&lt;=BW$9,BV$9,IF(CU37&lt;=BW$14,BV$14,IF(CU37&lt;=BW$15,BV$15,IF(CU37&lt;=BW$16,BV$16,0.05)))))))</f>
        <v/>
      </c>
      <c r="DF37" s="2193">
        <f>DE37*SUM(DC37,CZ37,CU37)</f>
        <v/>
      </c>
      <c r="DG37" s="1051" t="n"/>
      <c r="DH37" s="2194">
        <f>IF(CX37&lt;=BZ$6,BY$6,IF(CX37&lt;=BZ$7,BY$7,IF(CX37&lt;=BZ$8,BY$8,IF(CX37&lt;=BZ$9,BY$9,IF(CX37&lt;=BZ$14,BY$14,IF(CX37&lt;=BZ$15,BY$15,IF(CX37&lt;=BZ$16,BY$16,0.05)))))))</f>
        <v/>
      </c>
      <c r="DI37" s="2193">
        <f>DH37*CX37</f>
        <v/>
      </c>
      <c r="DK37" s="1932">
        <f>0.07*SUM(CU37,CZ37,DC37,DF37,DI37)</f>
        <v/>
      </c>
      <c r="DM37" s="1932">
        <f>SUM(DK37,DI37,DF37,DC37,CZ37,CU37)</f>
        <v/>
      </c>
      <c r="DN37" s="1933">
        <f>SUM(DI37,DF37,DC37,CZ37)</f>
        <v/>
      </c>
      <c r="DO37" s="1051">
        <f>DN37/DM37</f>
        <v/>
      </c>
    </row>
    <row r="38" ht="16.05" customFormat="1" customHeight="1" s="585">
      <c r="A38" s="1783" t="inlineStr">
        <is>
          <t>Material Sub Total</t>
        </is>
      </c>
      <c r="B38" s="1533" t="n"/>
      <c r="C38" s="2166" t="n"/>
      <c r="D38" s="2166" t="n"/>
      <c r="E38" s="1987">
        <f>ROUNDUP(SUM(E20:E37),0)</f>
        <v/>
      </c>
      <c r="F38" s="600" t="n"/>
      <c r="G38" s="600" t="n"/>
      <c r="H38" s="714" t="inlineStr">
        <is>
          <t>[208 = USG 1/4" +]</t>
        </is>
      </c>
      <c r="I38" s="793" t="inlineStr">
        <is>
          <t>[260 = USG 3/16"]</t>
        </is>
      </c>
      <c r="K38" s="633" t="inlineStr">
        <is>
          <t>combined=</t>
        </is>
      </c>
      <c r="L38" s="2135">
        <f>SUM(L36:L37)</f>
        <v/>
      </c>
      <c r="N38" s="1947" t="inlineStr">
        <is>
          <t>1/4"</t>
        </is>
      </c>
      <c r="O38" s="1016" t="inlineStr">
        <is>
          <t>SAM-N25   (1/4")</t>
        </is>
      </c>
      <c r="P38" s="2233">
        <f>Q38*R38</f>
        <v/>
      </c>
      <c r="Q38" s="1018" t="n">
        <v>445</v>
      </c>
      <c r="R38" s="2234" t="n">
        <v>0.55</v>
      </c>
      <c r="S38" s="633" t="inlineStr">
        <is>
          <t>Wood Primer</t>
        </is>
      </c>
      <c r="T38" s="2235">
        <f>108/5</f>
        <v/>
      </c>
      <c r="U38" s="585" t="inlineStr">
        <is>
          <t xml:space="preserve">($108 /5 gal) -or- ($891 /Drum </t>
        </is>
      </c>
      <c r="W38" s="840" t="inlineStr">
        <is>
          <t>x gallons ???)</t>
        </is>
      </c>
      <c r="AY38" s="2193" t="n">
        <v>29000</v>
      </c>
      <c r="AZ38" s="2193" t="n"/>
      <c r="BA38" s="2193" t="n"/>
      <c r="BB38" s="2193">
        <f>AY38</f>
        <v/>
      </c>
      <c r="BC38" s="2193" t="n"/>
      <c r="BD38" s="2193" t="n"/>
      <c r="BE38" s="2193">
        <f>AY38+BB38</f>
        <v/>
      </c>
      <c r="BF38" s="2193" t="n"/>
      <c r="BG38" s="2193" t="n"/>
      <c r="BH38" s="2193">
        <f>BE38</f>
        <v/>
      </c>
      <c r="BI38" s="1051">
        <f>IF(AY38&lt;=#REF!,#REF!,IF(AY38&lt;=#REF!,#REF!,IF(AY38&lt;=#REF!,#REF!,IF(AY38&lt;=#REF!,#REF!,IF(AY38&lt;=#REF!,#REF!,IF(AY38&lt;=#REF!,#REF!,IF(AY38&lt;=#REF!,#REF!,0.05)))))))</f>
        <v/>
      </c>
      <c r="BJ38" s="2193">
        <f>BI38*AY38</f>
        <v/>
      </c>
      <c r="BK38" s="1051" t="n"/>
      <c r="BL38" s="1051">
        <f>IF(BB38&lt;=#REF!,#REF!,IF(BB38&lt;=#REF!,#REF!,IF(BB38&lt;=#REF!,#REF!,IF(BB38&lt;=#REF!,#REF!,IF(BB38&lt;=#REF!,#REF!,IF(BB38&lt;=#REF!,#REF!,IF(BB38&lt;=#REF!,#REF!,0.05)))))))</f>
        <v/>
      </c>
      <c r="BM38" s="2193">
        <f>BL38*BB38</f>
        <v/>
      </c>
      <c r="BN38" s="1051" t="n"/>
      <c r="BO38" s="1051">
        <f>IF(BE38&lt;=#REF!,#REF!,IF(BE38&lt;=#REF!,#REF!,IF(BE38&lt;=#REF!,#REF!,IF(BE38&lt;=#REF!,#REF!,IF(BE38&lt;=#REF!,#REF!,IF(BE38&lt;=#REF!,#REF!,IF(BE38&lt;=#REF!,#REF!,0.05)))))))</f>
        <v/>
      </c>
      <c r="BP38" s="2193">
        <f>BO38*SUM(BM38,BJ38,BE38)</f>
        <v/>
      </c>
      <c r="BQ38" s="1051" t="n"/>
      <c r="BR38" s="2194">
        <f>IF(BH38&lt;=#REF!,#REF!,IF(BH38&lt;=#REF!,#REF!,IF(BH38&lt;=#REF!,#REF!,IF(BH38&lt;=#REF!,#REF!,IF(BH38&lt;=#REF!,#REF!,IF(BH38&lt;=#REF!,#REF!,IF(BH38&lt;=#REF!,#REF!,0.05)))))))</f>
        <v/>
      </c>
      <c r="BS38" s="2193">
        <f>BR38*BH38</f>
        <v/>
      </c>
      <c r="BU38" s="1932">
        <f>0.07*SUM(BE38,BJ38,BM38,BP38,BS38)</f>
        <v/>
      </c>
      <c r="BW38" s="1932">
        <f>SUM(BU38,BS38,BP38,BM38,BJ38,BE38)</f>
        <v/>
      </c>
      <c r="BX38" s="1933">
        <f>SUM(BS38,BP38,BM38,BJ38)</f>
        <v/>
      </c>
      <c r="BY38" s="1051">
        <f>BX38/BW38</f>
        <v/>
      </c>
      <c r="CO38" s="2193" t="n">
        <v>29000</v>
      </c>
      <c r="CP38" s="2193" t="n"/>
      <c r="CQ38" s="2193" t="n"/>
      <c r="CR38" s="2193">
        <f>CO38</f>
        <v/>
      </c>
      <c r="CS38" s="2193" t="n"/>
      <c r="CT38" s="2193" t="n"/>
      <c r="CU38" s="2193">
        <f>CO38+CR38</f>
        <v/>
      </c>
      <c r="CV38" s="2193" t="n"/>
      <c r="CW38" s="2193" t="n"/>
      <c r="CX38" s="2193">
        <f>CU38</f>
        <v/>
      </c>
      <c r="CY38" s="1051">
        <f>IF(CO38&lt;=BQ$6,BP$6,IF(CO38&lt;=BQ$7,BP$7,IF(CO38&lt;=BQ$8,BP$8,IF(CO38&lt;=BQ$9,BP$9,IF(CO38&lt;=BQ$14,BP$14,IF(CO38&lt;=BQ$15,BP$15,IF(CO38&lt;=BQ$16,BP$16,0.05)))))))</f>
        <v/>
      </c>
      <c r="CZ38" s="2193">
        <f>CY38*CO38</f>
        <v/>
      </c>
      <c r="DA38" s="1051" t="n"/>
      <c r="DB38" s="1051">
        <f>IF(CR38&lt;=BT$6,BS$6,IF(CR38&lt;=BT$7,BS$7,IF(CR38&lt;=BT$8,BS$8,IF(CR38&lt;=BT$9,BS$9,IF(CR38&lt;=BT$14,BS$14,IF(CR38&lt;=BT$15,BS$15,IF(CR38&lt;=BT$16,BS$16,0.05)))))))</f>
        <v/>
      </c>
      <c r="DC38" s="2193">
        <f>DB38*CR38</f>
        <v/>
      </c>
      <c r="DD38" s="1051" t="n"/>
      <c r="DE38" s="1051">
        <f>IF(CU38&lt;=BW$6,BV$6,IF(CU38&lt;=BW$7,BV$7,IF(CU38&lt;=BW$8,BV$8,IF(CU38&lt;=BW$9,BV$9,IF(CU38&lt;=BW$14,BV$14,IF(CU38&lt;=BW$15,BV$15,IF(CU38&lt;=BW$16,BV$16,0.05)))))))</f>
        <v/>
      </c>
      <c r="DF38" s="2193">
        <f>DE38*SUM(DC38,CZ38,CU38)</f>
        <v/>
      </c>
      <c r="DG38" s="1051" t="n"/>
      <c r="DH38" s="2194">
        <f>IF(CX38&lt;=BZ$6,BY$6,IF(CX38&lt;=BZ$7,BY$7,IF(CX38&lt;=BZ$8,BY$8,IF(CX38&lt;=BZ$9,BY$9,IF(CX38&lt;=BZ$14,BY$14,IF(CX38&lt;=BZ$15,BY$15,IF(CX38&lt;=BZ$16,BY$16,0.05)))))))</f>
        <v/>
      </c>
      <c r="DI38" s="2193">
        <f>DH38*CX38</f>
        <v/>
      </c>
      <c r="DK38" s="1932">
        <f>0.07*SUM(CU38,CZ38,DC38,DF38,DI38)</f>
        <v/>
      </c>
      <c r="DM38" s="1932">
        <f>SUM(DK38,DI38,DF38,DC38,CZ38,CU38)</f>
        <v/>
      </c>
      <c r="DN38" s="1933">
        <f>SUM(DI38,DF38,DC38,CZ38)</f>
        <v/>
      </c>
      <c r="DO38" s="1051">
        <f>DN38/DM38</f>
        <v/>
      </c>
    </row>
    <row r="39" customFormat="1" s="585">
      <c r="A39" s="1418" t="inlineStr">
        <is>
          <t>Material Escalation</t>
        </is>
      </c>
      <c r="B39" s="1417" t="n">
        <v>0.08</v>
      </c>
      <c r="C39" s="2236" t="n"/>
      <c r="D39" s="2237" t="n"/>
      <c r="E39" s="2238">
        <f>ROUNDUP(SUM(E23:E31,E35:E37)*B39,0)</f>
        <v/>
      </c>
      <c r="F39" s="1416" t="inlineStr">
        <is>
          <t>escalation for gyp, extras + mat</t>
        </is>
      </c>
      <c r="G39" s="600" t="n"/>
      <c r="H39" s="1876" t="n"/>
      <c r="K39" s="674" t="inlineStr">
        <is>
          <t>(**none on sand**)</t>
        </is>
      </c>
      <c r="L39" s="700" t="n"/>
      <c r="M39" s="700" t="n"/>
      <c r="N39" s="1947" t="inlineStr">
        <is>
          <t>3/8"</t>
        </is>
      </c>
      <c r="O39" s="1020" t="inlineStr">
        <is>
          <t>SAM-N40    (3/8")</t>
        </is>
      </c>
      <c r="P39" s="2239">
        <f>Q39*R39</f>
        <v/>
      </c>
      <c r="Q39" s="1021" t="n">
        <v>330</v>
      </c>
      <c r="R39" s="2240" t="n">
        <v>0.65</v>
      </c>
      <c r="S39" s="633" t="inlineStr">
        <is>
          <t>Iso</t>
        </is>
      </c>
      <c r="T39" s="2235" t="n">
        <v>25</v>
      </c>
      <c r="U39" s="840" t="inlineStr">
        <is>
          <t>ISO ??? Which one ??</t>
        </is>
      </c>
      <c r="V39" s="840" t="n"/>
      <c r="AY39" s="2193" t="n">
        <v>30000</v>
      </c>
      <c r="AZ39" s="2193" t="n"/>
      <c r="BA39" s="2193" t="n"/>
      <c r="BB39" s="2193">
        <f>AY39</f>
        <v/>
      </c>
      <c r="BC39" s="2193" t="n"/>
      <c r="BD39" s="2193" t="n"/>
      <c r="BE39" s="2193">
        <f>AY39+BB39</f>
        <v/>
      </c>
      <c r="BF39" s="2193" t="n"/>
      <c r="BG39" s="2193" t="n"/>
      <c r="BH39" s="2193">
        <f>BE39</f>
        <v/>
      </c>
      <c r="BI39" s="1051">
        <f>IF(AY39&lt;=#REF!,#REF!,IF(AY39&lt;=#REF!,#REF!,IF(AY39&lt;=#REF!,#REF!,IF(AY39&lt;=#REF!,#REF!,IF(AY39&lt;=#REF!,#REF!,IF(AY39&lt;=#REF!,#REF!,IF(AY39&lt;=#REF!,#REF!,0.05)))))))</f>
        <v/>
      </c>
      <c r="BJ39" s="2193">
        <f>BI39*AY39</f>
        <v/>
      </c>
      <c r="BK39" s="1051" t="n"/>
      <c r="BL39" s="1051">
        <f>IF(BB39&lt;=#REF!,#REF!,IF(BB39&lt;=#REF!,#REF!,IF(BB39&lt;=#REF!,#REF!,IF(BB39&lt;=#REF!,#REF!,IF(BB39&lt;=#REF!,#REF!,IF(BB39&lt;=#REF!,#REF!,IF(BB39&lt;=#REF!,#REF!,0.05)))))))</f>
        <v/>
      </c>
      <c r="BM39" s="2193">
        <f>BL39*BB39</f>
        <v/>
      </c>
      <c r="BN39" s="1051" t="n"/>
      <c r="BO39" s="1051">
        <f>IF(BE39&lt;=#REF!,#REF!,IF(BE39&lt;=#REF!,#REF!,IF(BE39&lt;=#REF!,#REF!,IF(BE39&lt;=#REF!,#REF!,IF(BE39&lt;=#REF!,#REF!,IF(BE39&lt;=#REF!,#REF!,IF(BE39&lt;=#REF!,#REF!,0.05)))))))</f>
        <v/>
      </c>
      <c r="BP39" s="2193">
        <f>BO39*SUM(BM39,BJ39,BE39)</f>
        <v/>
      </c>
      <c r="BQ39" s="1051" t="n"/>
      <c r="BR39" s="2194">
        <f>IF(BH39&lt;=#REF!,#REF!,IF(BH39&lt;=#REF!,#REF!,IF(BH39&lt;=#REF!,#REF!,IF(BH39&lt;=#REF!,#REF!,IF(BH39&lt;=#REF!,#REF!,IF(BH39&lt;=#REF!,#REF!,IF(BH39&lt;=#REF!,#REF!,0.05)))))))</f>
        <v/>
      </c>
      <c r="BS39" s="2193">
        <f>BR39*BH39</f>
        <v/>
      </c>
      <c r="BU39" s="1932">
        <f>0.07*SUM(BE39,BJ39,BM39,BP39,BS39)</f>
        <v/>
      </c>
      <c r="BW39" s="1932">
        <f>SUM(BU39,BS39,BP39,BM39,BJ39,BE39)</f>
        <v/>
      </c>
      <c r="BX39" s="1933">
        <f>SUM(BS39,BP39,BM39,BJ39)</f>
        <v/>
      </c>
      <c r="BY39" s="1051">
        <f>BX39/BW39</f>
        <v/>
      </c>
      <c r="CO39" s="2193" t="n">
        <v>30000</v>
      </c>
      <c r="CP39" s="2193" t="n"/>
      <c r="CQ39" s="2193" t="n"/>
      <c r="CR39" s="2193">
        <f>CO39</f>
        <v/>
      </c>
      <c r="CS39" s="2193" t="n"/>
      <c r="CT39" s="2193" t="n"/>
      <c r="CU39" s="2193">
        <f>CO39+CR39</f>
        <v/>
      </c>
      <c r="CV39" s="2193" t="n"/>
      <c r="CW39" s="2193" t="n"/>
      <c r="CX39" s="2193">
        <f>CU39</f>
        <v/>
      </c>
      <c r="CY39" s="1051">
        <f>IF(CO39&lt;=BQ$6,BP$6,IF(CO39&lt;=BQ$7,BP$7,IF(CO39&lt;=BQ$8,BP$8,IF(CO39&lt;=BQ$9,BP$9,IF(CO39&lt;=BQ$14,BP$14,IF(CO39&lt;=BQ$15,BP$15,IF(CO39&lt;=BQ$16,BP$16,0.05)))))))</f>
        <v/>
      </c>
      <c r="CZ39" s="2193">
        <f>CY39*CO39</f>
        <v/>
      </c>
      <c r="DA39" s="1051" t="n"/>
      <c r="DB39" s="1051">
        <f>IF(CR39&lt;=BT$6,BS$6,IF(CR39&lt;=BT$7,BS$7,IF(CR39&lt;=BT$8,BS$8,IF(CR39&lt;=BT$9,BS$9,IF(CR39&lt;=BT$14,BS$14,IF(CR39&lt;=BT$15,BS$15,IF(CR39&lt;=BT$16,BS$16,0.05)))))))</f>
        <v/>
      </c>
      <c r="DC39" s="2193">
        <f>DB39*CR39</f>
        <v/>
      </c>
      <c r="DD39" s="1051" t="n"/>
      <c r="DE39" s="1051">
        <f>IF(CU39&lt;=BW$6,BV$6,IF(CU39&lt;=BW$7,BV$7,IF(CU39&lt;=BW$8,BV$8,IF(CU39&lt;=BW$9,BV$9,IF(CU39&lt;=BW$14,BV$14,IF(CU39&lt;=BW$15,BV$15,IF(CU39&lt;=BW$16,BV$16,0.05)))))))</f>
        <v/>
      </c>
      <c r="DF39" s="2193">
        <f>DE39*SUM(DC39,CZ39,CU39)</f>
        <v/>
      </c>
      <c r="DG39" s="1051" t="n"/>
      <c r="DH39" s="2194">
        <f>IF(CX39&lt;=BZ$6,BY$6,IF(CX39&lt;=BZ$7,BY$7,IF(CX39&lt;=BZ$8,BY$8,IF(CX39&lt;=BZ$9,BY$9,IF(CX39&lt;=BZ$14,BY$14,IF(CX39&lt;=BZ$15,BY$15,IF(CX39&lt;=BZ$16,BY$16,0.05)))))))</f>
        <v/>
      </c>
      <c r="DI39" s="2193">
        <f>DH39*CX39</f>
        <v/>
      </c>
      <c r="DK39" s="1932">
        <f>0.07*SUM(CU39,CZ39,DC39,DF39,DI39)</f>
        <v/>
      </c>
      <c r="DM39" s="1932">
        <f>SUM(DK39,DI39,DF39,DC39,CZ39,CU39)</f>
        <v/>
      </c>
      <c r="DN39" s="1933">
        <f>SUM(DI39,DF39,DC39,CZ39)</f>
        <v/>
      </c>
      <c r="DO39" s="1051">
        <f>DN39/DM39</f>
        <v/>
      </c>
    </row>
    <row r="40" ht="16.2" customFormat="1" customHeight="1" s="585" thickBot="1">
      <c r="A40" s="701" t="inlineStr">
        <is>
          <t>Shipping On... Gyp Bags:</t>
        </is>
      </c>
      <c r="B40" s="1059" t="n">
        <v>0.2</v>
      </c>
      <c r="C40" s="1058" t="inlineStr">
        <is>
          <t>... Ship Other:</t>
        </is>
      </c>
      <c r="D40" s="1059" t="n">
        <v>0.1</v>
      </c>
      <c r="E40" s="2168">
        <f>(ROUNDUP(SUM(E20:E26)*B40,0))+(ROUNDUP(((SUM(E27:E31,IF(B36&lt;H36,(SUM(E35:E37)),0)))*D40),0))</f>
        <v/>
      </c>
      <c r="F40" s="1060" t="inlineStr">
        <is>
          <t>Shipping: 20% on gyp bags, 10% on primer, iso, tape, mat (none on sand)</t>
        </is>
      </c>
      <c r="G40" s="1061" t="n"/>
      <c r="H40" s="1062" t="n"/>
      <c r="I40" s="1023" t="inlineStr">
        <is>
          <t>Material Budget</t>
        </is>
      </c>
      <c r="J40" s="707" t="n"/>
      <c r="N40" s="2241" t="inlineStr">
        <is>
          <t>3/16"</t>
        </is>
      </c>
      <c r="O40" s="1641" t="inlineStr">
        <is>
          <t>SAM-N12 ULTRA  (3/16")</t>
        </is>
      </c>
      <c r="P40" s="2242">
        <f>Q40*R40</f>
        <v/>
      </c>
      <c r="Q40" s="1643" t="n">
        <v>369</v>
      </c>
      <c r="R40" s="2243" t="n">
        <v>0.64</v>
      </c>
      <c r="S40" s="874" t="n"/>
      <c r="T40" s="874" t="n"/>
      <c r="U40" s="874" t="n"/>
      <c r="V40" s="874" t="n"/>
      <c r="AY40" s="2193" t="n">
        <v>31000</v>
      </c>
      <c r="AZ40" s="2193" t="n"/>
      <c r="BA40" s="2193" t="n"/>
      <c r="BB40" s="2193">
        <f>AY40</f>
        <v/>
      </c>
      <c r="BC40" s="2193" t="n"/>
      <c r="BD40" s="2193" t="n"/>
      <c r="BE40" s="2193">
        <f>AY40+BB40</f>
        <v/>
      </c>
      <c r="BF40" s="2193" t="n"/>
      <c r="BG40" s="2193" t="n"/>
      <c r="BH40" s="2193">
        <f>BE40</f>
        <v/>
      </c>
      <c r="BI40" s="1051">
        <f>IF(AY40&lt;=#REF!,#REF!,IF(AY40&lt;=#REF!,#REF!,IF(AY40&lt;=#REF!,#REF!,IF(AY40&lt;=#REF!,#REF!,IF(AY40&lt;=#REF!,#REF!,IF(AY40&lt;=#REF!,#REF!,IF(AY40&lt;=#REF!,#REF!,0.05)))))))</f>
        <v/>
      </c>
      <c r="BJ40" s="2193">
        <f>BI40*AY40</f>
        <v/>
      </c>
      <c r="BK40" s="1051" t="n"/>
      <c r="BL40" s="1051">
        <f>IF(BB40&lt;=#REF!,#REF!,IF(BB40&lt;=#REF!,#REF!,IF(BB40&lt;=#REF!,#REF!,IF(BB40&lt;=#REF!,#REF!,IF(BB40&lt;=#REF!,#REF!,IF(BB40&lt;=#REF!,#REF!,IF(BB40&lt;=#REF!,#REF!,0.05)))))))</f>
        <v/>
      </c>
      <c r="BM40" s="2193">
        <f>BL40*BB40</f>
        <v/>
      </c>
      <c r="BN40" s="1051" t="n"/>
      <c r="BO40" s="1051">
        <f>IF(BE40&lt;=#REF!,#REF!,IF(BE40&lt;=#REF!,#REF!,IF(BE40&lt;=#REF!,#REF!,IF(BE40&lt;=#REF!,#REF!,IF(BE40&lt;=#REF!,#REF!,IF(BE40&lt;=#REF!,#REF!,IF(BE40&lt;=#REF!,#REF!,0.05)))))))</f>
        <v/>
      </c>
      <c r="BP40" s="2193">
        <f>BO40*SUM(BM40,BJ40,BE40)</f>
        <v/>
      </c>
      <c r="BQ40" s="1051" t="n"/>
      <c r="BR40" s="2194">
        <f>IF(BH40&lt;=#REF!,#REF!,IF(BH40&lt;=#REF!,#REF!,IF(BH40&lt;=#REF!,#REF!,IF(BH40&lt;=#REF!,#REF!,IF(BH40&lt;=#REF!,#REF!,IF(BH40&lt;=#REF!,#REF!,IF(BH40&lt;=#REF!,#REF!,0.05)))))))</f>
        <v/>
      </c>
      <c r="BS40" s="2193">
        <f>BR40*BH40</f>
        <v/>
      </c>
      <c r="BU40" s="1932">
        <f>0.07*SUM(BE40,BJ40,BM40,BP40,BS40)</f>
        <v/>
      </c>
      <c r="BW40" s="1932">
        <f>SUM(BU40,BS40,BP40,BM40,BJ40,BE40)</f>
        <v/>
      </c>
      <c r="BX40" s="1933">
        <f>SUM(BS40,BP40,BM40,BJ40)</f>
        <v/>
      </c>
      <c r="BY40" s="1051">
        <f>BX40/BW40</f>
        <v/>
      </c>
      <c r="CO40" s="2193" t="n">
        <v>31000</v>
      </c>
      <c r="CP40" s="2193" t="n"/>
      <c r="CQ40" s="2193" t="n"/>
      <c r="CR40" s="2193">
        <f>CO40</f>
        <v/>
      </c>
      <c r="CS40" s="2193" t="n"/>
      <c r="CT40" s="2193" t="n"/>
      <c r="CU40" s="2193">
        <f>CO40+CR40</f>
        <v/>
      </c>
      <c r="CV40" s="2193" t="n"/>
      <c r="CW40" s="2193" t="n"/>
      <c r="CX40" s="2193">
        <f>CU40</f>
        <v/>
      </c>
      <c r="CY40" s="1051">
        <f>IF(CO40&lt;=BQ$6,BP$6,IF(CO40&lt;=BQ$7,BP$7,IF(CO40&lt;=BQ$8,BP$8,IF(CO40&lt;=BQ$9,BP$9,IF(CO40&lt;=BQ$14,BP$14,IF(CO40&lt;=BQ$15,BP$15,IF(CO40&lt;=BQ$16,BP$16,0.05)))))))</f>
        <v/>
      </c>
      <c r="CZ40" s="2193">
        <f>CY40*CO40</f>
        <v/>
      </c>
      <c r="DA40" s="1051" t="n"/>
      <c r="DB40" s="1051">
        <f>IF(CR40&lt;=BT$6,BS$6,IF(CR40&lt;=BT$7,BS$7,IF(CR40&lt;=BT$8,BS$8,IF(CR40&lt;=BT$9,BS$9,IF(CR40&lt;=BT$14,BS$14,IF(CR40&lt;=BT$15,BS$15,IF(CR40&lt;=BT$16,BS$16,0.05)))))))</f>
        <v/>
      </c>
      <c r="DC40" s="2193">
        <f>DB40*CR40</f>
        <v/>
      </c>
      <c r="DD40" s="1051" t="n"/>
      <c r="DE40" s="1051">
        <f>IF(CU40&lt;=BW$6,BV$6,IF(CU40&lt;=BW$7,BV$7,IF(CU40&lt;=BW$8,BV$8,IF(CU40&lt;=BW$9,BV$9,IF(CU40&lt;=BW$14,BV$14,IF(CU40&lt;=BW$15,BV$15,IF(CU40&lt;=BW$16,BV$16,0.05)))))))</f>
        <v/>
      </c>
      <c r="DF40" s="2193">
        <f>DE40*SUM(DC40,CZ40,CU40)</f>
        <v/>
      </c>
      <c r="DG40" s="1051" t="n"/>
      <c r="DH40" s="2194">
        <f>IF(CX40&lt;=BZ$6,BY$6,IF(CX40&lt;=BZ$7,BY$7,IF(CX40&lt;=BZ$8,BY$8,IF(CX40&lt;=BZ$9,BY$9,IF(CX40&lt;=BZ$14,BY$14,IF(CX40&lt;=BZ$15,BY$15,IF(CX40&lt;=BZ$16,BY$16,0.05)))))))</f>
        <v/>
      </c>
      <c r="DI40" s="2193">
        <f>DH40*CX40</f>
        <v/>
      </c>
      <c r="DK40" s="1932">
        <f>0.07*SUM(CU40,CZ40,DC40,DF40,DI40)</f>
        <v/>
      </c>
      <c r="DM40" s="1932">
        <f>SUM(DK40,DI40,DF40,DC40,CZ40,CU40)</f>
        <v/>
      </c>
      <c r="DN40" s="1933">
        <f>SUM(DI40,DF40,DC40,CZ40)</f>
        <v/>
      </c>
      <c r="DO40" s="1051">
        <f>DN40/DM40</f>
        <v/>
      </c>
    </row>
    <row r="41" customFormat="1" s="585">
      <c r="A41" s="708" t="inlineStr">
        <is>
          <t>Material Total</t>
        </is>
      </c>
      <c r="B41" s="709" t="n"/>
      <c r="C41" s="1991" t="n"/>
      <c r="D41" s="1991" t="n"/>
      <c r="E41" s="1991">
        <f>SUM(E38:E40)</f>
        <v/>
      </c>
      <c r="F41" s="711">
        <f>E41/B43</f>
        <v/>
      </c>
      <c r="G41" s="712" t="inlineStr">
        <is>
          <t>Material $/SF</t>
        </is>
      </c>
      <c r="H41" s="1944" t="n"/>
      <c r="I41" s="1992">
        <f>E41</f>
        <v/>
      </c>
      <c r="J41" s="1051" t="n"/>
      <c r="K41" s="600" t="n"/>
      <c r="L41" s="600" t="n"/>
      <c r="N41" s="1840" t="n"/>
      <c r="O41" s="1840" t="inlineStr">
        <is>
          <t>GrassWorx $: 10/2026</t>
        </is>
      </c>
      <c r="P41" s="1010" t="inlineStr">
        <is>
          <t xml:space="preserve">Price </t>
        </is>
      </c>
      <c r="Q41" s="1010" t="inlineStr">
        <is>
          <t xml:space="preserve">Sqft per Roll </t>
        </is>
      </c>
      <c r="R41" s="1010" t="inlineStr">
        <is>
          <t xml:space="preserve">$ per Sqft </t>
        </is>
      </c>
      <c r="S41" s="1841" t="inlineStr">
        <is>
          <t>GrassWorx $: Oct 2026 (per email May 1, '26 from Tom Torello &lt;tom.torello@grassworxllc.com&gt; )</t>
        </is>
      </c>
      <c r="T41" s="1841" t="n"/>
      <c r="AY41" s="2193" t="n">
        <v>32000</v>
      </c>
      <c r="AZ41" s="2193" t="n"/>
      <c r="BA41" s="2193" t="n"/>
      <c r="BB41" s="2193">
        <f>AY41</f>
        <v/>
      </c>
      <c r="BC41" s="2193" t="n"/>
      <c r="BD41" s="2193" t="n"/>
      <c r="BE41" s="2193">
        <f>AY41+BB41</f>
        <v/>
      </c>
      <c r="BF41" s="2193" t="n"/>
      <c r="BG41" s="2193" t="n"/>
      <c r="BH41" s="2193">
        <f>BE41</f>
        <v/>
      </c>
      <c r="BI41" s="1051">
        <f>IF(AY41&lt;=#REF!,#REF!,IF(AY41&lt;=#REF!,#REF!,IF(AY41&lt;=#REF!,#REF!,IF(AY41&lt;=#REF!,#REF!,IF(AY41&lt;=#REF!,#REF!,IF(AY41&lt;=#REF!,#REF!,IF(AY41&lt;=#REF!,#REF!,0.05)))))))</f>
        <v/>
      </c>
      <c r="BJ41" s="2193">
        <f>BI41*AY41</f>
        <v/>
      </c>
      <c r="BK41" s="1051" t="n"/>
      <c r="BL41" s="1051">
        <f>IF(BB41&lt;=#REF!,#REF!,IF(BB41&lt;=#REF!,#REF!,IF(BB41&lt;=#REF!,#REF!,IF(BB41&lt;=#REF!,#REF!,IF(BB41&lt;=#REF!,#REF!,IF(BB41&lt;=#REF!,#REF!,IF(BB41&lt;=#REF!,#REF!,0.05)))))))</f>
        <v/>
      </c>
      <c r="BM41" s="2193">
        <f>BL41*BB41</f>
        <v/>
      </c>
      <c r="BN41" s="1051" t="n"/>
      <c r="BO41" s="1051">
        <f>IF(BE41&lt;=#REF!,#REF!,IF(BE41&lt;=#REF!,#REF!,IF(BE41&lt;=#REF!,#REF!,IF(BE41&lt;=#REF!,#REF!,IF(BE41&lt;=#REF!,#REF!,IF(BE41&lt;=#REF!,#REF!,IF(BE41&lt;=#REF!,#REF!,0.05)))))))</f>
        <v/>
      </c>
      <c r="BP41" s="2193">
        <f>BO41*SUM(BM41,BJ41,BE41)</f>
        <v/>
      </c>
      <c r="BQ41" s="1051" t="n"/>
      <c r="BR41" s="2194">
        <f>IF(BH41&lt;=#REF!,#REF!,IF(BH41&lt;=#REF!,#REF!,IF(BH41&lt;=#REF!,#REF!,IF(BH41&lt;=#REF!,#REF!,IF(BH41&lt;=#REF!,#REF!,IF(BH41&lt;=#REF!,#REF!,IF(BH41&lt;=#REF!,#REF!,0.05)))))))</f>
        <v/>
      </c>
      <c r="BS41" s="2193">
        <f>BR41*BH41</f>
        <v/>
      </c>
      <c r="BU41" s="1932">
        <f>0.07*SUM(BE41,BJ41,BM41,BP41,BS41)</f>
        <v/>
      </c>
      <c r="BW41" s="1932">
        <f>SUM(BU41,BS41,BP41,BM41,BJ41,BE41)</f>
        <v/>
      </c>
      <c r="BX41" s="1933">
        <f>SUM(BS41,BP41,BM41,BJ41)</f>
        <v/>
      </c>
      <c r="BY41" s="1051">
        <f>BX41/BW41</f>
        <v/>
      </c>
      <c r="CO41" s="2193" t="n">
        <v>32000</v>
      </c>
      <c r="CP41" s="2193" t="n"/>
      <c r="CQ41" s="2193" t="n"/>
      <c r="CR41" s="2193">
        <f>CO41</f>
        <v/>
      </c>
      <c r="CS41" s="2193" t="n"/>
      <c r="CT41" s="2193" t="n"/>
      <c r="CU41" s="2193">
        <f>CO41+CR41</f>
        <v/>
      </c>
      <c r="CV41" s="2193" t="n"/>
      <c r="CW41" s="2193" t="n"/>
      <c r="CX41" s="2193">
        <f>CU41</f>
        <v/>
      </c>
      <c r="CY41" s="1051">
        <f>IF(CO41&lt;=BQ$6,BP$6,IF(CO41&lt;=BQ$7,BP$7,IF(CO41&lt;=BQ$8,BP$8,IF(CO41&lt;=BQ$9,BP$9,IF(CO41&lt;=BQ$14,BP$14,IF(CO41&lt;=BQ$15,BP$15,IF(CO41&lt;=BQ$16,BP$16,0.05)))))))</f>
        <v/>
      </c>
      <c r="CZ41" s="2193">
        <f>CY41*CO41</f>
        <v/>
      </c>
      <c r="DA41" s="1051" t="n"/>
      <c r="DB41" s="1051">
        <f>IF(CR41&lt;=BT$6,BS$6,IF(CR41&lt;=BT$7,BS$7,IF(CR41&lt;=BT$8,BS$8,IF(CR41&lt;=BT$9,BS$9,IF(CR41&lt;=BT$14,BS$14,IF(CR41&lt;=BT$15,BS$15,IF(CR41&lt;=BT$16,BS$16,0.05)))))))</f>
        <v/>
      </c>
      <c r="DC41" s="2193">
        <f>DB41*CR41</f>
        <v/>
      </c>
      <c r="DD41" s="1051" t="n"/>
      <c r="DE41" s="1051">
        <f>IF(CU41&lt;=BW$6,BV$6,IF(CU41&lt;=BW$7,BV$7,IF(CU41&lt;=BW$8,BV$8,IF(CU41&lt;=BW$9,BV$9,IF(CU41&lt;=BW$14,BV$14,IF(CU41&lt;=BW$15,BV$15,IF(CU41&lt;=BW$16,BV$16,0.05)))))))</f>
        <v/>
      </c>
      <c r="DF41" s="2193">
        <f>DE41*SUM(DC41,CZ41,CU41)</f>
        <v/>
      </c>
      <c r="DG41" s="1051" t="n"/>
      <c r="DH41" s="2194">
        <f>IF(CX41&lt;=BZ$6,BY$6,IF(CX41&lt;=BZ$7,BY$7,IF(CX41&lt;=BZ$8,BY$8,IF(CX41&lt;=BZ$9,BY$9,IF(CX41&lt;=BZ$14,BY$14,IF(CX41&lt;=BZ$15,BY$15,IF(CX41&lt;=BZ$16,BY$16,0.05)))))))</f>
        <v/>
      </c>
      <c r="DI41" s="2193">
        <f>DH41*CX41</f>
        <v/>
      </c>
      <c r="DK41" s="1932">
        <f>0.07*SUM(CU41,CZ41,DC41,DF41,DI41)</f>
        <v/>
      </c>
      <c r="DM41" s="1932">
        <f>SUM(DK41,DI41,DF41,DC41,CZ41,CU41)</f>
        <v/>
      </c>
      <c r="DN41" s="1933">
        <f>SUM(DI41,DF41,DC41,CZ41)</f>
        <v/>
      </c>
      <c r="DO41" s="1051">
        <f>DN41/DM41</f>
        <v/>
      </c>
    </row>
    <row r="42" customFormat="1" s="585">
      <c r="A42" s="834" t="n"/>
      <c r="B42" s="1877" t="n"/>
      <c r="C42" s="1944" t="n"/>
      <c r="D42" s="1944" t="n"/>
      <c r="E42" s="1944" t="n"/>
      <c r="F42" s="600" t="n"/>
      <c r="H42" s="1024" t="n"/>
      <c r="I42" s="600" t="n"/>
      <c r="J42" s="600" t="n"/>
      <c r="N42" s="1947" t="inlineStr">
        <is>
          <t>1/8"</t>
        </is>
      </c>
      <c r="O42" s="1012" t="inlineStr">
        <is>
          <t>SC 190   (1/8")</t>
        </is>
      </c>
      <c r="P42" s="2231">
        <f>Q42*R42</f>
        <v/>
      </c>
      <c r="Q42" s="1014" t="n">
        <v>300</v>
      </c>
      <c r="R42" s="2244">
        <f>0.35+0.04</f>
        <v/>
      </c>
      <c r="S42" s="633" t="n"/>
      <c r="T42" s="2135" t="n"/>
      <c r="U42" s="2135" t="n"/>
      <c r="AY42" s="2193" t="n">
        <v>33000</v>
      </c>
      <c r="AZ42" s="2193" t="n"/>
      <c r="BA42" s="2193" t="n"/>
      <c r="BB42" s="2193">
        <f>AY42</f>
        <v/>
      </c>
      <c r="BC42" s="2193" t="n"/>
      <c r="BD42" s="2193" t="n"/>
      <c r="BE42" s="2193">
        <f>AY42+BB42</f>
        <v/>
      </c>
      <c r="BF42" s="2193" t="n"/>
      <c r="BG42" s="2193" t="n"/>
      <c r="BH42" s="2193">
        <f>BE42</f>
        <v/>
      </c>
      <c r="BI42" s="1051">
        <f>IF(AY42&lt;=#REF!,#REF!,IF(AY42&lt;=#REF!,#REF!,IF(AY42&lt;=#REF!,#REF!,IF(AY42&lt;=#REF!,#REF!,IF(AY42&lt;=#REF!,#REF!,IF(AY42&lt;=#REF!,#REF!,IF(AY42&lt;=#REF!,#REF!,0.05)))))))</f>
        <v/>
      </c>
      <c r="BJ42" s="2193">
        <f>BI42*AY42</f>
        <v/>
      </c>
      <c r="BK42" s="1051" t="n"/>
      <c r="BL42" s="1051">
        <f>IF(BB42&lt;=#REF!,#REF!,IF(BB42&lt;=#REF!,#REF!,IF(BB42&lt;=#REF!,#REF!,IF(BB42&lt;=#REF!,#REF!,IF(BB42&lt;=#REF!,#REF!,IF(BB42&lt;=#REF!,#REF!,IF(BB42&lt;=#REF!,#REF!,0.05)))))))</f>
        <v/>
      </c>
      <c r="BM42" s="2193">
        <f>BL42*BB42</f>
        <v/>
      </c>
      <c r="BN42" s="1051" t="n"/>
      <c r="BO42" s="1051">
        <f>IF(BE42&lt;=#REF!,#REF!,IF(BE42&lt;=#REF!,#REF!,IF(BE42&lt;=#REF!,#REF!,IF(BE42&lt;=#REF!,#REF!,IF(BE42&lt;=#REF!,#REF!,IF(BE42&lt;=#REF!,#REF!,IF(BE42&lt;=#REF!,#REF!,0.05)))))))</f>
        <v/>
      </c>
      <c r="BP42" s="2193">
        <f>BO42*SUM(BM42,BJ42,BE42)</f>
        <v/>
      </c>
      <c r="BQ42" s="1051" t="n"/>
      <c r="BR42" s="2194">
        <f>IF(BH42&lt;=#REF!,#REF!,IF(BH42&lt;=#REF!,#REF!,IF(BH42&lt;=#REF!,#REF!,IF(BH42&lt;=#REF!,#REF!,IF(BH42&lt;=#REF!,#REF!,IF(BH42&lt;=#REF!,#REF!,IF(BH42&lt;=#REF!,#REF!,0.05)))))))</f>
        <v/>
      </c>
      <c r="BS42" s="2193">
        <f>BR42*BH42</f>
        <v/>
      </c>
      <c r="BU42" s="1932">
        <f>0.07*SUM(BE42,BJ42,BM42,BP42,BS42)</f>
        <v/>
      </c>
      <c r="BW42" s="1932">
        <f>SUM(BU42,BS42,BP42,BM42,BJ42,BE42)</f>
        <v/>
      </c>
      <c r="BX42" s="1933">
        <f>SUM(BS42,BP42,BM42,BJ42)</f>
        <v/>
      </c>
      <c r="BY42" s="1051">
        <f>BX42/BW42</f>
        <v/>
      </c>
      <c r="CO42" s="2193" t="n">
        <v>33000</v>
      </c>
      <c r="CP42" s="2193" t="n"/>
      <c r="CQ42" s="2193" t="n"/>
      <c r="CR42" s="2193">
        <f>CO42</f>
        <v/>
      </c>
      <c r="CS42" s="2193" t="n"/>
      <c r="CT42" s="2193" t="n"/>
      <c r="CU42" s="2193">
        <f>CO42+CR42</f>
        <v/>
      </c>
      <c r="CV42" s="2193" t="n"/>
      <c r="CW42" s="2193" t="n"/>
      <c r="CX42" s="2193">
        <f>CU42</f>
        <v/>
      </c>
      <c r="CY42" s="1051">
        <f>IF(CO42&lt;=BQ$6,BP$6,IF(CO42&lt;=BQ$7,BP$7,IF(CO42&lt;=BQ$8,BP$8,IF(CO42&lt;=BQ$9,BP$9,IF(CO42&lt;=BQ$14,BP$14,IF(CO42&lt;=BQ$15,BP$15,IF(CO42&lt;=BQ$16,BP$16,0.05)))))))</f>
        <v/>
      </c>
      <c r="CZ42" s="2193">
        <f>CY42*CO42</f>
        <v/>
      </c>
      <c r="DA42" s="1051" t="n"/>
      <c r="DB42" s="1051">
        <f>IF(CR42&lt;=BT$6,BS$6,IF(CR42&lt;=BT$7,BS$7,IF(CR42&lt;=BT$8,BS$8,IF(CR42&lt;=BT$9,BS$9,IF(CR42&lt;=BT$14,BS$14,IF(CR42&lt;=BT$15,BS$15,IF(CR42&lt;=BT$16,BS$16,0.05)))))))</f>
        <v/>
      </c>
      <c r="DC42" s="2193">
        <f>DB42*CR42</f>
        <v/>
      </c>
      <c r="DD42" s="1051" t="n"/>
      <c r="DE42" s="1051">
        <f>IF(CU42&lt;=BW$6,BV$6,IF(CU42&lt;=BW$7,BV$7,IF(CU42&lt;=BW$8,BV$8,IF(CU42&lt;=BW$9,BV$9,IF(CU42&lt;=BW$14,BV$14,IF(CU42&lt;=BW$15,BV$15,IF(CU42&lt;=BW$16,BV$16,0.05)))))))</f>
        <v/>
      </c>
      <c r="DF42" s="2193">
        <f>DE42*SUM(DC42,CZ42,CU42)</f>
        <v/>
      </c>
      <c r="DG42" s="1051" t="n"/>
      <c r="DH42" s="2194">
        <f>IF(CX42&lt;=BZ$6,BY$6,IF(CX42&lt;=BZ$7,BY$7,IF(CX42&lt;=BZ$8,BY$8,IF(CX42&lt;=BZ$9,BY$9,IF(CX42&lt;=BZ$14,BY$14,IF(CX42&lt;=BZ$15,BY$15,IF(CX42&lt;=BZ$16,BY$16,0.05)))))))</f>
        <v/>
      </c>
      <c r="DI42" s="2193">
        <f>DH42*CX42</f>
        <v/>
      </c>
      <c r="DK42" s="1932">
        <f>0.07*SUM(CU42,CZ42,DC42,DF42,DI42)</f>
        <v/>
      </c>
      <c r="DM42" s="1932">
        <f>SUM(DK42,DI42,DF42,DC42,CZ42,CU42)</f>
        <v/>
      </c>
      <c r="DN42" s="1933">
        <f>SUM(DI42,DF42,DC42,CZ42)</f>
        <v/>
      </c>
      <c r="DO42" s="1051">
        <f>DN42/DM42</f>
        <v/>
      </c>
    </row>
    <row r="43" customFormat="1" s="585">
      <c r="A43" s="719" t="inlineStr">
        <is>
          <t>Square Footage:</t>
        </is>
      </c>
      <c r="B43" s="2245">
        <f>F22</f>
        <v/>
      </c>
      <c r="C43" s="719" t="inlineStr">
        <is>
          <t>Linear Footage:</t>
        </is>
      </c>
      <c r="D43" s="1026" t="n"/>
      <c r="E43" s="1541">
        <f>(IF(D7="Yes","PW","-"))</f>
        <v/>
      </c>
      <c r="F43" s="722" t="inlineStr">
        <is>
          <t>10 hour days</t>
        </is>
      </c>
      <c r="G43" s="2246" t="inlineStr">
        <is>
          <t>Labor Production Rates (Hard Enter)</t>
        </is>
      </c>
      <c r="H43" s="606" t="n"/>
      <c r="I43" s="1027" t="n"/>
      <c r="J43" s="823" t="n"/>
      <c r="K43" s="700" t="n"/>
      <c r="L43" s="700" t="n"/>
      <c r="N43" s="1947" t="inlineStr">
        <is>
          <t>1/4"</t>
        </is>
      </c>
      <c r="O43" s="1016" t="inlineStr">
        <is>
          <t>SC 250   (1/4")</t>
        </is>
      </c>
      <c r="P43" s="2233">
        <f>Q43*R43</f>
        <v/>
      </c>
      <c r="Q43" s="1018" t="n">
        <v>250</v>
      </c>
      <c r="R43" s="2247">
        <f>0.38+0.04</f>
        <v/>
      </c>
      <c r="S43" s="633" t="n"/>
      <c r="T43" s="2135" t="n"/>
      <c r="U43" s="2135" t="n"/>
      <c r="AY43" s="2193" t="n">
        <v>34000</v>
      </c>
      <c r="AZ43" s="2193" t="n"/>
      <c r="BA43" s="2193" t="n"/>
      <c r="BB43" s="2193">
        <f>AY43</f>
        <v/>
      </c>
      <c r="BC43" s="2193" t="n"/>
      <c r="BD43" s="2193" t="n"/>
      <c r="BE43" s="2193">
        <f>AY43+BB43</f>
        <v/>
      </c>
      <c r="BF43" s="2193" t="n"/>
      <c r="BG43" s="2193" t="n"/>
      <c r="BH43" s="2193">
        <f>BE43</f>
        <v/>
      </c>
      <c r="BI43" s="1051">
        <f>IF(AY43&lt;=#REF!,#REF!,IF(AY43&lt;=#REF!,#REF!,IF(AY43&lt;=#REF!,#REF!,IF(AY43&lt;=#REF!,#REF!,IF(AY43&lt;=#REF!,#REF!,IF(AY43&lt;=#REF!,#REF!,IF(AY43&lt;=#REF!,#REF!,0.05)))))))</f>
        <v/>
      </c>
      <c r="BJ43" s="2193">
        <f>BI43*AY43</f>
        <v/>
      </c>
      <c r="BK43" s="1051" t="n"/>
      <c r="BL43" s="1051">
        <f>IF(BB43&lt;=#REF!,#REF!,IF(BB43&lt;=#REF!,#REF!,IF(BB43&lt;=#REF!,#REF!,IF(BB43&lt;=#REF!,#REF!,IF(BB43&lt;=#REF!,#REF!,IF(BB43&lt;=#REF!,#REF!,IF(BB43&lt;=#REF!,#REF!,0.05)))))))</f>
        <v/>
      </c>
      <c r="BM43" s="2193">
        <f>BL43*BB43</f>
        <v/>
      </c>
      <c r="BN43" s="1051" t="n"/>
      <c r="BO43" s="1051">
        <f>IF(BE43&lt;=#REF!,#REF!,IF(BE43&lt;=#REF!,#REF!,IF(BE43&lt;=#REF!,#REF!,IF(BE43&lt;=#REF!,#REF!,IF(BE43&lt;=#REF!,#REF!,IF(BE43&lt;=#REF!,#REF!,IF(BE43&lt;=#REF!,#REF!,0.05)))))))</f>
        <v/>
      </c>
      <c r="BP43" s="2193">
        <f>BO43*SUM(BM43,BJ43,BE43)</f>
        <v/>
      </c>
      <c r="BQ43" s="1051" t="n"/>
      <c r="BR43" s="2194">
        <f>IF(BH43&lt;=#REF!,#REF!,IF(BH43&lt;=#REF!,#REF!,IF(BH43&lt;=#REF!,#REF!,IF(BH43&lt;=#REF!,#REF!,IF(BH43&lt;=#REF!,#REF!,IF(BH43&lt;=#REF!,#REF!,IF(BH43&lt;=#REF!,#REF!,0.05)))))))</f>
        <v/>
      </c>
      <c r="BS43" s="2193">
        <f>BR43*BH43</f>
        <v/>
      </c>
      <c r="BU43" s="1932">
        <f>0.07*SUM(BE43,BJ43,BM43,BP43,BS43)</f>
        <v/>
      </c>
      <c r="BW43" s="1932">
        <f>SUM(BU43,BS43,BP43,BM43,BJ43,BE43)</f>
        <v/>
      </c>
      <c r="BX43" s="1933">
        <f>SUM(BS43,BP43,BM43,BJ43)</f>
        <v/>
      </c>
      <c r="BY43" s="1051">
        <f>BX43/BW43</f>
        <v/>
      </c>
      <c r="CO43" s="2193" t="n">
        <v>34000</v>
      </c>
      <c r="CP43" s="2193" t="n"/>
      <c r="CQ43" s="2193" t="n"/>
      <c r="CR43" s="2193">
        <f>CO43</f>
        <v/>
      </c>
      <c r="CS43" s="2193" t="n"/>
      <c r="CT43" s="2193" t="n"/>
      <c r="CU43" s="2193">
        <f>CO43+CR43</f>
        <v/>
      </c>
      <c r="CV43" s="2193" t="n"/>
      <c r="CW43" s="2193" t="n"/>
      <c r="CX43" s="2193">
        <f>CU43</f>
        <v/>
      </c>
      <c r="CY43" s="1051">
        <f>IF(CO43&lt;=BQ$6,BP$6,IF(CO43&lt;=BQ$7,BP$7,IF(CO43&lt;=BQ$8,BP$8,IF(CO43&lt;=BQ$9,BP$9,IF(CO43&lt;=BQ$14,BP$14,IF(CO43&lt;=BQ$15,BP$15,IF(CO43&lt;=BQ$16,BP$16,0.05)))))))</f>
        <v/>
      </c>
      <c r="CZ43" s="2193">
        <f>CY43*CO43</f>
        <v/>
      </c>
      <c r="DA43" s="1051" t="n"/>
      <c r="DB43" s="1051">
        <f>IF(CR43&lt;=BT$6,BS$6,IF(CR43&lt;=BT$7,BS$7,IF(CR43&lt;=BT$8,BS$8,IF(CR43&lt;=BT$9,BS$9,IF(CR43&lt;=BT$14,BS$14,IF(CR43&lt;=BT$15,BS$15,IF(CR43&lt;=BT$16,BS$16,0.05)))))))</f>
        <v/>
      </c>
      <c r="DC43" s="2193">
        <f>DB43*CR43</f>
        <v/>
      </c>
      <c r="DD43" s="1051" t="n"/>
      <c r="DE43" s="1051">
        <f>IF(CU43&lt;=BW$6,BV$6,IF(CU43&lt;=BW$7,BV$7,IF(CU43&lt;=BW$8,BV$8,IF(CU43&lt;=BW$9,BV$9,IF(CU43&lt;=BW$14,BV$14,IF(CU43&lt;=BW$15,BV$15,IF(CU43&lt;=BW$16,BV$16,0.05)))))))</f>
        <v/>
      </c>
      <c r="DF43" s="2193">
        <f>DE43*SUM(DC43,CZ43,CU43)</f>
        <v/>
      </c>
      <c r="DG43" s="1051" t="n"/>
      <c r="DH43" s="2194">
        <f>IF(CX43&lt;=BZ$6,BY$6,IF(CX43&lt;=BZ$7,BY$7,IF(CX43&lt;=BZ$8,BY$8,IF(CX43&lt;=BZ$9,BY$9,IF(CX43&lt;=BZ$14,BY$14,IF(CX43&lt;=BZ$15,BY$15,IF(CX43&lt;=BZ$16,BY$16,0.05)))))))</f>
        <v/>
      </c>
      <c r="DI43" s="2193">
        <f>DH43*CX43</f>
        <v/>
      </c>
      <c r="DK43" s="1932">
        <f>0.07*SUM(CU43,CZ43,DC43,DF43,DI43)</f>
        <v/>
      </c>
      <c r="DM43" s="1932">
        <f>SUM(DK43,DI43,DF43,DC43,CZ43,CU43)</f>
        <v/>
      </c>
      <c r="DN43" s="1933">
        <f>SUM(DI43,DF43,DC43,CZ43)</f>
        <v/>
      </c>
      <c r="DO43" s="1051">
        <f>DN43/DM43</f>
        <v/>
      </c>
    </row>
    <row r="44" customFormat="1" s="585">
      <c r="A44" s="730" t="inlineStr">
        <is>
          <t>Labor:              Guys</t>
        </is>
      </c>
      <c r="B44" s="731" t="inlineStr">
        <is>
          <t>Hours</t>
        </is>
      </c>
      <c r="C44" s="731" t="inlineStr">
        <is>
          <t>Rate (PW?)</t>
        </is>
      </c>
      <c r="D44" s="731" t="n"/>
      <c r="E44" s="1028" t="inlineStr">
        <is>
          <t>Totals</t>
        </is>
      </c>
      <c r="F44" s="1029" t="inlineStr">
        <is>
          <t xml:space="preserve">Labor </t>
        </is>
      </c>
      <c r="G44" s="2248" t="n"/>
      <c r="H44" s="2014" t="n"/>
      <c r="I44" s="1947" t="n"/>
      <c r="J44" s="633" t="n"/>
      <c r="N44" s="1947" t="inlineStr">
        <is>
          <t>3/8"</t>
        </is>
      </c>
      <c r="O44" s="1020" t="inlineStr">
        <is>
          <t>SC 50 HP    (3/8")</t>
        </is>
      </c>
      <c r="P44" s="2239">
        <f>Q44*R44</f>
        <v/>
      </c>
      <c r="Q44" s="1021" t="n">
        <v>120</v>
      </c>
      <c r="R44" s="2249">
        <f>0.55+0.06</f>
        <v/>
      </c>
      <c r="S44" s="633" t="n"/>
      <c r="T44" s="2135" t="n"/>
      <c r="U44" s="2135" t="n"/>
      <c r="AY44" s="2193" t="n">
        <v>35000</v>
      </c>
      <c r="AZ44" s="2193" t="n"/>
      <c r="BA44" s="2193" t="n"/>
      <c r="BB44" s="2193">
        <f>AY44</f>
        <v/>
      </c>
      <c r="BC44" s="2193" t="n"/>
      <c r="BD44" s="2193" t="n"/>
      <c r="BE44" s="2193">
        <f>AY44+BB44</f>
        <v/>
      </c>
      <c r="BF44" s="2193" t="n"/>
      <c r="BG44" s="2193" t="n"/>
      <c r="BH44" s="2193">
        <f>BE44</f>
        <v/>
      </c>
      <c r="BI44" s="1051">
        <f>IF(AY44&lt;=#REF!,#REF!,IF(AY44&lt;=#REF!,#REF!,IF(AY44&lt;=#REF!,#REF!,IF(AY44&lt;=#REF!,#REF!,IF(AY44&lt;=#REF!,#REF!,IF(AY44&lt;=#REF!,#REF!,IF(AY44&lt;=#REF!,#REF!,0.05)))))))</f>
        <v/>
      </c>
      <c r="BJ44" s="2193">
        <f>BI44*AY44</f>
        <v/>
      </c>
      <c r="BK44" s="1051" t="n"/>
      <c r="BL44" s="1051">
        <f>IF(BB44&lt;=#REF!,#REF!,IF(BB44&lt;=#REF!,#REF!,IF(BB44&lt;=#REF!,#REF!,IF(BB44&lt;=#REF!,#REF!,IF(BB44&lt;=#REF!,#REF!,IF(BB44&lt;=#REF!,#REF!,IF(BB44&lt;=#REF!,#REF!,0.05)))))))</f>
        <v/>
      </c>
      <c r="BM44" s="2193">
        <f>BL44*BB44</f>
        <v/>
      </c>
      <c r="BN44" s="1051" t="n"/>
      <c r="BO44" s="1051">
        <f>IF(BE44&lt;=#REF!,#REF!,IF(BE44&lt;=#REF!,#REF!,IF(BE44&lt;=#REF!,#REF!,IF(BE44&lt;=#REF!,#REF!,IF(BE44&lt;=#REF!,#REF!,IF(BE44&lt;=#REF!,#REF!,IF(BE44&lt;=#REF!,#REF!,0.05)))))))</f>
        <v/>
      </c>
      <c r="BP44" s="2193">
        <f>BO44*SUM(BM44,BJ44,BE44)</f>
        <v/>
      </c>
      <c r="BQ44" s="1051" t="n"/>
      <c r="BR44" s="2194">
        <f>IF(BH44&lt;=#REF!,#REF!,IF(BH44&lt;=#REF!,#REF!,IF(BH44&lt;=#REF!,#REF!,IF(BH44&lt;=#REF!,#REF!,IF(BH44&lt;=#REF!,#REF!,IF(BH44&lt;=#REF!,#REF!,IF(BH44&lt;=#REF!,#REF!,0.05)))))))</f>
        <v/>
      </c>
      <c r="BS44" s="2193">
        <f>BR44*BH44</f>
        <v/>
      </c>
      <c r="BU44" s="1932">
        <f>0.07*SUM(BE44,BJ44,BM44,BP44,BS44)</f>
        <v/>
      </c>
      <c r="BW44" s="1932">
        <f>SUM(BU44,BS44,BP44,BM44,BJ44,BE44)</f>
        <v/>
      </c>
      <c r="BX44" s="1933">
        <f>SUM(BS44,BP44,BM44,BJ44)</f>
        <v/>
      </c>
      <c r="BY44" s="1051">
        <f>BX44/BW44</f>
        <v/>
      </c>
      <c r="CO44" s="2193" t="n">
        <v>35000</v>
      </c>
      <c r="CP44" s="2193" t="n"/>
      <c r="CQ44" s="2193" t="n"/>
      <c r="CR44" s="2193">
        <f>CO44</f>
        <v/>
      </c>
      <c r="CS44" s="2193" t="n"/>
      <c r="CT44" s="2193" t="n"/>
      <c r="CU44" s="2193">
        <f>CO44+CR44</f>
        <v/>
      </c>
      <c r="CV44" s="2193" t="n"/>
      <c r="CW44" s="2193" t="n"/>
      <c r="CX44" s="2193">
        <f>CU44</f>
        <v/>
      </c>
      <c r="CY44" s="1051">
        <f>IF(CO44&lt;=BQ$6,BP$6,IF(CO44&lt;=BQ$7,BP$7,IF(CO44&lt;=BQ$8,BP$8,IF(CO44&lt;=BQ$9,BP$9,IF(CO44&lt;=BQ$14,BP$14,IF(CO44&lt;=BQ$15,BP$15,IF(CO44&lt;=BQ$16,BP$16,0.05)))))))</f>
        <v/>
      </c>
      <c r="CZ44" s="2193">
        <f>CY44*CO44</f>
        <v/>
      </c>
      <c r="DA44" s="1051" t="n"/>
      <c r="DB44" s="1051">
        <f>IF(CR44&lt;=BT$6,BS$6,IF(CR44&lt;=BT$7,BS$7,IF(CR44&lt;=BT$8,BS$8,IF(CR44&lt;=BT$9,BS$9,IF(CR44&lt;=BT$14,BS$14,IF(CR44&lt;=BT$15,BS$15,IF(CR44&lt;=BT$16,BS$16,0.05)))))))</f>
        <v/>
      </c>
      <c r="DC44" s="2193">
        <f>DB44*CR44</f>
        <v/>
      </c>
      <c r="DD44" s="1051" t="n"/>
      <c r="DE44" s="1051">
        <f>IF(CU44&lt;=BW$6,BV$6,IF(CU44&lt;=BW$7,BV$7,IF(CU44&lt;=BW$8,BV$8,IF(CU44&lt;=BW$9,BV$9,IF(CU44&lt;=BW$14,BV$14,IF(CU44&lt;=BW$15,BV$15,IF(CU44&lt;=BW$16,BV$16,0.05)))))))</f>
        <v/>
      </c>
      <c r="DF44" s="2193">
        <f>DE44*SUM(DC44,CZ44,CU44)</f>
        <v/>
      </c>
      <c r="DG44" s="1051" t="n"/>
      <c r="DH44" s="2194">
        <f>IF(CX44&lt;=BZ$6,BY$6,IF(CX44&lt;=BZ$7,BY$7,IF(CX44&lt;=BZ$8,BY$8,IF(CX44&lt;=BZ$9,BY$9,IF(CX44&lt;=BZ$14,BY$14,IF(CX44&lt;=BZ$15,BY$15,IF(CX44&lt;=BZ$16,BY$16,0.05)))))))</f>
        <v/>
      </c>
      <c r="DI44" s="2193">
        <f>DH44*CX44</f>
        <v/>
      </c>
      <c r="DK44" s="1932">
        <f>0.07*SUM(CU44,CZ44,DC44,DF44,DI44)</f>
        <v/>
      </c>
      <c r="DM44" s="1932">
        <f>SUM(DK44,DI44,DF44,DC44,CZ44,CU44)</f>
        <v/>
      </c>
      <c r="DN44" s="1933">
        <f>SUM(DI44,DF44,DC44,CZ44)</f>
        <v/>
      </c>
      <c r="DO44" s="1051">
        <f>DN44/DM44</f>
        <v/>
      </c>
    </row>
    <row r="45" customFormat="1" s="585">
      <c r="A45" s="1442" t="n">
        <v>8</v>
      </c>
      <c r="B45" s="2498" t="n"/>
      <c r="C45" s="2001" t="n">
        <v>33.66</v>
      </c>
      <c r="D45" s="2250" t="n"/>
      <c r="E45" s="763">
        <f>A45*B45*C45</f>
        <v/>
      </c>
      <c r="F45" s="2251" t="inlineStr">
        <is>
          <t>Pre-Pours Hours</t>
        </is>
      </c>
      <c r="G45" s="1033" t="n">
        <v>8</v>
      </c>
      <c r="H45" s="1034" t="n"/>
      <c r="I45" s="2252" t="n"/>
      <c r="J45" s="2253" t="n"/>
      <c r="K45" s="780" t="n"/>
      <c r="L45" s="780" t="n"/>
      <c r="N45" s="1947" t="n"/>
      <c r="O45" s="600" t="n"/>
      <c r="P45" s="600" t="n"/>
      <c r="AY45" s="2193" t="n">
        <v>36000</v>
      </c>
      <c r="AZ45" s="2193" t="n"/>
      <c r="BA45" s="2193" t="n"/>
      <c r="BB45" s="2193">
        <f>AY45</f>
        <v/>
      </c>
      <c r="BC45" s="2193" t="n"/>
      <c r="BD45" s="2193" t="n"/>
      <c r="BE45" s="2193">
        <f>AY45+BB45</f>
        <v/>
      </c>
      <c r="BF45" s="2193" t="n"/>
      <c r="BG45" s="2193" t="n"/>
      <c r="BH45" s="2193">
        <f>BE45</f>
        <v/>
      </c>
      <c r="BI45" s="1051">
        <f>IF(AY45&lt;=#REF!,#REF!,IF(AY45&lt;=#REF!,#REF!,IF(AY45&lt;=#REF!,#REF!,IF(AY45&lt;=#REF!,#REF!,IF(AY45&lt;=#REF!,#REF!,IF(AY45&lt;=#REF!,#REF!,IF(AY45&lt;=#REF!,#REF!,0.05)))))))</f>
        <v/>
      </c>
      <c r="BJ45" s="2193">
        <f>BI45*AY45</f>
        <v/>
      </c>
      <c r="BK45" s="1051" t="n"/>
      <c r="BL45" s="1051">
        <f>IF(BB45&lt;=#REF!,#REF!,IF(BB45&lt;=#REF!,#REF!,IF(BB45&lt;=#REF!,#REF!,IF(BB45&lt;=#REF!,#REF!,IF(BB45&lt;=#REF!,#REF!,IF(BB45&lt;=#REF!,#REF!,IF(BB45&lt;=#REF!,#REF!,0.05)))))))</f>
        <v/>
      </c>
      <c r="BM45" s="2193">
        <f>BL45*BB45</f>
        <v/>
      </c>
      <c r="BN45" s="1051" t="n"/>
      <c r="BO45" s="1051">
        <f>IF(BE45&lt;=#REF!,#REF!,IF(BE45&lt;=#REF!,#REF!,IF(BE45&lt;=#REF!,#REF!,IF(BE45&lt;=#REF!,#REF!,IF(BE45&lt;=#REF!,#REF!,IF(BE45&lt;=#REF!,#REF!,IF(BE45&lt;=#REF!,#REF!,0.05)))))))</f>
        <v/>
      </c>
      <c r="BP45" s="2193">
        <f>BO45*SUM(BM45,BJ45,BE45)</f>
        <v/>
      </c>
      <c r="BQ45" s="1051" t="n"/>
      <c r="BR45" s="2194">
        <f>IF(BH45&lt;=#REF!,#REF!,IF(BH45&lt;=#REF!,#REF!,IF(BH45&lt;=#REF!,#REF!,IF(BH45&lt;=#REF!,#REF!,IF(BH45&lt;=#REF!,#REF!,IF(BH45&lt;=#REF!,#REF!,IF(BH45&lt;=#REF!,#REF!,0.05)))))))</f>
        <v/>
      </c>
      <c r="BS45" s="2193">
        <f>BR45*BH45</f>
        <v/>
      </c>
      <c r="BU45" s="1932">
        <f>0.07*SUM(BE45,BJ45,BM45,BP45,BS45)</f>
        <v/>
      </c>
      <c r="BW45" s="1932">
        <f>SUM(BU45,BS45,BP45,BM45,BJ45,BE45)</f>
        <v/>
      </c>
      <c r="BX45" s="1933">
        <f>SUM(BS45,BP45,BM45,BJ45)</f>
        <v/>
      </c>
      <c r="BY45" s="1051">
        <f>BX45/BW45</f>
        <v/>
      </c>
      <c r="CO45" s="2193" t="n">
        <v>36000</v>
      </c>
      <c r="CP45" s="2193" t="n"/>
      <c r="CQ45" s="2193" t="n"/>
      <c r="CR45" s="2193">
        <f>CO45</f>
        <v/>
      </c>
      <c r="CS45" s="2193" t="n"/>
      <c r="CT45" s="2193" t="n"/>
      <c r="CU45" s="2193">
        <f>CO45+CR45</f>
        <v/>
      </c>
      <c r="CV45" s="2193" t="n"/>
      <c r="CW45" s="2193" t="n"/>
      <c r="CX45" s="2193">
        <f>CU45</f>
        <v/>
      </c>
      <c r="CY45" s="1051">
        <f>IF(CO45&lt;=BQ$6,BP$6,IF(CO45&lt;=BQ$7,BP$7,IF(CO45&lt;=BQ$8,BP$8,IF(CO45&lt;=BQ$9,BP$9,IF(CO45&lt;=BQ$14,BP$14,IF(CO45&lt;=BQ$15,BP$15,IF(CO45&lt;=BQ$16,BP$16,0.05)))))))</f>
        <v/>
      </c>
      <c r="CZ45" s="2193">
        <f>CY45*CO45</f>
        <v/>
      </c>
      <c r="DA45" s="1051" t="n"/>
      <c r="DB45" s="1051">
        <f>IF(CR45&lt;=BT$6,BS$6,IF(CR45&lt;=BT$7,BS$7,IF(CR45&lt;=BT$8,BS$8,IF(CR45&lt;=BT$9,BS$9,IF(CR45&lt;=BT$14,BS$14,IF(CR45&lt;=BT$15,BS$15,IF(CR45&lt;=BT$16,BS$16,0.05)))))))</f>
        <v/>
      </c>
      <c r="DC45" s="2193">
        <f>DB45*CR45</f>
        <v/>
      </c>
      <c r="DD45" s="1051" t="n"/>
      <c r="DE45" s="1051">
        <f>IF(CU45&lt;=BW$6,BV$6,IF(CU45&lt;=BW$7,BV$7,IF(CU45&lt;=BW$8,BV$8,IF(CU45&lt;=BW$9,BV$9,IF(CU45&lt;=BW$14,BV$14,IF(CU45&lt;=BW$15,BV$15,IF(CU45&lt;=BW$16,BV$16,0.05)))))))</f>
        <v/>
      </c>
      <c r="DF45" s="2193">
        <f>DE45*SUM(DC45,CZ45,CU45)</f>
        <v/>
      </c>
      <c r="DG45" s="1051" t="n"/>
      <c r="DH45" s="2194">
        <f>IF(CX45&lt;=BZ$6,BY$6,IF(CX45&lt;=BZ$7,BY$7,IF(CX45&lt;=BZ$8,BY$8,IF(CX45&lt;=BZ$9,BY$9,IF(CX45&lt;=BZ$14,BY$14,IF(CX45&lt;=BZ$15,BY$15,IF(CX45&lt;=BZ$16,BY$16,0.05)))))))</f>
        <v/>
      </c>
      <c r="DI45" s="2193">
        <f>DH45*CX45</f>
        <v/>
      </c>
      <c r="DK45" s="1932">
        <f>0.07*SUM(CU45,CZ45,DC45,DF45,DI45)</f>
        <v/>
      </c>
      <c r="DM45" s="1932">
        <f>SUM(DK45,DI45,DF45,DC45,CZ45,CU45)</f>
        <v/>
      </c>
      <c r="DN45" s="1933">
        <f>SUM(DI45,DF45,DC45,CZ45)</f>
        <v/>
      </c>
      <c r="DO45" s="1051">
        <f>DN45/DM45</f>
        <v/>
      </c>
    </row>
    <row r="46" customFormat="1" s="585">
      <c r="A46" s="1442" t="n">
        <v>8</v>
      </c>
      <c r="B46" s="2499">
        <f>T28*G46</f>
        <v/>
      </c>
      <c r="C46" s="2003">
        <f>C45</f>
        <v/>
      </c>
      <c r="D46" s="2250" t="n"/>
      <c r="E46" s="763">
        <f>A46*B46*C46</f>
        <v/>
      </c>
      <c r="F46" s="2251" t="inlineStr">
        <is>
          <t xml:space="preserve">Prep/Prime/Seal Hours (hrs per mob) </t>
        </is>
      </c>
      <c r="G46" s="1033" t="n">
        <v>4</v>
      </c>
      <c r="H46" s="1034" t="n"/>
      <c r="I46" s="2252" t="n"/>
      <c r="J46" s="1344">
        <f>P31</f>
        <v/>
      </c>
      <c r="K46" s="1342" t="inlineStr">
        <is>
          <t>% Soft Surf</t>
        </is>
      </c>
      <c r="N46" s="600" t="n"/>
      <c r="O46" s="1140" t="inlineStr">
        <is>
          <t>mat $ difference</t>
        </is>
      </c>
      <c r="P46" s="2254">
        <f>P37-P42</f>
        <v/>
      </c>
      <c r="R46" s="2254">
        <f>R37-R42</f>
        <v/>
      </c>
      <c r="AY46" s="2193" t="n">
        <v>36000</v>
      </c>
      <c r="AZ46" s="2193" t="n"/>
      <c r="BA46" s="2193" t="n"/>
      <c r="BB46" s="2193">
        <f>AY46</f>
        <v/>
      </c>
      <c r="BC46" s="2193" t="n"/>
      <c r="BD46" s="2193" t="n"/>
      <c r="BE46" s="2193">
        <f>AY46+BB46</f>
        <v/>
      </c>
      <c r="BF46" s="2193" t="n"/>
      <c r="BG46" s="2193" t="n"/>
      <c r="BH46" s="2193">
        <f>BE46</f>
        <v/>
      </c>
      <c r="BI46" s="1051">
        <f>IF(AY46&lt;=#REF!,#REF!,IF(AY46&lt;=#REF!,#REF!,IF(AY46&lt;=#REF!,#REF!,IF(AY46&lt;=#REF!,#REF!,IF(AY46&lt;=#REF!,#REF!,IF(AY46&lt;=#REF!,#REF!,IF(AY46&lt;=#REF!,#REF!,0.05)))))))</f>
        <v/>
      </c>
      <c r="BJ46" s="2193">
        <f>BI46*AY46</f>
        <v/>
      </c>
      <c r="BK46" s="1051" t="n"/>
      <c r="BL46" s="1051">
        <f>IF(BB46&lt;=#REF!,#REF!,IF(BB46&lt;=#REF!,#REF!,IF(BB46&lt;=#REF!,#REF!,IF(BB46&lt;=#REF!,#REF!,IF(BB46&lt;=#REF!,#REF!,IF(BB46&lt;=#REF!,#REF!,IF(BB46&lt;=#REF!,#REF!,0.05)))))))</f>
        <v/>
      </c>
      <c r="BM46" s="2193">
        <f>BL46*BB46</f>
        <v/>
      </c>
      <c r="BN46" s="1051" t="n"/>
      <c r="BO46" s="1051">
        <f>IF(BE46&lt;=#REF!,#REF!,IF(BE46&lt;=#REF!,#REF!,IF(BE46&lt;=#REF!,#REF!,IF(BE46&lt;=#REF!,#REF!,IF(BE46&lt;=#REF!,#REF!,IF(BE46&lt;=#REF!,#REF!,IF(BE46&lt;=#REF!,#REF!,0.05)))))))</f>
        <v/>
      </c>
      <c r="BP46" s="2193">
        <f>BO46*SUM(BM46,BJ46,BE46)</f>
        <v/>
      </c>
      <c r="BQ46" s="1051" t="n"/>
      <c r="BR46" s="2194">
        <f>IF(BH46&lt;=#REF!,#REF!,IF(BH46&lt;=#REF!,#REF!,IF(BH46&lt;=#REF!,#REF!,IF(BH46&lt;=#REF!,#REF!,IF(BH46&lt;=#REF!,#REF!,IF(BH46&lt;=#REF!,#REF!,IF(BH46&lt;=#REF!,#REF!,0.05)))))))</f>
        <v/>
      </c>
      <c r="BS46" s="2193">
        <f>BR46*BH46</f>
        <v/>
      </c>
      <c r="BU46" s="1932">
        <f>0.07*SUM(BE46,BJ46,BM46,BP46,BS46)</f>
        <v/>
      </c>
      <c r="BW46" s="1932">
        <f>SUM(BU46,BS46,BP46,BM46,BJ46,BE46)</f>
        <v/>
      </c>
      <c r="BX46" s="1933">
        <f>SUM(BS46,BP46,BM46,BJ46)</f>
        <v/>
      </c>
      <c r="BY46" s="1051">
        <f>BX46/BW46</f>
        <v/>
      </c>
      <c r="CO46" s="2193" t="n">
        <v>36000</v>
      </c>
      <c r="CP46" s="2193" t="n"/>
      <c r="CQ46" s="2193" t="n"/>
      <c r="CR46" s="2193">
        <f>CO46</f>
        <v/>
      </c>
      <c r="CS46" s="2193" t="n"/>
      <c r="CT46" s="2193" t="n"/>
      <c r="CU46" s="2193">
        <f>CO46+CR46</f>
        <v/>
      </c>
      <c r="CV46" s="2193" t="n"/>
      <c r="CW46" s="2193" t="n"/>
      <c r="CX46" s="2193">
        <f>CU46</f>
        <v/>
      </c>
      <c r="CY46" s="1051">
        <f>IF(CO46&lt;=BQ$6,BP$6,IF(CO46&lt;=BQ$7,BP$7,IF(CO46&lt;=BQ$8,BP$8,IF(CO46&lt;=BQ$9,BP$9,IF(CO46&lt;=BQ$14,BP$14,IF(CO46&lt;=BQ$15,BP$15,IF(CO46&lt;=BQ$16,BP$16,0.05)))))))</f>
        <v/>
      </c>
      <c r="CZ46" s="2193">
        <f>CY46*CO46</f>
        <v/>
      </c>
      <c r="DA46" s="1051" t="n"/>
      <c r="DB46" s="1051">
        <f>IF(CR46&lt;=BT$6,BS$6,IF(CR46&lt;=BT$7,BS$7,IF(CR46&lt;=BT$8,BS$8,IF(CR46&lt;=BT$9,BS$9,IF(CR46&lt;=BT$14,BS$14,IF(CR46&lt;=BT$15,BS$15,IF(CR46&lt;=BT$16,BS$16,0.05)))))))</f>
        <v/>
      </c>
      <c r="DC46" s="2193">
        <f>DB46*CR46</f>
        <v/>
      </c>
      <c r="DD46" s="1051" t="n"/>
      <c r="DE46" s="1051">
        <f>IF(CU46&lt;=BW$6,BV$6,IF(CU46&lt;=BW$7,BV$7,IF(CU46&lt;=BW$8,BV$8,IF(CU46&lt;=BW$9,BV$9,IF(CU46&lt;=BW$14,BV$14,IF(CU46&lt;=BW$15,BV$15,IF(CU46&lt;=BW$16,BV$16,0.05)))))))</f>
        <v/>
      </c>
      <c r="DF46" s="2193">
        <f>DE46*SUM(DC46,CZ46,CU46)</f>
        <v/>
      </c>
      <c r="DG46" s="1051" t="n"/>
      <c r="DH46" s="2194">
        <f>IF(CX46&lt;=BZ$6,BY$6,IF(CX46&lt;=BZ$7,BY$7,IF(CX46&lt;=BZ$8,BY$8,IF(CX46&lt;=BZ$9,BY$9,IF(CX46&lt;=BZ$14,BY$14,IF(CX46&lt;=BZ$15,BY$15,IF(CX46&lt;=BZ$16,BY$16,0.05)))))))</f>
        <v/>
      </c>
      <c r="DI46" s="2193">
        <f>DH46*CX46</f>
        <v/>
      </c>
      <c r="DK46" s="1932">
        <f>0.07*SUM(CU46,CZ46,DC46,DF46,DI46)</f>
        <v/>
      </c>
      <c r="DM46" s="1932">
        <f>SUM(DK46,DI46,DF46,DC46,CZ46,CU46)</f>
        <v/>
      </c>
      <c r="DN46" s="1933">
        <f>SUM(DI46,DF46,DC46,CZ46)</f>
        <v/>
      </c>
      <c r="DO46" s="1051">
        <f>DN46/DM46</f>
        <v/>
      </c>
    </row>
    <row r="47" customFormat="1" s="585">
      <c r="A47" s="1602" t="n">
        <v>7</v>
      </c>
      <c r="B47" s="2499">
        <f>F24/G47</f>
        <v/>
      </c>
      <c r="C47" s="2003">
        <f>C45</f>
        <v/>
      </c>
      <c r="D47" s="2250" t="n"/>
      <c r="E47" s="763">
        <f>A47*B47*C47</f>
        <v/>
      </c>
      <c r="F47" s="2251" t="inlineStr">
        <is>
          <t>Mat Time Hours (total HSA mat area/rate)</t>
        </is>
      </c>
      <c r="G47" s="1355">
        <f>85*A47</f>
        <v/>
      </c>
      <c r="H47" s="1889" t="inlineStr">
        <is>
          <t>INCLUDES HARD SURFACE AREAS ONLY</t>
        </is>
      </c>
      <c r="I47" s="585" t="n"/>
      <c r="J47" s="1345">
        <f>Q31</f>
        <v/>
      </c>
      <c r="K47" s="1341" t="inlineStr">
        <is>
          <t>% Hard Surf / Mat</t>
        </is>
      </c>
      <c r="M47" s="600" t="n"/>
      <c r="N47" s="600" t="n"/>
      <c r="O47" s="763" t="n"/>
      <c r="P47" s="2254">
        <f>P38-P43</f>
        <v/>
      </c>
      <c r="R47" s="2254">
        <f>R38-R43</f>
        <v/>
      </c>
      <c r="AY47" s="2193" t="n"/>
      <c r="AZ47" s="2193" t="n"/>
      <c r="BA47" s="2193" t="n"/>
      <c r="BB47" s="2193" t="n"/>
      <c r="BC47" s="2193" t="n"/>
      <c r="BD47" s="2193" t="n"/>
      <c r="BE47" s="2193" t="n"/>
      <c r="BF47" s="2193" t="n"/>
      <c r="BG47" s="2193" t="n"/>
      <c r="BH47" s="2193" t="n"/>
      <c r="BI47" s="1051" t="n"/>
      <c r="BJ47" s="2193" t="n"/>
      <c r="BK47" s="1051" t="n"/>
      <c r="BL47" s="1051" t="n"/>
      <c r="BM47" s="2193" t="n"/>
      <c r="BN47" s="1051" t="n"/>
      <c r="BO47" s="1051" t="n"/>
      <c r="BP47" s="2193" t="n"/>
      <c r="BQ47" s="1051" t="n"/>
      <c r="BR47" s="2194" t="n"/>
      <c r="BS47" s="2193" t="n"/>
      <c r="BU47" s="1932" t="n"/>
      <c r="BW47" s="1932" t="n"/>
      <c r="BX47" s="1933" t="n"/>
      <c r="BY47" s="1051" t="n"/>
      <c r="CO47" s="2193" t="n"/>
      <c r="CP47" s="2193" t="n"/>
      <c r="CQ47" s="2193" t="n"/>
      <c r="CR47" s="2193" t="n"/>
      <c r="CS47" s="2193" t="n"/>
      <c r="CT47" s="2193" t="n"/>
      <c r="CU47" s="2193" t="n"/>
      <c r="CV47" s="2193" t="n"/>
      <c r="CW47" s="2193" t="n"/>
      <c r="CX47" s="2193" t="n"/>
      <c r="CY47" s="1051" t="n"/>
      <c r="CZ47" s="2193" t="n"/>
      <c r="DA47" s="1051" t="n"/>
      <c r="DB47" s="1051" t="n"/>
      <c r="DC47" s="2193" t="n"/>
      <c r="DD47" s="1051" t="n"/>
      <c r="DE47" s="1051" t="n"/>
      <c r="DF47" s="2193" t="n"/>
      <c r="DG47" s="1051" t="n"/>
      <c r="DH47" s="2194" t="n"/>
      <c r="DI47" s="2193" t="n"/>
      <c r="DK47" s="1932" t="n"/>
      <c r="DM47" s="1932" t="n"/>
      <c r="DN47" s="1933" t="n"/>
      <c r="DO47" s="1051" t="n"/>
    </row>
    <row r="48" customFormat="1" s="585">
      <c r="A48" s="739">
        <f>A46</f>
        <v/>
      </c>
      <c r="B48" s="2499">
        <f>H33/G48</f>
        <v/>
      </c>
      <c r="C48" s="2003">
        <f>C45</f>
        <v/>
      </c>
      <c r="D48" s="2250" t="n"/>
      <c r="E48" s="763">
        <f>A48*B48*C48</f>
        <v/>
      </c>
      <c r="F48" s="2251" t="inlineStr">
        <is>
          <t xml:space="preserve">Pour Hours (total bags/pump rate) </t>
        </is>
      </c>
      <c r="G48" s="1033" t="n">
        <v>75</v>
      </c>
      <c r="H48" s="1034" t="n"/>
      <c r="I48" s="2252" t="n"/>
      <c r="J48" s="1346">
        <f>R31</f>
        <v/>
      </c>
      <c r="K48" s="1343" t="inlineStr">
        <is>
          <t>% Corridors</t>
        </is>
      </c>
      <c r="O48" s="763" t="n"/>
      <c r="P48" s="2254">
        <f>P39-P44</f>
        <v/>
      </c>
      <c r="R48" s="2254">
        <f>R39-R44</f>
        <v/>
      </c>
      <c r="AY48" s="2193" t="n">
        <v>37000</v>
      </c>
      <c r="AZ48" s="2193" t="n"/>
      <c r="BA48" s="2193" t="n"/>
      <c r="BB48" s="2193">
        <f>AY48</f>
        <v/>
      </c>
      <c r="BC48" s="2193" t="n"/>
      <c r="BD48" s="2193" t="n"/>
      <c r="BE48" s="2193">
        <f>AY48+BB48</f>
        <v/>
      </c>
      <c r="BF48" s="2193" t="n"/>
      <c r="BG48" s="2193" t="n"/>
      <c r="BH48" s="2193">
        <f>BE48</f>
        <v/>
      </c>
      <c r="BI48" s="1051">
        <f>IF(AY48&lt;=#REF!,#REF!,IF(AY48&lt;=#REF!,#REF!,IF(AY48&lt;=#REF!,#REF!,IF(AY48&lt;=#REF!,#REF!,IF(AY48&lt;=#REF!,#REF!,IF(AY48&lt;=#REF!,#REF!,IF(AY48&lt;=#REF!,#REF!,0.05)))))))</f>
        <v/>
      </c>
      <c r="BJ48" s="2193">
        <f>BI48*AY48</f>
        <v/>
      </c>
      <c r="BK48" s="1051" t="n"/>
      <c r="BL48" s="1051">
        <f>IF(BB48&lt;=#REF!,#REF!,IF(BB48&lt;=#REF!,#REF!,IF(BB48&lt;=#REF!,#REF!,IF(BB48&lt;=#REF!,#REF!,IF(BB48&lt;=#REF!,#REF!,IF(BB48&lt;=#REF!,#REF!,IF(BB48&lt;=#REF!,#REF!,0.05)))))))</f>
        <v/>
      </c>
      <c r="BM48" s="2193">
        <f>BL48*BB48</f>
        <v/>
      </c>
      <c r="BN48" s="1051" t="n"/>
      <c r="BO48" s="1051">
        <f>IF(BE48&lt;=#REF!,#REF!,IF(BE48&lt;=#REF!,#REF!,IF(BE48&lt;=#REF!,#REF!,IF(BE48&lt;=#REF!,#REF!,IF(BE48&lt;=#REF!,#REF!,IF(BE48&lt;=#REF!,#REF!,IF(BE48&lt;=#REF!,#REF!,0.05)))))))</f>
        <v/>
      </c>
      <c r="BP48" s="2193">
        <f>BO48*SUM(BM48,BJ48,BE48)</f>
        <v/>
      </c>
      <c r="BQ48" s="1051" t="n"/>
      <c r="BR48" s="2194">
        <f>IF(BH48&lt;=#REF!,#REF!,IF(BH48&lt;=#REF!,#REF!,IF(BH48&lt;=#REF!,#REF!,IF(BH48&lt;=#REF!,#REF!,IF(BH48&lt;=#REF!,#REF!,IF(BH48&lt;=#REF!,#REF!,IF(BH48&lt;=#REF!,#REF!,0.05)))))))</f>
        <v/>
      </c>
      <c r="BS48" s="2193">
        <f>BR48*BH48</f>
        <v/>
      </c>
      <c r="BU48" s="1932">
        <f>0.07*SUM(BE48,BJ48,BM48,BP48,BS48)</f>
        <v/>
      </c>
      <c r="BW48" s="1932">
        <f>SUM(BU48,BS48,BP48,BM48,BJ48,BE48)</f>
        <v/>
      </c>
      <c r="BX48" s="1933">
        <f>SUM(BS48,BP48,BM48,BJ48)</f>
        <v/>
      </c>
      <c r="BY48" s="1051">
        <f>BX48/BW48</f>
        <v/>
      </c>
      <c r="CO48" s="2193" t="n">
        <v>37000</v>
      </c>
      <c r="CP48" s="2193" t="n"/>
      <c r="CQ48" s="2193" t="n"/>
      <c r="CR48" s="2193">
        <f>CO48</f>
        <v/>
      </c>
      <c r="CS48" s="2193" t="n"/>
      <c r="CT48" s="2193" t="n"/>
      <c r="CU48" s="2193">
        <f>CO48+CR48</f>
        <v/>
      </c>
      <c r="CV48" s="2193" t="n"/>
      <c r="CW48" s="2193" t="n"/>
      <c r="CX48" s="2193">
        <f>CU48</f>
        <v/>
      </c>
      <c r="CY48" s="1051">
        <f>IF(CO48&lt;=BQ$6,BP$6,IF(CO48&lt;=BQ$7,BP$7,IF(CO48&lt;=BQ$8,BP$8,IF(CO48&lt;=BQ$9,BP$9,IF(CO48&lt;=BQ$14,BP$14,IF(CO48&lt;=BQ$15,BP$15,IF(CO48&lt;=BQ$16,BP$16,0.05)))))))</f>
        <v/>
      </c>
      <c r="CZ48" s="2193">
        <f>CY48*CO48</f>
        <v/>
      </c>
      <c r="DA48" s="1051" t="n"/>
      <c r="DB48" s="1051">
        <f>IF(CR48&lt;=BT$6,BS$6,IF(CR48&lt;=BT$7,BS$7,IF(CR48&lt;=BT$8,BS$8,IF(CR48&lt;=BT$9,BS$9,IF(CR48&lt;=BT$14,BS$14,IF(CR48&lt;=BT$15,BS$15,IF(CR48&lt;=BT$16,BS$16,0.05)))))))</f>
        <v/>
      </c>
      <c r="DC48" s="2193">
        <f>DB48*CR48</f>
        <v/>
      </c>
      <c r="DD48" s="1051" t="n"/>
      <c r="DE48" s="1051">
        <f>IF(CU48&lt;=BW$6,BV$6,IF(CU48&lt;=BW$7,BV$7,IF(CU48&lt;=BW$8,BV$8,IF(CU48&lt;=BW$9,BV$9,IF(CU48&lt;=BW$14,BV$14,IF(CU48&lt;=BW$15,BV$15,IF(CU48&lt;=BW$16,BV$16,0.05)))))))</f>
        <v/>
      </c>
      <c r="DF48" s="2193">
        <f>DE48*SUM(DC48,CZ48,CU48)</f>
        <v/>
      </c>
      <c r="DG48" s="1051" t="n"/>
      <c r="DH48" s="2194">
        <f>IF(CX48&lt;=BZ$6,BY$6,IF(CX48&lt;=BZ$7,BY$7,IF(CX48&lt;=BZ$8,BY$8,IF(CX48&lt;=BZ$9,BY$9,IF(CX48&lt;=BZ$14,BY$14,IF(CX48&lt;=BZ$15,BY$15,IF(CX48&lt;=BZ$16,BY$16,0.05)))))))</f>
        <v/>
      </c>
      <c r="DI48" s="2193">
        <f>DH48*CX48</f>
        <v/>
      </c>
      <c r="DK48" s="1932">
        <f>0.07*SUM(CU48,CZ48,DC48,DF48,DI48)</f>
        <v/>
      </c>
      <c r="DM48" s="1932">
        <f>SUM(DK48,DI48,DF48,DC48,CZ48,CU48)</f>
        <v/>
      </c>
      <c r="DN48" s="1933">
        <f>SUM(DI48,DF48,DC48,CZ48)</f>
        <v/>
      </c>
      <c r="DO48" s="1051">
        <f>DN48/DM48</f>
        <v/>
      </c>
    </row>
    <row r="49" customFormat="1" s="585">
      <c r="A49" s="739" t="n">
        <v>2</v>
      </c>
      <c r="B49" s="2499">
        <f>G49*H49</f>
        <v/>
      </c>
      <c r="C49" s="2003">
        <f>C45</f>
        <v/>
      </c>
      <c r="D49" s="2255" t="inlineStr">
        <is>
          <t>for mat ONLY</t>
        </is>
      </c>
      <c r="E49" s="763">
        <f>A49*B49*C49</f>
        <v/>
      </c>
      <c r="F49" s="2251" t="inlineStr">
        <is>
          <t>Semi Delivery Unload Hours (Mobz X hr)</t>
        </is>
      </c>
      <c r="G49" s="1611" t="n">
        <v>2</v>
      </c>
      <c r="H49" s="1608">
        <f>G55</f>
        <v/>
      </c>
      <c r="I49" s="1609" t="inlineStr">
        <is>
          <t># of Mobs      -or-</t>
        </is>
      </c>
      <c r="J49" s="1347" t="n"/>
      <c r="O49" s="763" t="n"/>
      <c r="AY49" s="2193" t="n">
        <v>37000</v>
      </c>
      <c r="AZ49" s="2193" t="n"/>
      <c r="BA49" s="2193" t="n"/>
      <c r="BB49" s="2193">
        <f>AY49</f>
        <v/>
      </c>
      <c r="BC49" s="2193" t="n"/>
      <c r="BD49" s="2193" t="n"/>
      <c r="BE49" s="2193">
        <f>AY49+BB49</f>
        <v/>
      </c>
      <c r="BF49" s="2193" t="n"/>
      <c r="BG49" s="2193" t="n"/>
      <c r="BH49" s="2193">
        <f>BE49</f>
        <v/>
      </c>
      <c r="BI49" s="1051">
        <f>IF(AY49&lt;=#REF!,#REF!,IF(AY49&lt;=#REF!,#REF!,IF(AY49&lt;=#REF!,#REF!,IF(AY49&lt;=#REF!,#REF!,IF(AY49&lt;=#REF!,#REF!,IF(AY49&lt;=#REF!,#REF!,IF(AY49&lt;=#REF!,#REF!,0.05)))))))</f>
        <v/>
      </c>
      <c r="BJ49" s="2193">
        <f>BI49*AY49</f>
        <v/>
      </c>
      <c r="BK49" s="1051" t="n"/>
      <c r="BL49" s="1051">
        <f>IF(BB49&lt;=#REF!,#REF!,IF(BB49&lt;=#REF!,#REF!,IF(BB49&lt;=#REF!,#REF!,IF(BB49&lt;=#REF!,#REF!,IF(BB49&lt;=#REF!,#REF!,IF(BB49&lt;=#REF!,#REF!,IF(BB49&lt;=#REF!,#REF!,0.05)))))))</f>
        <v/>
      </c>
      <c r="BM49" s="2193">
        <f>BL49*BB49</f>
        <v/>
      </c>
      <c r="BN49" s="1051" t="n"/>
      <c r="BO49" s="1051">
        <f>IF(BE49&lt;=#REF!,#REF!,IF(BE49&lt;=#REF!,#REF!,IF(BE49&lt;=#REF!,#REF!,IF(BE49&lt;=#REF!,#REF!,IF(BE49&lt;=#REF!,#REF!,IF(BE49&lt;=#REF!,#REF!,IF(BE49&lt;=#REF!,#REF!,0.05)))))))</f>
        <v/>
      </c>
      <c r="BP49" s="2193">
        <f>BO49*SUM(BM49,BJ49,BE49)</f>
        <v/>
      </c>
      <c r="BQ49" s="1051" t="n"/>
      <c r="BR49" s="2194">
        <f>IF(BH49&lt;=#REF!,#REF!,IF(BH49&lt;=#REF!,#REF!,IF(BH49&lt;=#REF!,#REF!,IF(BH49&lt;=#REF!,#REF!,IF(BH49&lt;=#REF!,#REF!,IF(BH49&lt;=#REF!,#REF!,IF(BH49&lt;=#REF!,#REF!,0.05)))))))</f>
        <v/>
      </c>
      <c r="BS49" s="2193">
        <f>BR49*BH49</f>
        <v/>
      </c>
      <c r="BU49" s="1932">
        <f>0.07*SUM(BE49,BJ49,BM49,BP49,BS49)</f>
        <v/>
      </c>
      <c r="BW49" s="1932">
        <f>SUM(BU49,BS49,BP49,BM49,BJ49,BE49)</f>
        <v/>
      </c>
      <c r="BX49" s="1933">
        <f>SUM(BS49,BP49,BM49,BJ49)</f>
        <v/>
      </c>
      <c r="BY49" s="1051">
        <f>BX49/BW49</f>
        <v/>
      </c>
      <c r="CO49" s="2193" t="n">
        <v>37000</v>
      </c>
      <c r="CP49" s="2193" t="n"/>
      <c r="CQ49" s="2193" t="n"/>
      <c r="CR49" s="2193">
        <f>CO49</f>
        <v/>
      </c>
      <c r="CS49" s="2193" t="n"/>
      <c r="CT49" s="2193" t="n"/>
      <c r="CU49" s="2193">
        <f>CO49+CR49</f>
        <v/>
      </c>
      <c r="CV49" s="2193" t="n"/>
      <c r="CW49" s="2193" t="n"/>
      <c r="CX49" s="2193">
        <f>CU49</f>
        <v/>
      </c>
      <c r="CY49" s="1051">
        <f>IF(CO49&lt;=BQ$6,BP$6,IF(CO49&lt;=BQ$7,BP$7,IF(CO49&lt;=BQ$8,BP$8,IF(CO49&lt;=BQ$9,BP$9,IF(CO49&lt;=BQ$14,BP$14,IF(CO49&lt;=BQ$15,BP$15,IF(CO49&lt;=BQ$16,BP$16,0.05)))))))</f>
        <v/>
      </c>
      <c r="CZ49" s="2193">
        <f>CY49*CO49</f>
        <v/>
      </c>
      <c r="DA49" s="1051" t="n"/>
      <c r="DB49" s="1051">
        <f>IF(CR49&lt;=BT$6,BS$6,IF(CR49&lt;=BT$7,BS$7,IF(CR49&lt;=BT$8,BS$8,IF(CR49&lt;=BT$9,BS$9,IF(CR49&lt;=BT$14,BS$14,IF(CR49&lt;=BT$15,BS$15,IF(CR49&lt;=BT$16,BS$16,0.05)))))))</f>
        <v/>
      </c>
      <c r="DC49" s="2193">
        <f>DB49*CR49</f>
        <v/>
      </c>
      <c r="DD49" s="1051" t="n"/>
      <c r="DE49" s="1051">
        <f>IF(CU49&lt;=BW$6,BV$6,IF(CU49&lt;=BW$7,BV$7,IF(CU49&lt;=BW$8,BV$8,IF(CU49&lt;=BW$9,BV$9,IF(CU49&lt;=BW$14,BV$14,IF(CU49&lt;=BW$15,BV$15,IF(CU49&lt;=BW$16,BV$16,0.05)))))))</f>
        <v/>
      </c>
      <c r="DF49" s="2193">
        <f>DE49*SUM(DC49,CZ49,CU49)</f>
        <v/>
      </c>
      <c r="DG49" s="1051" t="n"/>
      <c r="DH49" s="2194">
        <f>IF(CX49&lt;=BZ$6,BY$6,IF(CX49&lt;=BZ$7,BY$7,IF(CX49&lt;=BZ$8,BY$8,IF(CX49&lt;=BZ$9,BY$9,IF(CX49&lt;=BZ$14,BY$14,IF(CX49&lt;=BZ$15,BY$15,IF(CX49&lt;=BZ$16,BY$16,0.05)))))))</f>
        <v/>
      </c>
      <c r="DI49" s="2193">
        <f>DH49*CX49</f>
        <v/>
      </c>
      <c r="DK49" s="1932">
        <f>0.07*SUM(CU49,CZ49,DC49,DF49,DI49)</f>
        <v/>
      </c>
      <c r="DM49" s="1932">
        <f>SUM(DK49,DI49,DF49,DC49,CZ49,CU49)</f>
        <v/>
      </c>
      <c r="DN49" s="1933">
        <f>SUM(DI49,DF49,DC49,CZ49)</f>
        <v/>
      </c>
      <c r="DO49" s="1051">
        <f>DN49/DM49</f>
        <v/>
      </c>
    </row>
    <row r="50" customFormat="1" s="585">
      <c r="A50" s="750" t="inlineStr">
        <is>
          <t>Travel:             Guys</t>
        </is>
      </c>
      <c r="B50" s="751" t="inlineStr">
        <is>
          <t>Hours</t>
        </is>
      </c>
      <c r="C50" s="751" t="inlineStr">
        <is>
          <t>Rate</t>
        </is>
      </c>
      <c r="D50" s="751" t="n"/>
      <c r="E50" s="751" t="n"/>
      <c r="F50" s="1037" t="inlineStr">
        <is>
          <t>Travel</t>
        </is>
      </c>
      <c r="G50" s="1169" t="n"/>
      <c r="H50" s="1608">
        <f>ROUNDUP(IF(B36&gt;H36,B36/H36,1),0)</f>
        <v/>
      </c>
      <c r="I50" s="1609" t="inlineStr">
        <is>
          <t># of Mat Truck Loads</t>
        </is>
      </c>
      <c r="J50" s="1348">
        <f>J46+J48</f>
        <v/>
      </c>
      <c r="K50" s="1339" t="inlineStr">
        <is>
          <t>% Soft Surf + Corridors</t>
        </is>
      </c>
      <c r="L50" s="1339" t="n"/>
      <c r="M50" s="1944" t="n"/>
      <c r="N50" s="1944" t="n"/>
      <c r="V50" s="1172" t="inlineStr">
        <is>
          <t>1/8"</t>
        </is>
      </c>
      <c r="W50" s="1167" t="n">
        <v>8</v>
      </c>
      <c r="X50" s="1167" t="inlineStr">
        <is>
          <t>s</t>
        </is>
      </c>
      <c r="AY50" s="2193" t="n">
        <v>38000</v>
      </c>
      <c r="AZ50" s="2193" t="n"/>
      <c r="BA50" s="2193" t="n"/>
      <c r="BB50" s="2193">
        <f>AY50</f>
        <v/>
      </c>
      <c r="BC50" s="2193" t="n"/>
      <c r="BD50" s="2193" t="n"/>
      <c r="BE50" s="2193">
        <f>AY50+BB50</f>
        <v/>
      </c>
      <c r="BF50" s="2193" t="n"/>
      <c r="BG50" s="2193" t="n"/>
      <c r="BH50" s="2193">
        <f>BE50</f>
        <v/>
      </c>
      <c r="BI50" s="1051">
        <f>IF(AY50&lt;=#REF!,#REF!,IF(AY50&lt;=#REF!,#REF!,IF(AY50&lt;=#REF!,#REF!,IF(AY50&lt;=#REF!,#REF!,IF(AY50&lt;=#REF!,#REF!,IF(AY50&lt;=#REF!,#REF!,IF(AY50&lt;=#REF!,#REF!,0.05)))))))</f>
        <v/>
      </c>
      <c r="BJ50" s="2193">
        <f>BI50*AY50</f>
        <v/>
      </c>
      <c r="BK50" s="1051" t="n"/>
      <c r="BL50" s="1051">
        <f>IF(BB50&lt;=#REF!,#REF!,IF(BB50&lt;=#REF!,#REF!,IF(BB50&lt;=#REF!,#REF!,IF(BB50&lt;=#REF!,#REF!,IF(BB50&lt;=#REF!,#REF!,IF(BB50&lt;=#REF!,#REF!,IF(BB50&lt;=#REF!,#REF!,0.05)))))))</f>
        <v/>
      </c>
      <c r="BM50" s="2193">
        <f>BL50*BB50</f>
        <v/>
      </c>
      <c r="BN50" s="1051" t="n"/>
      <c r="BO50" s="1051">
        <f>IF(BE50&lt;=#REF!,#REF!,IF(BE50&lt;=#REF!,#REF!,IF(BE50&lt;=#REF!,#REF!,IF(BE50&lt;=#REF!,#REF!,IF(BE50&lt;=#REF!,#REF!,IF(BE50&lt;=#REF!,#REF!,IF(BE50&lt;=#REF!,#REF!,0.05)))))))</f>
        <v/>
      </c>
      <c r="BP50" s="2193">
        <f>BO50*SUM(BM50,BJ50,BE50)</f>
        <v/>
      </c>
      <c r="BQ50" s="1051" t="n"/>
      <c r="BR50" s="2194">
        <f>IF(BH50&lt;=#REF!,#REF!,IF(BH50&lt;=#REF!,#REF!,IF(BH50&lt;=#REF!,#REF!,IF(BH50&lt;=#REF!,#REF!,IF(BH50&lt;=#REF!,#REF!,IF(BH50&lt;=#REF!,#REF!,IF(BH50&lt;=#REF!,#REF!,0.05)))))))</f>
        <v/>
      </c>
      <c r="BS50" s="2193">
        <f>BR50*BH50</f>
        <v/>
      </c>
      <c r="BU50" s="1932">
        <f>0.07*SUM(BE50,BJ50,BM50,BP50,BS50)</f>
        <v/>
      </c>
      <c r="BW50" s="1932">
        <f>SUM(BU50,BS50,BP50,BM50,BJ50,BE50)</f>
        <v/>
      </c>
      <c r="BX50" s="1933">
        <f>SUM(BS50,BP50,BM50,BJ50)</f>
        <v/>
      </c>
      <c r="BY50" s="1051">
        <f>BX50/BW50</f>
        <v/>
      </c>
      <c r="CO50" s="2193" t="n">
        <v>38000</v>
      </c>
      <c r="CP50" s="2193" t="n"/>
      <c r="CQ50" s="2193" t="n"/>
      <c r="CR50" s="2193">
        <f>CO50</f>
        <v/>
      </c>
      <c r="CS50" s="2193" t="n"/>
      <c r="CT50" s="2193" t="n"/>
      <c r="CU50" s="2193">
        <f>CO50+CR50</f>
        <v/>
      </c>
      <c r="CV50" s="2193" t="n"/>
      <c r="CW50" s="2193" t="n"/>
      <c r="CX50" s="2193">
        <f>CU50</f>
        <v/>
      </c>
      <c r="CY50" s="1051">
        <f>IF(CO50&lt;=BQ$6,BP$6,IF(CO50&lt;=BQ$7,BP$7,IF(CO50&lt;=BQ$8,BP$8,IF(CO50&lt;=BQ$9,BP$9,IF(CO50&lt;=BQ$14,BP$14,IF(CO50&lt;=BQ$15,BP$15,IF(CO50&lt;=BQ$16,BP$16,0.05)))))))</f>
        <v/>
      </c>
      <c r="CZ50" s="2193">
        <f>CY50*CO50</f>
        <v/>
      </c>
      <c r="DA50" s="1051" t="n"/>
      <c r="DB50" s="1051">
        <f>IF(CR50&lt;=BT$6,BS$6,IF(CR50&lt;=BT$7,BS$7,IF(CR50&lt;=BT$8,BS$8,IF(CR50&lt;=BT$9,BS$9,IF(CR50&lt;=BT$14,BS$14,IF(CR50&lt;=BT$15,BS$15,IF(CR50&lt;=BT$16,BS$16,0.05)))))))</f>
        <v/>
      </c>
      <c r="DC50" s="2193">
        <f>DB50*CR50</f>
        <v/>
      </c>
      <c r="DD50" s="1051" t="n"/>
      <c r="DE50" s="1051">
        <f>IF(CU50&lt;=BW$6,BV$6,IF(CU50&lt;=BW$7,BV$7,IF(CU50&lt;=BW$8,BV$8,IF(CU50&lt;=BW$9,BV$9,IF(CU50&lt;=BW$14,BV$14,IF(CU50&lt;=BW$15,BV$15,IF(CU50&lt;=BW$16,BV$16,0.05)))))))</f>
        <v/>
      </c>
      <c r="DF50" s="2193">
        <f>DE50*SUM(DC50,CZ50,CU50)</f>
        <v/>
      </c>
      <c r="DG50" s="1051" t="n"/>
      <c r="DH50" s="2194">
        <f>IF(CX50&lt;=BZ$6,BY$6,IF(CX50&lt;=BZ$7,BY$7,IF(CX50&lt;=BZ$8,BY$8,IF(CX50&lt;=BZ$9,BY$9,IF(CX50&lt;=BZ$14,BY$14,IF(CX50&lt;=BZ$15,BY$15,IF(CX50&lt;=BZ$16,BY$16,0.05)))))))</f>
        <v/>
      </c>
      <c r="DI50" s="2193">
        <f>DH50*CX50</f>
        <v/>
      </c>
      <c r="DK50" s="1932">
        <f>0.07*SUM(CU50,CZ50,DC50,DF50,DI50)</f>
        <v/>
      </c>
      <c r="DM50" s="1932">
        <f>SUM(DK50,DI50,DF50,DC50,CZ50,CU50)</f>
        <v/>
      </c>
      <c r="DN50" s="1933">
        <f>SUM(DI50,DF50,DC50,CZ50)</f>
        <v/>
      </c>
      <c r="DO50" s="1051">
        <f>DN50/DM50</f>
        <v/>
      </c>
    </row>
    <row r="51" customFormat="1" s="585">
      <c r="A51" s="755">
        <f>A46</f>
        <v/>
      </c>
      <c r="B51" s="2500">
        <f>((B6*2)/60)*T28</f>
        <v/>
      </c>
      <c r="C51" s="2256" t="n">
        <v>33.66</v>
      </c>
      <c r="D51" s="2257" t="n"/>
      <c r="E51" s="1041">
        <f>A51*B51*C51</f>
        <v/>
      </c>
      <c r="F51" s="2036" t="inlineStr">
        <is>
          <t xml:space="preserve">Travel Hours ((miles/60) x # Mobz)  </t>
        </is>
      </c>
      <c r="G51" s="1170" t="n"/>
      <c r="H51" s="705" t="n"/>
      <c r="I51" s="2017" t="n"/>
      <c r="J51" s="774" t="n"/>
      <c r="O51" s="851" t="inlineStr">
        <is>
          <t>PSI</t>
        </is>
      </c>
      <c r="Q51" s="1046" t="inlineStr">
        <is>
          <t>Sand Mix</t>
        </is>
      </c>
      <c r="R51" s="776" t="inlineStr">
        <is>
          <t>Gyp Yield Soft</t>
        </is>
      </c>
      <c r="S51" s="1150" t="inlineStr">
        <is>
          <t>Gyp Yield Hard</t>
        </is>
      </c>
      <c r="T51" s="1151" t="inlineStr">
        <is>
          <t>Gyp Yield Corr</t>
        </is>
      </c>
      <c r="W51" s="1034">
        <f>X51/$W$50</f>
        <v/>
      </c>
      <c r="X51" s="594" t="n">
        <v>6</v>
      </c>
      <c r="AY51" s="2193" t="n">
        <v>39000</v>
      </c>
      <c r="AZ51" s="2193" t="n"/>
      <c r="BA51" s="2193" t="n"/>
      <c r="BB51" s="2193">
        <f>AY51</f>
        <v/>
      </c>
      <c r="BC51" s="2193" t="n"/>
      <c r="BD51" s="2193" t="n"/>
      <c r="BE51" s="2193">
        <f>AY51+BB51</f>
        <v/>
      </c>
      <c r="BF51" s="2193" t="n"/>
      <c r="BG51" s="2193" t="n"/>
      <c r="BH51" s="2193">
        <f>BE51</f>
        <v/>
      </c>
      <c r="BI51" s="1051">
        <f>IF(AY51&lt;=#REF!,#REF!,IF(AY51&lt;=#REF!,#REF!,IF(AY51&lt;=#REF!,#REF!,IF(AY51&lt;=#REF!,#REF!,IF(AY51&lt;=#REF!,#REF!,IF(AY51&lt;=#REF!,#REF!,IF(AY51&lt;=#REF!,#REF!,0.05)))))))</f>
        <v/>
      </c>
      <c r="BJ51" s="2193">
        <f>BI51*AY51</f>
        <v/>
      </c>
      <c r="BK51" s="1051" t="n"/>
      <c r="BL51" s="1051">
        <f>IF(BB51&lt;=#REF!,#REF!,IF(BB51&lt;=#REF!,#REF!,IF(BB51&lt;=#REF!,#REF!,IF(BB51&lt;=#REF!,#REF!,IF(BB51&lt;=#REF!,#REF!,IF(BB51&lt;=#REF!,#REF!,IF(BB51&lt;=#REF!,#REF!,0.05)))))))</f>
        <v/>
      </c>
      <c r="BM51" s="2193">
        <f>BL51*BB51</f>
        <v/>
      </c>
      <c r="BN51" s="1051" t="n"/>
      <c r="BO51" s="1051">
        <f>IF(BE51&lt;=#REF!,#REF!,IF(BE51&lt;=#REF!,#REF!,IF(BE51&lt;=#REF!,#REF!,IF(BE51&lt;=#REF!,#REF!,IF(BE51&lt;=#REF!,#REF!,IF(BE51&lt;=#REF!,#REF!,IF(BE51&lt;=#REF!,#REF!,0.05)))))))</f>
        <v/>
      </c>
      <c r="BP51" s="2193">
        <f>BO51*SUM(BM51,BJ51,BE51)</f>
        <v/>
      </c>
      <c r="BQ51" s="1051" t="n"/>
      <c r="BR51" s="2194">
        <f>IF(BH51&lt;=#REF!,#REF!,IF(BH51&lt;=#REF!,#REF!,IF(BH51&lt;=#REF!,#REF!,IF(BH51&lt;=#REF!,#REF!,IF(BH51&lt;=#REF!,#REF!,IF(BH51&lt;=#REF!,#REF!,IF(BH51&lt;=#REF!,#REF!,0.05)))))))</f>
        <v/>
      </c>
      <c r="BS51" s="2193">
        <f>BR51*BH51</f>
        <v/>
      </c>
      <c r="BU51" s="1932">
        <f>0.07*SUM(BE51,BJ51,BM51,BP51,BS51)</f>
        <v/>
      </c>
      <c r="BW51" s="1932">
        <f>SUM(BU51,BS51,BP51,BM51,BJ51,BE51)</f>
        <v/>
      </c>
      <c r="BX51" s="1933">
        <f>SUM(BS51,BP51,BM51,BJ51)</f>
        <v/>
      </c>
      <c r="BY51" s="1051">
        <f>BX51/BW51</f>
        <v/>
      </c>
      <c r="CO51" s="2193" t="n">
        <v>39000</v>
      </c>
      <c r="CP51" s="2193" t="n"/>
      <c r="CQ51" s="2193" t="n"/>
      <c r="CR51" s="2193">
        <f>CO51</f>
        <v/>
      </c>
      <c r="CS51" s="2193" t="n"/>
      <c r="CT51" s="2193" t="n"/>
      <c r="CU51" s="2193">
        <f>CO51+CR51</f>
        <v/>
      </c>
      <c r="CV51" s="2193" t="n"/>
      <c r="CW51" s="2193" t="n"/>
      <c r="CX51" s="2193">
        <f>CU51</f>
        <v/>
      </c>
      <c r="CY51" s="1051">
        <f>IF(CO51&lt;=BQ$6,BP$6,IF(CO51&lt;=BQ$7,BP$7,IF(CO51&lt;=BQ$8,BP$8,IF(CO51&lt;=BQ$9,BP$9,IF(CO51&lt;=BQ$14,BP$14,IF(CO51&lt;=BQ$15,BP$15,IF(CO51&lt;=BQ$16,BP$16,0.05)))))))</f>
        <v/>
      </c>
      <c r="CZ51" s="2193">
        <f>CY51*CO51</f>
        <v/>
      </c>
      <c r="DA51" s="1051" t="n"/>
      <c r="DB51" s="1051">
        <f>IF(CR51&lt;=BT$6,BS$6,IF(CR51&lt;=BT$7,BS$7,IF(CR51&lt;=BT$8,BS$8,IF(CR51&lt;=BT$9,BS$9,IF(CR51&lt;=BT$14,BS$14,IF(CR51&lt;=BT$15,BS$15,IF(CR51&lt;=BT$16,BS$16,0.05)))))))</f>
        <v/>
      </c>
      <c r="DC51" s="2193">
        <f>DB51*CR51</f>
        <v/>
      </c>
      <c r="DD51" s="1051" t="n"/>
      <c r="DE51" s="1051">
        <f>IF(CU51&lt;=BW$6,BV$6,IF(CU51&lt;=BW$7,BV$7,IF(CU51&lt;=BW$8,BV$8,IF(CU51&lt;=BW$9,BV$9,IF(CU51&lt;=BW$14,BV$14,IF(CU51&lt;=BW$15,BV$15,IF(CU51&lt;=BW$16,BV$16,0.05)))))))</f>
        <v/>
      </c>
      <c r="DF51" s="2193">
        <f>DE51*SUM(DC51,CZ51,CU51)</f>
        <v/>
      </c>
      <c r="DG51" s="1051" t="n"/>
      <c r="DH51" s="2194">
        <f>IF(CX51&lt;=BZ$6,BY$6,IF(CX51&lt;=BZ$7,BY$7,IF(CX51&lt;=BZ$8,BY$8,IF(CX51&lt;=BZ$9,BY$9,IF(CX51&lt;=BZ$14,BY$14,IF(CX51&lt;=BZ$15,BY$15,IF(CX51&lt;=BZ$16,BY$16,0.05)))))))</f>
        <v/>
      </c>
      <c r="DI51" s="2193">
        <f>DH51*CX51</f>
        <v/>
      </c>
      <c r="DK51" s="1932">
        <f>0.07*SUM(CU51,CZ51,DC51,DF51,DI51)</f>
        <v/>
      </c>
      <c r="DM51" s="1932">
        <f>SUM(DK51,DI51,DF51,DC51,CZ51,CU51)</f>
        <v/>
      </c>
      <c r="DN51" s="1933">
        <f>SUM(DI51,DF51,DC51,CZ51)</f>
        <v/>
      </c>
      <c r="DO51" s="1051">
        <f>DN51/DM51</f>
        <v/>
      </c>
    </row>
    <row r="52" ht="16.2" customFormat="1" customHeight="1" s="585" thickBot="1">
      <c r="A52" s="764" t="inlineStr">
        <is>
          <t xml:space="preserve">Install Labor </t>
        </is>
      </c>
      <c r="B52" s="765" t="n"/>
      <c r="C52" s="766" t="n"/>
      <c r="D52" s="765" t="n"/>
      <c r="E52" s="2258">
        <f>ROUNDUP(SUM(E45:E51),0)</f>
        <v/>
      </c>
      <c r="F52" s="766">
        <f>E52/B43</f>
        <v/>
      </c>
      <c r="G52" s="766" t="inlineStr">
        <is>
          <t>Labor $/SF</t>
        </is>
      </c>
      <c r="H52" s="2011" t="n"/>
      <c r="I52" s="600" t="n"/>
      <c r="J52" s="1046" t="n"/>
      <c r="O52" s="585" t="inlineStr">
        <is>
          <t>2500 psi = 1.8</t>
        </is>
      </c>
      <c r="P52" s="585" t="n">
        <v>1.8</v>
      </c>
      <c r="Q52" s="585" t="n">
        <v>180</v>
      </c>
      <c r="R52" s="1034">
        <f>G15/I23</f>
        <v/>
      </c>
      <c r="S52" s="1034">
        <f>(G15+12)/I24</f>
        <v/>
      </c>
      <c r="T52" s="1034">
        <f>G15/I25</f>
        <v/>
      </c>
      <c r="W52" s="1034">
        <f>X52/$W$50</f>
        <v/>
      </c>
      <c r="X52" s="594" t="n">
        <v>8</v>
      </c>
    </row>
    <row r="53" ht="16.2" customFormat="1" customHeight="1" s="585" thickBot="1">
      <c r="A53" s="1527" t="inlineStr">
        <is>
          <t>Labor Escalation</t>
        </is>
      </c>
      <c r="B53" s="1533" t="inlineStr">
        <is>
          <t>(rate esc. only)</t>
        </is>
      </c>
      <c r="C53" s="1555">
        <f>'Gyp (USG 1-8")'!C53</f>
        <v/>
      </c>
      <c r="D53" s="1528" t="n"/>
      <c r="E53" s="2259">
        <f>ROUNDUP(((E52)*C53),0)</f>
        <v/>
      </c>
      <c r="F53" s="1556" t="inlineStr">
        <is>
          <t>+5%IFPWorLong Lead Job (12+months)</t>
        </is>
      </c>
      <c r="G53" s="600" t="n"/>
      <c r="H53" s="2014" t="n"/>
      <c r="I53" s="600" t="n"/>
      <c r="J53" s="1046" t="n"/>
      <c r="K53" s="1595" t="inlineStr">
        <is>
          <t xml:space="preserve">        "Entry" Laborer for MO "State" Wage ONLY</t>
        </is>
      </c>
      <c r="L53" s="1594" t="n"/>
      <c r="M53" s="1944" t="n"/>
      <c r="N53" s="1944" t="n"/>
      <c r="R53" s="1034" t="n"/>
      <c r="S53" s="1034" t="n"/>
      <c r="T53" s="1034" t="n"/>
      <c r="W53" s="1034">
        <f>X53/$W$50</f>
        <v/>
      </c>
      <c r="X53" s="594" t="n">
        <v>10</v>
      </c>
    </row>
    <row r="54" ht="16.2" customFormat="1" customHeight="1" s="585" thickBot="1">
      <c r="A54" s="771" t="inlineStr">
        <is>
          <t>Labor Burden</t>
        </is>
      </c>
      <c r="B54" s="766" t="n"/>
      <c r="C54" s="1044" t="n">
        <v>0.12</v>
      </c>
      <c r="D54" s="1044" t="n"/>
      <c r="E54" s="2260">
        <f>ROUNDUP((E52+E53)*C54,0)</f>
        <v/>
      </c>
      <c r="F54" s="600" t="n"/>
      <c r="G54" s="600" t="n"/>
      <c r="H54" s="2017" t="n"/>
      <c r="I54" s="2017" t="n"/>
      <c r="J54" s="774" t="n"/>
      <c r="K54" s="1585" t="inlineStr">
        <is>
          <t xml:space="preserve">                    ** Cement Mason **              </t>
        </is>
      </c>
      <c r="L54" s="1586" t="n"/>
      <c r="M54" s="1944" t="n"/>
      <c r="N54" s="1944" t="n"/>
      <c r="O54" s="585" t="inlineStr">
        <is>
          <t>3000+ psi = 1.4</t>
        </is>
      </c>
      <c r="P54" s="585" t="n">
        <v>1.4</v>
      </c>
      <c r="Q54" s="585" t="n">
        <v>140</v>
      </c>
      <c r="R54" s="1121">
        <f>ROUND(G15/(I23*1.1764705915999),0)</f>
        <v/>
      </c>
      <c r="S54" s="1122">
        <f>ROUND((G15+12)/(I24*1.1764705915999),0)</f>
        <v/>
      </c>
      <c r="T54" s="1121">
        <f>ROUND(G15/(I25*1.1764705915999),0)</f>
        <v/>
      </c>
      <c r="W54" s="1034">
        <f>X54/$W$50</f>
        <v/>
      </c>
      <c r="X54" s="594" t="n">
        <v>12</v>
      </c>
    </row>
    <row r="55" ht="16.2" customFormat="1" customHeight="1" s="585" thickBot="1">
      <c r="A55" s="600" t="n"/>
      <c r="B55" s="1877" t="n"/>
      <c r="C55" s="1944" t="n"/>
      <c r="D55" s="1944" t="n"/>
      <c r="E55" s="1944" t="n"/>
      <c r="F55" s="1944" t="n"/>
      <c r="G55" s="1610">
        <f>T28</f>
        <v/>
      </c>
      <c r="H55" s="1390" t="inlineStr">
        <is>
          <t>Total mobs INCLUDED</t>
        </is>
      </c>
      <c r="I55" s="1441" t="inlineStr">
        <is>
          <t>---from---'S28'---&gt;</t>
        </is>
      </c>
      <c r="J55" s="1046" t="n"/>
      <c r="K55" s="1576" t="inlineStr">
        <is>
          <t>Prevailing Wage Rate:</t>
        </is>
      </c>
      <c r="L55" s="2018">
        <f>SUM(L56:L57)</f>
        <v/>
      </c>
      <c r="M55" s="2026">
        <f>IF((L55/2)&lt;23,23,(L55/2))</f>
        <v/>
      </c>
      <c r="W55" s="1034">
        <f>X55/$W$50</f>
        <v/>
      </c>
      <c r="X55" s="594" t="n">
        <v>14</v>
      </c>
    </row>
    <row r="56" customFormat="1" s="585">
      <c r="A56" s="621" t="inlineStr">
        <is>
          <t>TOOLING &amp; CONSUMABLES</t>
        </is>
      </c>
      <c r="B56" s="622" t="inlineStr">
        <is>
          <t>Quantity</t>
        </is>
      </c>
      <c r="C56" s="778" t="inlineStr">
        <is>
          <t>Cost</t>
        </is>
      </c>
      <c r="D56" s="1047" t="n"/>
      <c r="E56" s="2261" t="inlineStr">
        <is>
          <t>Totals</t>
        </is>
      </c>
      <c r="F56" s="600" t="n"/>
      <c r="G56" s="600" t="n"/>
      <c r="H56" s="1450">
        <f>F43</f>
        <v/>
      </c>
      <c r="I56" s="593" t="n"/>
      <c r="J56" s="600" t="n"/>
      <c r="K56" s="1578" t="inlineStr">
        <is>
          <t>rate =</t>
        </is>
      </c>
      <c r="L56" s="2020" t="n">
        <v>0</v>
      </c>
      <c r="M56" s="1598" t="inlineStr">
        <is>
          <t xml:space="preserve"> 1:1 "Entry"</t>
        </is>
      </c>
      <c r="O56" s="1113" t="inlineStr">
        <is>
          <t>Gyp Yield Calculator</t>
        </is>
      </c>
      <c r="P56" s="1120" t="inlineStr">
        <is>
          <t>Factor = 13.00</t>
        </is>
      </c>
      <c r="W56" s="1034">
        <f>X56/$W$50</f>
        <v/>
      </c>
      <c r="X56" s="594" t="n">
        <v>16</v>
      </c>
    </row>
    <row r="57" ht="16.2" customFormat="1" customHeight="1" s="585" thickBot="1">
      <c r="A57" s="628" t="inlineStr">
        <is>
          <t>Moisture Test</t>
        </is>
      </c>
      <c r="B57" s="774" t="n"/>
      <c r="C57" s="1944" t="n">
        <v>35</v>
      </c>
      <c r="D57" s="1977" t="n"/>
      <c r="E57" s="1962">
        <f>ROUNDUP(B57*C57,0)</f>
        <v/>
      </c>
      <c r="F57" s="600" t="n"/>
      <c r="G57" s="1409" t="inlineStr">
        <is>
          <t xml:space="preserve">Total Man Hours </t>
        </is>
      </c>
      <c r="H57" s="1410">
        <f>((A46*B46)+(A47*B47)+(A48*B48)+(A49*B49)+(A45*B45))</f>
        <v/>
      </c>
      <c r="I57" s="1443">
        <f>A46</f>
        <v/>
      </c>
      <c r="J57" s="2168" t="inlineStr">
        <is>
          <t>crew size</t>
        </is>
      </c>
      <c r="K57" s="1580" t="inlineStr">
        <is>
          <t>+ fringes =</t>
        </is>
      </c>
      <c r="L57" s="2022" t="n">
        <v>0</v>
      </c>
      <c r="M57" s="1599" t="inlineStr">
        <is>
          <t xml:space="preserve">Half Wage </t>
        </is>
      </c>
      <c r="O57" s="585" t="n">
        <v>1.4</v>
      </c>
      <c r="P57" s="585">
        <f>160+280</f>
        <v/>
      </c>
      <c r="Q57" s="1121" t="n">
        <v>33.75</v>
      </c>
      <c r="R57" s="2262">
        <f>P57/Q57</f>
        <v/>
      </c>
      <c r="S57" s="594" t="n">
        <v>1.4</v>
      </c>
      <c r="T57" s="1122" t="n">
        <v>35.5</v>
      </c>
      <c r="U57" s="2262">
        <f>P57/T57</f>
        <v/>
      </c>
      <c r="V57" s="594" t="n">
        <v>1.4</v>
      </c>
      <c r="W57" s="1034">
        <f>X57/$W$50</f>
        <v/>
      </c>
      <c r="X57" s="594" t="n">
        <v>18</v>
      </c>
    </row>
    <row r="58" customFormat="1" s="585">
      <c r="A58" s="628" t="inlineStr">
        <is>
          <t>Tooling &amp; Consumables</t>
        </is>
      </c>
      <c r="B58" s="774">
        <f>B43</f>
        <v/>
      </c>
      <c r="C58" s="1944" t="n">
        <v>0.04</v>
      </c>
      <c r="D58" s="1977" t="n"/>
      <c r="E58" s="1962">
        <f>ROUNDUP(B58*C58,0)</f>
        <v/>
      </c>
      <c r="F58" s="1422" t="inlineStr">
        <is>
          <t>(staples, sprayer, tarp, etc.)</t>
        </is>
      </c>
      <c r="G58" s="1048" t="inlineStr">
        <is>
          <t xml:space="preserve">Total Days </t>
        </is>
      </c>
      <c r="H58" s="1389">
        <f>H57/IF($F$43="8 hour days",8,10)/I57</f>
        <v/>
      </c>
      <c r="I58" s="1404">
        <f>H58/G55</f>
        <v/>
      </c>
      <c r="J58" s="959" t="inlineStr">
        <is>
          <t>Avg days per mob</t>
        </is>
      </c>
      <c r="K58" s="864" t="inlineStr">
        <is>
          <t xml:space="preserve">        Foreman *min. $32 Cement Mason</t>
        </is>
      </c>
      <c r="L58" s="2023" t="n"/>
      <c r="O58" s="585" t="n">
        <v>1.8</v>
      </c>
      <c r="P58" s="585">
        <f>160+360</f>
        <v/>
      </c>
      <c r="Q58" s="1118" t="n">
        <v>40</v>
      </c>
      <c r="R58" s="2263">
        <f>P58/Q58</f>
        <v/>
      </c>
      <c r="S58" s="594" t="n">
        <v>1.8</v>
      </c>
      <c r="T58" s="1034" t="n">
        <v>42</v>
      </c>
      <c r="U58" s="2264">
        <f>P58/T58</f>
        <v/>
      </c>
      <c r="V58" s="594" t="n">
        <v>1.8</v>
      </c>
      <c r="W58" s="1034">
        <f>X58/$W$50</f>
        <v/>
      </c>
      <c r="X58" s="594" t="n">
        <v>20</v>
      </c>
    </row>
    <row r="59" ht="16.2" customFormat="1" customHeight="1" s="585" thickBot="1">
      <c r="A59" s="628" t="n"/>
      <c r="B59" s="774" t="n"/>
      <c r="C59" s="1944" t="n"/>
      <c r="D59" s="1977" t="n"/>
      <c r="E59" s="1962">
        <f>ROUNDUP(B59*C59,0)</f>
        <v/>
      </c>
      <c r="F59" s="787" t="n"/>
      <c r="G59" s="1405" t="n"/>
      <c r="H59" s="1406" t="n"/>
      <c r="I59" s="1407" t="n"/>
      <c r="J59" s="2265" t="n"/>
      <c r="K59" s="1583" t="inlineStr">
        <is>
          <t xml:space="preserve">        (Entry *min. $23 Cement Mason)</t>
        </is>
      </c>
      <c r="L59" s="2024" t="n"/>
      <c r="Q59" s="1119" t="inlineStr">
        <is>
          <t>40 sf @ 3/4"</t>
        </is>
      </c>
      <c r="R59" s="2266">
        <f>R58-R57</f>
        <v/>
      </c>
      <c r="S59" s="590" t="inlineStr">
        <is>
          <t>diff</t>
        </is>
      </c>
      <c r="U59" s="2266">
        <f>U58-U57</f>
        <v/>
      </c>
      <c r="V59" s="590" t="inlineStr">
        <is>
          <t>diff</t>
        </is>
      </c>
      <c r="W59" s="1034">
        <f>X59/$W$50</f>
        <v/>
      </c>
      <c r="X59" s="594" t="n">
        <v>22</v>
      </c>
    </row>
    <row r="60" ht="16.2" customFormat="1" customHeight="1" s="585" thickBot="1">
      <c r="A60" s="628" t="n"/>
      <c r="B60" s="774" t="n"/>
      <c r="C60" s="1944" t="n"/>
      <c r="D60" s="1977" t="n"/>
      <c r="E60" s="1962">
        <f>ROUNDUP(B60*C60,0)</f>
        <v/>
      </c>
      <c r="F60" s="600" t="n"/>
      <c r="G60" s="1438" t="inlineStr">
        <is>
          <t>Total Days w/Travel</t>
        </is>
      </c>
      <c r="H60" s="1439">
        <f>H61/IF($F$43="8 hour days",8,10)/I57</f>
        <v/>
      </c>
      <c r="I60" s="1404">
        <f>H60/G55</f>
        <v/>
      </c>
      <c r="J60" s="959" t="inlineStr">
        <is>
          <t>Days per mob(WITH travel)</t>
        </is>
      </c>
      <c r="K60" s="1587" t="inlineStr">
        <is>
          <t xml:space="preserve">                           ** Painter **                      </t>
        </is>
      </c>
      <c r="L60" s="1588" t="n"/>
      <c r="W60" s="1034">
        <f>X60/$W$50</f>
        <v/>
      </c>
      <c r="X60" s="594" t="n">
        <v>24</v>
      </c>
    </row>
    <row r="61" ht="16.2" customFormat="1" customHeight="1" s="585" thickBot="1">
      <c r="A61" s="1565" t="inlineStr">
        <is>
          <t>Tooling and Consumables Total</t>
        </is>
      </c>
      <c r="B61" s="1566" t="n"/>
      <c r="C61" s="2028" t="n"/>
      <c r="D61" s="2028" t="n"/>
      <c r="E61" s="2029">
        <f>SUM(E57:E60)</f>
        <v/>
      </c>
      <c r="F61" s="600" t="n"/>
      <c r="G61" s="1537" t="inlineStr">
        <is>
          <t>Hours WITH travel</t>
        </is>
      </c>
      <c r="H61" s="1536">
        <f>((A46*B46)+(A47*B47)+(A48*B48)+(A49*B49)+(A45*B45)+(A51*B51))</f>
        <v/>
      </c>
      <c r="I61" s="793" t="n"/>
      <c r="J61" s="834" t="n"/>
      <c r="K61" s="1576" t="inlineStr">
        <is>
          <t>Prevailing Wage Rate:</t>
        </is>
      </c>
      <c r="L61" s="2018">
        <f>SUM(L62:L63)</f>
        <v/>
      </c>
      <c r="M61" s="2026">
        <f>IF((L61/2)&lt;23,23,(L61/2))</f>
        <v/>
      </c>
      <c r="W61" s="1034">
        <f>X61/$W$50</f>
        <v/>
      </c>
      <c r="X61" s="594" t="n">
        <v>26</v>
      </c>
    </row>
    <row r="62" customFormat="1" s="585">
      <c r="A62" s="600" t="n"/>
      <c r="B62" s="1877" t="n"/>
      <c r="C62" s="1944" t="n"/>
      <c r="D62" s="1944" t="n"/>
      <c r="E62" s="1944" t="n"/>
      <c r="F62" s="600" t="n"/>
      <c r="G62" s="600" t="n"/>
      <c r="H62" s="600" t="n"/>
      <c r="I62" s="2267">
        <f>B43/G55</f>
        <v/>
      </c>
      <c r="J62" s="1645" t="inlineStr">
        <is>
          <t>SF /mob (approx.-avg.)</t>
        </is>
      </c>
      <c r="K62" s="1578" t="inlineStr">
        <is>
          <t>rate =</t>
        </is>
      </c>
      <c r="L62" s="2020" t="n">
        <v>0</v>
      </c>
      <c r="M62" s="1596" t="inlineStr">
        <is>
          <t xml:space="preserve"> 1:1 "Entry"</t>
        </is>
      </c>
      <c r="W62" s="1034">
        <f>X62/$W$50</f>
        <v/>
      </c>
      <c r="X62" s="594" t="n">
        <v>28</v>
      </c>
    </row>
    <row r="63" ht="16.2" customFormat="1" customHeight="1" s="585" thickBot="1">
      <c r="A63" s="621" t="inlineStr">
        <is>
          <t>TRAVEL</t>
        </is>
      </c>
      <c r="B63" s="622" t="inlineStr">
        <is>
          <t>Quantity</t>
        </is>
      </c>
      <c r="C63" s="778" t="inlineStr">
        <is>
          <t>Cost</t>
        </is>
      </c>
      <c r="D63" s="1047" t="n"/>
      <c r="E63" s="2261" t="inlineStr">
        <is>
          <t>Totals</t>
        </is>
      </c>
      <c r="F63" s="600" t="n"/>
      <c r="G63" s="600" t="n"/>
      <c r="H63" s="780" t="n"/>
      <c r="K63" s="1580" t="inlineStr">
        <is>
          <t>+ fringes =</t>
        </is>
      </c>
      <c r="L63" s="2022" t="n">
        <v>0</v>
      </c>
      <c r="M63" s="1597" t="inlineStr">
        <is>
          <t xml:space="preserve">Half Wage </t>
        </is>
      </c>
      <c r="O63" s="1113" t="inlineStr">
        <is>
          <t>PSI option… pending add</t>
        </is>
      </c>
      <c r="Q63" s="1046" t="inlineStr">
        <is>
          <t>Sand Mix</t>
        </is>
      </c>
      <c r="R63" s="1046" t="inlineStr">
        <is>
          <t>Gyp Yield Soft+Corr</t>
        </is>
      </c>
      <c r="S63" s="1046" t="inlineStr">
        <is>
          <t>Gyp Yield Hard</t>
        </is>
      </c>
    </row>
    <row r="64" customFormat="1" s="585">
      <c r="A64" s="628" t="inlineStr">
        <is>
          <t>Travel - Lodging</t>
        </is>
      </c>
      <c r="B64" s="774">
        <f>IF(B5="No",((E52-E51)/C46)/10)</f>
        <v/>
      </c>
      <c r="C64" s="1944" t="n">
        <v>70</v>
      </c>
      <c r="D64" s="1977" t="n"/>
      <c r="E64" s="1962">
        <f>ROUNDUP(B64*C64,0)</f>
        <v/>
      </c>
      <c r="F64" s="600" t="n"/>
      <c r="G64" s="600" t="n"/>
      <c r="H64" s="600" t="n"/>
      <c r="I64" s="774" t="n"/>
      <c r="J64" s="714" t="n"/>
      <c r="K64" s="864" t="inlineStr">
        <is>
          <t xml:space="preserve">               Foreman *min. $32 Painter</t>
        </is>
      </c>
      <c r="L64" s="2023" t="n"/>
      <c r="O64" s="585" t="inlineStr">
        <is>
          <t>2000 psi</t>
        </is>
      </c>
      <c r="P64" s="585" t="n">
        <v>2.1</v>
      </c>
      <c r="Q64" s="585" t="n">
        <v>210</v>
      </c>
    </row>
    <row r="65" ht="16.2" customFormat="1" customHeight="1" s="585" thickBot="1">
      <c r="A65" s="628" t="inlineStr">
        <is>
          <t>Travel - Food</t>
        </is>
      </c>
      <c r="B65" s="774">
        <f>B64</f>
        <v/>
      </c>
      <c r="C65" s="1944" t="n">
        <v>45</v>
      </c>
      <c r="D65" s="1977" t="n"/>
      <c r="E65" s="1962">
        <f>ROUNDUP(B65*C65,0)</f>
        <v/>
      </c>
      <c r="F65" s="795" t="n"/>
      <c r="G65" s="600" t="n"/>
      <c r="H65" s="600" t="n"/>
      <c r="I65" s="782" t="n"/>
      <c r="J65" s="1944" t="n"/>
      <c r="K65" s="1583" t="inlineStr">
        <is>
          <t xml:space="preserve">               (Entry *min. $23 Painter)</t>
        </is>
      </c>
      <c r="L65" s="2024" t="n"/>
      <c r="M65" s="1383" t="n"/>
      <c r="N65" s="1383" t="n"/>
    </row>
    <row r="66" ht="16.2" customFormat="1" customHeight="1" s="585" thickBot="1">
      <c r="A66" s="628" t="n"/>
      <c r="B66" s="774" t="n"/>
      <c r="C66" s="1944" t="n"/>
      <c r="D66" s="1977" t="n"/>
      <c r="E66" s="1962">
        <f>ROUNDUP(B66*C66,0)</f>
        <v/>
      </c>
      <c r="F66" s="600" t="n"/>
      <c r="G66" s="600" t="n"/>
      <c r="H66" s="600" t="n"/>
      <c r="I66" s="774" t="n"/>
      <c r="J66" s="1944" t="n"/>
      <c r="K66" s="1595" t="inlineStr">
        <is>
          <t xml:space="preserve">        "Entry" Laborer for MO "State" Wage ONLY</t>
        </is>
      </c>
      <c r="L66" s="1594" t="n"/>
      <c r="M66" s="590" t="inlineStr">
        <is>
          <t>NOT davis-bacon</t>
        </is>
      </c>
      <c r="N66" s="590" t="n"/>
    </row>
    <row r="67" customFormat="1" s="585">
      <c r="A67" s="1565" t="inlineStr">
        <is>
          <t>Travel Costs Total</t>
        </is>
      </c>
      <c r="B67" s="1566" t="n"/>
      <c r="C67" s="2028" t="n"/>
      <c r="D67" s="2028" t="n"/>
      <c r="E67" s="2029">
        <f>SUM(E64:E66)</f>
        <v/>
      </c>
      <c r="F67" s="600" t="n"/>
      <c r="G67" s="600" t="n"/>
      <c r="H67" s="662" t="n"/>
      <c r="I67" s="793" t="n"/>
      <c r="J67" s="1944" t="n"/>
      <c r="K67" s="600" t="n"/>
      <c r="L67" s="1936" t="n"/>
    </row>
    <row r="68" customFormat="1" s="585">
      <c r="A68" s="600" t="n"/>
      <c r="B68" s="1877" t="n"/>
      <c r="C68" s="1944" t="n"/>
      <c r="D68" s="1944" t="n"/>
      <c r="E68" s="1944" t="n"/>
      <c r="F68" s="600" t="n"/>
      <c r="G68" s="600" t="n"/>
      <c r="H68" s="600" t="n"/>
      <c r="J68" s="714" t="n"/>
      <c r="K68" s="1944" t="n"/>
      <c r="L68" s="1928" t="n"/>
    </row>
    <row r="69" customFormat="1" s="585">
      <c r="A69" s="796" t="inlineStr">
        <is>
          <t>SUB-TOTAL COSTS</t>
        </is>
      </c>
      <c r="B69" s="797" t="n"/>
      <c r="C69" s="2032" t="n"/>
      <c r="D69" s="2032" t="n"/>
      <c r="E69" s="2033">
        <f>ROUNDUP(SUM(E41,E52:E54,E61,E67),0)</f>
        <v/>
      </c>
      <c r="F69" s="2268">
        <f>E69/B43</f>
        <v/>
      </c>
      <c r="G69" s="801" t="inlineStr">
        <is>
          <t>Sub-Total $/SF</t>
        </is>
      </c>
      <c r="H69" s="600" t="n"/>
      <c r="K69" s="714" t="n"/>
      <c r="L69" s="2031" t="n"/>
    </row>
    <row r="70" customFormat="1" s="585">
      <c r="A70" s="600" t="n"/>
      <c r="B70" s="1877" t="n"/>
      <c r="C70" s="1944" t="n"/>
      <c r="D70" s="1944" t="n"/>
      <c r="E70" s="1944" t="n"/>
      <c r="F70" s="600" t="n"/>
      <c r="G70" s="600" t="n"/>
      <c r="H70" s="600" t="n"/>
      <c r="J70" s="1944" t="n"/>
      <c r="K70" s="600" t="n"/>
      <c r="L70" s="1936" t="n"/>
      <c r="M70" s="1936" t="n"/>
      <c r="N70" s="1936" t="n"/>
    </row>
    <row r="71" customFormat="1" s="585">
      <c r="A71" s="621" t="inlineStr">
        <is>
          <t>MARKUP</t>
        </is>
      </c>
      <c r="B71" s="622" t="inlineStr">
        <is>
          <t>%</t>
        </is>
      </c>
      <c r="C71" s="2035" t="n"/>
      <c r="D71" s="1047" t="n"/>
      <c r="E71" s="2019" t="inlineStr">
        <is>
          <t>Totals</t>
        </is>
      </c>
      <c r="F71" s="600" t="n"/>
      <c r="G71" s="2036">
        <f>SUM(E69,E81,E84)</f>
        <v/>
      </c>
      <c r="H71" s="811" t="inlineStr">
        <is>
          <t>Total "Estimated Costs" w/taxes + fees + bond</t>
        </is>
      </c>
      <c r="I71" s="812" t="n"/>
      <c r="J71" s="2037">
        <f>G71/C86</f>
        <v/>
      </c>
      <c r="K71" s="1944" t="n"/>
      <c r="L71" s="1928" t="n"/>
    </row>
    <row r="72" customFormat="1" s="585">
      <c r="A72" s="817" t="inlineStr">
        <is>
          <t>GP (before lines below)</t>
        </is>
      </c>
      <c r="B72" s="122">
        <f>IF(E69&lt;15000,0.45,IF(E69&lt;25000,0.4,IF(E69&lt;50000,0.35,IF(E69&lt;75000,0.33,IF(E69&lt;100000,0.28,IF(E69&lt;150000,0.26,0.24))))))</f>
        <v/>
      </c>
      <c r="C72" s="1944" t="n"/>
      <c r="D72" s="2269" t="n"/>
      <c r="E72" s="2038">
        <f>ROUNDUP(SUM(E69,E79,E82)/(1-B72),0)-ROUNDUP(SUM(E69,E79,E82),0)</f>
        <v/>
      </c>
      <c r="F72" s="600" t="n"/>
      <c r="G72" s="2039">
        <f>((A45*B45)+(A46*B46)+(A47*B47)+(A48*B48)+(A49*B49))+(A51*B51)</f>
        <v/>
      </c>
      <c r="H72" s="815" t="inlineStr">
        <is>
          <t>Man Hour Budget (Raken)</t>
        </is>
      </c>
      <c r="I72" s="815" t="n"/>
      <c r="K72" s="662" t="n"/>
      <c r="L72" s="1928" t="n"/>
    </row>
    <row r="73" customFormat="1" s="585">
      <c r="A73" s="817" t="inlineStr">
        <is>
          <t>Hard Bid Discount</t>
        </is>
      </c>
      <c r="B73" s="2040" t="n"/>
      <c r="C73" s="1944" t="n"/>
      <c r="D73" s="1977" t="n"/>
      <c r="E73" s="1962">
        <f>ROUNDUP(SUM(E69,E72)*B73,0)</f>
        <v/>
      </c>
      <c r="F73" s="600" t="n"/>
      <c r="G73" s="2270">
        <f>G86/H60</f>
        <v/>
      </c>
      <c r="H73" s="1436" t="inlineStr">
        <is>
          <t>GP per Day</t>
        </is>
      </c>
      <c r="I73" s="809">
        <f>F43</f>
        <v/>
      </c>
      <c r="K73" s="1944" t="n"/>
      <c r="L73" s="1928" t="n"/>
    </row>
    <row r="74" customFormat="1" s="585">
      <c r="A74" s="628" t="inlineStr">
        <is>
          <t>Superintendent &amp; PTO</t>
        </is>
      </c>
      <c r="B74" s="819" t="n">
        <v>0.041</v>
      </c>
      <c r="C74" s="2042" t="n"/>
      <c r="D74" s="1977" t="n"/>
      <c r="E74" s="1962">
        <f>ROUNDUP(SUM(E69:E73,E76,E79,E82)*B74,0)</f>
        <v/>
      </c>
      <c r="F74" s="600" t="n"/>
      <c r="G74" s="793" t="inlineStr">
        <is>
          <t>Minimum ^ = $2,500</t>
        </is>
      </c>
      <c r="H74" s="2219">
        <f>G73-2500</f>
        <v/>
      </c>
      <c r="I74" s="590" t="inlineStr">
        <is>
          <t>difference (good/not?)</t>
        </is>
      </c>
      <c r="K74" s="714" t="n"/>
      <c r="L74" s="2031" t="n"/>
    </row>
    <row r="75" customFormat="1" s="585">
      <c r="A75" s="628" t="inlineStr">
        <is>
          <t>Soft Costs</t>
        </is>
      </c>
      <c r="B75" s="819">
        <f>IF(OR(B5="Yes",B5="No"),IF(B5="Yes",0.09,0.1) - IF(E69&gt;334900,0.05,IF(E69&gt;234450,0.035,0)),"error")</f>
        <v/>
      </c>
      <c r="C75" s="2042" t="n"/>
      <c r="D75" s="1977" t="n"/>
      <c r="E75" s="1962">
        <f>(ROUNDUP(SUM(E69:E74,E76,E79,E82)*B75,0))+0</f>
        <v/>
      </c>
      <c r="F75" s="600" t="n"/>
      <c r="G75" s="600" t="n"/>
      <c r="H75" s="1877" t="n"/>
      <c r="J75" s="2043" t="n"/>
      <c r="K75" s="714" t="n"/>
      <c r="L75" s="2031" t="n"/>
    </row>
    <row r="76" customFormat="1" s="585">
      <c r="A76" s="820" t="inlineStr">
        <is>
          <t>Contingency</t>
        </is>
      </c>
      <c r="B76" s="1575" t="inlineStr">
        <is>
          <t>-- ?? --&gt;</t>
        </is>
      </c>
      <c r="C76" s="2044" t="n"/>
      <c r="D76" s="2044" t="n"/>
      <c r="E76" s="2045" t="n">
        <v>0</v>
      </c>
      <c r="F76" s="600" t="n"/>
      <c r="K76" s="714" t="n"/>
      <c r="L76" s="2031" t="n"/>
    </row>
    <row r="77" customFormat="1" s="585">
      <c r="A77" s="600" t="n"/>
      <c r="B77" s="1877" t="n"/>
      <c r="C77" s="1944" t="n"/>
      <c r="D77" s="1944" t="n"/>
      <c r="E77" s="1944" t="n"/>
      <c r="F77" s="600" t="n"/>
    </row>
    <row r="78" customFormat="1" s="585">
      <c r="A78" s="621" t="inlineStr">
        <is>
          <t>TAXES &amp; FEES</t>
        </is>
      </c>
      <c r="B78" s="622" t="inlineStr">
        <is>
          <t>%</t>
        </is>
      </c>
      <c r="C78" s="778" t="n"/>
      <c r="D78" s="1047" t="n"/>
      <c r="E78" s="2019" t="inlineStr">
        <is>
          <t>Totals</t>
        </is>
      </c>
      <c r="F78" s="600" t="n"/>
      <c r="J78" s="2046">
        <f>(J81-J79-J80)</f>
        <v/>
      </c>
      <c r="K78" s="590" t="n"/>
    </row>
    <row r="79" customFormat="1" s="585">
      <c r="A79" s="628" t="inlineStr">
        <is>
          <t>Sales Tax</t>
        </is>
      </c>
      <c r="B79" s="2047">
        <f>IF($B$8="no",0,0.09475)</f>
        <v/>
      </c>
      <c r="C79" s="2042" t="n"/>
      <c r="D79" s="2269" t="n"/>
      <c r="E79" s="1962">
        <f>ROUNDUP(SUM(E41)*B79,0)</f>
        <v/>
      </c>
      <c r="F79" s="600" t="n"/>
      <c r="J79" s="2046" t="n"/>
      <c r="K79" s="585" t="inlineStr">
        <is>
          <t>sales tax (enter rounded)</t>
        </is>
      </c>
    </row>
    <row r="80" customFormat="1" s="585">
      <c r="A80" s="804" t="inlineStr">
        <is>
          <t>Kansas Remodel Tax</t>
        </is>
      </c>
      <c r="B80" s="2048">
        <f>IF(D8="yes",0.1,0)</f>
        <v/>
      </c>
      <c r="C80" s="1944" t="n"/>
      <c r="D80" s="1977" t="n"/>
      <c r="E80" s="1962">
        <f>ROUNDUP(SUM(E52:E54,E61,E67,E72:E76,E82)*B80,0)</f>
        <v/>
      </c>
      <c r="F80" s="758">
        <f>IF(D8="yes","*10% is placeholder. Adjust to actual if project awarded"," ")</f>
        <v/>
      </c>
      <c r="J80" s="2049" t="n"/>
      <c r="K80" s="784" t="inlineStr">
        <is>
          <t>ks remodel (enter rounded)</t>
        </is>
      </c>
    </row>
    <row r="81" customFormat="1" s="585">
      <c r="A81" s="1565" t="inlineStr">
        <is>
          <t>Total Taxes</t>
        </is>
      </c>
      <c r="B81" s="1566" t="n"/>
      <c r="C81" s="2028" t="n"/>
      <c r="D81" s="2028" t="n"/>
      <c r="E81" s="2029">
        <f>SUM(E79:E80)</f>
        <v/>
      </c>
      <c r="F81" s="758" t="n"/>
      <c r="J81" s="2046">
        <f>E87</f>
        <v/>
      </c>
      <c r="K81" s="590" t="inlineStr">
        <is>
          <t>total</t>
        </is>
      </c>
    </row>
    <row r="82" customFormat="1" s="585">
      <c r="A82" s="628" t="inlineStr">
        <is>
          <t>Fees + Textura + ?</t>
        </is>
      </c>
      <c r="B82" s="2047" t="n"/>
      <c r="C82" s="1944" t="n"/>
      <c r="D82" s="1977" t="n"/>
      <c r="E82" s="1962">
        <f>ROUNDUP(B82*D82,0)</f>
        <v/>
      </c>
      <c r="F82" s="600" t="n"/>
    </row>
    <row r="83" customFormat="1" s="585">
      <c r="A83" s="628" t="inlineStr">
        <is>
          <t>Bond</t>
        </is>
      </c>
      <c r="B83" s="819" t="n">
        <v>0</v>
      </c>
      <c r="C83" s="1944" t="n"/>
      <c r="D83" s="2269" t="n"/>
      <c r="E83" s="2271">
        <f>ROUNDUP(SUM(E69,E72,E73,E74:E76,E79,E80:E82)*B83,0)</f>
        <v/>
      </c>
      <c r="F83" s="600" t="n"/>
      <c r="G83" s="1615">
        <f>I83/E87</f>
        <v/>
      </c>
      <c r="H83" s="1614" t="inlineStr">
        <is>
          <t>% of Total Markup$</t>
        </is>
      </c>
      <c r="I83" s="2272">
        <f>SUM(E72:E76,E81,E84)</f>
        <v/>
      </c>
      <c r="J83" s="699" t="inlineStr">
        <is>
          <t>Sum: Markup+Taxes+Fees</t>
        </is>
      </c>
    </row>
    <row r="84" customFormat="1" s="585">
      <c r="A84" s="1565" t="inlineStr">
        <is>
          <t>Total Fees + Bond</t>
        </is>
      </c>
      <c r="B84" s="1566" t="n"/>
      <c r="C84" s="2028" t="n"/>
      <c r="D84" s="2028" t="n"/>
      <c r="E84" s="2029">
        <f>ROUNDUP(SUM(E82:E83),0)</f>
        <v/>
      </c>
      <c r="F84" s="600" t="n"/>
      <c r="G84" s="600" t="n"/>
    </row>
    <row r="85" customFormat="1" s="585">
      <c r="A85" s="600" t="n"/>
      <c r="B85" s="821" t="n"/>
      <c r="C85" s="1944" t="n"/>
      <c r="D85" s="1944" t="n"/>
      <c r="E85" s="1944" t="n"/>
      <c r="F85" s="600" t="n"/>
      <c r="G85" s="759" t="inlineStr">
        <is>
          <t>Mark Up + Conting.</t>
        </is>
      </c>
      <c r="H85" s="822" t="inlineStr">
        <is>
          <t>GP / MH</t>
        </is>
      </c>
      <c r="I85" s="1618" t="inlineStr">
        <is>
          <t>MarkUp + Soft Costs</t>
        </is>
      </c>
      <c r="J85" s="823" t="n"/>
    </row>
    <row r="86" ht="16.2" customFormat="1" customHeight="1" s="585" thickBot="1">
      <c r="A86" s="600" t="n"/>
      <c r="B86" s="825" t="inlineStr">
        <is>
          <t>Square Footage:</t>
        </is>
      </c>
      <c r="C86" s="2273">
        <f>B43</f>
        <v/>
      </c>
      <c r="D86" s="2504">
        <f>B16</f>
        <v/>
      </c>
      <c r="E86" s="1944" t="n"/>
      <c r="F86" s="705" t="inlineStr">
        <is>
          <t>Less Sales Tax</t>
        </is>
      </c>
      <c r="G86" s="2054">
        <f>SUM(E72,,E73,E76)</f>
        <v/>
      </c>
      <c r="H86" s="2055">
        <f>G86/G72</f>
        <v/>
      </c>
      <c r="I86" s="2056">
        <f>SUM(E72:E76)</f>
        <v/>
      </c>
      <c r="K86" s="1051" t="n"/>
      <c r="L86" s="1051" t="n"/>
      <c r="M86" s="1051" t="n"/>
      <c r="N86" s="1051" t="n"/>
      <c r="O86" s="1051" t="n"/>
    </row>
    <row r="87" ht="16.2" customFormat="1" customHeight="1" s="585" thickBot="1">
      <c r="A87" s="829" t="inlineStr">
        <is>
          <t>TOTAL</t>
        </is>
      </c>
      <c r="B87" s="830" t="n"/>
      <c r="C87" s="2057">
        <f>E87/C86</f>
        <v/>
      </c>
      <c r="D87" s="2057" t="n"/>
      <c r="E87" s="2058">
        <f>SUM(E69,E72:E76,E81,E84)</f>
        <v/>
      </c>
      <c r="F87" s="1944">
        <f>E87-(E79+E80)</f>
        <v/>
      </c>
      <c r="G87" s="2275">
        <f>G86/(E87)</f>
        <v/>
      </c>
      <c r="H87" s="2055">
        <f>C46</f>
        <v/>
      </c>
      <c r="I87" s="2060">
        <f>I86/E87</f>
        <v/>
      </c>
      <c r="J87" s="1625" t="inlineStr">
        <is>
          <t>30% = Gyp Goal</t>
        </is>
      </c>
    </row>
    <row r="88" customFormat="1" s="585">
      <c r="A88" s="834" t="n"/>
      <c r="B88" s="600" t="inlineStr">
        <is>
          <t xml:space="preserve"> </t>
        </is>
      </c>
      <c r="C88" s="1944">
        <f>E88/C86</f>
        <v/>
      </c>
      <c r="D88" s="1944" t="n"/>
      <c r="E88" s="1944">
        <f>E87-E80</f>
        <v/>
      </c>
      <c r="F88" s="753" t="inlineStr">
        <is>
          <t>(less ks remodel tax)</t>
        </is>
      </c>
      <c r="G88" s="1876" t="n"/>
      <c r="H88" s="1621" t="inlineStr">
        <is>
          <t>LaborRate from Above</t>
        </is>
      </c>
      <c r="I88" s="590" t="n"/>
      <c r="J88" s="1632" t="inlineStr">
        <is>
          <t>(epx: 42% &amp; pol: 45%)</t>
        </is>
      </c>
    </row>
    <row r="89" customFormat="1" s="585">
      <c r="A89" s="834" t="n"/>
      <c r="B89" s="2276" t="n"/>
      <c r="C89" s="2505">
        <f>E89/C86</f>
        <v/>
      </c>
      <c r="D89" s="2503">
        <f>'Gyp (USG 1-8")'!D86</f>
        <v/>
      </c>
      <c r="E89" s="2505">
        <f>E87-'Gyp (USG 1-8")'!E87</f>
        <v/>
      </c>
      <c r="F89" s="1715" t="inlineStr">
        <is>
          <t>N25+1" gyp = Diff from 1/8" mat + 3/4" gyp</t>
        </is>
      </c>
      <c r="H89" s="1391" t="inlineStr">
        <is>
          <t>* This rate is different than epoxy &amp; polish</t>
        </is>
      </c>
      <c r="I89" s="1391" t="n"/>
      <c r="P89" s="600" t="n"/>
    </row>
    <row r="90" customFormat="1" s="585">
      <c r="A90" s="834" t="n"/>
      <c r="B90" s="2276" t="n"/>
      <c r="C90" s="2505">
        <f>E90/C86</f>
        <v/>
      </c>
      <c r="D90" s="2278">
        <f>'Gyp (USG N12ULTRA)'!D86</f>
        <v/>
      </c>
      <c r="E90" s="2505">
        <f>E87-'Gyp (USG N12ULTRA)'!E87</f>
        <v/>
      </c>
      <c r="F90" s="1657" t="inlineStr">
        <is>
          <t>N25+1" gyp = Diff from 3/16" ULTRA mat + 3/4" gyp</t>
        </is>
      </c>
      <c r="G90" s="1657" t="n"/>
      <c r="H90" s="1629" t="inlineStr">
        <is>
          <t xml:space="preserve"> to account for longer project lead times.</t>
        </is>
      </c>
      <c r="I90" s="1629" t="n"/>
      <c r="P90" s="600" t="n"/>
    </row>
    <row r="91" customFormat="1" s="585">
      <c r="A91" s="633" t="n"/>
      <c r="B91" s="2223" t="n"/>
      <c r="C91" s="2253" t="n"/>
      <c r="D91" s="2253" t="n"/>
      <c r="E91" s="2253" t="n"/>
      <c r="F91" s="1877" t="n"/>
    </row>
    <row r="92" customFormat="1" s="585">
      <c r="A92" s="633" t="n"/>
      <c r="B92" s="2223" t="n"/>
      <c r="C92" s="2253" t="n"/>
      <c r="D92" s="2253" t="n"/>
      <c r="E92" s="2253" t="n"/>
      <c r="F92" s="1877" t="n"/>
    </row>
    <row r="93" customFormat="1" s="585">
      <c r="A93" s="633" t="n"/>
      <c r="B93" s="2223" t="n"/>
      <c r="C93" s="2253" t="n"/>
      <c r="D93" s="2253" t="n"/>
      <c r="E93" s="2253" t="n"/>
      <c r="F93" s="1877" t="n"/>
    </row>
    <row r="94" customFormat="1" s="585">
      <c r="B94" s="883" t="n"/>
      <c r="C94" s="1876" t="n"/>
      <c r="D94" s="1876" t="n"/>
      <c r="E94" s="883" t="n"/>
      <c r="F94" s="1876" t="n"/>
      <c r="G94" s="883" t="n"/>
      <c r="H94" s="1876" t="n"/>
      <c r="I94" s="883" t="n"/>
      <c r="J94" s="1876" t="n"/>
    </row>
    <row r="95" customFormat="1" s="585"/>
    <row r="96" customFormat="1" s="585"/>
    <row r="97" customFormat="1" s="585"/>
    <row r="98" customFormat="1" s="585"/>
    <row r="99" customFormat="1" s="585">
      <c r="E99" s="590" t="n"/>
    </row>
    <row r="100" customFormat="1" s="585"/>
    <row r="101" customFormat="1" s="585"/>
    <row r="102" customFormat="1" s="585"/>
    <row r="103" customFormat="1" s="585">
      <c r="J103" s="2193" t="n"/>
    </row>
    <row r="104" customFormat="1" s="585"/>
    <row r="105" customFormat="1" s="585">
      <c r="A105" s="839" t="n"/>
    </row>
    <row r="106" customFormat="1" s="585">
      <c r="A106" s="840" t="n"/>
      <c r="H106" s="2194" t="n"/>
    </row>
    <row r="107" customFormat="1" s="585">
      <c r="A107" s="842" t="n"/>
      <c r="H107" s="843" t="n"/>
    </row>
    <row r="108" customFormat="1" s="585">
      <c r="A108" s="844" t="n"/>
      <c r="H108" s="2194" t="n"/>
    </row>
    <row r="109" customFormat="1" s="585">
      <c r="A109" s="845" t="n"/>
    </row>
    <row r="110" customFormat="1" s="585">
      <c r="A110" s="846" t="n"/>
    </row>
    <row r="111" customFormat="1" s="585">
      <c r="A111" s="847" t="n"/>
      <c r="J111" s="2193" t="n"/>
      <c r="O111" s="848" t="n"/>
      <c r="P111" s="2014" t="n"/>
    </row>
    <row r="112" customFormat="1" s="585">
      <c r="A112" s="849" t="n"/>
      <c r="J112" s="2193" t="n"/>
      <c r="O112" s="848" t="n"/>
      <c r="P112" s="2014" t="n"/>
    </row>
    <row r="113">
      <c r="J113" s="2280" t="n"/>
      <c r="O113" s="247" t="n"/>
      <c r="P113" s="2281" t="n"/>
    </row>
    <row r="114">
      <c r="J114" s="2280" t="n"/>
      <c r="O114" s="247" t="n"/>
      <c r="P114" s="2281" t="n"/>
    </row>
    <row r="115" ht="16.05" customHeight="1">
      <c r="J115" s="2280" t="n"/>
      <c r="O115" s="247" t="n"/>
      <c r="P115" s="2281" t="n"/>
    </row>
    <row r="116">
      <c r="J116" s="2280" t="n"/>
      <c r="O116" s="247" t="n"/>
      <c r="P116" s="2281" t="n"/>
    </row>
    <row r="117">
      <c r="J117" s="2280" t="n"/>
      <c r="O117" s="247" t="n"/>
      <c r="P117" s="2281" t="n"/>
    </row>
    <row r="118">
      <c r="J118" s="2280" t="n"/>
      <c r="O118" s="247" t="n"/>
      <c r="P118" s="2281" t="n"/>
    </row>
    <row r="119">
      <c r="J119" s="2280" t="n"/>
      <c r="O119" s="247" t="n"/>
      <c r="P119" s="2281" t="n"/>
    </row>
    <row r="120">
      <c r="J120" s="2280" t="n"/>
      <c r="O120" s="247" t="n"/>
      <c r="P120" s="2281" t="n"/>
    </row>
    <row r="121">
      <c r="J121" s="2280" t="n"/>
      <c r="O121" s="247" t="n"/>
      <c r="P121" s="2281" t="n"/>
    </row>
    <row r="122">
      <c r="J122" s="2280" t="n"/>
      <c r="O122" s="247" t="n"/>
      <c r="P122" s="2281" t="n"/>
    </row>
    <row r="123">
      <c r="J123" s="2280" t="n"/>
      <c r="O123" s="247" t="n"/>
      <c r="P123" s="2281" t="n"/>
    </row>
    <row r="124">
      <c r="J124" s="2280" t="n"/>
      <c r="O124" s="247" t="n"/>
      <c r="P124" s="2281" t="n"/>
    </row>
    <row r="125">
      <c r="J125" s="2280" t="n"/>
      <c r="O125" s="247" t="n"/>
      <c r="P125" s="2281" t="n"/>
    </row>
    <row r="126">
      <c r="J126" s="2280" t="n"/>
      <c r="O126" s="247" t="n"/>
      <c r="P126" s="2281" t="n"/>
    </row>
    <row r="127">
      <c r="J127" s="2280" t="n"/>
      <c r="O127" s="247" t="n"/>
      <c r="P127" s="2281" t="n"/>
    </row>
    <row r="128">
      <c r="J128" s="2280" t="n"/>
      <c r="O128" s="247" t="n"/>
      <c r="P128" s="2281" t="n"/>
    </row>
    <row r="129">
      <c r="J129" s="2280" t="n"/>
      <c r="O129" s="247" t="n"/>
      <c r="P129" s="2281" t="n"/>
    </row>
    <row r="130">
      <c r="J130" s="2280" t="n"/>
      <c r="O130" s="247" t="n"/>
      <c r="P130" s="2281" t="n"/>
    </row>
    <row r="131">
      <c r="A131" s="2282" t="n"/>
      <c r="B131" s="2282" t="n"/>
      <c r="J131" s="2280" t="n"/>
      <c r="O131" s="247" t="n"/>
      <c r="P131" s="2281" t="n"/>
    </row>
    <row r="132">
      <c r="A132" s="2282" t="n"/>
      <c r="B132" s="2282" t="n"/>
      <c r="J132" s="2280" t="n"/>
      <c r="O132" s="247" t="n"/>
      <c r="P132" s="2281" t="n"/>
    </row>
    <row r="133">
      <c r="A133" s="2282" t="n"/>
      <c r="B133" s="2282" t="n"/>
      <c r="J133" s="2280" t="n"/>
      <c r="O133" s="247" t="n"/>
      <c r="P133" s="2281" t="n"/>
    </row>
    <row r="134">
      <c r="A134" s="2283" t="n"/>
      <c r="B134" s="2283" t="n"/>
      <c r="J134" s="2280" t="n"/>
      <c r="O134" s="247" t="n"/>
      <c r="P134" s="2281" t="n"/>
    </row>
    <row r="135">
      <c r="J135" s="2280" t="n"/>
      <c r="O135" s="247" t="n"/>
      <c r="P135" s="2281" t="n"/>
    </row>
    <row r="136">
      <c r="A136" s="2145" t="n"/>
      <c r="B136" s="2145" t="n"/>
      <c r="J136" s="2280" t="n"/>
      <c r="O136" s="247" t="n"/>
      <c r="P136" s="2281" t="n"/>
    </row>
    <row r="137">
      <c r="A137" s="2282" t="n"/>
      <c r="B137" s="2282" t="n"/>
      <c r="J137" s="2280" t="n"/>
      <c r="O137" s="247" t="n"/>
      <c r="P137" s="2281" t="n"/>
    </row>
    <row r="138">
      <c r="A138" s="2282" t="n"/>
      <c r="B138" s="2282" t="n"/>
      <c r="J138" s="2280" t="n"/>
      <c r="O138" s="247" t="n"/>
      <c r="P138" s="2281" t="n"/>
    </row>
    <row r="139">
      <c r="A139" s="2282" t="n"/>
      <c r="B139" s="2282" t="n"/>
      <c r="J139" s="2280" t="n"/>
      <c r="O139" s="247" t="n"/>
      <c r="P139" s="2281" t="n"/>
    </row>
    <row r="140">
      <c r="A140" s="2283" t="n"/>
      <c r="B140" s="2283" t="n"/>
    </row>
    <row r="148">
      <c r="A148" s="98" t="n"/>
    </row>
    <row r="160">
      <c r="F160" s="1" t="n"/>
    </row>
    <row r="161">
      <c r="F161" s="1" t="n"/>
    </row>
    <row r="162">
      <c r="F162" s="1" t="n"/>
    </row>
    <row r="163">
      <c r="F163" s="1892" t="n"/>
    </row>
    <row r="164">
      <c r="F164" s="1" t="n"/>
    </row>
    <row r="165">
      <c r="F165" s="1" t="n"/>
    </row>
    <row r="166">
      <c r="A166" s="1" t="n"/>
      <c r="B166" s="1" t="n"/>
      <c r="C166" s="2284" t="n"/>
      <c r="D166" s="2284" t="n"/>
      <c r="E166" s="2282" t="n"/>
      <c r="Q166" s="1892" t="n"/>
    </row>
    <row r="167">
      <c r="A167" s="53" t="n"/>
      <c r="B167" s="53" t="n"/>
      <c r="C167" s="53" t="n"/>
      <c r="D167" s="53" t="n"/>
      <c r="E167" s="53" t="n"/>
      <c r="F167" s="1916" t="n"/>
      <c r="G167" s="1916" t="n"/>
      <c r="H167" s="1916" t="n"/>
      <c r="I167" s="1916" t="n"/>
      <c r="J167" s="1916" t="n"/>
      <c r="K167" s="1916" t="n"/>
      <c r="L167" s="1916" t="n"/>
      <c r="M167" s="1916" t="n"/>
      <c r="N167" s="1916" t="n"/>
      <c r="O167" s="53" t="n"/>
      <c r="P167" s="53" t="n"/>
      <c r="Q167" s="53" t="n"/>
      <c r="R167" s="53" t="n"/>
      <c r="S167" s="53" t="n"/>
    </row>
    <row r="168">
      <c r="A168" s="53" t="n"/>
      <c r="B168" s="53" t="n"/>
      <c r="C168" s="53" t="n"/>
      <c r="D168" s="53" t="n"/>
      <c r="E168" s="53" t="n"/>
      <c r="F168" s="53" t="n"/>
      <c r="G168" s="53" t="n"/>
      <c r="H168" s="1916" t="n"/>
      <c r="I168" s="1916" t="n"/>
      <c r="J168" s="1916" t="n"/>
      <c r="K168" s="1916" t="n"/>
      <c r="L168" s="1916" t="n"/>
      <c r="M168" s="1916" t="n"/>
      <c r="N168" s="1916" t="n"/>
      <c r="O168" s="53" t="n"/>
      <c r="P168" s="53" t="n"/>
      <c r="Q168" s="53" t="n"/>
      <c r="R168" s="53" t="n"/>
      <c r="S168" s="2145" t="n"/>
    </row>
    <row r="169">
      <c r="A169" s="53" t="n"/>
      <c r="B169" s="2155" t="n"/>
      <c r="C169" s="2145" t="n"/>
      <c r="D169" s="2145" t="n"/>
      <c r="E169" s="2145" t="n"/>
      <c r="F169" s="2285" t="n"/>
      <c r="G169" s="53" t="n"/>
      <c r="H169" s="1916" t="n"/>
      <c r="I169" s="1916" t="n"/>
      <c r="J169" s="1916" t="n"/>
      <c r="K169" s="1916" t="n"/>
      <c r="L169" s="1916" t="n"/>
      <c r="M169" s="1916" t="n"/>
      <c r="N169" s="1916" t="n"/>
      <c r="O169" s="53" t="n"/>
      <c r="P169" s="53" t="n"/>
      <c r="Q169" s="2145" t="n"/>
      <c r="R169" s="2145" t="n"/>
      <c r="S169" s="2145" t="n"/>
    </row>
    <row r="170">
      <c r="A170" s="53" t="n"/>
      <c r="B170" s="53" t="n"/>
      <c r="C170" s="2145" t="n"/>
      <c r="D170" s="2145" t="n"/>
      <c r="E170" s="2145" t="n"/>
      <c r="F170" s="53" t="n"/>
      <c r="G170" s="53" t="n"/>
      <c r="H170" s="1916" t="n"/>
      <c r="I170" s="1916" t="n"/>
      <c r="J170" s="1916" t="n"/>
      <c r="K170" s="1916" t="n"/>
      <c r="L170" s="1916" t="n"/>
      <c r="M170" s="1916" t="n"/>
      <c r="N170" s="1916" t="n"/>
      <c r="O170" s="53" t="n"/>
      <c r="P170" s="53" t="n"/>
      <c r="Q170" s="2145" t="n"/>
      <c r="R170" s="2285" t="n"/>
      <c r="S170" s="2145" t="n"/>
    </row>
    <row r="171" customFormat="1" s="1916">
      <c r="A171" s="53" t="n"/>
      <c r="B171" s="53" t="n"/>
      <c r="C171" s="2145" t="n"/>
      <c r="D171" s="2145" t="n"/>
      <c r="E171" s="2145" t="n"/>
      <c r="F171" s="53" t="n"/>
      <c r="G171" s="53" t="n"/>
      <c r="O171" s="53" t="n"/>
      <c r="P171" s="53" t="n"/>
      <c r="Q171" s="2145" t="n"/>
      <c r="R171" s="2285" t="n"/>
      <c r="S171" s="2145" t="n"/>
    </row>
    <row r="172" customFormat="1" s="1916">
      <c r="A172" s="53" t="n"/>
      <c r="B172" s="53" t="n"/>
      <c r="C172" s="2145" t="n"/>
      <c r="D172" s="2145" t="n"/>
      <c r="E172" s="2145" t="n"/>
      <c r="F172" s="53" t="n"/>
      <c r="G172" s="53" t="n"/>
      <c r="O172" s="53" t="n"/>
      <c r="P172" s="2145" t="n"/>
      <c r="Q172" s="2149" t="n"/>
      <c r="R172" s="53" t="n"/>
      <c r="S172" s="53" t="n"/>
      <c r="T172" s="53" t="n"/>
      <c r="U172" s="53" t="n"/>
      <c r="V172" s="53" t="n"/>
    </row>
    <row r="173" customFormat="1" s="1916">
      <c r="A173" s="53" t="n"/>
      <c r="B173" s="53" t="n"/>
      <c r="C173" s="2145" t="n"/>
      <c r="D173" s="2145" t="n"/>
      <c r="E173" s="2145" t="n"/>
      <c r="F173" s="53" t="n"/>
      <c r="G173" s="53" t="n"/>
      <c r="O173" s="53" t="n"/>
      <c r="P173" s="53" t="n"/>
      <c r="Q173" s="2149" t="n"/>
      <c r="R173" s="53" t="n"/>
      <c r="S173" s="53" t="n"/>
      <c r="T173" s="2145" t="n"/>
      <c r="U173" s="2145" t="n"/>
      <c r="V173" s="53" t="n"/>
    </row>
    <row r="174" customFormat="1" s="1916">
      <c r="A174" s="53" t="n"/>
      <c r="B174" s="53" t="n"/>
      <c r="C174" s="2145" t="n"/>
      <c r="D174" s="2145" t="n"/>
      <c r="E174" s="2145" t="n"/>
      <c r="F174" s="53" t="n"/>
      <c r="G174" s="53" t="n"/>
      <c r="O174" s="53" t="n"/>
      <c r="P174" s="53" t="n"/>
      <c r="Q174" s="2149" t="n"/>
      <c r="R174" s="53" t="n"/>
      <c r="S174" s="53" t="n"/>
      <c r="T174" s="2145" t="n"/>
      <c r="U174" s="2145" t="n"/>
      <c r="V174" s="53" t="n"/>
    </row>
    <row r="175" customFormat="1" s="1916">
      <c r="A175" s="53" t="n"/>
      <c r="B175" s="53" t="n"/>
      <c r="C175" s="2145" t="n"/>
      <c r="D175" s="2145" t="n"/>
      <c r="E175" s="2145" t="n"/>
      <c r="F175" s="53" t="n"/>
      <c r="G175" s="53" t="n"/>
      <c r="O175" s="53" t="n"/>
      <c r="P175" s="53" t="n"/>
      <c r="Q175" s="2149" t="n"/>
      <c r="R175" s="53" t="n"/>
      <c r="S175" s="53" t="n"/>
      <c r="T175" s="2145" t="n"/>
      <c r="U175" s="2145" t="n"/>
      <c r="V175" s="53" t="n"/>
    </row>
    <row r="176" customFormat="1" s="1916">
      <c r="A176" s="53" t="n"/>
      <c r="B176" s="53" t="n"/>
      <c r="C176" s="2145" t="n"/>
      <c r="D176" s="2145" t="n"/>
      <c r="E176" s="2145" t="n"/>
      <c r="F176" s="53" t="n"/>
      <c r="G176" s="53" t="n"/>
      <c r="O176" s="53" t="n"/>
      <c r="P176" s="53" t="n"/>
      <c r="Q176" s="2149" t="n"/>
      <c r="R176" s="53" t="n"/>
      <c r="S176" s="53" t="n"/>
      <c r="T176" s="2145" t="n"/>
      <c r="U176" s="2145" t="n"/>
      <c r="V176" s="53" t="n"/>
    </row>
    <row r="177" customFormat="1" s="1916">
      <c r="A177" s="53" t="n"/>
      <c r="B177" s="53" t="n"/>
      <c r="C177" s="2145" t="n"/>
      <c r="D177" s="2145" t="n"/>
      <c r="E177" s="2145" t="n"/>
      <c r="F177" s="53" t="n"/>
      <c r="G177" s="53" t="n"/>
      <c r="O177" s="53" t="n"/>
      <c r="P177" s="53" t="n"/>
      <c r="Q177" s="2149" t="n"/>
      <c r="R177" s="53" t="n"/>
      <c r="S177" s="53" t="n"/>
      <c r="T177" s="53" t="n"/>
      <c r="U177" s="53" t="n"/>
      <c r="V177" s="53" t="n"/>
    </row>
    <row r="178" customFormat="1" s="1916">
      <c r="A178" s="53" t="n"/>
      <c r="B178" s="53" t="n"/>
      <c r="C178" s="2145" t="n"/>
      <c r="D178" s="2145" t="n"/>
      <c r="E178" s="2145" t="n"/>
      <c r="F178" s="53" t="n"/>
      <c r="G178" s="53" t="n"/>
      <c r="O178" s="53" t="n"/>
      <c r="P178" s="53" t="n"/>
      <c r="Q178" s="2149" t="n"/>
      <c r="R178" s="53" t="n"/>
      <c r="S178" s="53" t="n"/>
      <c r="T178" s="53" t="n"/>
      <c r="U178" s="53" t="n"/>
      <c r="V178" s="53" t="n"/>
    </row>
    <row r="179" customFormat="1" s="1916">
      <c r="A179" s="53" t="n"/>
      <c r="B179" s="53" t="n"/>
      <c r="C179" s="2145" t="n"/>
      <c r="D179" s="2145" t="n"/>
      <c r="E179" s="2145" t="n"/>
      <c r="F179" s="53" t="n"/>
      <c r="G179" s="53" t="n"/>
      <c r="T179" s="53" t="n"/>
      <c r="U179" s="53" t="n"/>
      <c r="V179" s="53" t="n"/>
    </row>
    <row r="180" customFormat="1" s="1916">
      <c r="A180" s="53" t="n"/>
      <c r="B180" s="53" t="n"/>
      <c r="C180" s="2145" t="n"/>
      <c r="D180" s="2145" t="n"/>
      <c r="E180" s="2145" t="n"/>
      <c r="F180" s="53" t="n"/>
      <c r="G180" s="53" t="n"/>
      <c r="T180" s="53" t="n"/>
      <c r="U180" s="53" t="n"/>
      <c r="V180" s="53" t="n"/>
    </row>
    <row r="181" customFormat="1" s="1916">
      <c r="A181" s="53" t="n"/>
      <c r="B181" s="53" t="n"/>
      <c r="C181" s="2145" t="n"/>
      <c r="D181" s="2145" t="n"/>
      <c r="E181" s="2145" t="n"/>
      <c r="F181" s="2285" t="n"/>
      <c r="G181" s="53" t="n"/>
      <c r="T181" s="53" t="n"/>
      <c r="U181" s="53" t="n"/>
      <c r="V181" s="53" t="n"/>
    </row>
    <row r="182" customFormat="1" s="1916">
      <c r="A182" s="53" t="n"/>
      <c r="B182" s="53" t="n"/>
      <c r="C182" s="2145" t="n"/>
      <c r="D182" s="2145" t="n"/>
      <c r="E182" s="2145" t="n"/>
      <c r="F182" s="53" t="n"/>
      <c r="G182" s="53" t="n"/>
      <c r="T182" s="53" t="n"/>
      <c r="U182" s="53" t="n"/>
      <c r="V182" s="53" t="n"/>
    </row>
    <row r="183" customFormat="1" s="1916">
      <c r="A183" s="53" t="n"/>
      <c r="B183" s="53" t="n"/>
      <c r="C183" s="2145" t="n"/>
      <c r="D183" s="2145" t="n"/>
      <c r="E183" s="2145" t="n"/>
      <c r="F183" s="53" t="n"/>
      <c r="G183" s="53" t="n"/>
      <c r="T183" s="53" t="n"/>
      <c r="U183" s="53" t="n"/>
      <c r="V183" s="53" t="n"/>
    </row>
    <row r="184" customFormat="1" s="1916">
      <c r="A184" s="53" t="n"/>
      <c r="B184" s="53" t="n"/>
      <c r="C184" s="2145" t="n"/>
      <c r="D184" s="2145" t="n"/>
      <c r="E184" s="2145" t="n"/>
      <c r="F184" s="53" t="n"/>
      <c r="G184" s="53" t="n"/>
    </row>
    <row r="185" customFormat="1" s="1916">
      <c r="A185" s="53" t="n"/>
      <c r="B185" s="53" t="n"/>
      <c r="C185" s="2145" t="n"/>
      <c r="D185" s="2145" t="n"/>
      <c r="E185" s="2145" t="n"/>
      <c r="F185" s="53" t="n"/>
      <c r="G185" s="53" t="n"/>
    </row>
    <row r="186" customFormat="1" s="1916">
      <c r="A186" s="103" t="n"/>
      <c r="B186" s="103" t="n"/>
      <c r="C186" s="2147" t="n"/>
      <c r="D186" s="2147" t="n"/>
      <c r="E186" s="2147" t="n"/>
      <c r="F186" s="53" t="n"/>
      <c r="G186" s="53" t="n"/>
    </row>
    <row r="187" customFormat="1" s="1916">
      <c r="A187" s="103" t="n"/>
      <c r="B187" s="105" t="n"/>
      <c r="C187" s="2147" t="n"/>
      <c r="D187" s="2147" t="n"/>
      <c r="E187" s="2147" t="n"/>
      <c r="F187" s="53" t="n"/>
      <c r="G187" s="53" t="n"/>
    </row>
    <row r="188" customFormat="1" s="1916">
      <c r="A188" s="103" t="n"/>
      <c r="B188" s="103" t="n"/>
      <c r="C188" s="2147" t="n"/>
      <c r="D188" s="2147" t="n"/>
      <c r="E188" s="2147" t="n"/>
      <c r="F188" s="53" t="n"/>
      <c r="G188" s="53" t="n"/>
    </row>
    <row r="189" customFormat="1" s="1916">
      <c r="A189" s="103" t="n"/>
      <c r="B189" s="105" t="n"/>
      <c r="C189" s="2147" t="n"/>
      <c r="D189" s="2147" t="n"/>
      <c r="E189" s="2147" t="n"/>
      <c r="F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</row>
    <row r="190" customFormat="1" s="1916">
      <c r="A190" s="53" t="n"/>
      <c r="B190" s="53" t="n"/>
      <c r="C190" s="2145" t="n"/>
      <c r="D190" s="2145" t="n"/>
      <c r="E190" s="2145" t="n"/>
      <c r="F190" s="53" t="n"/>
      <c r="H190" s="53" t="n"/>
      <c r="I190" s="53" t="n"/>
      <c r="J190" s="53" t="n"/>
      <c r="K190" s="106" t="n"/>
      <c r="L190" s="106" t="n"/>
      <c r="M190" s="106" t="n"/>
      <c r="N190" s="106" t="n"/>
      <c r="O190" s="106" t="n"/>
    </row>
    <row r="191" customFormat="1" s="1916">
      <c r="A191" s="3" t="n"/>
      <c r="B191" s="2285" t="n"/>
      <c r="C191" s="3" t="n"/>
      <c r="D191" s="3" t="n"/>
      <c r="E191" s="2285" t="n"/>
      <c r="F191" s="107" t="n"/>
      <c r="H191" s="53" t="n"/>
      <c r="I191" s="540" t="n"/>
      <c r="J191" s="53" t="n"/>
      <c r="K191" s="106" t="n"/>
      <c r="L191" s="106" t="n"/>
      <c r="M191" s="106" t="n"/>
      <c r="N191" s="106" t="n"/>
      <c r="O191" s="106" t="n"/>
    </row>
    <row r="192" customFormat="1" s="1916">
      <c r="A192" s="53" t="n"/>
      <c r="B192" s="53" t="n"/>
      <c r="C192" s="53" t="n"/>
      <c r="D192" s="53" t="n"/>
      <c r="E192" s="53" t="n"/>
      <c r="F192" s="107" t="n"/>
      <c r="H192" s="53" t="n"/>
      <c r="I192" s="53" t="n"/>
      <c r="J192" s="53" t="n"/>
      <c r="K192" s="2145" t="n"/>
      <c r="L192" s="2145" t="n"/>
      <c r="M192" s="2145" t="n"/>
      <c r="N192" s="2145" t="n"/>
      <c r="O192" s="53" t="n"/>
    </row>
    <row r="193" customFormat="1" s="1916">
      <c r="A193" s="53" t="n"/>
      <c r="B193" s="53" t="n"/>
      <c r="C193" s="53" t="n"/>
      <c r="D193" s="53" t="n"/>
      <c r="E193" s="106" t="n"/>
      <c r="F193" s="106" t="n"/>
      <c r="H193" s="53" t="n"/>
      <c r="I193" s="93" t="n"/>
      <c r="J193" s="2145" t="n"/>
      <c r="K193" s="2145" t="n"/>
      <c r="L193" s="2145" t="n"/>
      <c r="M193" s="2145" t="n"/>
      <c r="N193" s="2145" t="n"/>
      <c r="O193" s="106" t="n"/>
    </row>
    <row r="194" customFormat="1" s="1916">
      <c r="A194" s="53" t="n"/>
      <c r="B194" s="53" t="n"/>
      <c r="C194" s="53" t="n"/>
      <c r="D194" s="53" t="n"/>
      <c r="E194" s="53" t="n"/>
      <c r="F194" s="53" t="n"/>
      <c r="H194" s="53" t="n"/>
      <c r="I194" s="93" t="n"/>
      <c r="J194" s="2145" t="n"/>
      <c r="K194" s="2145" t="n"/>
      <c r="L194" s="2145" t="n"/>
      <c r="M194" s="2145" t="n"/>
      <c r="N194" s="2145" t="n"/>
      <c r="O194" s="53" t="n"/>
    </row>
    <row r="195" customFormat="1" s="1916">
      <c r="A195" s="53" t="n"/>
      <c r="B195" s="53" t="n"/>
      <c r="C195" s="53" t="n"/>
      <c r="D195" s="53" t="n"/>
      <c r="E195" s="106" t="n"/>
      <c r="F195" s="106" t="n"/>
      <c r="H195" s="53" t="n"/>
      <c r="I195" s="93" t="n"/>
      <c r="J195" s="2145" t="n"/>
      <c r="K195" s="2145" t="n"/>
      <c r="L195" s="2145" t="n"/>
      <c r="M195" s="2145" t="n"/>
      <c r="N195" s="2145" t="n"/>
      <c r="O195" s="106" t="n"/>
    </row>
    <row r="196" customFormat="1" s="1916">
      <c r="A196" s="53" t="n"/>
      <c r="B196" s="53" t="n"/>
      <c r="C196" s="53" t="n"/>
      <c r="D196" s="53" t="n"/>
      <c r="E196" s="2286" t="n"/>
      <c r="F196" s="2286" t="n"/>
      <c r="G196" s="53" t="n"/>
      <c r="H196" s="103" t="n"/>
      <c r="I196" s="103" t="n"/>
      <c r="J196" s="2147" t="n"/>
      <c r="K196" s="2147" t="n"/>
      <c r="L196" s="2147" t="n"/>
      <c r="M196" s="2145" t="n"/>
      <c r="N196" s="2145" t="n"/>
      <c r="O196" s="106" t="n"/>
    </row>
    <row r="197" customFormat="1" s="1916">
      <c r="A197" s="53" t="n"/>
      <c r="B197" s="53" t="n"/>
      <c r="C197" s="2145" t="n"/>
      <c r="D197" s="2145" t="n"/>
      <c r="E197" s="2145" t="n"/>
      <c r="F197" s="2145" t="n"/>
      <c r="G197" s="53" t="n"/>
      <c r="H197" s="53" t="n"/>
      <c r="I197" s="53" t="n"/>
    </row>
    <row r="198" customFormat="1" s="1916">
      <c r="A198" s="53" t="n"/>
      <c r="B198" s="53" t="n"/>
      <c r="C198" s="53" t="n"/>
      <c r="D198" s="53" t="n"/>
      <c r="E198" s="2145" t="n"/>
      <c r="F198" s="53" t="n"/>
      <c r="G198" s="53" t="n"/>
      <c r="H198" s="110" t="n"/>
      <c r="I198" s="53" t="n"/>
      <c r="J198" s="53" t="n"/>
      <c r="K198" s="2145" t="n"/>
      <c r="L198" s="2145" t="n"/>
      <c r="M198" s="2145" t="n"/>
      <c r="N198" s="2145" t="n"/>
    </row>
    <row r="199" customFormat="1" s="1916">
      <c r="A199" s="53" t="n"/>
      <c r="B199" s="93" t="n"/>
      <c r="C199" s="2145" t="n"/>
      <c r="D199" s="2145" t="n"/>
      <c r="E199" s="2145" t="n"/>
      <c r="F199" s="53" t="n"/>
      <c r="G199" s="53" t="n"/>
      <c r="H199" s="2285" t="n"/>
      <c r="I199" s="93" t="n"/>
      <c r="J199" s="2145" t="n"/>
      <c r="K199" s="2145" t="n"/>
      <c r="L199" s="2145" t="n"/>
      <c r="M199" s="2145" t="n"/>
      <c r="N199" s="2145" t="n"/>
    </row>
    <row r="200" customFormat="1" s="1916">
      <c r="A200" s="53" t="n"/>
      <c r="B200" s="93" t="n"/>
      <c r="C200" s="2145" t="n"/>
      <c r="D200" s="2145" t="n"/>
      <c r="E200" s="2145" t="n"/>
      <c r="F200" s="53" t="n"/>
      <c r="G200" s="53" t="n"/>
      <c r="H200" s="53" t="n"/>
      <c r="I200" s="93" t="n"/>
      <c r="J200" s="2145" t="n"/>
      <c r="K200" s="2145" t="n"/>
      <c r="L200" s="2145" t="n"/>
      <c r="M200" s="2145" t="n"/>
      <c r="N200" s="2145" t="n"/>
    </row>
    <row r="201" customFormat="1" s="1916">
      <c r="A201" s="53" t="n"/>
      <c r="B201" s="93" t="n"/>
      <c r="C201" s="2145" t="n"/>
      <c r="D201" s="2145" t="n"/>
      <c r="E201" s="2145" t="n"/>
      <c r="F201" s="53" t="n"/>
      <c r="G201" s="53" t="n"/>
      <c r="H201" s="53" t="n"/>
      <c r="I201" s="93" t="n"/>
      <c r="J201" s="2145" t="n"/>
      <c r="K201" s="2145" t="n"/>
      <c r="L201" s="2145" t="n"/>
      <c r="M201" s="2145" t="n"/>
      <c r="N201" s="2145" t="n"/>
    </row>
    <row r="202" customFormat="1" s="1916">
      <c r="A202" s="53" t="n"/>
      <c r="B202" s="93" t="n"/>
      <c r="C202" s="2145" t="n"/>
      <c r="D202" s="2145" t="n"/>
      <c r="E202" s="2145" t="n"/>
      <c r="F202" s="111" t="n"/>
      <c r="G202" s="53" t="n"/>
      <c r="H202" s="53" t="n"/>
      <c r="I202" s="93" t="n"/>
      <c r="J202" s="2145" t="n"/>
      <c r="K202" s="2145" t="n"/>
      <c r="L202" s="2145" t="n"/>
      <c r="M202" s="2145" t="n"/>
      <c r="N202" s="2145" t="n"/>
    </row>
    <row r="203" customFormat="1" s="1916">
      <c r="A203" s="53" t="n"/>
      <c r="B203" s="93" t="n"/>
      <c r="C203" s="2145" t="n"/>
      <c r="D203" s="2145" t="n"/>
      <c r="E203" s="2145" t="n"/>
      <c r="F203" s="111" t="n"/>
      <c r="G203" s="53" t="n"/>
      <c r="H203" s="53" t="n"/>
      <c r="I203" s="93" t="n"/>
      <c r="J203" s="2145" t="n"/>
      <c r="K203" s="2145" t="n"/>
      <c r="L203" s="2145" t="n"/>
      <c r="M203" s="2145" t="n"/>
      <c r="N203" s="2145" t="n"/>
    </row>
    <row r="204" customFormat="1" s="1916">
      <c r="A204" s="53" t="n"/>
      <c r="B204" s="93" t="n"/>
      <c r="C204" s="2145" t="n"/>
      <c r="D204" s="2145" t="n"/>
      <c r="E204" s="2145" t="n"/>
      <c r="F204" s="53" t="n"/>
      <c r="G204" s="53" t="n"/>
      <c r="H204" s="53" t="n"/>
      <c r="I204" s="93" t="n"/>
      <c r="J204" s="2145" t="n"/>
      <c r="K204" s="2145" t="n"/>
      <c r="L204" s="2145" t="n"/>
      <c r="M204" s="2145" t="n"/>
      <c r="N204" s="2145" t="n"/>
    </row>
    <row r="205" customFormat="1" s="1916">
      <c r="A205" s="53" t="n"/>
      <c r="B205" s="93" t="n"/>
      <c r="C205" s="2145" t="n"/>
      <c r="D205" s="2145" t="n"/>
      <c r="E205" s="2145" t="n"/>
      <c r="F205" s="53" t="n"/>
      <c r="G205" s="53" t="n"/>
      <c r="H205" s="53" t="n"/>
      <c r="I205" s="93" t="n"/>
      <c r="J205" s="2145" t="n"/>
      <c r="K205" s="2145" t="n"/>
      <c r="L205" s="2145" t="n"/>
      <c r="M205" s="2145" t="n"/>
      <c r="N205" s="2145" t="n"/>
    </row>
    <row r="206" customFormat="1" s="1916">
      <c r="A206" s="103" t="n"/>
      <c r="B206" s="103" t="n"/>
      <c r="C206" s="2147" t="n"/>
      <c r="D206" s="2147" t="n"/>
      <c r="E206" s="2147" t="n"/>
      <c r="F206" s="53" t="n"/>
      <c r="G206" s="53" t="n"/>
      <c r="H206" s="103" t="n"/>
      <c r="I206" s="103" t="n"/>
      <c r="J206" s="2147" t="n"/>
      <c r="K206" s="2147" t="n"/>
      <c r="L206" s="2147" t="n"/>
      <c r="M206" s="2147" t="n"/>
      <c r="N206" s="2147" t="n"/>
    </row>
    <row r="207" customFormat="1" s="1916">
      <c r="A207" s="53" t="n"/>
      <c r="B207" s="53" t="n"/>
      <c r="C207" s="2145" t="n"/>
      <c r="D207" s="2145" t="n"/>
      <c r="E207" s="2145" t="n"/>
      <c r="F207" s="53" t="n"/>
      <c r="G207" s="53" t="n"/>
    </row>
    <row r="208" customFormat="1" s="1916">
      <c r="A208" s="53" t="n"/>
      <c r="B208" s="53" t="n"/>
      <c r="C208" s="2145" t="n"/>
      <c r="D208" s="2145" t="n"/>
      <c r="E208" s="2147" t="n"/>
      <c r="F208" s="53" t="n"/>
      <c r="G208" s="53" t="n"/>
    </row>
    <row r="209" customFormat="1" s="1916">
      <c r="A209" s="53" t="n"/>
      <c r="B209" s="53" t="n"/>
      <c r="C209" s="2145" t="n"/>
      <c r="D209" s="2145" t="n"/>
      <c r="E209" s="2145" t="n"/>
      <c r="F209" s="53" t="n"/>
      <c r="G209" s="53" t="n"/>
    </row>
    <row r="210" customFormat="1" s="1916">
      <c r="A210" s="53" t="n"/>
      <c r="B210" s="53" t="n"/>
      <c r="C210" s="2145" t="n"/>
      <c r="D210" s="2145" t="n"/>
      <c r="E210" s="2145" t="n"/>
      <c r="F210" s="53" t="n"/>
      <c r="G210" s="53" t="n"/>
    </row>
    <row r="211" customFormat="1" s="1916">
      <c r="A211" s="53" t="n"/>
      <c r="B211" s="112" t="n"/>
      <c r="C211" s="2145" t="n"/>
      <c r="D211" s="2145" t="n"/>
      <c r="E211" s="2145" t="n"/>
      <c r="F211" s="53" t="n"/>
      <c r="G211" s="53" t="n"/>
    </row>
    <row r="212" customFormat="1" s="1916">
      <c r="A212" s="53" t="n"/>
      <c r="B212" s="112" t="n"/>
      <c r="C212" s="2145" t="n"/>
      <c r="D212" s="2145" t="n"/>
      <c r="E212" s="2145" t="n"/>
      <c r="F212" s="53" t="n"/>
      <c r="G212" s="53" t="n"/>
    </row>
    <row r="213" customFormat="1" s="1916">
      <c r="A213" s="53" t="n"/>
      <c r="B213" s="113" t="n"/>
      <c r="C213" s="2145" t="n"/>
      <c r="D213" s="2145" t="n"/>
      <c r="E213" s="2145" t="n"/>
      <c r="F213" s="53" t="n"/>
      <c r="G213" s="53" t="n"/>
    </row>
    <row r="214" customFormat="1" s="1916">
      <c r="A214" s="53" t="n"/>
      <c r="B214" s="113" t="n"/>
      <c r="C214" s="2145" t="n"/>
      <c r="D214" s="2145" t="n"/>
      <c r="E214" s="2145" t="n"/>
      <c r="F214" s="53" t="n"/>
      <c r="G214" s="53" t="n"/>
    </row>
    <row r="215" customFormat="1" s="1916">
      <c r="A215" s="53" t="n"/>
      <c r="B215" s="113" t="n"/>
      <c r="C215" s="2145" t="n"/>
      <c r="D215" s="2145" t="n"/>
      <c r="E215" s="2145" t="n"/>
      <c r="F215" s="53" t="n"/>
      <c r="G215" s="53" t="n"/>
    </row>
    <row r="216" customFormat="1" s="1916">
      <c r="A216" s="53" t="n"/>
      <c r="B216" s="113" t="n"/>
      <c r="C216" s="2145" t="n"/>
      <c r="D216" s="2145" t="n"/>
      <c r="E216" s="2145" t="n"/>
      <c r="F216" s="53" t="n"/>
      <c r="G216" s="53" t="n"/>
    </row>
    <row r="217" customFormat="1" s="1916">
      <c r="A217" s="53" t="n"/>
      <c r="B217" s="112" t="n"/>
      <c r="C217" s="2145" t="n"/>
      <c r="D217" s="2145" t="n"/>
      <c r="E217" s="2145" t="n"/>
      <c r="F217" s="53" t="n"/>
      <c r="G217" s="53" t="n"/>
    </row>
    <row r="218" customFormat="1" s="1916">
      <c r="A218" s="53" t="n"/>
      <c r="B218" s="113" t="n"/>
      <c r="C218" s="2145" t="n"/>
      <c r="D218" s="2145" t="n"/>
      <c r="E218" s="2149" t="n"/>
      <c r="F218" s="53" t="n"/>
      <c r="G218" s="53" t="n"/>
      <c r="Q218" s="53" t="n"/>
    </row>
    <row r="219" customFormat="1" s="1916">
      <c r="A219" s="53" t="n"/>
      <c r="B219" s="113" t="n"/>
      <c r="C219" s="2145" t="n"/>
      <c r="D219" s="2145" t="n"/>
      <c r="E219" s="2145" t="n"/>
      <c r="F219" s="53" t="n"/>
      <c r="G219" s="53" t="n"/>
      <c r="H219" s="53" t="n"/>
      <c r="J219" s="2154" t="n"/>
      <c r="Q219" s="53" t="n"/>
    </row>
    <row r="220" customFormat="1" s="1916">
      <c r="A220" s="53" t="n"/>
      <c r="B220" s="53" t="n"/>
      <c r="C220" s="2145" t="n"/>
      <c r="D220" s="2145" t="n"/>
      <c r="E220" s="2145" t="n"/>
      <c r="F220" s="2145" t="n"/>
      <c r="G220" s="2145" t="n"/>
      <c r="Q220" s="53" t="n"/>
    </row>
    <row r="221" customFormat="1" s="1916">
      <c r="A221" s="53" t="n"/>
      <c r="B221" s="53" t="n"/>
      <c r="C221" s="2145" t="n"/>
      <c r="D221" s="2145" t="n"/>
      <c r="E221" s="2145" t="n"/>
      <c r="G221" s="540" t="n"/>
      <c r="Q221" s="53" t="n"/>
    </row>
    <row r="222" customFormat="1" s="1916">
      <c r="E222" s="2145" t="n"/>
      <c r="O222" s="53" t="n"/>
      <c r="P222" s="53" t="n"/>
      <c r="Q222" s="53" t="n"/>
      <c r="R222" s="53" t="n"/>
      <c r="S222" s="53" t="n"/>
    </row>
    <row r="223" customFormat="1" s="1916">
      <c r="O223" s="53" t="n"/>
      <c r="P223" s="53" t="n"/>
      <c r="Q223" s="53" t="n"/>
      <c r="R223" s="53" t="n"/>
      <c r="S223" s="53" t="n"/>
    </row>
    <row r="224" customFormat="1" s="1916">
      <c r="O224" s="53" t="n"/>
      <c r="P224" s="53" t="n"/>
      <c r="Q224" s="53" t="n"/>
      <c r="R224" s="53" t="n"/>
      <c r="S224" s="53" t="n"/>
    </row>
    <row r="225" customFormat="1" s="1916">
      <c r="A225" s="53" t="n"/>
      <c r="B225" s="53" t="n"/>
      <c r="C225" s="53" t="n"/>
      <c r="D225" s="53" t="n"/>
      <c r="E225" s="53" t="n"/>
      <c r="O225" s="53" t="n"/>
      <c r="P225" s="53" t="n"/>
      <c r="Q225" s="53" t="n"/>
      <c r="R225" s="53" t="n"/>
      <c r="S225" s="53" t="n"/>
    </row>
    <row r="226" customFormat="1" s="1916">
      <c r="A226" s="53" t="n"/>
      <c r="B226" s="53" t="n"/>
      <c r="C226" s="53" t="n"/>
      <c r="D226" s="53" t="n"/>
      <c r="E226" s="53" t="n"/>
      <c r="F226" s="53" t="n"/>
      <c r="G226" s="53" t="n"/>
      <c r="O226" s="53" t="n"/>
      <c r="P226" s="53" t="n"/>
      <c r="Q226" s="53" t="n"/>
      <c r="R226" s="53" t="n"/>
      <c r="S226" s="2145" t="n"/>
    </row>
    <row r="227" customFormat="1" s="1916">
      <c r="A227" s="53" t="n"/>
      <c r="B227" s="2155" t="n"/>
      <c r="C227" s="2145" t="n"/>
      <c r="D227" s="2145" t="n"/>
      <c r="E227" s="2145" t="n"/>
      <c r="F227" s="2285" t="n"/>
      <c r="G227" s="53" t="n"/>
      <c r="O227" s="53" t="n"/>
      <c r="P227" s="53" t="n"/>
      <c r="Q227" s="2145" t="n"/>
      <c r="R227" s="2145" t="n"/>
      <c r="S227" s="2145" t="n"/>
      <c r="T227" s="53" t="n"/>
      <c r="U227" s="53" t="n"/>
    </row>
    <row r="228" customFormat="1" s="1916">
      <c r="A228" s="53" t="n"/>
      <c r="B228" s="53" t="n"/>
      <c r="C228" s="2145" t="n"/>
      <c r="D228" s="2145" t="n"/>
      <c r="E228" s="2145" t="n"/>
      <c r="F228" s="53" t="n"/>
      <c r="G228" s="53" t="n"/>
      <c r="O228" s="53" t="n"/>
      <c r="P228" s="53" t="n"/>
      <c r="Q228" s="2145" t="n"/>
      <c r="R228" s="2285" t="n"/>
      <c r="S228" s="2145" t="n"/>
      <c r="T228" s="53" t="n"/>
      <c r="U228" s="53" t="n"/>
    </row>
    <row r="229" customFormat="1" s="1916">
      <c r="A229" s="53" t="n"/>
      <c r="B229" s="53" t="n"/>
      <c r="C229" s="2145" t="n"/>
      <c r="D229" s="2145" t="n"/>
      <c r="E229" s="2145" t="n"/>
      <c r="F229" s="53" t="n"/>
      <c r="G229" s="53" t="n"/>
      <c r="O229" s="53" t="n"/>
      <c r="P229" s="53" t="n"/>
      <c r="Q229" s="2145" t="n"/>
      <c r="R229" s="2285" t="n"/>
      <c r="S229" s="2145" t="n"/>
      <c r="T229" s="53" t="n"/>
      <c r="U229" s="53" t="n"/>
    </row>
    <row r="230" customFormat="1" s="1916">
      <c r="A230" s="53" t="n"/>
      <c r="B230" s="53" t="n"/>
      <c r="C230" s="2145" t="n"/>
      <c r="D230" s="2145" t="n"/>
      <c r="E230" s="2145" t="n"/>
      <c r="F230" s="53" t="n"/>
      <c r="G230" s="53" t="n"/>
      <c r="O230" s="53" t="n"/>
      <c r="P230" s="2145" t="n"/>
      <c r="Q230" s="2149" t="n"/>
      <c r="R230" s="53" t="n"/>
      <c r="S230" s="53" t="n"/>
      <c r="T230" s="53" t="n"/>
      <c r="U230" s="53" t="n"/>
      <c r="V230" s="53" t="n"/>
    </row>
    <row r="231" customFormat="1" s="1916">
      <c r="A231" s="53" t="n"/>
      <c r="B231" s="53" t="n"/>
      <c r="C231" s="2145" t="n"/>
      <c r="D231" s="2145" t="n"/>
      <c r="E231" s="2145" t="n"/>
      <c r="F231" s="53" t="n"/>
      <c r="G231" s="53" t="n"/>
      <c r="O231" s="53" t="n"/>
      <c r="P231" s="53" t="n"/>
      <c r="Q231" s="2149" t="n"/>
      <c r="R231" s="53" t="n"/>
      <c r="S231" s="53" t="n"/>
      <c r="T231" s="2145" t="n"/>
      <c r="U231" s="2145" t="n"/>
      <c r="V231" s="53" t="n"/>
    </row>
    <row r="232" customFormat="1" s="1916">
      <c r="A232" s="53" t="n"/>
      <c r="B232" s="53" t="n"/>
      <c r="C232" s="2145" t="n"/>
      <c r="D232" s="2145" t="n"/>
      <c r="E232" s="2145" t="n"/>
      <c r="F232" s="53" t="n"/>
      <c r="G232" s="53" t="n"/>
      <c r="O232" s="53" t="n"/>
      <c r="P232" s="53" t="n"/>
      <c r="Q232" s="2149" t="n"/>
      <c r="R232" s="53" t="n"/>
      <c r="S232" s="53" t="n"/>
      <c r="T232" s="2145" t="n"/>
      <c r="U232" s="2145" t="n"/>
      <c r="V232" s="53" t="n"/>
    </row>
    <row r="233" customFormat="1" s="1916">
      <c r="A233" s="53" t="n"/>
      <c r="B233" s="53" t="n"/>
      <c r="C233" s="2145" t="n"/>
      <c r="D233" s="2145" t="n"/>
      <c r="E233" s="2145" t="n"/>
      <c r="F233" s="53" t="n"/>
      <c r="G233" s="53" t="n"/>
      <c r="O233" s="53" t="n"/>
      <c r="P233" s="53" t="n"/>
      <c r="Q233" s="2149" t="n"/>
      <c r="R233" s="53" t="n"/>
      <c r="S233" s="53" t="n"/>
      <c r="T233" s="2145" t="n"/>
      <c r="U233" s="2145" t="n"/>
      <c r="V233" s="53" t="n"/>
    </row>
    <row r="234" customFormat="1" s="1916">
      <c r="A234" s="53" t="n"/>
      <c r="B234" s="53" t="n"/>
      <c r="C234" s="2145" t="n"/>
      <c r="D234" s="2145" t="n"/>
      <c r="E234" s="2145" t="n"/>
      <c r="F234" s="53" t="n"/>
      <c r="G234" s="53" t="n"/>
      <c r="O234" s="53" t="n"/>
      <c r="P234" s="53" t="n"/>
      <c r="Q234" s="2149" t="n"/>
      <c r="R234" s="53" t="n"/>
      <c r="S234" s="53" t="n"/>
      <c r="T234" s="2145" t="n"/>
      <c r="U234" s="2145" t="n"/>
      <c r="V234" s="53" t="n"/>
    </row>
    <row r="235" customFormat="1" s="1916">
      <c r="A235" s="53" t="n"/>
      <c r="B235" s="53" t="n"/>
      <c r="C235" s="2145" t="n"/>
      <c r="D235" s="2145" t="n"/>
      <c r="E235" s="2145" t="n"/>
      <c r="F235" s="53" t="n"/>
      <c r="G235" s="53" t="n"/>
      <c r="O235" s="53" t="n"/>
      <c r="P235" s="53" t="n"/>
      <c r="Q235" s="2149" t="n"/>
      <c r="R235" s="53" t="n"/>
      <c r="S235" s="53" t="n"/>
      <c r="T235" s="53" t="n"/>
      <c r="U235" s="53" t="n"/>
      <c r="V235" s="53" t="n"/>
    </row>
    <row r="236" customFormat="1" s="1916">
      <c r="A236" s="53" t="n"/>
      <c r="B236" s="53" t="n"/>
      <c r="C236" s="2145" t="n"/>
      <c r="D236" s="2145" t="n"/>
      <c r="E236" s="2145" t="n"/>
      <c r="F236" s="53" t="n"/>
      <c r="G236" s="53" t="n"/>
      <c r="O236" s="53" t="n"/>
      <c r="P236" s="53" t="n"/>
      <c r="Q236" s="2149" t="n"/>
      <c r="R236" s="53" t="n"/>
      <c r="S236" s="53" t="n"/>
      <c r="T236" s="53" t="n"/>
      <c r="U236" s="53" t="n"/>
      <c r="V236" s="53" t="n"/>
    </row>
    <row r="237" customFormat="1" s="1916">
      <c r="A237" s="53" t="n"/>
      <c r="B237" s="53" t="n"/>
      <c r="C237" s="2145" t="n"/>
      <c r="D237" s="2145" t="n"/>
      <c r="E237" s="2145" t="n"/>
      <c r="F237" s="53" t="n"/>
      <c r="G237" s="53" t="n"/>
      <c r="T237" s="53" t="n"/>
      <c r="U237" s="53" t="n"/>
      <c r="V237" s="53" t="n"/>
    </row>
    <row r="238" customFormat="1" s="1916">
      <c r="A238" s="53" t="n"/>
      <c r="B238" s="53" t="n"/>
      <c r="C238" s="2145" t="n"/>
      <c r="D238" s="2145" t="n"/>
      <c r="E238" s="2145" t="n"/>
      <c r="F238" s="53" t="n"/>
      <c r="G238" s="53" t="n"/>
      <c r="T238" s="53" t="n"/>
      <c r="U238" s="53" t="n"/>
      <c r="V238" s="53" t="n"/>
    </row>
    <row r="239" customFormat="1" s="1916">
      <c r="A239" s="53" t="n"/>
      <c r="B239" s="53" t="n"/>
      <c r="C239" s="2145" t="n"/>
      <c r="D239" s="2145" t="n"/>
      <c r="E239" s="2145" t="n"/>
      <c r="F239" s="2285" t="n"/>
      <c r="G239" s="53" t="n"/>
      <c r="T239" s="53" t="n"/>
      <c r="U239" s="53" t="n"/>
      <c r="V239" s="53" t="n"/>
    </row>
    <row r="240" customFormat="1" s="1916">
      <c r="A240" s="53" t="n"/>
      <c r="B240" s="53" t="n"/>
      <c r="C240" s="2145" t="n"/>
      <c r="D240" s="2145" t="n"/>
      <c r="E240" s="2145" t="n"/>
      <c r="F240" s="53" t="n"/>
      <c r="G240" s="53" t="n"/>
      <c r="T240" s="53" t="n"/>
      <c r="U240" s="53" t="n"/>
      <c r="V240" s="53" t="n"/>
    </row>
    <row r="241" customFormat="1" s="1916">
      <c r="A241" s="53" t="n"/>
      <c r="B241" s="53" t="n"/>
      <c r="C241" s="2145" t="n"/>
      <c r="D241" s="2145" t="n"/>
      <c r="E241" s="2145" t="n"/>
      <c r="F241" s="53" t="n"/>
      <c r="G241" s="53" t="n"/>
      <c r="T241" s="53" t="n"/>
      <c r="U241" s="53" t="n"/>
      <c r="V241" s="53" t="n"/>
    </row>
    <row r="242" customFormat="1" s="1916">
      <c r="A242" s="53" t="n"/>
      <c r="B242" s="53" t="n"/>
      <c r="C242" s="2145" t="n"/>
      <c r="D242" s="2145" t="n"/>
      <c r="E242" s="2145" t="n"/>
      <c r="F242" s="53" t="n"/>
      <c r="G242" s="53" t="n"/>
    </row>
    <row r="243" customFormat="1" s="1916">
      <c r="A243" s="53" t="n"/>
      <c r="B243" s="53" t="n"/>
      <c r="C243" s="2145" t="n"/>
      <c r="D243" s="2145" t="n"/>
      <c r="E243" s="2145" t="n"/>
      <c r="F243" s="53" t="n"/>
      <c r="G243" s="53" t="n"/>
    </row>
    <row r="244" customFormat="1" s="1916">
      <c r="A244" s="103" t="n"/>
      <c r="B244" s="103" t="n"/>
      <c r="C244" s="2147" t="n"/>
      <c r="D244" s="2147" t="n"/>
      <c r="E244" s="2147" t="n"/>
      <c r="F244" s="53" t="n"/>
      <c r="G244" s="53" t="n"/>
    </row>
    <row r="245" customFormat="1" s="1916">
      <c r="A245" s="103" t="n"/>
      <c r="B245" s="105" t="n"/>
      <c r="C245" s="2147" t="n"/>
      <c r="D245" s="2147" t="n"/>
      <c r="E245" s="2147" t="n"/>
      <c r="F245" s="53" t="n"/>
      <c r="G245" s="53" t="n"/>
    </row>
    <row r="246" customFormat="1" s="1916">
      <c r="A246" s="103" t="n"/>
      <c r="B246" s="103" t="n"/>
      <c r="C246" s="2147" t="n"/>
      <c r="D246" s="2147" t="n"/>
      <c r="E246" s="2147" t="n"/>
      <c r="F246" s="53" t="n"/>
      <c r="G246" s="53" t="n"/>
    </row>
    <row r="247" customFormat="1" s="1916">
      <c r="A247" s="103" t="n"/>
      <c r="B247" s="105" t="n"/>
      <c r="C247" s="2147" t="n"/>
      <c r="D247" s="2147" t="n"/>
      <c r="E247" s="2147" t="n"/>
      <c r="F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</row>
    <row r="248" customFormat="1" s="1916">
      <c r="A248" s="53" t="n"/>
      <c r="B248" s="53" t="n"/>
      <c r="C248" s="2145" t="n"/>
      <c r="D248" s="2145" t="n"/>
      <c r="E248" s="2145" t="n"/>
      <c r="F248" s="53" t="n"/>
      <c r="H248" s="53" t="n"/>
      <c r="I248" s="53" t="n"/>
      <c r="J248" s="53" t="n"/>
      <c r="K248" s="106" t="n"/>
      <c r="L248" s="106" t="n"/>
      <c r="M248" s="106" t="n"/>
      <c r="N248" s="106" t="n"/>
      <c r="O248" s="106" t="n"/>
    </row>
    <row r="249" customFormat="1" s="1916">
      <c r="A249" s="3" t="n"/>
      <c r="B249" s="2285" t="n"/>
      <c r="C249" s="3" t="n"/>
      <c r="D249" s="3" t="n"/>
      <c r="E249" s="2285" t="n"/>
      <c r="F249" s="107" t="n"/>
      <c r="H249" s="53" t="n"/>
      <c r="I249" s="540" t="n"/>
      <c r="J249" s="53" t="n"/>
      <c r="K249" s="106" t="n"/>
      <c r="L249" s="106" t="n"/>
      <c r="M249" s="106" t="n"/>
      <c r="N249" s="106" t="n"/>
      <c r="O249" s="106" t="n"/>
    </row>
    <row r="250" customFormat="1" s="1916">
      <c r="A250" s="53" t="n"/>
      <c r="B250" s="53" t="n"/>
      <c r="C250" s="53" t="n"/>
      <c r="D250" s="53" t="n"/>
      <c r="E250" s="53" t="n"/>
      <c r="F250" s="107" t="n"/>
      <c r="H250" s="53" t="n"/>
      <c r="I250" s="53" t="n"/>
      <c r="J250" s="53" t="n"/>
      <c r="K250" s="2145" t="n"/>
      <c r="L250" s="2145" t="n"/>
      <c r="M250" s="2145" t="n"/>
      <c r="N250" s="2145" t="n"/>
      <c r="O250" s="53" t="n"/>
    </row>
    <row r="251" customFormat="1" s="1916">
      <c r="A251" s="53" t="n"/>
      <c r="B251" s="53" t="n"/>
      <c r="C251" s="53" t="n"/>
      <c r="D251" s="53" t="n"/>
      <c r="E251" s="106" t="n"/>
      <c r="F251" s="106" t="n"/>
      <c r="H251" s="53" t="n"/>
      <c r="I251" s="93" t="n"/>
      <c r="J251" s="2145" t="n"/>
      <c r="K251" s="2145" t="n"/>
      <c r="L251" s="2145" t="n"/>
      <c r="M251" s="2145" t="n"/>
      <c r="N251" s="2145" t="n"/>
      <c r="O251" s="106" t="n"/>
    </row>
    <row r="252" customFormat="1" s="1916">
      <c r="A252" s="53" t="n"/>
      <c r="B252" s="53" t="n"/>
      <c r="C252" s="53" t="n"/>
      <c r="D252" s="53" t="n"/>
      <c r="E252" s="53" t="n"/>
      <c r="F252" s="53" t="n"/>
      <c r="H252" s="53" t="n"/>
      <c r="I252" s="93" t="n"/>
      <c r="J252" s="2145" t="n"/>
      <c r="K252" s="2145" t="n"/>
      <c r="L252" s="2145" t="n"/>
      <c r="M252" s="2145" t="n"/>
      <c r="N252" s="2145" t="n"/>
      <c r="O252" s="53" t="n"/>
    </row>
    <row r="253" customFormat="1" s="1916">
      <c r="A253" s="53" t="n"/>
      <c r="B253" s="53" t="n"/>
      <c r="C253" s="53" t="n"/>
      <c r="D253" s="53" t="n"/>
      <c r="E253" s="106" t="n"/>
      <c r="F253" s="106" t="n"/>
      <c r="H253" s="53" t="n"/>
      <c r="I253" s="93" t="n"/>
      <c r="J253" s="2145" t="n"/>
      <c r="K253" s="2145" t="n"/>
      <c r="L253" s="2145" t="n"/>
      <c r="M253" s="2145" t="n"/>
      <c r="N253" s="2145" t="n"/>
      <c r="O253" s="106" t="n"/>
    </row>
    <row r="254" customFormat="1" s="1916">
      <c r="A254" s="53" t="n"/>
      <c r="B254" s="53" t="n"/>
      <c r="C254" s="53" t="n"/>
      <c r="D254" s="53" t="n"/>
      <c r="E254" s="2286" t="n"/>
      <c r="F254" s="2286" t="n"/>
      <c r="G254" s="53" t="n"/>
      <c r="H254" s="103" t="n"/>
      <c r="I254" s="103" t="n"/>
      <c r="J254" s="2147" t="n"/>
      <c r="K254" s="2147" t="n"/>
      <c r="L254" s="2147" t="n"/>
      <c r="M254" s="2145" t="n"/>
      <c r="N254" s="2145" t="n"/>
      <c r="O254" s="106" t="n"/>
    </row>
    <row r="255" customFormat="1" s="1916">
      <c r="A255" s="53" t="n"/>
      <c r="B255" s="53" t="n"/>
      <c r="C255" s="2145" t="n"/>
      <c r="D255" s="2145" t="n"/>
      <c r="E255" s="2145" t="n"/>
      <c r="F255" s="2145" t="n"/>
      <c r="G255" s="53" t="n"/>
      <c r="H255" s="53" t="n"/>
      <c r="I255" s="53" t="n"/>
    </row>
    <row r="256" customFormat="1" s="1916">
      <c r="A256" s="53" t="n"/>
      <c r="B256" s="53" t="n"/>
      <c r="C256" s="53" t="n"/>
      <c r="D256" s="53" t="n"/>
      <c r="E256" s="2145" t="n"/>
      <c r="F256" s="53" t="n"/>
      <c r="G256" s="53" t="n"/>
      <c r="H256" s="110" t="n"/>
      <c r="I256" s="53" t="n"/>
      <c r="J256" s="53" t="n"/>
      <c r="K256" s="2145" t="n"/>
      <c r="L256" s="2145" t="n"/>
      <c r="M256" s="2145" t="n"/>
      <c r="N256" s="2145" t="n"/>
    </row>
    <row r="257" customFormat="1" s="1916">
      <c r="A257" s="53" t="n"/>
      <c r="B257" s="93" t="n"/>
      <c r="C257" s="2145" t="n"/>
      <c r="D257" s="2145" t="n"/>
      <c r="E257" s="2145" t="n"/>
      <c r="F257" s="53" t="n"/>
      <c r="G257" s="53" t="n"/>
      <c r="H257" s="2285" t="n"/>
      <c r="I257" s="93" t="n"/>
      <c r="J257" s="2145" t="n"/>
      <c r="K257" s="2145" t="n"/>
      <c r="L257" s="2145" t="n"/>
      <c r="M257" s="2145" t="n"/>
      <c r="N257" s="2145" t="n"/>
    </row>
    <row r="258" customFormat="1" s="1916">
      <c r="A258" s="53" t="n"/>
      <c r="B258" s="93" t="n"/>
      <c r="C258" s="2145" t="n"/>
      <c r="D258" s="2145" t="n"/>
      <c r="E258" s="2145" t="n"/>
      <c r="F258" s="53" t="n"/>
      <c r="G258" s="53" t="n"/>
      <c r="H258" s="53" t="n"/>
      <c r="I258" s="93" t="n"/>
      <c r="J258" s="2145" t="n"/>
      <c r="K258" s="2145" t="n"/>
      <c r="L258" s="2145" t="n"/>
      <c r="M258" s="2145" t="n"/>
      <c r="N258" s="2145" t="n"/>
    </row>
    <row r="259" customFormat="1" s="1916">
      <c r="A259" s="53" t="n"/>
      <c r="B259" s="93" t="n"/>
      <c r="C259" s="2145" t="n"/>
      <c r="D259" s="2145" t="n"/>
      <c r="E259" s="2145" t="n"/>
      <c r="F259" s="53" t="n"/>
      <c r="G259" s="53" t="n"/>
      <c r="H259" s="53" t="n"/>
      <c r="I259" s="93" t="n"/>
      <c r="J259" s="2145" t="n"/>
      <c r="K259" s="2145" t="n"/>
      <c r="L259" s="2145" t="n"/>
      <c r="M259" s="2145" t="n"/>
      <c r="N259" s="2145" t="n"/>
    </row>
    <row r="260" customFormat="1" s="1916">
      <c r="A260" s="53" t="n"/>
      <c r="B260" s="93" t="n"/>
      <c r="C260" s="2145" t="n"/>
      <c r="D260" s="2145" t="n"/>
      <c r="E260" s="2145" t="n"/>
      <c r="F260" s="111" t="n"/>
      <c r="G260" s="53" t="n"/>
      <c r="H260" s="53" t="n"/>
      <c r="I260" s="93" t="n"/>
      <c r="J260" s="2145" t="n"/>
      <c r="K260" s="2145" t="n"/>
      <c r="L260" s="2145" t="n"/>
      <c r="M260" s="2145" t="n"/>
      <c r="N260" s="2145" t="n"/>
    </row>
    <row r="261" customFormat="1" s="1916">
      <c r="A261" s="53" t="n"/>
      <c r="B261" s="93" t="n"/>
      <c r="C261" s="2145" t="n"/>
      <c r="D261" s="2145" t="n"/>
      <c r="E261" s="2145" t="n"/>
      <c r="F261" s="111" t="n"/>
      <c r="G261" s="53" t="n"/>
      <c r="H261" s="53" t="n"/>
      <c r="I261" s="93" t="n"/>
      <c r="J261" s="2145" t="n"/>
      <c r="K261" s="2145" t="n"/>
      <c r="L261" s="2145" t="n"/>
      <c r="M261" s="2145" t="n"/>
      <c r="N261" s="2145" t="n"/>
    </row>
    <row r="262" customFormat="1" s="1916">
      <c r="A262" s="53" t="n"/>
      <c r="B262" s="93" t="n"/>
      <c r="C262" s="2145" t="n"/>
      <c r="D262" s="2145" t="n"/>
      <c r="E262" s="2145" t="n"/>
      <c r="F262" s="53" t="n"/>
      <c r="G262" s="53" t="n"/>
      <c r="H262" s="53" t="n"/>
      <c r="I262" s="93" t="n"/>
      <c r="J262" s="2145" t="n"/>
      <c r="K262" s="2145" t="n"/>
      <c r="L262" s="2145" t="n"/>
      <c r="M262" s="2145" t="n"/>
      <c r="N262" s="2145" t="n"/>
    </row>
    <row r="263" customFormat="1" s="1916">
      <c r="A263" s="53" t="n"/>
      <c r="B263" s="93" t="n"/>
      <c r="C263" s="2145" t="n"/>
      <c r="D263" s="2145" t="n"/>
      <c r="E263" s="2145" t="n"/>
      <c r="F263" s="53" t="n"/>
      <c r="G263" s="53" t="n"/>
      <c r="H263" s="53" t="n"/>
      <c r="I263" s="93" t="n"/>
      <c r="J263" s="2145" t="n"/>
      <c r="K263" s="2145" t="n"/>
      <c r="L263" s="2145" t="n"/>
      <c r="M263" s="2145" t="n"/>
      <c r="N263" s="2145" t="n"/>
    </row>
    <row r="264" customFormat="1" s="1916">
      <c r="A264" s="103" t="n"/>
      <c r="B264" s="103" t="n"/>
      <c r="C264" s="2147" t="n"/>
      <c r="D264" s="2147" t="n"/>
      <c r="E264" s="2147" t="n"/>
      <c r="F264" s="53" t="n"/>
      <c r="G264" s="53" t="n"/>
      <c r="H264" s="103" t="n"/>
      <c r="I264" s="103" t="n"/>
      <c r="J264" s="2147" t="n"/>
      <c r="K264" s="2147" t="n"/>
      <c r="L264" s="2147" t="n"/>
      <c r="M264" s="2147" t="n"/>
      <c r="N264" s="2147" t="n"/>
    </row>
    <row r="265" customFormat="1" s="1916">
      <c r="A265" s="53" t="n"/>
      <c r="B265" s="53" t="n"/>
      <c r="C265" s="2145" t="n"/>
      <c r="D265" s="2145" t="n"/>
      <c r="E265" s="2145" t="n"/>
      <c r="F265" s="53" t="n"/>
      <c r="G265" s="53" t="n"/>
    </row>
    <row r="266" customFormat="1" s="1916">
      <c r="A266" s="53" t="n"/>
      <c r="B266" s="53" t="n"/>
      <c r="C266" s="2145" t="n"/>
      <c r="D266" s="2145" t="n"/>
      <c r="E266" s="2147" t="n"/>
      <c r="F266" s="53" t="n"/>
      <c r="G266" s="53" t="n"/>
    </row>
    <row r="267" customFormat="1" s="1916">
      <c r="A267" s="53" t="n"/>
      <c r="B267" s="53" t="n"/>
      <c r="C267" s="2145" t="n"/>
      <c r="D267" s="2145" t="n"/>
      <c r="E267" s="2145" t="n"/>
      <c r="F267" s="53" t="n"/>
      <c r="G267" s="53" t="n"/>
    </row>
    <row r="268" customFormat="1" s="1916">
      <c r="A268" s="53" t="n"/>
      <c r="B268" s="53" t="n"/>
      <c r="C268" s="2145" t="n"/>
      <c r="D268" s="2145" t="n"/>
      <c r="E268" s="2145" t="n"/>
      <c r="F268" s="53" t="n"/>
      <c r="G268" s="53" t="n"/>
    </row>
    <row r="269" customFormat="1" s="1916">
      <c r="A269" s="53" t="n"/>
      <c r="B269" s="112" t="n"/>
      <c r="C269" s="2145" t="n"/>
      <c r="D269" s="2145" t="n"/>
      <c r="E269" s="2145" t="n"/>
      <c r="F269" s="53" t="n"/>
      <c r="G269" s="53" t="n"/>
    </row>
    <row r="270" customFormat="1" s="1916">
      <c r="A270" s="53" t="n"/>
      <c r="B270" s="112" t="n"/>
      <c r="C270" s="2145" t="n"/>
      <c r="D270" s="2145" t="n"/>
      <c r="E270" s="2145" t="n"/>
      <c r="F270" s="53" t="n"/>
      <c r="G270" s="53" t="n"/>
    </row>
    <row r="271" customFormat="1" s="1916">
      <c r="A271" s="53" t="n"/>
      <c r="B271" s="113" t="n"/>
      <c r="C271" s="2145" t="n"/>
      <c r="D271" s="2145" t="n"/>
      <c r="E271" s="2145" t="n"/>
      <c r="F271" s="53" t="n"/>
      <c r="G271" s="53" t="n"/>
    </row>
    <row r="272" customFormat="1" s="1916">
      <c r="A272" s="53" t="n"/>
      <c r="B272" s="113" t="n"/>
      <c r="C272" s="2145" t="n"/>
      <c r="D272" s="2145" t="n"/>
      <c r="E272" s="2145" t="n"/>
      <c r="F272" s="53" t="n"/>
      <c r="G272" s="53" t="n"/>
    </row>
    <row r="273" customFormat="1" s="1916">
      <c r="A273" s="53" t="n"/>
      <c r="B273" s="113" t="n"/>
      <c r="C273" s="2145" t="n"/>
      <c r="D273" s="2145" t="n"/>
      <c r="E273" s="2145" t="n"/>
      <c r="F273" s="53" t="n"/>
      <c r="G273" s="53" t="n"/>
    </row>
    <row r="274" customFormat="1" s="1916">
      <c r="A274" s="53" t="n"/>
      <c r="B274" s="113" t="n"/>
      <c r="C274" s="2145" t="n"/>
      <c r="D274" s="2145" t="n"/>
      <c r="E274" s="2145" t="n"/>
      <c r="F274" s="53" t="n"/>
      <c r="G274" s="53" t="n"/>
    </row>
    <row r="275" customFormat="1" s="1916">
      <c r="A275" s="53" t="n"/>
      <c r="B275" s="112" t="n"/>
      <c r="C275" s="2145" t="n"/>
      <c r="D275" s="2145" t="n"/>
      <c r="E275" s="2145" t="n"/>
      <c r="F275" s="53" t="n"/>
      <c r="G275" s="53" t="n"/>
    </row>
    <row r="276" customFormat="1" s="1916">
      <c r="A276" s="53" t="n"/>
      <c r="B276" s="112" t="n"/>
      <c r="C276" s="2145" t="n"/>
      <c r="D276" s="2145" t="n"/>
      <c r="E276" s="2145" t="n"/>
      <c r="F276" s="53" t="n"/>
      <c r="G276" s="53" t="n"/>
    </row>
    <row r="277" customFormat="1" s="1916">
      <c r="A277" s="53" t="n"/>
      <c r="B277" s="112" t="n"/>
      <c r="C277" s="2145" t="n"/>
      <c r="D277" s="2145" t="n"/>
      <c r="E277" s="2149" t="n"/>
      <c r="F277" s="53" t="n"/>
      <c r="G277" s="53" t="n"/>
      <c r="Q277" s="53" t="n"/>
    </row>
    <row r="278" customFormat="1" s="1916">
      <c r="A278" s="53" t="n"/>
      <c r="B278" s="113" t="n"/>
      <c r="C278" s="2145" t="n"/>
      <c r="D278" s="2145" t="n"/>
      <c r="E278" s="2145" t="n"/>
      <c r="F278" s="53" t="n"/>
      <c r="G278" s="53" t="n"/>
      <c r="H278" s="53" t="n"/>
      <c r="J278" s="2154" t="n"/>
      <c r="Q278" s="53" t="n"/>
    </row>
    <row r="279" customFormat="1" s="1916">
      <c r="A279" s="53" t="n"/>
      <c r="B279" s="53" t="n"/>
      <c r="C279" s="2145" t="n"/>
      <c r="D279" s="2145" t="n"/>
      <c r="E279" s="2145" t="n"/>
      <c r="F279" s="2145" t="n"/>
      <c r="G279" s="2145" t="n"/>
      <c r="Q279" s="53" t="n"/>
    </row>
    <row r="280" customFormat="1" s="1916">
      <c r="A280" s="53" t="n"/>
      <c r="B280" s="53" t="n"/>
      <c r="C280" s="2145" t="n"/>
      <c r="D280" s="2145" t="n"/>
      <c r="E280" s="2145" t="n"/>
      <c r="G280" s="540" t="n"/>
      <c r="Q280" s="53" t="n"/>
    </row>
    <row r="281" customFormat="1" s="1916">
      <c r="E281" s="2145" t="n"/>
    </row>
    <row r="282" customFormat="1" s="1916">
      <c r="A282" s="115" t="n"/>
    </row>
    <row r="283" customFormat="1" s="1916"/>
    <row r="284" customFormat="1" s="1916">
      <c r="A284" s="53" t="n"/>
      <c r="B284" s="53" t="n"/>
      <c r="C284" s="53" t="n"/>
      <c r="D284" s="53" t="n"/>
      <c r="E284" s="53" t="n"/>
      <c r="O284" s="53" t="n"/>
      <c r="P284" s="53" t="n"/>
      <c r="Q284" s="53" t="n"/>
      <c r="R284" s="53" t="n"/>
      <c r="S284" s="53" t="n"/>
    </row>
    <row r="285" customFormat="1" s="1916">
      <c r="A285" s="53" t="n"/>
      <c r="B285" s="53" t="n"/>
      <c r="C285" s="53" t="n"/>
      <c r="D285" s="53" t="n"/>
      <c r="E285" s="53" t="n"/>
      <c r="F285" s="53" t="n"/>
      <c r="G285" s="53" t="n"/>
      <c r="O285" s="53" t="n"/>
      <c r="P285" s="53" t="n"/>
      <c r="Q285" s="53" t="n"/>
      <c r="R285" s="53" t="n"/>
      <c r="S285" s="2145" t="n"/>
    </row>
    <row r="286" customFormat="1" s="1916">
      <c r="A286" s="53" t="n"/>
      <c r="B286" s="2155" t="n"/>
      <c r="C286" s="2145" t="n"/>
      <c r="D286" s="2145" t="n"/>
      <c r="E286" s="2145" t="n"/>
      <c r="F286" s="2285" t="n"/>
      <c r="G286" s="53" t="n"/>
      <c r="O286" s="53" t="n"/>
      <c r="P286" s="53" t="n"/>
      <c r="Q286" s="2145" t="n"/>
      <c r="R286" s="2145" t="n"/>
      <c r="S286" s="2145" t="n"/>
    </row>
    <row r="287" customFormat="1" s="1916">
      <c r="A287" s="53" t="n"/>
      <c r="B287" s="53" t="n"/>
      <c r="C287" s="2145" t="n"/>
      <c r="D287" s="2145" t="n"/>
      <c r="E287" s="2145" t="n"/>
      <c r="F287" s="53" t="n"/>
      <c r="G287" s="53" t="n"/>
      <c r="O287" s="53" t="n"/>
      <c r="P287" s="53" t="n"/>
      <c r="Q287" s="2145" t="n"/>
      <c r="R287" s="2285" t="n"/>
      <c r="S287" s="2145" t="n"/>
    </row>
    <row r="288" customFormat="1" s="1916">
      <c r="A288" s="53" t="n"/>
      <c r="B288" s="53" t="n"/>
      <c r="C288" s="2145" t="n"/>
      <c r="D288" s="2145" t="n"/>
      <c r="E288" s="2145" t="n"/>
      <c r="F288" s="53" t="n"/>
      <c r="G288" s="53" t="n"/>
      <c r="O288" s="53" t="n"/>
      <c r="P288" s="53" t="n"/>
      <c r="Q288" s="2145" t="n"/>
      <c r="R288" s="2285" t="n"/>
      <c r="S288" s="2145" t="n"/>
    </row>
    <row r="289" customFormat="1" s="1916">
      <c r="A289" s="53" t="n"/>
      <c r="B289" s="53" t="n"/>
      <c r="C289" s="2145" t="n"/>
      <c r="D289" s="2145" t="n"/>
      <c r="E289" s="2145" t="n"/>
      <c r="F289" s="53" t="n"/>
      <c r="G289" s="53" t="n"/>
      <c r="O289" s="53" t="n"/>
      <c r="P289" s="2145" t="n"/>
      <c r="Q289" s="2149" t="n"/>
      <c r="R289" s="53" t="n"/>
      <c r="S289" s="53" t="n"/>
      <c r="T289" s="53" t="n"/>
      <c r="U289" s="53" t="n"/>
      <c r="V289" s="53" t="n"/>
    </row>
    <row r="290" customFormat="1" s="1916">
      <c r="A290" s="53" t="n"/>
      <c r="B290" s="53" t="n"/>
      <c r="C290" s="2145" t="n"/>
      <c r="D290" s="2145" t="n"/>
      <c r="E290" s="2145" t="n"/>
      <c r="F290" s="53" t="n"/>
      <c r="G290" s="53" t="n"/>
      <c r="O290" s="53" t="n"/>
      <c r="P290" s="53" t="n"/>
      <c r="Q290" s="2149" t="n"/>
      <c r="R290" s="53" t="n"/>
      <c r="S290" s="53" t="n"/>
      <c r="T290" s="2145" t="n"/>
      <c r="U290" s="2145" t="n"/>
      <c r="V290" s="53" t="n"/>
    </row>
    <row r="291" customFormat="1" s="1916">
      <c r="A291" s="53" t="n"/>
      <c r="B291" s="53" t="n"/>
      <c r="C291" s="2145" t="n"/>
      <c r="D291" s="2145" t="n"/>
      <c r="E291" s="2145" t="n"/>
      <c r="F291" s="53" t="n"/>
      <c r="G291" s="53" t="n"/>
      <c r="O291" s="53" t="n"/>
      <c r="P291" s="53" t="n"/>
      <c r="Q291" s="2149" t="n"/>
      <c r="R291" s="53" t="n"/>
      <c r="S291" s="53" t="n"/>
      <c r="T291" s="2145" t="n"/>
      <c r="U291" s="2145" t="n"/>
      <c r="V291" s="53" t="n"/>
    </row>
    <row r="292" customFormat="1" s="1916">
      <c r="A292" s="53" t="n"/>
      <c r="B292" s="53" t="n"/>
      <c r="C292" s="2145" t="n"/>
      <c r="D292" s="2145" t="n"/>
      <c r="E292" s="2145" t="n"/>
      <c r="F292" s="53" t="n"/>
      <c r="G292" s="53" t="n"/>
      <c r="O292" s="53" t="n"/>
      <c r="P292" s="53" t="n"/>
      <c r="Q292" s="2149" t="n"/>
      <c r="R292" s="53" t="n"/>
      <c r="S292" s="53" t="n"/>
      <c r="T292" s="2145" t="n"/>
      <c r="U292" s="2145" t="n"/>
      <c r="V292" s="53" t="n"/>
    </row>
    <row r="293" customFormat="1" s="1916">
      <c r="A293" s="53" t="n"/>
      <c r="B293" s="53" t="n"/>
      <c r="C293" s="2145" t="n"/>
      <c r="D293" s="2145" t="n"/>
      <c r="E293" s="2145" t="n"/>
      <c r="F293" s="53" t="n"/>
      <c r="G293" s="53" t="n"/>
      <c r="O293" s="53" t="n"/>
      <c r="P293" s="53" t="n"/>
      <c r="Q293" s="2149" t="n"/>
      <c r="R293" s="53" t="n"/>
      <c r="S293" s="53" t="n"/>
      <c r="T293" s="2145" t="n"/>
      <c r="U293" s="2145" t="n"/>
      <c r="V293" s="53" t="n"/>
    </row>
    <row r="294" customFormat="1" s="1916">
      <c r="A294" s="53" t="n"/>
      <c r="B294" s="53" t="n"/>
      <c r="C294" s="2145" t="n"/>
      <c r="D294" s="2145" t="n"/>
      <c r="E294" s="2145" t="n"/>
      <c r="F294" s="53" t="n"/>
      <c r="G294" s="53" t="n"/>
      <c r="O294" s="53" t="n"/>
      <c r="P294" s="53" t="n"/>
      <c r="Q294" s="2149" t="n"/>
      <c r="R294" s="53" t="n"/>
      <c r="S294" s="53" t="n"/>
      <c r="T294" s="53" t="n"/>
      <c r="U294" s="53" t="n"/>
      <c r="V294" s="53" t="n"/>
    </row>
    <row r="295" customFormat="1" s="1916">
      <c r="A295" s="53" t="n"/>
      <c r="B295" s="53" t="n"/>
      <c r="C295" s="2145" t="n"/>
      <c r="D295" s="2145" t="n"/>
      <c r="E295" s="2145" t="n"/>
      <c r="F295" s="53" t="n"/>
      <c r="G295" s="53" t="n"/>
      <c r="O295" s="53" t="n"/>
      <c r="P295" s="53" t="n"/>
      <c r="Q295" s="2149" t="n"/>
      <c r="R295" s="53" t="n"/>
      <c r="S295" s="53" t="n"/>
      <c r="T295" s="53" t="n"/>
      <c r="U295" s="53" t="n"/>
      <c r="V295" s="53" t="n"/>
    </row>
    <row r="296" customFormat="1" s="1916">
      <c r="A296" s="53" t="n"/>
      <c r="B296" s="53" t="n"/>
      <c r="C296" s="2145" t="n"/>
      <c r="D296" s="2145" t="n"/>
      <c r="E296" s="2145" t="n"/>
      <c r="F296" s="53" t="n"/>
      <c r="G296" s="53" t="n"/>
      <c r="T296" s="53" t="n"/>
      <c r="U296" s="53" t="n"/>
      <c r="V296" s="53" t="n"/>
    </row>
    <row r="297" customFormat="1" s="1916">
      <c r="A297" s="53" t="n"/>
      <c r="B297" s="53" t="n"/>
      <c r="C297" s="2145" t="n"/>
      <c r="D297" s="2145" t="n"/>
      <c r="E297" s="2145" t="n"/>
      <c r="F297" s="53" t="n"/>
      <c r="G297" s="53" t="n"/>
      <c r="T297" s="53" t="n"/>
      <c r="U297" s="53" t="n"/>
      <c r="V297" s="53" t="n"/>
    </row>
    <row r="298" customFormat="1" s="1916">
      <c r="A298" s="53" t="n"/>
      <c r="B298" s="53" t="n"/>
      <c r="C298" s="2145" t="n"/>
      <c r="D298" s="2145" t="n"/>
      <c r="E298" s="2145" t="n"/>
      <c r="F298" s="2285" t="n"/>
      <c r="G298" s="53" t="n"/>
      <c r="T298" s="53" t="n"/>
      <c r="U298" s="53" t="n"/>
      <c r="V298" s="53" t="n"/>
    </row>
    <row r="299" customFormat="1" s="1916">
      <c r="A299" s="53" t="n"/>
      <c r="B299" s="53" t="n"/>
      <c r="C299" s="2145" t="n"/>
      <c r="D299" s="2145" t="n"/>
      <c r="E299" s="2145" t="n"/>
      <c r="F299" s="53" t="n"/>
      <c r="G299" s="53" t="n"/>
      <c r="T299" s="53" t="n"/>
      <c r="U299" s="53" t="n"/>
      <c r="V299" s="53" t="n"/>
    </row>
    <row r="300" customFormat="1" s="1916">
      <c r="A300" s="53" t="n"/>
      <c r="B300" s="53" t="n"/>
      <c r="C300" s="2145" t="n"/>
      <c r="D300" s="2145" t="n"/>
      <c r="E300" s="2145" t="n"/>
      <c r="F300" s="53" t="n"/>
      <c r="G300" s="53" t="n"/>
      <c r="T300" s="53" t="n"/>
      <c r="U300" s="53" t="n"/>
      <c r="V300" s="53" t="n"/>
    </row>
    <row r="301" customFormat="1" s="1916">
      <c r="A301" s="53" t="n"/>
      <c r="B301" s="53" t="n"/>
      <c r="C301" s="2145" t="n"/>
      <c r="D301" s="2145" t="n"/>
      <c r="E301" s="2145" t="n"/>
      <c r="F301" s="53" t="n"/>
      <c r="G301" s="53" t="n"/>
    </row>
    <row r="302" customFormat="1" s="1916">
      <c r="A302" s="53" t="n"/>
      <c r="B302" s="53" t="n"/>
      <c r="C302" s="2145" t="n"/>
      <c r="D302" s="2145" t="n"/>
      <c r="E302" s="2145" t="n"/>
      <c r="F302" s="53" t="n"/>
      <c r="G302" s="53" t="n"/>
    </row>
    <row r="303" customFormat="1" s="1916">
      <c r="A303" s="103" t="n"/>
      <c r="B303" s="103" t="n"/>
      <c r="C303" s="2147" t="n"/>
      <c r="D303" s="2147" t="n"/>
      <c r="E303" s="2147" t="n"/>
      <c r="F303" s="53" t="n"/>
      <c r="G303" s="53" t="n"/>
    </row>
    <row r="304" customFormat="1" s="1916">
      <c r="A304" s="103" t="n"/>
      <c r="B304" s="105" t="n"/>
      <c r="C304" s="2147" t="n"/>
      <c r="D304" s="2147" t="n"/>
      <c r="E304" s="2147" t="n"/>
      <c r="F304" s="53" t="n"/>
      <c r="G304" s="53" t="n"/>
    </row>
    <row r="305" customFormat="1" s="1916">
      <c r="A305" s="103" t="n"/>
      <c r="B305" s="103" t="n"/>
      <c r="C305" s="2147" t="n"/>
      <c r="D305" s="2147" t="n"/>
      <c r="E305" s="2147" t="n"/>
      <c r="F305" s="53" t="n"/>
      <c r="G305" s="53" t="n"/>
    </row>
    <row r="306" customFormat="1" s="1916">
      <c r="A306" s="103" t="n"/>
      <c r="B306" s="105" t="n"/>
      <c r="C306" s="2147" t="n"/>
      <c r="D306" s="2147" t="n"/>
      <c r="E306" s="2147" t="n"/>
      <c r="F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</row>
    <row r="307" customFormat="1" s="1916">
      <c r="A307" s="53" t="n"/>
      <c r="B307" s="53" t="n"/>
      <c r="C307" s="2145" t="n"/>
      <c r="D307" s="2145" t="n"/>
      <c r="E307" s="2145" t="n"/>
      <c r="F307" s="53" t="n"/>
      <c r="H307" s="53" t="n"/>
      <c r="I307" s="53" t="n"/>
      <c r="J307" s="53" t="n"/>
      <c r="K307" s="106" t="n"/>
      <c r="L307" s="106" t="n"/>
      <c r="M307" s="106" t="n"/>
      <c r="N307" s="106" t="n"/>
      <c r="O307" s="106" t="n"/>
    </row>
    <row r="308" customFormat="1" s="1916">
      <c r="A308" s="3" t="n"/>
      <c r="B308" s="2285" t="n"/>
      <c r="C308" s="3" t="n"/>
      <c r="D308" s="3" t="n"/>
      <c r="E308" s="2285" t="n"/>
      <c r="F308" s="107" t="n"/>
      <c r="H308" s="53" t="n"/>
      <c r="I308" s="540" t="n"/>
      <c r="J308" s="53" t="n"/>
      <c r="K308" s="106" t="n"/>
      <c r="L308" s="106" t="n"/>
      <c r="M308" s="106" t="n"/>
      <c r="N308" s="106" t="n"/>
      <c r="O308" s="106" t="n"/>
    </row>
    <row r="309" customFormat="1" s="1916">
      <c r="A309" s="53" t="n"/>
      <c r="B309" s="53" t="n"/>
      <c r="C309" s="53" t="n"/>
      <c r="D309" s="53" t="n"/>
      <c r="E309" s="53" t="n"/>
      <c r="F309" s="107" t="n"/>
      <c r="H309" s="53" t="n"/>
      <c r="I309" s="53" t="n"/>
      <c r="J309" s="53" t="n"/>
      <c r="K309" s="2145" t="n"/>
      <c r="L309" s="2145" t="n"/>
      <c r="M309" s="2145" t="n"/>
      <c r="N309" s="2145" t="n"/>
      <c r="O309" s="53" t="n"/>
    </row>
    <row r="310" customFormat="1" s="1916">
      <c r="A310" s="53" t="n"/>
      <c r="B310" s="53" t="n"/>
      <c r="C310" s="53" t="n"/>
      <c r="D310" s="53" t="n"/>
      <c r="E310" s="106" t="n"/>
      <c r="F310" s="106" t="n"/>
      <c r="H310" s="53" t="n"/>
      <c r="I310" s="93" t="n"/>
      <c r="J310" s="2145" t="n"/>
      <c r="K310" s="2145" t="n"/>
      <c r="L310" s="2145" t="n"/>
      <c r="M310" s="2145" t="n"/>
      <c r="N310" s="2145" t="n"/>
      <c r="O310" s="106" t="n"/>
    </row>
    <row r="311" customFormat="1" s="1916">
      <c r="A311" s="53" t="n"/>
      <c r="B311" s="53" t="n"/>
      <c r="C311" s="53" t="n"/>
      <c r="D311" s="53" t="n"/>
      <c r="E311" s="53" t="n"/>
      <c r="F311" s="53" t="n"/>
      <c r="H311" s="53" t="n"/>
      <c r="I311" s="93" t="n"/>
      <c r="J311" s="2145" t="n"/>
      <c r="K311" s="2145" t="n"/>
      <c r="L311" s="2145" t="n"/>
      <c r="M311" s="2145" t="n"/>
      <c r="N311" s="2145" t="n"/>
      <c r="O311" s="53" t="n"/>
    </row>
    <row r="312" customFormat="1" s="1916">
      <c r="A312" s="53" t="n"/>
      <c r="B312" s="53" t="n"/>
      <c r="C312" s="53" t="n"/>
      <c r="D312" s="53" t="n"/>
      <c r="E312" s="106" t="n"/>
      <c r="F312" s="106" t="n"/>
      <c r="H312" s="53" t="n"/>
      <c r="I312" s="93" t="n"/>
      <c r="J312" s="2145" t="n"/>
      <c r="K312" s="2145" t="n"/>
      <c r="L312" s="2145" t="n"/>
      <c r="M312" s="2145" t="n"/>
      <c r="N312" s="2145" t="n"/>
      <c r="O312" s="106" t="n"/>
    </row>
    <row r="313" customFormat="1" s="1916">
      <c r="A313" s="53" t="n"/>
      <c r="B313" s="53" t="n"/>
      <c r="C313" s="53" t="n"/>
      <c r="D313" s="53" t="n"/>
      <c r="E313" s="2286" t="n"/>
      <c r="F313" s="2286" t="n"/>
      <c r="G313" s="53" t="n"/>
      <c r="H313" s="103" t="n"/>
      <c r="I313" s="103" t="n"/>
      <c r="J313" s="2147" t="n"/>
      <c r="K313" s="2147" t="n"/>
      <c r="L313" s="2147" t="n"/>
      <c r="M313" s="2145" t="n"/>
      <c r="N313" s="2145" t="n"/>
      <c r="O313" s="106" t="n"/>
    </row>
    <row r="314" customFormat="1" s="1916">
      <c r="A314" s="53" t="n"/>
      <c r="B314" s="53" t="n"/>
      <c r="C314" s="2145" t="n"/>
      <c r="D314" s="2145" t="n"/>
      <c r="E314" s="2145" t="n"/>
      <c r="F314" s="2145" t="n"/>
      <c r="G314" s="53" t="n"/>
      <c r="H314" s="53" t="n"/>
      <c r="I314" s="53" t="n"/>
    </row>
    <row r="315" customFormat="1" s="1916">
      <c r="A315" s="53" t="n"/>
      <c r="B315" s="53" t="n"/>
      <c r="C315" s="53" t="n"/>
      <c r="D315" s="53" t="n"/>
      <c r="E315" s="2145" t="n"/>
      <c r="F315" s="53" t="n"/>
      <c r="G315" s="53" t="n"/>
      <c r="H315" s="110" t="n"/>
      <c r="I315" s="53" t="n"/>
      <c r="J315" s="53" t="n"/>
      <c r="K315" s="2145" t="n"/>
      <c r="L315" s="2145" t="n"/>
      <c r="M315" s="2145" t="n"/>
      <c r="N315" s="2145" t="n"/>
    </row>
    <row r="316" customFormat="1" s="1916">
      <c r="A316" s="53" t="n"/>
      <c r="B316" s="93" t="n"/>
      <c r="C316" s="2145" t="n"/>
      <c r="D316" s="2145" t="n"/>
      <c r="E316" s="2145" t="n"/>
      <c r="F316" s="53" t="n"/>
      <c r="G316" s="53" t="n"/>
      <c r="H316" s="2285" t="n"/>
      <c r="I316" s="93" t="n"/>
      <c r="J316" s="2145" t="n"/>
      <c r="K316" s="2145" t="n"/>
      <c r="L316" s="2145" t="n"/>
      <c r="M316" s="2145" t="n"/>
      <c r="N316" s="2145" t="n"/>
    </row>
    <row r="317" customFormat="1" s="1916">
      <c r="A317" s="53" t="n"/>
      <c r="B317" s="93" t="n"/>
      <c r="C317" s="2145" t="n"/>
      <c r="D317" s="2145" t="n"/>
      <c r="E317" s="2145" t="n"/>
      <c r="F317" s="53" t="n"/>
      <c r="G317" s="53" t="n"/>
      <c r="H317" s="53" t="n"/>
      <c r="I317" s="93" t="n"/>
      <c r="J317" s="2145" t="n"/>
      <c r="K317" s="2145" t="n"/>
      <c r="L317" s="2145" t="n"/>
      <c r="M317" s="2145" t="n"/>
      <c r="N317" s="2145" t="n"/>
    </row>
    <row r="318" customFormat="1" s="1916">
      <c r="A318" s="53" t="n"/>
      <c r="B318" s="93" t="n"/>
      <c r="C318" s="2145" t="n"/>
      <c r="D318" s="2145" t="n"/>
      <c r="E318" s="2145" t="n"/>
      <c r="F318" s="53" t="n"/>
      <c r="G318" s="53" t="n"/>
      <c r="H318" s="53" t="n"/>
      <c r="I318" s="93" t="n"/>
      <c r="J318" s="2145" t="n"/>
      <c r="K318" s="2145" t="n"/>
      <c r="L318" s="2145" t="n"/>
      <c r="M318" s="2145" t="n"/>
      <c r="N318" s="2145" t="n"/>
    </row>
    <row r="319" customFormat="1" s="1916">
      <c r="A319" s="53" t="n"/>
      <c r="B319" s="93" t="n"/>
      <c r="C319" s="2145" t="n"/>
      <c r="D319" s="2145" t="n"/>
      <c r="E319" s="2145" t="n"/>
      <c r="F319" s="111" t="n"/>
      <c r="G319" s="53" t="n"/>
      <c r="H319" s="53" t="n"/>
      <c r="I319" s="93" t="n"/>
      <c r="J319" s="2145" t="n"/>
      <c r="K319" s="2145" t="n"/>
      <c r="L319" s="2145" t="n"/>
      <c r="M319" s="2145" t="n"/>
      <c r="N319" s="2145" t="n"/>
    </row>
    <row r="320" customFormat="1" s="1916">
      <c r="A320" s="53" t="n"/>
      <c r="B320" s="93" t="n"/>
      <c r="C320" s="2145" t="n"/>
      <c r="D320" s="2145" t="n"/>
      <c r="E320" s="2145" t="n"/>
      <c r="F320" s="111" t="n"/>
      <c r="G320" s="53" t="n"/>
      <c r="H320" s="53" t="n"/>
      <c r="I320" s="93" t="n"/>
      <c r="J320" s="2145" t="n"/>
      <c r="K320" s="2145" t="n"/>
      <c r="L320" s="2145" t="n"/>
      <c r="M320" s="2145" t="n"/>
      <c r="N320" s="2145" t="n"/>
    </row>
    <row r="321" customFormat="1" s="1916">
      <c r="A321" s="53" t="n"/>
      <c r="B321" s="93" t="n"/>
      <c r="C321" s="2145" t="n"/>
      <c r="D321" s="2145" t="n"/>
      <c r="E321" s="2145" t="n"/>
      <c r="F321" s="53" t="n"/>
      <c r="G321" s="53" t="n"/>
      <c r="H321" s="53" t="n"/>
      <c r="I321" s="93" t="n"/>
      <c r="J321" s="2145" t="n"/>
      <c r="K321" s="2145" t="n"/>
      <c r="L321" s="2145" t="n"/>
      <c r="M321" s="2145" t="n"/>
      <c r="N321" s="2145" t="n"/>
    </row>
    <row r="322" customFormat="1" s="1916">
      <c r="A322" s="53" t="n"/>
      <c r="B322" s="93" t="n"/>
      <c r="C322" s="2145" t="n"/>
      <c r="D322" s="2145" t="n"/>
      <c r="E322" s="2145" t="n"/>
      <c r="F322" s="53" t="n"/>
      <c r="G322" s="53" t="n"/>
      <c r="H322" s="53" t="n"/>
      <c r="I322" s="93" t="n"/>
      <c r="J322" s="2145" t="n"/>
      <c r="K322" s="2145" t="n"/>
      <c r="L322" s="2145" t="n"/>
      <c r="M322" s="2145" t="n"/>
      <c r="N322" s="2145" t="n"/>
    </row>
    <row r="323" customFormat="1" s="1916">
      <c r="A323" s="103" t="n"/>
      <c r="B323" s="103" t="n"/>
      <c r="C323" s="2147" t="n"/>
      <c r="D323" s="2147" t="n"/>
      <c r="E323" s="2147" t="n"/>
      <c r="F323" s="53" t="n"/>
      <c r="G323" s="53" t="n"/>
      <c r="H323" s="103" t="n"/>
      <c r="I323" s="103" t="n"/>
      <c r="J323" s="2147" t="n"/>
      <c r="K323" s="2147" t="n"/>
      <c r="L323" s="2147" t="n"/>
      <c r="M323" s="2147" t="n"/>
      <c r="N323" s="2147" t="n"/>
    </row>
    <row r="324" customFormat="1" s="1916">
      <c r="A324" s="53" t="n"/>
      <c r="B324" s="53" t="n"/>
      <c r="C324" s="2145" t="n"/>
      <c r="D324" s="2145" t="n"/>
      <c r="E324" s="2145" t="n"/>
      <c r="F324" s="53" t="n"/>
      <c r="G324" s="53" t="n"/>
    </row>
    <row r="325" customFormat="1" s="1916">
      <c r="A325" s="53" t="n"/>
      <c r="B325" s="53" t="n"/>
      <c r="C325" s="2145" t="n"/>
      <c r="D325" s="2145" t="n"/>
      <c r="E325" s="2147" t="n"/>
      <c r="F325" s="53" t="n"/>
      <c r="G325" s="53" t="n"/>
    </row>
    <row r="326" customFormat="1" s="1916">
      <c r="A326" s="53" t="n"/>
      <c r="B326" s="53" t="n"/>
      <c r="C326" s="2145" t="n"/>
      <c r="D326" s="2145" t="n"/>
      <c r="E326" s="2145" t="n"/>
      <c r="F326" s="53" t="n"/>
      <c r="G326" s="53" t="n"/>
    </row>
    <row r="327" customFormat="1" s="1916">
      <c r="A327" s="53" t="n"/>
      <c r="B327" s="53" t="n"/>
      <c r="C327" s="2145" t="n"/>
      <c r="D327" s="2145" t="n"/>
      <c r="E327" s="2145" t="n"/>
      <c r="F327" s="53" t="n"/>
      <c r="G327" s="53" t="n"/>
    </row>
    <row r="328" customFormat="1" s="1916">
      <c r="A328" s="53" t="n"/>
      <c r="B328" s="112" t="n"/>
      <c r="C328" s="2145" t="n"/>
      <c r="D328" s="2145" t="n"/>
      <c r="E328" s="2145" t="n"/>
      <c r="F328" s="53" t="n"/>
      <c r="G328" s="53" t="n"/>
    </row>
    <row r="329" customFormat="1" s="1916">
      <c r="A329" s="53" t="n"/>
      <c r="B329" s="112" t="n"/>
      <c r="C329" s="2145" t="n"/>
      <c r="D329" s="2145" t="n"/>
      <c r="E329" s="2145" t="n"/>
      <c r="F329" s="53" t="n"/>
      <c r="G329" s="53" t="n"/>
    </row>
    <row r="330" customFormat="1" s="1916">
      <c r="A330" s="53" t="n"/>
      <c r="B330" s="113" t="n"/>
      <c r="C330" s="2145" t="n"/>
      <c r="D330" s="2145" t="n"/>
      <c r="E330" s="2145" t="n"/>
      <c r="F330" s="53" t="n"/>
      <c r="G330" s="53" t="n"/>
    </row>
    <row r="331" customFormat="1" s="1916">
      <c r="A331" s="53" t="n"/>
      <c r="B331" s="113" t="n"/>
      <c r="C331" s="2145" t="n"/>
      <c r="D331" s="2145" t="n"/>
      <c r="E331" s="2145" t="n"/>
      <c r="F331" s="53" t="n"/>
      <c r="G331" s="53" t="n"/>
    </row>
    <row r="332" customFormat="1" s="1916">
      <c r="A332" s="53" t="n"/>
      <c r="B332" s="113" t="n"/>
      <c r="C332" s="2145" t="n"/>
      <c r="D332" s="2145" t="n"/>
      <c r="E332" s="2145" t="n"/>
      <c r="F332" s="53" t="n"/>
      <c r="G332" s="53" t="n"/>
    </row>
    <row r="333" customFormat="1" s="1916">
      <c r="A333" s="53" t="n"/>
      <c r="B333" s="113" t="n"/>
      <c r="C333" s="2145" t="n"/>
      <c r="D333" s="2145" t="n"/>
      <c r="E333" s="2145" t="n"/>
      <c r="F333" s="53" t="n"/>
      <c r="G333" s="53" t="n"/>
    </row>
    <row r="334" customFormat="1" s="1916">
      <c r="A334" s="53" t="n"/>
      <c r="B334" s="112" t="n"/>
      <c r="C334" s="2145" t="n"/>
      <c r="D334" s="2145" t="n"/>
      <c r="E334" s="2145" t="n"/>
      <c r="F334" s="53" t="n"/>
      <c r="G334" s="53" t="n"/>
    </row>
    <row r="335" customFormat="1" s="1916">
      <c r="A335" s="53" t="n"/>
      <c r="B335" s="112" t="n"/>
      <c r="C335" s="2145" t="n"/>
      <c r="D335" s="2145" t="n"/>
      <c r="E335" s="2145" t="n"/>
      <c r="F335" s="53" t="n"/>
      <c r="G335" s="53" t="n"/>
    </row>
    <row r="336" customFormat="1" s="1916">
      <c r="A336" s="53" t="n"/>
      <c r="B336" s="112" t="n"/>
      <c r="C336" s="2145" t="n"/>
      <c r="D336" s="2145" t="n"/>
      <c r="E336" s="2149" t="n"/>
      <c r="F336" s="53" t="n"/>
      <c r="G336" s="53" t="n"/>
      <c r="Q336" s="53" t="n"/>
    </row>
    <row r="337" customFormat="1" s="1916">
      <c r="A337" s="53" t="n"/>
      <c r="B337" s="113" t="n"/>
      <c r="C337" s="2145" t="n"/>
      <c r="D337" s="2145" t="n"/>
      <c r="E337" s="2145" t="n"/>
      <c r="F337" s="53" t="n"/>
      <c r="G337" s="53" t="n"/>
      <c r="H337" s="53" t="n"/>
      <c r="J337" s="2154" t="n"/>
      <c r="Q337" s="53" t="n"/>
    </row>
    <row r="338" customFormat="1" s="1916">
      <c r="A338" s="53" t="n"/>
      <c r="B338" s="53" t="n"/>
      <c r="C338" s="2145" t="n"/>
      <c r="D338" s="2145" t="n"/>
      <c r="E338" s="2145" t="n"/>
      <c r="F338" s="2145" t="n"/>
      <c r="G338" s="2145" t="n"/>
      <c r="Q338" s="53" t="n"/>
    </row>
    <row r="339" customFormat="1" s="1916">
      <c r="A339" s="53" t="n"/>
      <c r="B339" s="53" t="n"/>
      <c r="C339" s="2145" t="n"/>
      <c r="D339" s="2145" t="n"/>
      <c r="E339" s="2145" t="n"/>
      <c r="G339" s="540" t="n"/>
      <c r="Q339" s="53" t="n"/>
    </row>
    <row r="340" customFormat="1" s="1916">
      <c r="A340" s="115" t="n"/>
      <c r="E340" s="2145" t="n"/>
    </row>
    <row r="341" customFormat="1" s="1916"/>
    <row r="342" customFormat="1" s="1916">
      <c r="A342" s="116" t="n"/>
    </row>
    <row r="343" customFormat="1" s="1916">
      <c r="A343" s="53" t="n"/>
      <c r="B343" s="53" t="n"/>
      <c r="C343" s="53" t="n"/>
      <c r="D343" s="53" t="n"/>
      <c r="E343" s="53" t="n"/>
      <c r="O343" s="53" t="n"/>
      <c r="P343" s="53" t="n"/>
      <c r="Q343" s="53" t="n"/>
      <c r="R343" s="53" t="n"/>
      <c r="S343" s="53" t="n"/>
    </row>
    <row r="344" customFormat="1" s="1916">
      <c r="A344" s="53" t="n"/>
      <c r="B344" s="53" t="n"/>
      <c r="C344" s="53" t="n"/>
      <c r="D344" s="53" t="n"/>
      <c r="E344" s="53" t="n"/>
      <c r="F344" s="53" t="n"/>
      <c r="G344" s="53" t="n"/>
      <c r="O344" s="53" t="n"/>
      <c r="P344" s="53" t="n"/>
      <c r="Q344" s="53" t="n"/>
      <c r="R344" s="53" t="n"/>
      <c r="S344" s="2145" t="n"/>
    </row>
    <row r="345" customFormat="1" s="1916">
      <c r="A345" s="53" t="n"/>
      <c r="B345" s="2155" t="n"/>
      <c r="C345" s="2145" t="n"/>
      <c r="D345" s="2145" t="n"/>
      <c r="E345" s="2145" t="n"/>
      <c r="F345" s="2285" t="n"/>
      <c r="G345" s="53" t="n"/>
      <c r="O345" s="53" t="n"/>
      <c r="P345" s="53" t="n"/>
      <c r="Q345" s="2145" t="n"/>
      <c r="R345" s="2145" t="n"/>
      <c r="S345" s="2145" t="n"/>
    </row>
    <row r="346" customFormat="1" s="1916">
      <c r="A346" s="53" t="n"/>
      <c r="B346" s="53" t="n"/>
      <c r="C346" s="2145" t="n"/>
      <c r="D346" s="2145" t="n"/>
      <c r="E346" s="2145" t="n"/>
      <c r="F346" s="53" t="n"/>
      <c r="G346" s="53" t="n"/>
      <c r="O346" s="53" t="n"/>
      <c r="P346" s="53" t="n"/>
      <c r="Q346" s="2145" t="n"/>
      <c r="R346" s="2285" t="n"/>
      <c r="S346" s="2145" t="n"/>
    </row>
    <row r="347" customFormat="1" s="1916">
      <c r="A347" s="53" t="n"/>
      <c r="B347" s="53" t="n"/>
      <c r="C347" s="2145" t="n"/>
      <c r="D347" s="2145" t="n"/>
      <c r="E347" s="2145" t="n"/>
      <c r="F347" s="53" t="n"/>
      <c r="G347" s="53" t="n"/>
      <c r="O347" s="53" t="n"/>
      <c r="P347" s="53" t="n"/>
      <c r="Q347" s="2145" t="n"/>
      <c r="R347" s="2285" t="n"/>
      <c r="S347" s="2145" t="n"/>
    </row>
    <row r="348" customFormat="1" s="1916">
      <c r="A348" s="53" t="n"/>
      <c r="B348" s="53" t="n"/>
      <c r="C348" s="2145" t="n"/>
      <c r="D348" s="2145" t="n"/>
      <c r="E348" s="2145" t="n"/>
      <c r="F348" s="53" t="n"/>
      <c r="G348" s="53" t="n"/>
      <c r="O348" s="53" t="n"/>
      <c r="P348" s="2145" t="n"/>
      <c r="Q348" s="2149" t="n"/>
      <c r="R348" s="53" t="n"/>
      <c r="S348" s="53" t="n"/>
      <c r="T348" s="53" t="n"/>
      <c r="U348" s="53" t="n"/>
      <c r="V348" s="53" t="n"/>
    </row>
    <row r="349" customFormat="1" s="1916">
      <c r="A349" s="53" t="n"/>
      <c r="B349" s="53" t="n"/>
      <c r="C349" s="2145" t="n"/>
      <c r="D349" s="2145" t="n"/>
      <c r="E349" s="2145" t="n"/>
      <c r="F349" s="53" t="n"/>
      <c r="G349" s="53" t="n"/>
      <c r="O349" s="53" t="n"/>
      <c r="P349" s="53" t="n"/>
      <c r="Q349" s="2149" t="n"/>
      <c r="R349" s="53" t="n"/>
      <c r="S349" s="53" t="n"/>
      <c r="T349" s="2145" t="n"/>
      <c r="U349" s="2145" t="n"/>
      <c r="V349" s="53" t="n"/>
    </row>
    <row r="350" customFormat="1" s="1916">
      <c r="A350" s="53" t="n"/>
      <c r="B350" s="53" t="n"/>
      <c r="C350" s="2145" t="n"/>
      <c r="D350" s="2145" t="n"/>
      <c r="E350" s="2145" t="n"/>
      <c r="F350" s="53" t="n"/>
      <c r="G350" s="53" t="n"/>
      <c r="O350" s="53" t="n"/>
      <c r="P350" s="53" t="n"/>
      <c r="Q350" s="2149" t="n"/>
      <c r="R350" s="53" t="n"/>
      <c r="S350" s="53" t="n"/>
      <c r="T350" s="2145" t="n"/>
      <c r="U350" s="2145" t="n"/>
      <c r="V350" s="53" t="n"/>
    </row>
    <row r="351" customFormat="1" s="1916">
      <c r="A351" s="53" t="n"/>
      <c r="B351" s="53" t="n"/>
      <c r="C351" s="2145" t="n"/>
      <c r="D351" s="2145" t="n"/>
      <c r="E351" s="2145" t="n"/>
      <c r="F351" s="53" t="n"/>
      <c r="G351" s="53" t="n"/>
      <c r="O351" s="53" t="n"/>
      <c r="P351" s="53" t="n"/>
      <c r="Q351" s="2149" t="n"/>
      <c r="R351" s="53" t="n"/>
      <c r="S351" s="53" t="n"/>
      <c r="T351" s="2145" t="n"/>
      <c r="U351" s="2145" t="n"/>
      <c r="V351" s="53" t="n"/>
    </row>
    <row r="352" customFormat="1" s="1916">
      <c r="A352" s="53" t="n"/>
      <c r="B352" s="53" t="n"/>
      <c r="C352" s="2145" t="n"/>
      <c r="D352" s="2145" t="n"/>
      <c r="E352" s="2145" t="n"/>
      <c r="F352" s="53" t="n"/>
      <c r="G352" s="53" t="n"/>
      <c r="O352" s="53" t="n"/>
      <c r="P352" s="53" t="n"/>
      <c r="Q352" s="2149" t="n"/>
      <c r="R352" s="53" t="n"/>
      <c r="S352" s="53" t="n"/>
      <c r="T352" s="2145" t="n"/>
      <c r="U352" s="2145" t="n"/>
      <c r="V352" s="53" t="n"/>
    </row>
    <row r="353" customFormat="1" s="1916">
      <c r="A353" s="53" t="n"/>
      <c r="B353" s="53" t="n"/>
      <c r="C353" s="2145" t="n"/>
      <c r="D353" s="2145" t="n"/>
      <c r="E353" s="2145" t="n"/>
      <c r="F353" s="53" t="n"/>
      <c r="G353" s="53" t="n"/>
      <c r="O353" s="53" t="n"/>
      <c r="P353" s="53" t="n"/>
      <c r="Q353" s="2149" t="n"/>
      <c r="R353" s="53" t="n"/>
      <c r="S353" s="53" t="n"/>
      <c r="T353" s="53" t="n"/>
      <c r="U353" s="53" t="n"/>
      <c r="V353" s="53" t="n"/>
    </row>
    <row r="354" customFormat="1" s="1916">
      <c r="A354" s="53" t="n"/>
      <c r="B354" s="53" t="n"/>
      <c r="C354" s="2145" t="n"/>
      <c r="D354" s="2145" t="n"/>
      <c r="E354" s="2145" t="n"/>
      <c r="F354" s="53" t="n"/>
      <c r="G354" s="53" t="n"/>
      <c r="O354" s="53" t="n"/>
      <c r="P354" s="53" t="n"/>
      <c r="Q354" s="2149" t="n"/>
      <c r="R354" s="53" t="n"/>
      <c r="S354" s="53" t="n"/>
      <c r="T354" s="53" t="n"/>
      <c r="U354" s="53" t="n"/>
      <c r="V354" s="53" t="n"/>
    </row>
    <row r="355" customFormat="1" s="1916">
      <c r="A355" s="53" t="n"/>
      <c r="B355" s="53" t="n"/>
      <c r="C355" s="2145" t="n"/>
      <c r="D355" s="2145" t="n"/>
      <c r="E355" s="2145" t="n"/>
      <c r="F355" s="53" t="n"/>
      <c r="G355" s="53" t="n"/>
      <c r="T355" s="53" t="n"/>
      <c r="U355" s="53" t="n"/>
      <c r="V355" s="53" t="n"/>
    </row>
    <row r="356" customFormat="1" s="1916">
      <c r="A356" s="53" t="n"/>
      <c r="B356" s="53" t="n"/>
      <c r="C356" s="2145" t="n"/>
      <c r="D356" s="2145" t="n"/>
      <c r="E356" s="2145" t="n"/>
      <c r="F356" s="53" t="n"/>
      <c r="G356" s="53" t="n"/>
      <c r="T356" s="53" t="n"/>
      <c r="U356" s="53" t="n"/>
      <c r="V356" s="53" t="n"/>
    </row>
    <row r="357" customFormat="1" s="1916">
      <c r="A357" s="53" t="n"/>
      <c r="B357" s="53" t="n"/>
      <c r="C357" s="2145" t="n"/>
      <c r="D357" s="2145" t="n"/>
      <c r="E357" s="2145" t="n"/>
      <c r="F357" s="2285" t="n"/>
      <c r="G357" s="53" t="n"/>
      <c r="T357" s="53" t="n"/>
      <c r="U357" s="53" t="n"/>
      <c r="V357" s="53" t="n"/>
    </row>
    <row r="358" customFormat="1" s="1916">
      <c r="A358" s="53" t="n"/>
      <c r="B358" s="53" t="n"/>
      <c r="C358" s="2145" t="n"/>
      <c r="D358" s="2145" t="n"/>
      <c r="E358" s="2145" t="n"/>
      <c r="F358" s="53" t="n"/>
      <c r="G358" s="53" t="n"/>
      <c r="T358" s="53" t="n"/>
      <c r="U358" s="53" t="n"/>
      <c r="V358" s="53" t="n"/>
    </row>
    <row r="359" customFormat="1" s="1916">
      <c r="A359" s="53" t="n"/>
      <c r="B359" s="53" t="n"/>
      <c r="C359" s="2145" t="n"/>
      <c r="D359" s="2145" t="n"/>
      <c r="E359" s="2145" t="n"/>
      <c r="F359" s="53" t="n"/>
      <c r="G359" s="53" t="n"/>
      <c r="T359" s="53" t="n"/>
      <c r="U359" s="53" t="n"/>
      <c r="V359" s="53" t="n"/>
    </row>
    <row r="360" customFormat="1" s="1916">
      <c r="A360" s="53" t="n"/>
      <c r="B360" s="53" t="n"/>
      <c r="C360" s="2145" t="n"/>
      <c r="D360" s="2145" t="n"/>
      <c r="E360" s="2145" t="n"/>
      <c r="F360" s="53" t="n"/>
      <c r="G360" s="53" t="n"/>
    </row>
    <row r="361" customFormat="1" s="1916">
      <c r="A361" s="53" t="n"/>
      <c r="B361" s="53" t="n"/>
      <c r="C361" s="2145" t="n"/>
      <c r="D361" s="2145" t="n"/>
      <c r="E361" s="2145" t="n"/>
      <c r="F361" s="53" t="n"/>
      <c r="G361" s="53" t="n"/>
    </row>
    <row r="362" customFormat="1" s="1916">
      <c r="A362" s="103" t="n"/>
      <c r="B362" s="103" t="n"/>
      <c r="C362" s="2147" t="n"/>
      <c r="D362" s="2147" t="n"/>
      <c r="E362" s="2147" t="n"/>
      <c r="F362" s="53" t="n"/>
      <c r="G362" s="53" t="n"/>
    </row>
    <row r="363" customFormat="1" s="1916">
      <c r="A363" s="103" t="n"/>
      <c r="B363" s="105" t="n"/>
      <c r="C363" s="2147" t="n"/>
      <c r="D363" s="2147" t="n"/>
      <c r="E363" s="2147" t="n"/>
      <c r="F363" s="53" t="n"/>
      <c r="G363" s="53" t="n"/>
    </row>
    <row r="364" customFormat="1" s="1916">
      <c r="A364" s="103" t="n"/>
      <c r="B364" s="103" t="n"/>
      <c r="C364" s="2147" t="n"/>
      <c r="D364" s="2147" t="n"/>
      <c r="E364" s="2147" t="n"/>
      <c r="F364" s="53" t="n"/>
      <c r="G364" s="53" t="n"/>
    </row>
    <row r="365" customFormat="1" s="1916">
      <c r="A365" s="103" t="n"/>
      <c r="B365" s="105" t="n"/>
      <c r="C365" s="2147" t="n"/>
      <c r="D365" s="2147" t="n"/>
      <c r="E365" s="2147" t="n"/>
      <c r="F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</row>
    <row r="366" customFormat="1" s="1916">
      <c r="A366" s="53" t="n"/>
      <c r="B366" s="53" t="n"/>
      <c r="C366" s="2145" t="n"/>
      <c r="D366" s="2145" t="n"/>
      <c r="E366" s="2145" t="n"/>
      <c r="F366" s="53" t="n"/>
      <c r="H366" s="53" t="n"/>
      <c r="I366" s="53" t="n"/>
      <c r="J366" s="53" t="n"/>
      <c r="K366" s="106" t="n"/>
      <c r="L366" s="106" t="n"/>
      <c r="M366" s="106" t="n"/>
      <c r="N366" s="106" t="n"/>
      <c r="O366" s="106" t="n"/>
    </row>
    <row r="367" customFormat="1" s="1916">
      <c r="A367" s="3" t="n"/>
      <c r="B367" s="2285" t="n"/>
      <c r="C367" s="3" t="n"/>
      <c r="D367" s="3" t="n"/>
      <c r="E367" s="2285" t="n"/>
      <c r="F367" s="107" t="n"/>
      <c r="H367" s="53" t="n"/>
      <c r="I367" s="540" t="n"/>
      <c r="J367" s="53" t="n"/>
      <c r="K367" s="106" t="n"/>
      <c r="L367" s="106" t="n"/>
      <c r="M367" s="106" t="n"/>
      <c r="N367" s="106" t="n"/>
      <c r="O367" s="106" t="n"/>
    </row>
    <row r="368" customFormat="1" s="1916">
      <c r="A368" s="53" t="n"/>
      <c r="B368" s="53" t="n"/>
      <c r="C368" s="53" t="n"/>
      <c r="D368" s="53" t="n"/>
      <c r="E368" s="53" t="n"/>
      <c r="F368" s="107" t="n"/>
      <c r="H368" s="53" t="n"/>
      <c r="I368" s="53" t="n"/>
      <c r="J368" s="53" t="n"/>
      <c r="K368" s="2145" t="n"/>
      <c r="L368" s="2145" t="n"/>
      <c r="M368" s="2145" t="n"/>
      <c r="N368" s="2145" t="n"/>
      <c r="O368" s="53" t="n"/>
    </row>
    <row r="369" customFormat="1" s="1916">
      <c r="A369" s="53" t="n"/>
      <c r="B369" s="53" t="n"/>
      <c r="C369" s="53" t="n"/>
      <c r="D369" s="53" t="n"/>
      <c r="E369" s="106" t="n"/>
      <c r="F369" s="106" t="n"/>
      <c r="H369" s="53" t="n"/>
      <c r="I369" s="93" t="n"/>
      <c r="J369" s="2145" t="n"/>
      <c r="K369" s="2145" t="n"/>
      <c r="L369" s="2145" t="n"/>
      <c r="M369" s="2145" t="n"/>
      <c r="N369" s="2145" t="n"/>
      <c r="O369" s="106" t="n"/>
    </row>
    <row r="370" customFormat="1" s="1916">
      <c r="A370" s="53" t="n"/>
      <c r="B370" s="53" t="n"/>
      <c r="C370" s="53" t="n"/>
      <c r="D370" s="53" t="n"/>
      <c r="E370" s="53" t="n"/>
      <c r="F370" s="53" t="n"/>
      <c r="H370" s="53" t="n"/>
      <c r="I370" s="93" t="n"/>
      <c r="J370" s="2145" t="n"/>
      <c r="K370" s="2145" t="n"/>
      <c r="L370" s="2145" t="n"/>
      <c r="M370" s="2145" t="n"/>
      <c r="N370" s="2145" t="n"/>
      <c r="O370" s="53" t="n"/>
    </row>
    <row r="371" customFormat="1" s="1916">
      <c r="A371" s="53" t="n"/>
      <c r="B371" s="53" t="n"/>
      <c r="C371" s="53" t="n"/>
      <c r="D371" s="53" t="n"/>
      <c r="E371" s="106" t="n"/>
      <c r="F371" s="106" t="n"/>
      <c r="H371" s="53" t="n"/>
      <c r="I371" s="93" t="n"/>
      <c r="J371" s="2145" t="n"/>
      <c r="K371" s="2145" t="n"/>
      <c r="L371" s="2145" t="n"/>
      <c r="M371" s="2145" t="n"/>
      <c r="N371" s="2145" t="n"/>
      <c r="O371" s="106" t="n"/>
    </row>
    <row r="372" customFormat="1" s="1916">
      <c r="A372" s="53" t="n"/>
      <c r="B372" s="53" t="n"/>
      <c r="C372" s="53" t="n"/>
      <c r="D372" s="53" t="n"/>
      <c r="E372" s="2286" t="n"/>
      <c r="F372" s="2286" t="n"/>
      <c r="G372" s="53" t="n"/>
      <c r="H372" s="103" t="n"/>
      <c r="I372" s="103" t="n"/>
      <c r="J372" s="2147" t="n"/>
      <c r="K372" s="2147" t="n"/>
      <c r="L372" s="2147" t="n"/>
      <c r="M372" s="2145" t="n"/>
      <c r="N372" s="2145" t="n"/>
      <c r="O372" s="106" t="n"/>
    </row>
    <row r="373" customFormat="1" s="1916">
      <c r="A373" s="53" t="n"/>
      <c r="B373" s="53" t="n"/>
      <c r="C373" s="2145" t="n"/>
      <c r="D373" s="2145" t="n"/>
      <c r="E373" s="2145" t="n"/>
      <c r="F373" s="2145" t="n"/>
      <c r="G373" s="53" t="n"/>
      <c r="H373" s="53" t="n"/>
      <c r="I373" s="53" t="n"/>
    </row>
    <row r="374" customFormat="1" s="1916">
      <c r="A374" s="53" t="n"/>
      <c r="B374" s="53" t="n"/>
      <c r="C374" s="53" t="n"/>
      <c r="D374" s="53" t="n"/>
      <c r="E374" s="2145" t="n"/>
      <c r="F374" s="53" t="n"/>
      <c r="G374" s="53" t="n"/>
      <c r="H374" s="110" t="n"/>
      <c r="I374" s="53" t="n"/>
      <c r="J374" s="53" t="n"/>
      <c r="K374" s="2145" t="n"/>
      <c r="L374" s="2145" t="n"/>
      <c r="M374" s="2145" t="n"/>
      <c r="N374" s="2145" t="n"/>
    </row>
    <row r="375" customFormat="1" s="1916">
      <c r="A375" s="53" t="n"/>
      <c r="B375" s="93" t="n"/>
      <c r="C375" s="2145" t="n"/>
      <c r="D375" s="2145" t="n"/>
      <c r="E375" s="2145" t="n"/>
      <c r="F375" s="53" t="n"/>
      <c r="G375" s="53" t="n"/>
      <c r="H375" s="2285" t="n"/>
      <c r="I375" s="93" t="n"/>
      <c r="J375" s="2145" t="n"/>
      <c r="K375" s="2145" t="n"/>
      <c r="L375" s="2145" t="n"/>
      <c r="M375" s="2145" t="n"/>
      <c r="N375" s="2145" t="n"/>
    </row>
    <row r="376" customFormat="1" s="1916">
      <c r="A376" s="53" t="n"/>
      <c r="B376" s="93" t="n"/>
      <c r="C376" s="2145" t="n"/>
      <c r="D376" s="2145" t="n"/>
      <c r="E376" s="2145" t="n"/>
      <c r="F376" s="53" t="n"/>
      <c r="G376" s="53" t="n"/>
      <c r="H376" s="53" t="n"/>
      <c r="I376" s="93" t="n"/>
      <c r="J376" s="2145" t="n"/>
      <c r="K376" s="2145" t="n"/>
      <c r="L376" s="2145" t="n"/>
      <c r="M376" s="2145" t="n"/>
      <c r="N376" s="2145" t="n"/>
    </row>
    <row r="377" customFormat="1" s="1916">
      <c r="A377" s="53" t="n"/>
      <c r="B377" s="93" t="n"/>
      <c r="C377" s="2145" t="n"/>
      <c r="D377" s="2145" t="n"/>
      <c r="E377" s="2145" t="n"/>
      <c r="F377" s="53" t="n"/>
      <c r="G377" s="53" t="n"/>
      <c r="H377" s="53" t="n"/>
      <c r="I377" s="93" t="n"/>
      <c r="J377" s="2145" t="n"/>
      <c r="K377" s="2145" t="n"/>
      <c r="L377" s="2145" t="n"/>
      <c r="M377" s="2145" t="n"/>
      <c r="N377" s="2145" t="n"/>
    </row>
    <row r="378" customFormat="1" s="1916">
      <c r="A378" s="53" t="n"/>
      <c r="B378" s="93" t="n"/>
      <c r="C378" s="2145" t="n"/>
      <c r="D378" s="2145" t="n"/>
      <c r="E378" s="2145" t="n"/>
      <c r="F378" s="111" t="n"/>
      <c r="G378" s="53" t="n"/>
      <c r="H378" s="53" t="n"/>
      <c r="I378" s="93" t="n"/>
      <c r="J378" s="2145" t="n"/>
      <c r="K378" s="2145" t="n"/>
      <c r="L378" s="2145" t="n"/>
      <c r="M378" s="2145" t="n"/>
      <c r="N378" s="2145" t="n"/>
    </row>
    <row r="379" customFormat="1" s="1916">
      <c r="A379" s="53" t="n"/>
      <c r="B379" s="93" t="n"/>
      <c r="C379" s="2145" t="n"/>
      <c r="D379" s="2145" t="n"/>
      <c r="E379" s="2145" t="n"/>
      <c r="F379" s="53" t="n"/>
      <c r="G379" s="53" t="n"/>
      <c r="H379" s="53" t="n"/>
      <c r="I379" s="93" t="n"/>
      <c r="J379" s="2145" t="n"/>
      <c r="K379" s="2145" t="n"/>
      <c r="L379" s="2145" t="n"/>
      <c r="M379" s="2145" t="n"/>
      <c r="N379" s="2145" t="n"/>
    </row>
    <row r="380" customFormat="1" s="1916">
      <c r="A380" s="53" t="n"/>
      <c r="B380" s="93" t="n"/>
      <c r="C380" s="2145" t="n"/>
      <c r="D380" s="2145" t="n"/>
      <c r="E380" s="2145" t="n"/>
      <c r="F380" s="53" t="n"/>
      <c r="G380" s="53" t="n"/>
      <c r="H380" s="53" t="n"/>
      <c r="I380" s="93" t="n"/>
      <c r="J380" s="2145" t="n"/>
      <c r="K380" s="2145" t="n"/>
      <c r="L380" s="2145" t="n"/>
      <c r="M380" s="2145" t="n"/>
      <c r="N380" s="2145" t="n"/>
    </row>
    <row r="381" customFormat="1" s="1916">
      <c r="A381" s="53" t="n"/>
      <c r="B381" s="93" t="n"/>
      <c r="C381" s="2145" t="n"/>
      <c r="D381" s="2145" t="n"/>
      <c r="E381" s="2145" t="n"/>
      <c r="F381" s="53" t="n"/>
      <c r="G381" s="53" t="n"/>
      <c r="H381" s="53" t="n"/>
      <c r="I381" s="93" t="n"/>
      <c r="J381" s="2145" t="n"/>
      <c r="K381" s="2145" t="n"/>
      <c r="L381" s="2145" t="n"/>
      <c r="M381" s="2145" t="n"/>
      <c r="N381" s="2145" t="n"/>
    </row>
    <row r="382" customFormat="1" s="1916">
      <c r="A382" s="103" t="n"/>
      <c r="B382" s="103" t="n"/>
      <c r="C382" s="2147" t="n"/>
      <c r="D382" s="2147" t="n"/>
      <c r="E382" s="2147" t="n"/>
      <c r="F382" s="53" t="n"/>
      <c r="G382" s="53" t="n"/>
      <c r="H382" s="103" t="n"/>
      <c r="I382" s="103" t="n"/>
      <c r="J382" s="2147" t="n"/>
      <c r="K382" s="2147" t="n"/>
      <c r="L382" s="2147" t="n"/>
      <c r="M382" s="2147" t="n"/>
      <c r="N382" s="2147" t="n"/>
    </row>
    <row r="383" customFormat="1" s="1916">
      <c r="A383" s="53" t="n"/>
      <c r="B383" s="53" t="n"/>
      <c r="C383" s="2145" t="n"/>
      <c r="D383" s="2145" t="n"/>
      <c r="E383" s="2145" t="n"/>
      <c r="F383" s="53" t="n"/>
      <c r="G383" s="53" t="n"/>
    </row>
    <row r="384" customFormat="1" s="1916">
      <c r="A384" s="53" t="n"/>
      <c r="B384" s="53" t="n"/>
      <c r="C384" s="2145" t="n"/>
      <c r="D384" s="2145" t="n"/>
      <c r="E384" s="2147" t="n"/>
      <c r="F384" s="53" t="n"/>
      <c r="G384" s="53" t="n"/>
    </row>
    <row r="385" customFormat="1" s="1916">
      <c r="A385" s="53" t="n"/>
      <c r="B385" s="53" t="n"/>
      <c r="C385" s="2145" t="n"/>
      <c r="D385" s="2145" t="n"/>
      <c r="E385" s="2145" t="n"/>
      <c r="F385" s="53" t="n"/>
      <c r="G385" s="53" t="n"/>
    </row>
    <row r="386" customFormat="1" s="1916">
      <c r="A386" s="53" t="n"/>
      <c r="B386" s="53" t="n"/>
      <c r="C386" s="2145" t="n"/>
      <c r="D386" s="2145" t="n"/>
      <c r="E386" s="2145" t="n"/>
      <c r="F386" s="53" t="n"/>
      <c r="G386" s="53" t="n"/>
    </row>
    <row r="387" customFormat="1" s="1916">
      <c r="A387" s="53" t="n"/>
      <c r="B387" s="112" t="n"/>
      <c r="C387" s="2145" t="n"/>
      <c r="D387" s="2145" t="n"/>
      <c r="E387" s="2145" t="n"/>
      <c r="F387" s="53" t="n"/>
      <c r="G387" s="53" t="n"/>
    </row>
    <row r="388" customFormat="1" s="1916">
      <c r="A388" s="53" t="n"/>
      <c r="B388" s="112" t="n"/>
      <c r="C388" s="2145" t="n"/>
      <c r="D388" s="2145" t="n"/>
      <c r="E388" s="2145" t="n"/>
      <c r="F388" s="53" t="n"/>
      <c r="G388" s="53" t="n"/>
    </row>
    <row r="389" customFormat="1" s="1916">
      <c r="A389" s="53" t="n"/>
      <c r="B389" s="113" t="n"/>
      <c r="C389" s="2145" t="n"/>
      <c r="D389" s="2145" t="n"/>
      <c r="E389" s="2145" t="n"/>
      <c r="F389" s="53" t="n"/>
      <c r="G389" s="53" t="n"/>
    </row>
    <row r="390" customFormat="1" s="1916">
      <c r="A390" s="53" t="n"/>
      <c r="B390" s="113" t="n"/>
      <c r="C390" s="2145" t="n"/>
      <c r="D390" s="2145" t="n"/>
      <c r="E390" s="2145" t="n"/>
      <c r="F390" s="53" t="n"/>
      <c r="G390" s="53" t="n"/>
    </row>
    <row r="391" customFormat="1" s="1916">
      <c r="A391" s="53" t="n"/>
      <c r="B391" s="113" t="n"/>
      <c r="C391" s="2145" t="n"/>
      <c r="D391" s="2145" t="n"/>
      <c r="E391" s="2145" t="n"/>
      <c r="F391" s="53" t="n"/>
      <c r="G391" s="53" t="n"/>
    </row>
    <row r="392" customFormat="1" s="1916">
      <c r="A392" s="53" t="n"/>
      <c r="B392" s="113" t="n"/>
      <c r="C392" s="2145" t="n"/>
      <c r="D392" s="2145" t="n"/>
      <c r="E392" s="2145" t="n"/>
      <c r="F392" s="53" t="n"/>
      <c r="G392" s="53" t="n"/>
    </row>
    <row r="393" customFormat="1" s="1916">
      <c r="A393" s="53" t="n"/>
      <c r="B393" s="112" t="n"/>
      <c r="C393" s="2145" t="n"/>
      <c r="D393" s="2145" t="n"/>
      <c r="E393" s="2145" t="n"/>
      <c r="F393" s="53" t="n"/>
      <c r="G393" s="53" t="n"/>
    </row>
    <row r="394" customFormat="1" s="1916">
      <c r="A394" s="53" t="n"/>
      <c r="B394" s="112" t="n"/>
      <c r="C394" s="2145" t="n"/>
      <c r="D394" s="2145" t="n"/>
      <c r="E394" s="2145" t="n"/>
      <c r="F394" s="53" t="n"/>
      <c r="G394" s="53" t="n"/>
    </row>
    <row r="395" customFormat="1" s="1916">
      <c r="A395" s="53" t="n"/>
      <c r="B395" s="112" t="n"/>
      <c r="C395" s="2145" t="n"/>
      <c r="D395" s="2145" t="n"/>
      <c r="E395" s="2149" t="n"/>
      <c r="F395" s="53" t="n"/>
      <c r="G395" s="53" t="n"/>
      <c r="Q395" s="53" t="n"/>
    </row>
    <row r="396" customFormat="1" s="1916">
      <c r="A396" s="53" t="n"/>
      <c r="B396" s="113" t="n"/>
      <c r="C396" s="2145" t="n"/>
      <c r="D396" s="2145" t="n"/>
      <c r="E396" s="2145" t="n"/>
      <c r="F396" s="53" t="n"/>
      <c r="G396" s="53" t="n"/>
      <c r="H396" s="53" t="n"/>
      <c r="J396" s="2154" t="n"/>
      <c r="Q396" s="53" t="n"/>
    </row>
    <row r="397" customFormat="1" s="1916">
      <c r="A397" s="53" t="n"/>
      <c r="B397" s="53" t="n"/>
      <c r="C397" s="2145" t="n"/>
      <c r="D397" s="2145" t="n"/>
      <c r="E397" s="2145" t="n"/>
      <c r="F397" s="2145" t="n"/>
      <c r="G397" s="2145" t="n"/>
      <c r="Q397" s="53" t="n"/>
    </row>
    <row r="398" customFormat="1" s="1916">
      <c r="A398" s="53" t="n"/>
      <c r="B398" s="53" t="n"/>
      <c r="C398" s="2145" t="n"/>
      <c r="D398" s="2145" t="n"/>
      <c r="E398" s="2145" t="n"/>
      <c r="G398" s="540" t="n"/>
      <c r="Q398" s="53" t="n"/>
    </row>
    <row r="399" customFormat="1" s="1916">
      <c r="E399" s="2145" t="n"/>
    </row>
    <row r="400" customFormat="1" s="1916">
      <c r="A400" s="115" t="n"/>
    </row>
    <row r="401" customFormat="1" s="1916"/>
    <row r="402" customFormat="1" s="1916">
      <c r="A402" s="53" t="n"/>
      <c r="B402" s="53" t="n"/>
      <c r="C402" s="53" t="n"/>
      <c r="D402" s="53" t="n"/>
      <c r="E402" s="53" t="n"/>
      <c r="O402" s="53" t="n"/>
      <c r="P402" s="53" t="n"/>
      <c r="Q402" s="53" t="n"/>
      <c r="R402" s="53" t="n"/>
      <c r="S402" s="53" t="n"/>
    </row>
    <row r="403" customFormat="1" s="1916">
      <c r="A403" s="53" t="n"/>
      <c r="B403" s="53" t="n"/>
      <c r="C403" s="53" t="n"/>
      <c r="D403" s="53" t="n"/>
      <c r="E403" s="53" t="n"/>
      <c r="F403" s="53" t="n"/>
      <c r="G403" s="53" t="n"/>
      <c r="O403" s="53" t="n"/>
      <c r="P403" s="53" t="n"/>
      <c r="Q403" s="53" t="n"/>
      <c r="R403" s="53" t="n"/>
      <c r="S403" s="2145" t="n"/>
    </row>
    <row r="404" customFormat="1" s="1916">
      <c r="A404" s="53" t="n"/>
      <c r="B404" s="2155" t="n"/>
      <c r="C404" s="2145" t="n"/>
      <c r="D404" s="2145" t="n"/>
      <c r="E404" s="2145" t="n"/>
      <c r="F404" s="2285" t="n"/>
      <c r="G404" s="53" t="n"/>
      <c r="O404" s="53" t="n"/>
      <c r="P404" s="53" t="n"/>
      <c r="Q404" s="2145" t="n"/>
      <c r="R404" s="2145" t="n"/>
      <c r="S404" s="2145" t="n"/>
    </row>
    <row r="405" customFormat="1" s="1916">
      <c r="A405" s="53" t="n"/>
      <c r="B405" s="53" t="n"/>
      <c r="C405" s="2145" t="n"/>
      <c r="D405" s="2145" t="n"/>
      <c r="E405" s="2145" t="n"/>
      <c r="F405" s="53" t="n"/>
      <c r="G405" s="53" t="n"/>
      <c r="O405" s="53" t="n"/>
      <c r="P405" s="53" t="n"/>
      <c r="Q405" s="2145" t="n"/>
      <c r="R405" s="2285" t="n"/>
      <c r="S405" s="2145" t="n"/>
    </row>
    <row r="406" customFormat="1" s="1916">
      <c r="A406" s="53" t="n"/>
      <c r="B406" s="53" t="n"/>
      <c r="C406" s="2145" t="n"/>
      <c r="D406" s="2145" t="n"/>
      <c r="E406" s="2145" t="n"/>
      <c r="F406" s="53" t="n"/>
      <c r="G406" s="53" t="n"/>
      <c r="O406" s="53" t="n"/>
      <c r="P406" s="53" t="n"/>
      <c r="Q406" s="2145" t="n"/>
      <c r="R406" s="2285" t="n"/>
      <c r="S406" s="2145" t="n"/>
    </row>
    <row r="407" customFormat="1" s="1916">
      <c r="A407" s="53" t="n"/>
      <c r="B407" s="53" t="n"/>
      <c r="C407" s="2145" t="n"/>
      <c r="D407" s="2145" t="n"/>
      <c r="E407" s="2145" t="n"/>
      <c r="F407" s="53" t="n"/>
      <c r="G407" s="53" t="n"/>
      <c r="O407" s="53" t="n"/>
      <c r="P407" s="2145" t="n"/>
      <c r="Q407" s="2149" t="n"/>
      <c r="R407" s="53" t="n"/>
      <c r="S407" s="53" t="n"/>
      <c r="T407" s="53" t="n"/>
      <c r="U407" s="53" t="n"/>
      <c r="V407" s="53" t="n"/>
    </row>
    <row r="408" customFormat="1" s="1916">
      <c r="A408" s="53" t="n"/>
      <c r="B408" s="53" t="n"/>
      <c r="C408" s="2145" t="n"/>
      <c r="D408" s="2145" t="n"/>
      <c r="E408" s="2145" t="n"/>
      <c r="F408" s="53" t="n"/>
      <c r="G408" s="53" t="n"/>
      <c r="O408" s="53" t="n"/>
      <c r="P408" s="53" t="n"/>
      <c r="Q408" s="2149" t="n"/>
      <c r="R408" s="53" t="n"/>
      <c r="S408" s="53" t="n"/>
      <c r="T408" s="2145" t="n"/>
      <c r="U408" s="2145" t="n"/>
      <c r="V408" s="53" t="n"/>
    </row>
    <row r="409" customFormat="1" s="1916">
      <c r="A409" s="53" t="n"/>
      <c r="B409" s="53" t="n"/>
      <c r="C409" s="2145" t="n"/>
      <c r="D409" s="2145" t="n"/>
      <c r="E409" s="2145" t="n"/>
      <c r="F409" s="53" t="n"/>
      <c r="G409" s="53" t="n"/>
      <c r="O409" s="53" t="n"/>
      <c r="P409" s="53" t="n"/>
      <c r="Q409" s="2149" t="n"/>
      <c r="R409" s="53" t="n"/>
      <c r="S409" s="53" t="n"/>
      <c r="T409" s="2145" t="n"/>
      <c r="U409" s="2145" t="n"/>
      <c r="V409" s="53" t="n"/>
    </row>
    <row r="410" customFormat="1" s="1916">
      <c r="A410" s="53" t="n"/>
      <c r="B410" s="53" t="n"/>
      <c r="C410" s="2145" t="n"/>
      <c r="D410" s="2145" t="n"/>
      <c r="E410" s="2145" t="n"/>
      <c r="F410" s="53" t="n"/>
      <c r="G410" s="53" t="n"/>
      <c r="O410" s="53" t="n"/>
      <c r="P410" s="53" t="n"/>
      <c r="Q410" s="2149" t="n"/>
      <c r="R410" s="53" t="n"/>
      <c r="S410" s="53" t="n"/>
      <c r="T410" s="2145" t="n"/>
      <c r="U410" s="2145" t="n"/>
      <c r="V410" s="53" t="n"/>
    </row>
    <row r="411" customFormat="1" s="1916">
      <c r="A411" s="53" t="n"/>
      <c r="B411" s="53" t="n"/>
      <c r="C411" s="2145" t="n"/>
      <c r="D411" s="2145" t="n"/>
      <c r="E411" s="2145" t="n"/>
      <c r="F411" s="53" t="n"/>
      <c r="G411" s="53" t="n"/>
      <c r="O411" s="53" t="n"/>
      <c r="P411" s="53" t="n"/>
      <c r="Q411" s="2149" t="n"/>
      <c r="R411" s="53" t="n"/>
      <c r="S411" s="53" t="n"/>
      <c r="T411" s="2145" t="n"/>
      <c r="U411" s="2145" t="n"/>
      <c r="V411" s="53" t="n"/>
    </row>
    <row r="412" customFormat="1" s="1916">
      <c r="A412" s="53" t="n"/>
      <c r="B412" s="53" t="n"/>
      <c r="C412" s="2145" t="n"/>
      <c r="D412" s="2145" t="n"/>
      <c r="E412" s="2145" t="n"/>
      <c r="F412" s="53" t="n"/>
      <c r="G412" s="53" t="n"/>
      <c r="O412" s="53" t="n"/>
      <c r="P412" s="53" t="n"/>
      <c r="Q412" s="2149" t="n"/>
      <c r="R412" s="53" t="n"/>
      <c r="S412" s="53" t="n"/>
      <c r="T412" s="53" t="n"/>
      <c r="U412" s="53" t="n"/>
      <c r="V412" s="53" t="n"/>
    </row>
    <row r="413" customFormat="1" s="1916">
      <c r="A413" s="53" t="n"/>
      <c r="B413" s="53" t="n"/>
      <c r="C413" s="2145" t="n"/>
      <c r="D413" s="2145" t="n"/>
      <c r="E413" s="2145" t="n"/>
      <c r="F413" s="53" t="n"/>
      <c r="G413" s="53" t="n"/>
      <c r="O413" s="53" t="n"/>
      <c r="P413" s="53" t="n"/>
      <c r="Q413" s="2149" t="n"/>
      <c r="R413" s="53" t="n"/>
      <c r="S413" s="53" t="n"/>
      <c r="T413" s="53" t="n"/>
      <c r="U413" s="53" t="n"/>
      <c r="V413" s="53" t="n"/>
    </row>
    <row r="414" customFormat="1" s="1916">
      <c r="A414" s="53" t="n"/>
      <c r="B414" s="53" t="n"/>
      <c r="C414" s="2145" t="n"/>
      <c r="D414" s="2145" t="n"/>
      <c r="E414" s="2145" t="n"/>
      <c r="F414" s="53" t="n"/>
      <c r="G414" s="53" t="n"/>
      <c r="T414" s="53" t="n"/>
      <c r="U414" s="53" t="n"/>
      <c r="V414" s="53" t="n"/>
    </row>
    <row r="415" customFormat="1" s="1916">
      <c r="A415" s="53" t="n"/>
      <c r="B415" s="53" t="n"/>
      <c r="C415" s="2145" t="n"/>
      <c r="D415" s="2145" t="n"/>
      <c r="E415" s="2145" t="n"/>
      <c r="F415" s="53" t="n"/>
      <c r="G415" s="53" t="n"/>
      <c r="T415" s="53" t="n"/>
      <c r="U415" s="53" t="n"/>
      <c r="V415" s="53" t="n"/>
    </row>
    <row r="416" customFormat="1" s="1916">
      <c r="A416" s="53" t="n"/>
      <c r="B416" s="53" t="n"/>
      <c r="C416" s="2145" t="n"/>
      <c r="D416" s="2145" t="n"/>
      <c r="E416" s="2145" t="n"/>
      <c r="F416" s="2285" t="n"/>
      <c r="G416" s="53" t="n"/>
      <c r="T416" s="53" t="n"/>
      <c r="U416" s="53" t="n"/>
      <c r="V416" s="53" t="n"/>
    </row>
    <row r="417" customFormat="1" s="1916">
      <c r="A417" s="53" t="n"/>
      <c r="B417" s="53" t="n"/>
      <c r="C417" s="2145" t="n"/>
      <c r="D417" s="2145" t="n"/>
      <c r="E417" s="2145" t="n"/>
      <c r="F417" s="53" t="n"/>
      <c r="G417" s="53" t="n"/>
      <c r="T417" s="53" t="n"/>
      <c r="U417" s="53" t="n"/>
      <c r="V417" s="53" t="n"/>
    </row>
    <row r="418" customFormat="1" s="1916">
      <c r="A418" s="53" t="n"/>
      <c r="B418" s="53" t="n"/>
      <c r="C418" s="2145" t="n"/>
      <c r="D418" s="2145" t="n"/>
      <c r="E418" s="2145" t="n"/>
      <c r="F418" s="53" t="n"/>
      <c r="G418" s="53" t="n"/>
      <c r="T418" s="53" t="n"/>
      <c r="U418" s="53" t="n"/>
      <c r="V418" s="53" t="n"/>
    </row>
    <row r="419" customFormat="1" s="1916">
      <c r="A419" s="53" t="n"/>
      <c r="B419" s="53" t="n"/>
      <c r="C419" s="2145" t="n"/>
      <c r="D419" s="2145" t="n"/>
      <c r="E419" s="2145" t="n"/>
      <c r="F419" s="53" t="n"/>
      <c r="G419" s="53" t="n"/>
    </row>
    <row r="420" customFormat="1" s="1916">
      <c r="A420" s="53" t="n"/>
      <c r="B420" s="53" t="n"/>
      <c r="C420" s="2145" t="n"/>
      <c r="D420" s="2145" t="n"/>
      <c r="E420" s="2145" t="n"/>
      <c r="F420" s="53" t="n"/>
      <c r="G420" s="53" t="n"/>
    </row>
    <row r="421" customFormat="1" s="1916">
      <c r="A421" s="103" t="n"/>
      <c r="B421" s="103" t="n"/>
      <c r="C421" s="2147" t="n"/>
      <c r="D421" s="2147" t="n"/>
      <c r="E421" s="2147" t="n"/>
      <c r="F421" s="53" t="n"/>
      <c r="G421" s="53" t="n"/>
    </row>
    <row r="422" customFormat="1" s="1916">
      <c r="A422" s="103" t="n"/>
      <c r="B422" s="105" t="n"/>
      <c r="C422" s="2147" t="n"/>
      <c r="D422" s="2147" t="n"/>
      <c r="E422" s="2147" t="n"/>
      <c r="F422" s="53" t="n"/>
      <c r="G422" s="53" t="n"/>
    </row>
    <row r="423" customFormat="1" s="1916">
      <c r="A423" s="103" t="n"/>
      <c r="B423" s="103" t="n"/>
      <c r="C423" s="2147" t="n"/>
      <c r="D423" s="2147" t="n"/>
      <c r="E423" s="2147" t="n"/>
      <c r="F423" s="53" t="n"/>
      <c r="G423" s="53" t="n"/>
    </row>
    <row r="424" customFormat="1" s="1916">
      <c r="A424" s="103" t="n"/>
      <c r="B424" s="105" t="n"/>
      <c r="C424" s="2147" t="n"/>
      <c r="D424" s="2147" t="n"/>
      <c r="E424" s="2147" t="n"/>
      <c r="F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</row>
    <row r="425" customFormat="1" s="1916">
      <c r="A425" s="53" t="n"/>
      <c r="B425" s="53" t="n"/>
      <c r="C425" s="2145" t="n"/>
      <c r="D425" s="2145" t="n"/>
      <c r="E425" s="2145" t="n"/>
      <c r="F425" s="53" t="n"/>
      <c r="H425" s="53" t="n"/>
      <c r="I425" s="53" t="n"/>
      <c r="J425" s="53" t="n"/>
      <c r="K425" s="106" t="n"/>
      <c r="L425" s="106" t="n"/>
      <c r="M425" s="106" t="n"/>
      <c r="N425" s="106" t="n"/>
      <c r="O425" s="106" t="n"/>
    </row>
    <row r="426" customFormat="1" s="1916">
      <c r="A426" s="3" t="n"/>
      <c r="B426" s="2285" t="n"/>
      <c r="C426" s="3" t="n"/>
      <c r="D426" s="3" t="n"/>
      <c r="E426" s="2285" t="n"/>
      <c r="F426" s="107" t="n"/>
      <c r="H426" s="53" t="n"/>
      <c r="I426" s="540" t="n"/>
      <c r="J426" s="53" t="n"/>
      <c r="K426" s="106" t="n"/>
      <c r="L426" s="106" t="n"/>
      <c r="M426" s="106" t="n"/>
      <c r="N426" s="106" t="n"/>
      <c r="O426" s="106" t="n"/>
    </row>
    <row r="427" customFormat="1" s="1916">
      <c r="A427" s="53" t="n"/>
      <c r="B427" s="53" t="n"/>
      <c r="C427" s="53" t="n"/>
      <c r="D427" s="53" t="n"/>
      <c r="E427" s="53" t="n"/>
      <c r="F427" s="107" t="n"/>
      <c r="H427" s="53" t="n"/>
      <c r="I427" s="53" t="n"/>
      <c r="J427" s="53" t="n"/>
      <c r="K427" s="2145" t="n"/>
      <c r="L427" s="2145" t="n"/>
      <c r="M427" s="2145" t="n"/>
      <c r="N427" s="2145" t="n"/>
      <c r="O427" s="53" t="n"/>
    </row>
    <row r="428" customFormat="1" s="1916">
      <c r="A428" s="53" t="n"/>
      <c r="B428" s="53" t="n"/>
      <c r="C428" s="53" t="n"/>
      <c r="D428" s="53" t="n"/>
      <c r="E428" s="106" t="n"/>
      <c r="F428" s="106" t="n"/>
      <c r="H428" s="53" t="n"/>
      <c r="I428" s="93" t="n"/>
      <c r="J428" s="2145" t="n"/>
      <c r="K428" s="2145" t="n"/>
      <c r="L428" s="2145" t="n"/>
      <c r="M428" s="2145" t="n"/>
      <c r="N428" s="2145" t="n"/>
      <c r="O428" s="106" t="n"/>
    </row>
    <row r="429" customFormat="1" s="1916">
      <c r="A429" s="53" t="n"/>
      <c r="B429" s="53" t="n"/>
      <c r="C429" s="53" t="n"/>
      <c r="D429" s="53" t="n"/>
      <c r="E429" s="53" t="n"/>
      <c r="F429" s="53" t="n"/>
      <c r="H429" s="53" t="n"/>
      <c r="I429" s="93" t="n"/>
      <c r="J429" s="2145" t="n"/>
      <c r="K429" s="2145" t="n"/>
      <c r="L429" s="2145" t="n"/>
      <c r="M429" s="2145" t="n"/>
      <c r="N429" s="2145" t="n"/>
      <c r="O429" s="53" t="n"/>
    </row>
    <row r="430" customFormat="1" s="1916">
      <c r="A430" s="53" t="n"/>
      <c r="B430" s="53" t="n"/>
      <c r="C430" s="53" t="n"/>
      <c r="D430" s="53" t="n"/>
      <c r="E430" s="106" t="n"/>
      <c r="F430" s="106" t="n"/>
      <c r="H430" s="53" t="n"/>
      <c r="I430" s="93" t="n"/>
      <c r="J430" s="2145" t="n"/>
      <c r="K430" s="2145" t="n"/>
      <c r="L430" s="2145" t="n"/>
      <c r="M430" s="2145" t="n"/>
      <c r="N430" s="2145" t="n"/>
      <c r="O430" s="106" t="n"/>
    </row>
    <row r="431" customFormat="1" s="1916">
      <c r="A431" s="53" t="n"/>
      <c r="B431" s="53" t="n"/>
      <c r="C431" s="53" t="n"/>
      <c r="D431" s="53" t="n"/>
      <c r="E431" s="2286" t="n"/>
      <c r="F431" s="2286" t="n"/>
      <c r="G431" s="53" t="n"/>
      <c r="H431" s="103" t="n"/>
      <c r="I431" s="103" t="n"/>
      <c r="J431" s="2147" t="n"/>
      <c r="K431" s="2147" t="n"/>
      <c r="L431" s="2147" t="n"/>
      <c r="M431" s="2145" t="n"/>
      <c r="N431" s="2145" t="n"/>
      <c r="O431" s="106" t="n"/>
    </row>
    <row r="432" customFormat="1" s="1916">
      <c r="A432" s="53" t="n"/>
      <c r="B432" s="53" t="n"/>
      <c r="C432" s="2145" t="n"/>
      <c r="D432" s="2145" t="n"/>
      <c r="E432" s="2145" t="n"/>
      <c r="F432" s="2145" t="n"/>
      <c r="G432" s="53" t="n"/>
      <c r="H432" s="53" t="n"/>
      <c r="I432" s="53" t="n"/>
    </row>
    <row r="433" customFormat="1" s="1916">
      <c r="A433" s="53" t="n"/>
      <c r="B433" s="53" t="n"/>
      <c r="C433" s="53" t="n"/>
      <c r="D433" s="53" t="n"/>
      <c r="E433" s="2145" t="n"/>
      <c r="F433" s="53" t="n"/>
      <c r="G433" s="53" t="n"/>
      <c r="H433" s="110" t="n"/>
      <c r="I433" s="53" t="n"/>
      <c r="J433" s="53" t="n"/>
      <c r="K433" s="2145" t="n"/>
      <c r="L433" s="2145" t="n"/>
      <c r="M433" s="2145" t="n"/>
      <c r="N433" s="2145" t="n"/>
    </row>
    <row r="434" customFormat="1" s="1916">
      <c r="A434" s="53" t="n"/>
      <c r="B434" s="93" t="n"/>
      <c r="C434" s="2145" t="n"/>
      <c r="D434" s="2145" t="n"/>
      <c r="E434" s="2145" t="n"/>
      <c r="F434" s="53" t="n"/>
      <c r="G434" s="53" t="n"/>
      <c r="H434" s="2285" t="n"/>
      <c r="I434" s="93" t="n"/>
      <c r="J434" s="2145" t="n"/>
      <c r="K434" s="2145" t="n"/>
      <c r="L434" s="2145" t="n"/>
      <c r="M434" s="2145" t="n"/>
      <c r="N434" s="2145" t="n"/>
    </row>
    <row r="435" customFormat="1" s="1916">
      <c r="A435" s="53" t="n"/>
      <c r="B435" s="93" t="n"/>
      <c r="C435" s="2145" t="n"/>
      <c r="D435" s="2145" t="n"/>
      <c r="E435" s="2145" t="n"/>
      <c r="F435" s="53" t="n"/>
      <c r="G435" s="53" t="n"/>
      <c r="H435" s="53" t="n"/>
      <c r="I435" s="93" t="n"/>
      <c r="J435" s="2145" t="n"/>
      <c r="K435" s="2145" t="n"/>
      <c r="L435" s="2145" t="n"/>
      <c r="M435" s="2145" t="n"/>
      <c r="N435" s="2145" t="n"/>
    </row>
    <row r="436" customFormat="1" s="1916">
      <c r="A436" s="53" t="n"/>
      <c r="B436" s="93" t="n"/>
      <c r="C436" s="2145" t="n"/>
      <c r="D436" s="2145" t="n"/>
      <c r="E436" s="2145" t="n"/>
      <c r="F436" s="53" t="n"/>
      <c r="G436" s="53" t="n"/>
      <c r="H436" s="53" t="n"/>
      <c r="I436" s="93" t="n"/>
      <c r="J436" s="2145" t="n"/>
      <c r="K436" s="2145" t="n"/>
      <c r="L436" s="2145" t="n"/>
      <c r="M436" s="2145" t="n"/>
      <c r="N436" s="2145" t="n"/>
    </row>
    <row r="437" customFormat="1" s="1916">
      <c r="A437" s="53" t="n"/>
      <c r="B437" s="93" t="n"/>
      <c r="C437" s="2145" t="n"/>
      <c r="D437" s="2145" t="n"/>
      <c r="E437" s="2145" t="n"/>
      <c r="F437" s="111" t="n"/>
      <c r="G437" s="53" t="n"/>
      <c r="H437" s="53" t="n"/>
      <c r="I437" s="93" t="n"/>
      <c r="J437" s="2145" t="n"/>
      <c r="K437" s="2145" t="n"/>
      <c r="L437" s="2145" t="n"/>
      <c r="M437" s="2145" t="n"/>
      <c r="N437" s="2145" t="n"/>
    </row>
    <row r="438" customFormat="1" s="1916">
      <c r="A438" s="53" t="n"/>
      <c r="B438" s="93" t="n"/>
      <c r="C438" s="2145" t="n"/>
      <c r="D438" s="2145" t="n"/>
      <c r="E438" s="2145" t="n"/>
      <c r="F438" s="53" t="n"/>
      <c r="G438" s="53" t="n"/>
      <c r="H438" s="53" t="n"/>
      <c r="I438" s="93" t="n"/>
      <c r="J438" s="2145" t="n"/>
      <c r="K438" s="2145" t="n"/>
      <c r="L438" s="2145" t="n"/>
      <c r="M438" s="2145" t="n"/>
      <c r="N438" s="2145" t="n"/>
    </row>
    <row r="439" customFormat="1" s="1916">
      <c r="A439" s="53" t="n"/>
      <c r="B439" s="93" t="n"/>
      <c r="C439" s="2145" t="n"/>
      <c r="D439" s="2145" t="n"/>
      <c r="E439" s="2145" t="n"/>
      <c r="F439" s="53" t="n"/>
      <c r="G439" s="53" t="n"/>
      <c r="H439" s="53" t="n"/>
      <c r="I439" s="93" t="n"/>
      <c r="J439" s="2145" t="n"/>
      <c r="K439" s="2145" t="n"/>
      <c r="L439" s="2145" t="n"/>
      <c r="M439" s="2145" t="n"/>
      <c r="N439" s="2145" t="n"/>
    </row>
    <row r="440" customFormat="1" s="1916">
      <c r="A440" s="53" t="n"/>
      <c r="B440" s="93" t="n"/>
      <c r="C440" s="2145" t="n"/>
      <c r="D440" s="2145" t="n"/>
      <c r="E440" s="2145" t="n"/>
      <c r="F440" s="53" t="n"/>
      <c r="G440" s="53" t="n"/>
      <c r="H440" s="53" t="n"/>
      <c r="I440" s="93" t="n"/>
      <c r="J440" s="2145" t="n"/>
      <c r="K440" s="2145" t="n"/>
      <c r="L440" s="2145" t="n"/>
      <c r="M440" s="2145" t="n"/>
      <c r="N440" s="2145" t="n"/>
    </row>
    <row r="441" customFormat="1" s="1916">
      <c r="A441" s="103" t="n"/>
      <c r="B441" s="103" t="n"/>
      <c r="C441" s="2147" t="n"/>
      <c r="D441" s="2147" t="n"/>
      <c r="E441" s="2147" t="n"/>
      <c r="F441" s="53" t="n"/>
      <c r="G441" s="53" t="n"/>
      <c r="H441" s="103" t="n"/>
      <c r="I441" s="103" t="n"/>
      <c r="J441" s="2147" t="n"/>
      <c r="K441" s="2147" t="n"/>
      <c r="L441" s="2147" t="n"/>
      <c r="M441" s="2147" t="n"/>
      <c r="N441" s="2147" t="n"/>
    </row>
    <row r="442" customFormat="1" s="1916">
      <c r="A442" s="53" t="n"/>
      <c r="B442" s="53" t="n"/>
      <c r="C442" s="2145" t="n"/>
      <c r="D442" s="2145" t="n"/>
      <c r="E442" s="2145" t="n"/>
      <c r="F442" s="53" t="n"/>
      <c r="G442" s="53" t="n"/>
    </row>
    <row r="443" customFormat="1" s="1916">
      <c r="A443" s="53" t="n"/>
      <c r="B443" s="53" t="n"/>
      <c r="C443" s="2145" t="n"/>
      <c r="D443" s="2145" t="n"/>
      <c r="E443" s="2147" t="n"/>
      <c r="F443" s="53" t="n"/>
      <c r="G443" s="53" t="n"/>
    </row>
    <row r="444" customFormat="1" s="1916">
      <c r="A444" s="53" t="n"/>
      <c r="B444" s="53" t="n"/>
      <c r="C444" s="2145" t="n"/>
      <c r="D444" s="2145" t="n"/>
      <c r="E444" s="2145" t="n"/>
      <c r="F444" s="53" t="n"/>
      <c r="G444" s="53" t="n"/>
    </row>
    <row r="445" customFormat="1" s="1916">
      <c r="A445" s="53" t="n"/>
      <c r="B445" s="53" t="n"/>
      <c r="C445" s="2145" t="n"/>
      <c r="D445" s="2145" t="n"/>
      <c r="E445" s="2145" t="n"/>
      <c r="F445" s="53" t="n"/>
      <c r="G445" s="53" t="n"/>
    </row>
    <row r="446" customFormat="1" s="1916">
      <c r="A446" s="53" t="n"/>
      <c r="B446" s="112" t="n"/>
      <c r="C446" s="2145" t="n"/>
      <c r="D446" s="2145" t="n"/>
      <c r="E446" s="2145" t="n"/>
      <c r="F446" s="53" t="n"/>
      <c r="G446" s="53" t="n"/>
    </row>
    <row r="447" customFormat="1" s="1916">
      <c r="A447" s="53" t="n"/>
      <c r="B447" s="112" t="n"/>
      <c r="C447" s="2145" t="n"/>
      <c r="D447" s="2145" t="n"/>
      <c r="E447" s="2145" t="n"/>
      <c r="F447" s="53" t="n"/>
      <c r="G447" s="53" t="n"/>
    </row>
    <row r="448" customFormat="1" s="1916">
      <c r="A448" s="53" t="n"/>
      <c r="B448" s="113" t="n"/>
      <c r="C448" s="2145" t="n"/>
      <c r="D448" s="2145" t="n"/>
      <c r="E448" s="2145" t="n"/>
      <c r="F448" s="53" t="n"/>
      <c r="G448" s="53" t="n"/>
    </row>
    <row r="449" customFormat="1" s="1916">
      <c r="A449" s="53" t="n"/>
      <c r="B449" s="113" t="n"/>
      <c r="C449" s="2145" t="n"/>
      <c r="D449" s="2145" t="n"/>
      <c r="E449" s="2145" t="n"/>
      <c r="F449" s="53" t="n"/>
      <c r="G449" s="53" t="n"/>
    </row>
    <row r="450" customFormat="1" s="1916">
      <c r="A450" s="53" t="n"/>
      <c r="B450" s="113" t="n"/>
      <c r="C450" s="2145" t="n"/>
      <c r="D450" s="2145" t="n"/>
      <c r="E450" s="2145" t="n"/>
      <c r="F450" s="53" t="n"/>
      <c r="G450" s="53" t="n"/>
    </row>
    <row r="451" customFormat="1" s="1916">
      <c r="A451" s="53" t="n"/>
      <c r="B451" s="113" t="n"/>
      <c r="C451" s="2145" t="n"/>
      <c r="D451" s="2145" t="n"/>
      <c r="E451" s="2145" t="n"/>
      <c r="F451" s="53" t="n"/>
      <c r="G451" s="53" t="n"/>
    </row>
    <row r="452" customFormat="1" s="1916">
      <c r="A452" s="53" t="n"/>
      <c r="B452" s="112" t="n"/>
      <c r="C452" s="2145" t="n"/>
      <c r="D452" s="2145" t="n"/>
      <c r="E452" s="2145" t="n"/>
      <c r="F452" s="53" t="n"/>
      <c r="G452" s="53" t="n"/>
    </row>
    <row r="453" customFormat="1" s="1916">
      <c r="A453" s="53" t="n"/>
      <c r="B453" s="112" t="n"/>
      <c r="C453" s="2145" t="n"/>
      <c r="D453" s="2145" t="n"/>
      <c r="E453" s="2145" t="n"/>
      <c r="F453" s="53" t="n"/>
      <c r="G453" s="53" t="n"/>
    </row>
    <row r="454" customFormat="1" s="1916">
      <c r="A454" s="53" t="n"/>
      <c r="B454" s="112" t="n"/>
      <c r="C454" s="2145" t="n"/>
      <c r="D454" s="2145" t="n"/>
      <c r="E454" s="2149" t="n"/>
      <c r="F454" s="53" t="n"/>
      <c r="G454" s="53" t="n"/>
      <c r="Q454" s="53" t="n"/>
    </row>
    <row r="455" customFormat="1" s="1916">
      <c r="A455" s="53" t="n"/>
      <c r="B455" s="113" t="n"/>
      <c r="C455" s="2145" t="n"/>
      <c r="D455" s="2145" t="n"/>
      <c r="E455" s="2145" t="n"/>
      <c r="F455" s="53" t="n"/>
      <c r="G455" s="53" t="n"/>
      <c r="H455" s="53" t="n"/>
      <c r="J455" s="2154" t="n"/>
      <c r="Q455" s="53" t="n"/>
    </row>
    <row r="456" customFormat="1" s="1916">
      <c r="A456" s="53" t="n"/>
      <c r="B456" s="53" t="n"/>
      <c r="C456" s="2145" t="n"/>
      <c r="D456" s="2145" t="n"/>
      <c r="E456" s="2145" t="n"/>
      <c r="F456" s="2145" t="n"/>
      <c r="G456" s="2145" t="n"/>
      <c r="Q456" s="53" t="n"/>
    </row>
    <row r="457" customFormat="1" s="1916">
      <c r="A457" s="53" t="n"/>
      <c r="B457" s="53" t="n"/>
      <c r="C457" s="2145" t="n"/>
      <c r="D457" s="2145" t="n"/>
      <c r="E457" s="2145" t="n"/>
      <c r="G457" s="540" t="n"/>
      <c r="Q457" s="53" t="n"/>
    </row>
    <row r="458" customFormat="1" s="1916">
      <c r="E458" s="2145" t="n"/>
    </row>
    <row r="459" customFormat="1" s="1916"/>
    <row r="460" customFormat="1" s="1916"/>
    <row r="461" customFormat="1" s="1916">
      <c r="A461" s="53" t="n"/>
      <c r="B461" s="53" t="n"/>
      <c r="C461" s="53" t="n"/>
      <c r="D461" s="53" t="n"/>
      <c r="E461" s="53" t="n"/>
      <c r="O461" s="53" t="n"/>
      <c r="P461" s="53" t="n"/>
      <c r="Q461" s="53" t="n"/>
      <c r="R461" s="53" t="n"/>
      <c r="S461" s="53" t="n"/>
    </row>
    <row r="462" customFormat="1" s="1916">
      <c r="A462" s="53" t="n"/>
      <c r="B462" s="53" t="n"/>
      <c r="C462" s="53" t="n"/>
      <c r="D462" s="53" t="n"/>
      <c r="E462" s="53" t="n"/>
      <c r="F462" s="53" t="n"/>
      <c r="G462" s="53" t="n"/>
      <c r="O462" s="53" t="n"/>
      <c r="P462" s="53" t="n"/>
      <c r="Q462" s="53" t="n"/>
      <c r="R462" s="53" t="n"/>
      <c r="S462" s="2145" t="n"/>
    </row>
    <row r="463" customFormat="1" s="1916">
      <c r="A463" s="53" t="n"/>
      <c r="B463" s="2155" t="n"/>
      <c r="C463" s="2145" t="n"/>
      <c r="D463" s="2145" t="n"/>
      <c r="E463" s="2145" t="n"/>
      <c r="F463" s="2285" t="n"/>
      <c r="G463" s="53" t="n"/>
      <c r="O463" s="53" t="n"/>
      <c r="P463" s="53" t="n"/>
      <c r="Q463" s="2145" t="n"/>
      <c r="R463" s="2145" t="n"/>
      <c r="S463" s="2145" t="n"/>
    </row>
    <row r="464" customFormat="1" s="1916">
      <c r="A464" s="53" t="n"/>
      <c r="B464" s="53" t="n"/>
      <c r="C464" s="2145" t="n"/>
      <c r="D464" s="2145" t="n"/>
      <c r="E464" s="2145" t="n"/>
      <c r="F464" s="53" t="n"/>
      <c r="G464" s="53" t="n"/>
      <c r="O464" s="53" t="n"/>
      <c r="P464" s="53" t="n"/>
      <c r="Q464" s="2145" t="n"/>
      <c r="R464" s="2285" t="n"/>
      <c r="S464" s="2145" t="n"/>
    </row>
    <row r="465" customFormat="1" s="1916">
      <c r="A465" s="53" t="n"/>
      <c r="B465" s="53" t="n"/>
      <c r="C465" s="2145" t="n"/>
      <c r="D465" s="2145" t="n"/>
      <c r="E465" s="2145" t="n"/>
      <c r="F465" s="53" t="n"/>
      <c r="G465" s="53" t="n"/>
      <c r="O465" s="53" t="n"/>
      <c r="P465" s="53" t="n"/>
      <c r="Q465" s="2145" t="n"/>
      <c r="R465" s="2285" t="n"/>
      <c r="S465" s="2145" t="n"/>
    </row>
    <row r="466" customFormat="1" s="1916">
      <c r="A466" s="53" t="n"/>
      <c r="B466" s="53" t="n"/>
      <c r="C466" s="2145" t="n"/>
      <c r="D466" s="2145" t="n"/>
      <c r="E466" s="2145" t="n"/>
      <c r="F466" s="53" t="n"/>
      <c r="G466" s="53" t="n"/>
      <c r="O466" s="53" t="n"/>
      <c r="P466" s="2145" t="n"/>
      <c r="Q466" s="2149" t="n"/>
      <c r="R466" s="53" t="n"/>
      <c r="S466" s="53" t="n"/>
      <c r="T466" s="53" t="n"/>
      <c r="U466" s="53" t="n"/>
      <c r="V466" s="53" t="n"/>
    </row>
    <row r="467" customFormat="1" s="1916">
      <c r="A467" s="53" t="n"/>
      <c r="B467" s="53" t="n"/>
      <c r="C467" s="2145" t="n"/>
      <c r="D467" s="2145" t="n"/>
      <c r="E467" s="2145" t="n"/>
      <c r="F467" s="53" t="n"/>
      <c r="G467" s="53" t="n"/>
      <c r="O467" s="53" t="n"/>
      <c r="P467" s="53" t="n"/>
      <c r="Q467" s="2149" t="n"/>
      <c r="R467" s="53" t="n"/>
      <c r="S467" s="53" t="n"/>
      <c r="T467" s="2145" t="n"/>
      <c r="U467" s="2145" t="n"/>
      <c r="V467" s="53" t="n"/>
    </row>
    <row r="468" customFormat="1" s="1916">
      <c r="A468" s="53" t="n"/>
      <c r="B468" s="53" t="n"/>
      <c r="C468" s="2145" t="n"/>
      <c r="D468" s="2145" t="n"/>
      <c r="E468" s="2145" t="n"/>
      <c r="F468" s="53" t="n"/>
      <c r="G468" s="53" t="n"/>
      <c r="O468" s="53" t="n"/>
      <c r="P468" s="53" t="n"/>
      <c r="Q468" s="2149" t="n"/>
      <c r="R468" s="53" t="n"/>
      <c r="S468" s="53" t="n"/>
      <c r="T468" s="2145" t="n"/>
      <c r="U468" s="2145" t="n"/>
      <c r="V468" s="53" t="n"/>
    </row>
    <row r="469" customFormat="1" s="1916">
      <c r="A469" s="53" t="n"/>
      <c r="B469" s="53" t="n"/>
      <c r="C469" s="2145" t="n"/>
      <c r="D469" s="2145" t="n"/>
      <c r="E469" s="2145" t="n"/>
      <c r="F469" s="53" t="n"/>
      <c r="G469" s="53" t="n"/>
      <c r="O469" s="53" t="n"/>
      <c r="P469" s="53" t="n"/>
      <c r="Q469" s="2149" t="n"/>
      <c r="R469" s="53" t="n"/>
      <c r="S469" s="53" t="n"/>
      <c r="T469" s="2145" t="n"/>
      <c r="U469" s="2145" t="n"/>
      <c r="V469" s="53" t="n"/>
    </row>
    <row r="470" customFormat="1" s="1916">
      <c r="A470" s="53" t="n"/>
      <c r="B470" s="53" t="n"/>
      <c r="C470" s="2145" t="n"/>
      <c r="D470" s="2145" t="n"/>
      <c r="E470" s="2145" t="n"/>
      <c r="F470" s="53" t="n"/>
      <c r="G470" s="53" t="n"/>
      <c r="O470" s="53" t="n"/>
      <c r="P470" s="53" t="n"/>
      <c r="Q470" s="2149" t="n"/>
      <c r="R470" s="53" t="n"/>
      <c r="S470" s="53" t="n"/>
      <c r="T470" s="2145" t="n"/>
      <c r="U470" s="2145" t="n"/>
      <c r="V470" s="53" t="n"/>
    </row>
    <row r="471" customFormat="1" s="1916">
      <c r="A471" s="53" t="n"/>
      <c r="B471" s="53" t="n"/>
      <c r="C471" s="2145" t="n"/>
      <c r="D471" s="2145" t="n"/>
      <c r="E471" s="2145" t="n"/>
      <c r="F471" s="53" t="n"/>
      <c r="G471" s="53" t="n"/>
      <c r="O471" s="53" t="n"/>
      <c r="P471" s="53" t="n"/>
      <c r="Q471" s="2149" t="n"/>
      <c r="R471" s="53" t="n"/>
      <c r="S471" s="53" t="n"/>
      <c r="T471" s="53" t="n"/>
      <c r="U471" s="53" t="n"/>
      <c r="V471" s="53" t="n"/>
    </row>
    <row r="472" customFormat="1" s="1916">
      <c r="A472" s="53" t="n"/>
      <c r="B472" s="53" t="n"/>
      <c r="C472" s="2145" t="n"/>
      <c r="D472" s="2145" t="n"/>
      <c r="E472" s="2145" t="n"/>
      <c r="F472" s="53" t="n"/>
      <c r="G472" s="53" t="n"/>
      <c r="O472" s="53" t="n"/>
      <c r="P472" s="53" t="n"/>
      <c r="Q472" s="2149" t="n"/>
      <c r="R472" s="53" t="n"/>
      <c r="S472" s="53" t="n"/>
      <c r="T472" s="53" t="n"/>
      <c r="U472" s="53" t="n"/>
      <c r="V472" s="53" t="n"/>
    </row>
    <row r="473" customFormat="1" s="1916">
      <c r="A473" s="53" t="n"/>
      <c r="B473" s="53" t="n"/>
      <c r="C473" s="2145" t="n"/>
      <c r="D473" s="2145" t="n"/>
      <c r="E473" s="2145" t="n"/>
      <c r="F473" s="53" t="n"/>
      <c r="G473" s="53" t="n"/>
      <c r="T473" s="53" t="n"/>
      <c r="U473" s="53" t="n"/>
      <c r="V473" s="53" t="n"/>
    </row>
    <row r="474" customFormat="1" s="1916">
      <c r="A474" s="53" t="n"/>
      <c r="B474" s="53" t="n"/>
      <c r="C474" s="2145" t="n"/>
      <c r="D474" s="2145" t="n"/>
      <c r="E474" s="2145" t="n"/>
      <c r="F474" s="53" t="n"/>
      <c r="G474" s="53" t="n"/>
      <c r="T474" s="53" t="n"/>
      <c r="U474" s="53" t="n"/>
      <c r="V474" s="53" t="n"/>
    </row>
    <row r="475" customFormat="1" s="1916">
      <c r="A475" s="53" t="n"/>
      <c r="B475" s="53" t="n"/>
      <c r="C475" s="2145" t="n"/>
      <c r="D475" s="2145" t="n"/>
      <c r="E475" s="2145" t="n"/>
      <c r="F475" s="2285" t="n"/>
      <c r="G475" s="53" t="n"/>
      <c r="T475" s="53" t="n"/>
      <c r="U475" s="53" t="n"/>
      <c r="V475" s="53" t="n"/>
    </row>
    <row r="476" customFormat="1" s="1916">
      <c r="A476" s="53" t="n"/>
      <c r="B476" s="53" t="n"/>
      <c r="C476" s="2145" t="n"/>
      <c r="D476" s="2145" t="n"/>
      <c r="E476" s="2145" t="n"/>
      <c r="F476" s="53" t="n"/>
      <c r="G476" s="53" t="n"/>
      <c r="T476" s="53" t="n"/>
      <c r="U476" s="53" t="n"/>
      <c r="V476" s="53" t="n"/>
    </row>
    <row r="477" customFormat="1" s="1916">
      <c r="A477" s="53" t="n"/>
      <c r="B477" s="53" t="n"/>
      <c r="C477" s="2145" t="n"/>
      <c r="D477" s="2145" t="n"/>
      <c r="E477" s="2145" t="n"/>
      <c r="F477" s="53" t="n"/>
      <c r="G477" s="53" t="n"/>
      <c r="T477" s="53" t="n"/>
      <c r="U477" s="53" t="n"/>
      <c r="V477" s="53" t="n"/>
    </row>
    <row r="478" customFormat="1" s="1916">
      <c r="A478" s="53" t="n"/>
      <c r="B478" s="53" t="n"/>
      <c r="C478" s="2145" t="n"/>
      <c r="D478" s="2145" t="n"/>
      <c r="E478" s="2145" t="n"/>
      <c r="F478" s="53" t="n"/>
      <c r="G478" s="53" t="n"/>
    </row>
    <row r="479" customFormat="1" s="1916">
      <c r="A479" s="53" t="n"/>
      <c r="B479" s="53" t="n"/>
      <c r="C479" s="2145" t="n"/>
      <c r="D479" s="2145" t="n"/>
      <c r="E479" s="2145" t="n"/>
      <c r="F479" s="53" t="n"/>
      <c r="G479" s="53" t="n"/>
    </row>
    <row r="480" customFormat="1" s="1916">
      <c r="A480" s="103" t="n"/>
      <c r="B480" s="103" t="n"/>
      <c r="C480" s="2147" t="n"/>
      <c r="D480" s="2147" t="n"/>
      <c r="E480" s="2147" t="n"/>
      <c r="F480" s="53" t="n"/>
      <c r="G480" s="53" t="n"/>
    </row>
    <row r="481" customFormat="1" s="1916">
      <c r="A481" s="103" t="n"/>
      <c r="B481" s="105" t="n"/>
      <c r="C481" s="2147" t="n"/>
      <c r="D481" s="2147" t="n"/>
      <c r="E481" s="2147" t="n"/>
      <c r="F481" s="53" t="n"/>
      <c r="G481" s="53" t="n"/>
    </row>
    <row r="482" customFormat="1" s="1916">
      <c r="A482" s="103" t="n"/>
      <c r="B482" s="103" t="n"/>
      <c r="C482" s="2147" t="n"/>
      <c r="D482" s="2147" t="n"/>
      <c r="E482" s="2147" t="n"/>
      <c r="F482" s="53" t="n"/>
      <c r="G482" s="53" t="n"/>
    </row>
    <row r="483" customFormat="1" s="1916">
      <c r="A483" s="103" t="n"/>
      <c r="B483" s="105" t="n"/>
      <c r="C483" s="2147" t="n"/>
      <c r="D483" s="2147" t="n"/>
      <c r="E483" s="2147" t="n"/>
      <c r="F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</row>
    <row r="484" customFormat="1" s="1916">
      <c r="A484" s="53" t="n"/>
      <c r="B484" s="53" t="n"/>
      <c r="C484" s="2145" t="n"/>
      <c r="D484" s="2145" t="n"/>
      <c r="E484" s="2145" t="n"/>
      <c r="F484" s="53" t="n"/>
      <c r="H484" s="53" t="n"/>
      <c r="I484" s="53" t="n"/>
      <c r="J484" s="53" t="n"/>
      <c r="K484" s="106" t="n"/>
      <c r="L484" s="106" t="n"/>
      <c r="M484" s="106" t="n"/>
      <c r="N484" s="106" t="n"/>
      <c r="O484" s="106" t="n"/>
    </row>
    <row r="485" customFormat="1" s="1916">
      <c r="A485" s="3" t="n"/>
      <c r="B485" s="2285" t="n"/>
      <c r="C485" s="3" t="n"/>
      <c r="D485" s="3" t="n"/>
      <c r="E485" s="2285" t="n"/>
      <c r="F485" s="107" t="n"/>
      <c r="H485" s="53" t="n"/>
      <c r="I485" s="540" t="n"/>
      <c r="J485" s="53" t="n"/>
      <c r="K485" s="106" t="n"/>
      <c r="L485" s="106" t="n"/>
      <c r="M485" s="106" t="n"/>
      <c r="N485" s="106" t="n"/>
      <c r="O485" s="106" t="n"/>
    </row>
    <row r="486" customFormat="1" s="1916">
      <c r="A486" s="53" t="n"/>
      <c r="B486" s="53" t="n"/>
      <c r="C486" s="53" t="n"/>
      <c r="D486" s="53" t="n"/>
      <c r="E486" s="53" t="n"/>
      <c r="F486" s="107" t="n"/>
      <c r="H486" s="53" t="n"/>
      <c r="I486" s="53" t="n"/>
      <c r="J486" s="53" t="n"/>
      <c r="K486" s="2145" t="n"/>
      <c r="L486" s="2145" t="n"/>
      <c r="M486" s="2145" t="n"/>
      <c r="N486" s="2145" t="n"/>
      <c r="O486" s="53" t="n"/>
    </row>
    <row r="487" customFormat="1" s="1916">
      <c r="A487" s="53" t="n"/>
      <c r="B487" s="53" t="n"/>
      <c r="C487" s="53" t="n"/>
      <c r="D487" s="53" t="n"/>
      <c r="E487" s="106" t="n"/>
      <c r="F487" s="106" t="n"/>
      <c r="H487" s="53" t="n"/>
      <c r="I487" s="93" t="n"/>
      <c r="J487" s="2145" t="n"/>
      <c r="K487" s="2145" t="n"/>
      <c r="L487" s="2145" t="n"/>
      <c r="M487" s="2145" t="n"/>
      <c r="N487" s="2145" t="n"/>
      <c r="O487" s="106" t="n"/>
    </row>
    <row r="488" customFormat="1" s="1916">
      <c r="A488" s="53" t="n"/>
      <c r="B488" s="53" t="n"/>
      <c r="C488" s="53" t="n"/>
      <c r="D488" s="53" t="n"/>
      <c r="E488" s="53" t="n"/>
      <c r="F488" s="53" t="n"/>
      <c r="H488" s="53" t="n"/>
      <c r="I488" s="93" t="n"/>
      <c r="J488" s="2145" t="n"/>
      <c r="K488" s="2145" t="n"/>
      <c r="L488" s="2145" t="n"/>
      <c r="M488" s="2145" t="n"/>
      <c r="N488" s="2145" t="n"/>
      <c r="O488" s="53" t="n"/>
    </row>
    <row r="489" customFormat="1" s="1916">
      <c r="A489" s="53" t="n"/>
      <c r="B489" s="53" t="n"/>
      <c r="C489" s="53" t="n"/>
      <c r="D489" s="53" t="n"/>
      <c r="E489" s="106" t="n"/>
      <c r="F489" s="106" t="n"/>
      <c r="H489" s="53" t="n"/>
      <c r="I489" s="93" t="n"/>
      <c r="J489" s="2145" t="n"/>
      <c r="K489" s="2145" t="n"/>
      <c r="L489" s="2145" t="n"/>
      <c r="M489" s="2145" t="n"/>
      <c r="N489" s="2145" t="n"/>
      <c r="O489" s="106" t="n"/>
    </row>
    <row r="490" customFormat="1" s="1916">
      <c r="A490" s="53" t="n"/>
      <c r="B490" s="53" t="n"/>
      <c r="C490" s="53" t="n"/>
      <c r="D490" s="53" t="n"/>
      <c r="E490" s="2286" t="n"/>
      <c r="F490" s="2286" t="n"/>
      <c r="G490" s="53" t="n"/>
      <c r="H490" s="103" t="n"/>
      <c r="I490" s="103" t="n"/>
      <c r="J490" s="2147" t="n"/>
      <c r="K490" s="2147" t="n"/>
      <c r="L490" s="2147" t="n"/>
      <c r="M490" s="2145" t="n"/>
      <c r="N490" s="2145" t="n"/>
      <c r="O490" s="106" t="n"/>
    </row>
    <row r="491" customFormat="1" s="1916">
      <c r="A491" s="53" t="n"/>
      <c r="B491" s="53" t="n"/>
      <c r="C491" s="2145" t="n"/>
      <c r="D491" s="2145" t="n"/>
      <c r="E491" s="2145" t="n"/>
      <c r="F491" s="2145" t="n"/>
      <c r="G491" s="53" t="n"/>
      <c r="H491" s="53" t="n"/>
      <c r="I491" s="53" t="n"/>
    </row>
    <row r="492" customFormat="1" s="1916">
      <c r="A492" s="53" t="n"/>
      <c r="B492" s="53" t="n"/>
      <c r="C492" s="53" t="n"/>
      <c r="D492" s="53" t="n"/>
      <c r="E492" s="2145" t="n"/>
      <c r="F492" s="53" t="n"/>
      <c r="G492" s="53" t="n"/>
      <c r="H492" s="110" t="n"/>
      <c r="I492" s="53" t="n"/>
      <c r="J492" s="53" t="n"/>
      <c r="K492" s="2145" t="n"/>
      <c r="L492" s="2145" t="n"/>
      <c r="M492" s="2145" t="n"/>
      <c r="N492" s="2145" t="n"/>
    </row>
    <row r="493" customFormat="1" s="1916">
      <c r="A493" s="53" t="n"/>
      <c r="B493" s="93" t="n"/>
      <c r="C493" s="2145" t="n"/>
      <c r="D493" s="2145" t="n"/>
      <c r="E493" s="2145" t="n"/>
      <c r="F493" s="53" t="n"/>
      <c r="G493" s="53" t="n"/>
      <c r="H493" s="2285" t="n"/>
      <c r="I493" s="93" t="n"/>
      <c r="J493" s="2145" t="n"/>
      <c r="K493" s="2145" t="n"/>
      <c r="L493" s="2145" t="n"/>
      <c r="M493" s="2145" t="n"/>
      <c r="N493" s="2145" t="n"/>
    </row>
    <row r="494" customFormat="1" s="1916">
      <c r="A494" s="53" t="n"/>
      <c r="B494" s="93" t="n"/>
      <c r="C494" s="2145" t="n"/>
      <c r="D494" s="2145" t="n"/>
      <c r="E494" s="2145" t="n"/>
      <c r="F494" s="53" t="n"/>
      <c r="G494" s="53" t="n"/>
      <c r="H494" s="53" t="n"/>
      <c r="I494" s="93" t="n"/>
      <c r="J494" s="2145" t="n"/>
      <c r="K494" s="2145" t="n"/>
      <c r="L494" s="2145" t="n"/>
      <c r="M494" s="2145" t="n"/>
      <c r="N494" s="2145" t="n"/>
    </row>
    <row r="495" customFormat="1" s="1916">
      <c r="A495" s="53" t="n"/>
      <c r="B495" s="93" t="n"/>
      <c r="C495" s="2145" t="n"/>
      <c r="D495" s="2145" t="n"/>
      <c r="E495" s="2145" t="n"/>
      <c r="F495" s="53" t="n"/>
      <c r="G495" s="53" t="n"/>
      <c r="H495" s="53" t="n"/>
      <c r="I495" s="93" t="n"/>
      <c r="J495" s="2145" t="n"/>
      <c r="K495" s="2145" t="n"/>
      <c r="L495" s="2145" t="n"/>
      <c r="M495" s="2145" t="n"/>
      <c r="N495" s="2145" t="n"/>
    </row>
    <row r="496" customFormat="1" s="1916">
      <c r="A496" s="53" t="n"/>
      <c r="B496" s="93" t="n"/>
      <c r="C496" s="2145" t="n"/>
      <c r="D496" s="2145" t="n"/>
      <c r="E496" s="2145" t="n"/>
      <c r="F496" s="111" t="n"/>
      <c r="G496" s="53" t="n"/>
      <c r="H496" s="53" t="n"/>
      <c r="I496" s="93" t="n"/>
      <c r="J496" s="2145" t="n"/>
      <c r="K496" s="2145" t="n"/>
      <c r="L496" s="2145" t="n"/>
      <c r="M496" s="2145" t="n"/>
      <c r="N496" s="2145" t="n"/>
    </row>
    <row r="497" customFormat="1" s="1916">
      <c r="A497" s="53" t="n"/>
      <c r="B497" s="93" t="n"/>
      <c r="C497" s="2145" t="n"/>
      <c r="D497" s="2145" t="n"/>
      <c r="E497" s="2145" t="n"/>
      <c r="F497" s="111" t="n"/>
      <c r="G497" s="53" t="n"/>
      <c r="H497" s="53" t="n"/>
      <c r="I497" s="93" t="n"/>
      <c r="J497" s="2145" t="n"/>
      <c r="K497" s="2145" t="n"/>
      <c r="L497" s="2145" t="n"/>
      <c r="M497" s="2145" t="n"/>
      <c r="N497" s="2145" t="n"/>
    </row>
    <row r="498" customFormat="1" s="1916">
      <c r="A498" s="53" t="n"/>
      <c r="B498" s="93" t="n"/>
      <c r="C498" s="2145" t="n"/>
      <c r="D498" s="2145" t="n"/>
      <c r="E498" s="2145" t="n"/>
      <c r="F498" s="53" t="n"/>
      <c r="G498" s="53" t="n"/>
      <c r="H498" s="53" t="n"/>
      <c r="I498" s="93" t="n"/>
      <c r="J498" s="2145" t="n"/>
      <c r="K498" s="2145" t="n"/>
      <c r="L498" s="2145" t="n"/>
      <c r="M498" s="2145" t="n"/>
      <c r="N498" s="2145" t="n"/>
    </row>
    <row r="499" customFormat="1" s="1916">
      <c r="A499" s="53" t="n"/>
      <c r="B499" s="93" t="n"/>
      <c r="C499" s="2145" t="n"/>
      <c r="D499" s="2145" t="n"/>
      <c r="E499" s="2145" t="n"/>
      <c r="F499" s="53" t="n"/>
      <c r="G499" s="53" t="n"/>
      <c r="H499" s="53" t="n"/>
      <c r="I499" s="93" t="n"/>
      <c r="J499" s="2145" t="n"/>
      <c r="K499" s="2145" t="n"/>
      <c r="L499" s="2145" t="n"/>
      <c r="M499" s="2145" t="n"/>
      <c r="N499" s="2145" t="n"/>
    </row>
    <row r="500" customFormat="1" s="1916">
      <c r="A500" s="103" t="n"/>
      <c r="B500" s="103" t="n"/>
      <c r="C500" s="2147" t="n"/>
      <c r="D500" s="2147" t="n"/>
      <c r="E500" s="2147" t="n"/>
      <c r="F500" s="53" t="n"/>
      <c r="G500" s="53" t="n"/>
      <c r="H500" s="103" t="n"/>
      <c r="I500" s="103" t="n"/>
      <c r="J500" s="2147" t="n"/>
      <c r="K500" s="2147" t="n"/>
      <c r="L500" s="2147" t="n"/>
      <c r="M500" s="2147" t="n"/>
      <c r="N500" s="2147" t="n"/>
    </row>
    <row r="501" customFormat="1" s="1916">
      <c r="A501" s="53" t="n"/>
      <c r="B501" s="53" t="n"/>
      <c r="C501" s="2145" t="n"/>
      <c r="D501" s="2145" t="n"/>
      <c r="E501" s="2145" t="n"/>
      <c r="F501" s="53" t="n"/>
      <c r="G501" s="53" t="n"/>
    </row>
    <row r="502" customFormat="1" s="1916">
      <c r="A502" s="53" t="n"/>
      <c r="B502" s="53" t="n"/>
      <c r="C502" s="2145" t="n"/>
      <c r="D502" s="2145" t="n"/>
      <c r="E502" s="2147" t="n"/>
      <c r="F502" s="53" t="n"/>
      <c r="G502" s="53" t="n"/>
    </row>
    <row r="503" customFormat="1" s="1916">
      <c r="A503" s="53" t="n"/>
      <c r="B503" s="53" t="n"/>
      <c r="C503" s="2145" t="n"/>
      <c r="D503" s="2145" t="n"/>
      <c r="E503" s="2145" t="n"/>
      <c r="F503" s="53" t="n"/>
      <c r="G503" s="53" t="n"/>
    </row>
    <row r="504" customFormat="1" s="1916">
      <c r="A504" s="53" t="n"/>
      <c r="B504" s="53" t="n"/>
      <c r="C504" s="2145" t="n"/>
      <c r="D504" s="2145" t="n"/>
      <c r="E504" s="2145" t="n"/>
      <c r="F504" s="53" t="n"/>
      <c r="G504" s="53" t="n"/>
    </row>
    <row r="505" customFormat="1" s="1916">
      <c r="A505" s="53" t="n"/>
      <c r="B505" s="112" t="n"/>
      <c r="C505" s="2145" t="n"/>
      <c r="D505" s="2145" t="n"/>
      <c r="E505" s="2145" t="n"/>
      <c r="F505" s="53" t="n"/>
      <c r="G505" s="53" t="n"/>
    </row>
    <row r="506" customFormat="1" s="1916">
      <c r="A506" s="53" t="n"/>
      <c r="B506" s="112" t="n"/>
      <c r="C506" s="2145" t="n"/>
      <c r="D506" s="2145" t="n"/>
      <c r="E506" s="2145" t="n"/>
      <c r="F506" s="53" t="n"/>
      <c r="G506" s="53" t="n"/>
    </row>
    <row r="507" customFormat="1" s="1916">
      <c r="A507" s="53" t="n"/>
      <c r="B507" s="113" t="n"/>
      <c r="C507" s="2145" t="n"/>
      <c r="D507" s="2145" t="n"/>
      <c r="E507" s="2145" t="n"/>
      <c r="F507" s="53" t="n"/>
      <c r="G507" s="53" t="n"/>
    </row>
    <row r="508" customFormat="1" s="1916">
      <c r="A508" s="53" t="n"/>
      <c r="B508" s="113" t="n"/>
      <c r="C508" s="2145" t="n"/>
      <c r="D508" s="2145" t="n"/>
      <c r="E508" s="2145" t="n"/>
      <c r="F508" s="53" t="n"/>
      <c r="G508" s="53" t="n"/>
    </row>
    <row r="509" customFormat="1" s="1916">
      <c r="A509" s="53" t="n"/>
      <c r="B509" s="113" t="n"/>
      <c r="C509" s="2145" t="n"/>
      <c r="D509" s="2145" t="n"/>
      <c r="E509" s="2145" t="n"/>
      <c r="F509" s="53" t="n"/>
      <c r="G509" s="53" t="n"/>
    </row>
    <row r="510" customFormat="1" s="1916">
      <c r="A510" s="53" t="n"/>
      <c r="B510" s="113" t="n"/>
      <c r="C510" s="2145" t="n"/>
      <c r="D510" s="2145" t="n"/>
      <c r="E510" s="2145" t="n"/>
      <c r="F510" s="53" t="n"/>
      <c r="G510" s="53" t="n"/>
    </row>
    <row r="511" customFormat="1" s="1916">
      <c r="A511" s="53" t="n"/>
      <c r="B511" s="112" t="n"/>
      <c r="C511" s="2145" t="n"/>
      <c r="D511" s="2145" t="n"/>
      <c r="E511" s="2145" t="n"/>
      <c r="F511" s="53" t="n"/>
      <c r="G511" s="53" t="n"/>
    </row>
    <row r="512" customFormat="1" s="1916">
      <c r="A512" s="53" t="n"/>
      <c r="B512" s="112" t="n"/>
      <c r="C512" s="2145" t="n"/>
      <c r="D512" s="2145" t="n"/>
      <c r="E512" s="2145" t="n"/>
      <c r="F512" s="53" t="n"/>
      <c r="G512" s="53" t="n"/>
    </row>
    <row r="513" customFormat="1" s="1916">
      <c r="A513" s="53" t="n"/>
      <c r="B513" s="112" t="n"/>
      <c r="C513" s="2145" t="n"/>
      <c r="D513" s="2145" t="n"/>
      <c r="E513" s="2149" t="n"/>
      <c r="F513" s="53" t="n"/>
      <c r="G513" s="53" t="n"/>
      <c r="Q513" s="53" t="n"/>
    </row>
    <row r="514" customFormat="1" s="1916">
      <c r="A514" s="53" t="n"/>
      <c r="B514" s="113" t="n"/>
      <c r="C514" s="2145" t="n"/>
      <c r="D514" s="2145" t="n"/>
      <c r="E514" s="2145" t="n"/>
      <c r="F514" s="53" t="n"/>
      <c r="G514" s="53" t="n"/>
      <c r="H514" s="53" t="n"/>
      <c r="J514" s="2154" t="n"/>
      <c r="Q514" s="53" t="n"/>
    </row>
    <row r="515" customFormat="1" s="1916">
      <c r="A515" s="53" t="n"/>
      <c r="B515" s="53" t="n"/>
      <c r="C515" s="2145" t="n"/>
      <c r="D515" s="2145" t="n"/>
      <c r="E515" s="2145" t="n"/>
      <c r="F515" s="2145" t="n"/>
      <c r="G515" s="2145" t="n"/>
      <c r="Q515" s="53" t="n"/>
    </row>
    <row r="516" customFormat="1" s="1916">
      <c r="A516" s="53" t="n"/>
      <c r="B516" s="53" t="n"/>
      <c r="C516" s="2145" t="n"/>
      <c r="D516" s="2145" t="n"/>
      <c r="E516" s="2145" t="n"/>
      <c r="G516" s="540" t="n"/>
      <c r="Q516" s="53" t="n"/>
    </row>
    <row r="517" customFormat="1" s="1916">
      <c r="E517" s="2145" t="n"/>
    </row>
    <row r="518" customFormat="1" s="1916"/>
    <row r="519" customFormat="1" s="1916"/>
    <row r="520" customFormat="1" s="1916">
      <c r="A520" s="53" t="n"/>
      <c r="B520" s="53" t="n"/>
      <c r="C520" s="53" t="n"/>
      <c r="D520" s="53" t="n"/>
      <c r="E520" s="53" t="n"/>
      <c r="O520" s="53" t="n"/>
      <c r="P520" s="53" t="n"/>
      <c r="Q520" s="53" t="n"/>
      <c r="R520" s="53" t="n"/>
      <c r="S520" s="53" t="n"/>
    </row>
    <row r="521" customFormat="1" s="1916">
      <c r="A521" s="53" t="n"/>
      <c r="B521" s="53" t="n"/>
      <c r="C521" s="53" t="n"/>
      <c r="D521" s="53" t="n"/>
      <c r="E521" s="53" t="n"/>
      <c r="F521" s="53" t="n"/>
      <c r="G521" s="53" t="n"/>
      <c r="O521" s="53" t="n"/>
      <c r="P521" s="53" t="n"/>
      <c r="Q521" s="53" t="n"/>
      <c r="R521" s="53" t="n"/>
      <c r="S521" s="2145" t="n"/>
    </row>
    <row r="522" customFormat="1" s="1916">
      <c r="A522" s="53" t="n"/>
      <c r="B522" s="2155" t="n"/>
      <c r="C522" s="2145" t="n"/>
      <c r="D522" s="2145" t="n"/>
      <c r="E522" s="2145" t="n"/>
      <c r="F522" s="2285" t="n"/>
      <c r="G522" s="53" t="n"/>
      <c r="O522" s="53" t="n"/>
      <c r="P522" s="53" t="n"/>
      <c r="Q522" s="2145" t="n"/>
      <c r="R522" s="2145" t="n"/>
      <c r="S522" s="2145" t="n"/>
    </row>
    <row r="523" customFormat="1" s="1916">
      <c r="A523" s="53" t="n"/>
      <c r="B523" s="53" t="n"/>
      <c r="C523" s="2145" t="n"/>
      <c r="D523" s="2145" t="n"/>
      <c r="E523" s="2145" t="n"/>
      <c r="F523" s="53" t="n"/>
      <c r="G523" s="53" t="n"/>
      <c r="O523" s="53" t="n"/>
      <c r="P523" s="53" t="n"/>
      <c r="Q523" s="2145" t="n"/>
      <c r="R523" s="2285" t="n"/>
      <c r="S523" s="2145" t="n"/>
    </row>
    <row r="524" customFormat="1" s="1916">
      <c r="A524" s="53" t="n"/>
      <c r="B524" s="53" t="n"/>
      <c r="C524" s="2145" t="n"/>
      <c r="D524" s="2145" t="n"/>
      <c r="E524" s="2145" t="n"/>
      <c r="F524" s="53" t="n"/>
      <c r="G524" s="53" t="n"/>
      <c r="O524" s="53" t="n"/>
      <c r="P524" s="53" t="n"/>
      <c r="Q524" s="2145" t="n"/>
      <c r="R524" s="2285" t="n"/>
      <c r="S524" s="2145" t="n"/>
    </row>
    <row r="525" customFormat="1" s="1916">
      <c r="A525" s="53" t="n"/>
      <c r="B525" s="53" t="n"/>
      <c r="C525" s="2145" t="n"/>
      <c r="D525" s="2145" t="n"/>
      <c r="E525" s="2145" t="n"/>
      <c r="F525" s="53" t="n"/>
      <c r="G525" s="53" t="n"/>
      <c r="O525" s="53" t="n"/>
      <c r="P525" s="2145" t="n"/>
      <c r="Q525" s="2149" t="n"/>
      <c r="R525" s="53" t="n"/>
      <c r="S525" s="53" t="n"/>
      <c r="T525" s="53" t="n"/>
      <c r="U525" s="53" t="n"/>
      <c r="V525" s="53" t="n"/>
    </row>
    <row r="526" customFormat="1" s="1916">
      <c r="A526" s="53" t="n"/>
      <c r="B526" s="53" t="n"/>
      <c r="C526" s="2145" t="n"/>
      <c r="D526" s="2145" t="n"/>
      <c r="E526" s="2145" t="n"/>
      <c r="F526" s="53" t="n"/>
      <c r="G526" s="53" t="n"/>
      <c r="O526" s="53" t="n"/>
      <c r="P526" s="53" t="n"/>
      <c r="Q526" s="2149" t="n"/>
      <c r="R526" s="53" t="n"/>
      <c r="S526" s="53" t="n"/>
      <c r="T526" s="2145" t="n"/>
      <c r="U526" s="2145" t="n"/>
      <c r="V526" s="53" t="n"/>
    </row>
    <row r="527" customFormat="1" s="1916">
      <c r="A527" s="53" t="n"/>
      <c r="B527" s="53" t="n"/>
      <c r="C527" s="2145" t="n"/>
      <c r="D527" s="2145" t="n"/>
      <c r="E527" s="2145" t="n"/>
      <c r="F527" s="53" t="n"/>
      <c r="G527" s="53" t="n"/>
      <c r="O527" s="53" t="n"/>
      <c r="P527" s="53" t="n"/>
      <c r="Q527" s="2149" t="n"/>
      <c r="R527" s="53" t="n"/>
      <c r="S527" s="53" t="n"/>
      <c r="T527" s="2145" t="n"/>
      <c r="U527" s="2145" t="n"/>
      <c r="V527" s="53" t="n"/>
    </row>
    <row r="528" customFormat="1" s="1916">
      <c r="A528" s="53" t="n"/>
      <c r="B528" s="53" t="n"/>
      <c r="C528" s="2145" t="n"/>
      <c r="D528" s="2145" t="n"/>
      <c r="E528" s="2145" t="n"/>
      <c r="F528" s="53" t="n"/>
      <c r="G528" s="53" t="n"/>
      <c r="O528" s="53" t="n"/>
      <c r="P528" s="53" t="n"/>
      <c r="Q528" s="2149" t="n"/>
      <c r="R528" s="53" t="n"/>
      <c r="S528" s="53" t="n"/>
      <c r="T528" s="2145" t="n"/>
      <c r="U528" s="2145" t="n"/>
      <c r="V528" s="53" t="n"/>
    </row>
    <row r="529" customFormat="1" s="1916">
      <c r="A529" s="53" t="n"/>
      <c r="B529" s="53" t="n"/>
      <c r="C529" s="2145" t="n"/>
      <c r="D529" s="2145" t="n"/>
      <c r="E529" s="2145" t="n"/>
      <c r="F529" s="53" t="n"/>
      <c r="G529" s="53" t="n"/>
      <c r="O529" s="53" t="n"/>
      <c r="P529" s="53" t="n"/>
      <c r="Q529" s="2149" t="n"/>
      <c r="R529" s="53" t="n"/>
      <c r="S529" s="53" t="n"/>
      <c r="T529" s="2145" t="n"/>
      <c r="U529" s="2145" t="n"/>
      <c r="V529" s="53" t="n"/>
    </row>
    <row r="530" customFormat="1" s="1916">
      <c r="A530" s="53" t="n"/>
      <c r="B530" s="53" t="n"/>
      <c r="C530" s="2145" t="n"/>
      <c r="D530" s="2145" t="n"/>
      <c r="E530" s="2145" t="n"/>
      <c r="F530" s="53" t="n"/>
      <c r="G530" s="53" t="n"/>
      <c r="O530" s="53" t="n"/>
      <c r="P530" s="53" t="n"/>
      <c r="Q530" s="2149" t="n"/>
      <c r="R530" s="53" t="n"/>
      <c r="S530" s="53" t="n"/>
      <c r="T530" s="53" t="n"/>
      <c r="U530" s="53" t="n"/>
      <c r="V530" s="53" t="n"/>
    </row>
    <row r="531" customFormat="1" s="1916">
      <c r="A531" s="53" t="n"/>
      <c r="B531" s="53" t="n"/>
      <c r="C531" s="2145" t="n"/>
      <c r="D531" s="2145" t="n"/>
      <c r="E531" s="2145" t="n"/>
      <c r="F531" s="53" t="n"/>
      <c r="G531" s="53" t="n"/>
      <c r="O531" s="53" t="n"/>
      <c r="P531" s="53" t="n"/>
      <c r="Q531" s="2149" t="n"/>
      <c r="R531" s="53" t="n"/>
      <c r="S531" s="53" t="n"/>
      <c r="T531" s="53" t="n"/>
      <c r="U531" s="53" t="n"/>
      <c r="V531" s="53" t="n"/>
    </row>
    <row r="532" customFormat="1" s="1916">
      <c r="A532" s="53" t="n"/>
      <c r="B532" s="53" t="n"/>
      <c r="C532" s="2145" t="n"/>
      <c r="D532" s="2145" t="n"/>
      <c r="E532" s="2145" t="n"/>
      <c r="F532" s="53" t="n"/>
      <c r="G532" s="53" t="n"/>
      <c r="T532" s="53" t="n"/>
      <c r="U532" s="53" t="n"/>
      <c r="V532" s="53" t="n"/>
    </row>
    <row r="533" customFormat="1" s="1916">
      <c r="A533" s="53" t="n"/>
      <c r="B533" s="53" t="n"/>
      <c r="C533" s="2145" t="n"/>
      <c r="D533" s="2145" t="n"/>
      <c r="E533" s="2145" t="n"/>
      <c r="F533" s="53" t="n"/>
      <c r="G533" s="53" t="n"/>
      <c r="T533" s="53" t="n"/>
      <c r="U533" s="53" t="n"/>
      <c r="V533" s="53" t="n"/>
    </row>
    <row r="534" customFormat="1" s="1916">
      <c r="A534" s="53" t="n"/>
      <c r="B534" s="53" t="n"/>
      <c r="C534" s="2145" t="n"/>
      <c r="D534" s="2145" t="n"/>
      <c r="E534" s="2145" t="n"/>
      <c r="F534" s="2285" t="n"/>
      <c r="G534" s="53" t="n"/>
      <c r="T534" s="53" t="n"/>
      <c r="U534" s="53" t="n"/>
      <c r="V534" s="53" t="n"/>
    </row>
    <row r="535" customFormat="1" s="1916">
      <c r="A535" s="53" t="n"/>
      <c r="B535" s="53" t="n"/>
      <c r="C535" s="2145" t="n"/>
      <c r="D535" s="2145" t="n"/>
      <c r="E535" s="2145" t="n"/>
      <c r="F535" s="53" t="n"/>
      <c r="G535" s="53" t="n"/>
      <c r="T535" s="53" t="n"/>
      <c r="U535" s="53" t="n"/>
      <c r="V535" s="53" t="n"/>
    </row>
    <row r="536" customFormat="1" s="1916">
      <c r="A536" s="53" t="n"/>
      <c r="B536" s="53" t="n"/>
      <c r="C536" s="2145" t="n"/>
      <c r="D536" s="2145" t="n"/>
      <c r="E536" s="2145" t="n"/>
      <c r="F536" s="53" t="n"/>
      <c r="G536" s="53" t="n"/>
      <c r="T536" s="53" t="n"/>
      <c r="U536" s="53" t="n"/>
      <c r="V536" s="53" t="n"/>
    </row>
    <row r="537" customFormat="1" s="1916">
      <c r="A537" s="53" t="n"/>
      <c r="B537" s="53" t="n"/>
      <c r="C537" s="2145" t="n"/>
      <c r="D537" s="2145" t="n"/>
      <c r="E537" s="2145" t="n"/>
      <c r="F537" s="53" t="n"/>
      <c r="G537" s="53" t="n"/>
    </row>
    <row r="538" customFormat="1" s="1916">
      <c r="A538" s="53" t="n"/>
      <c r="B538" s="53" t="n"/>
      <c r="C538" s="2145" t="n"/>
      <c r="D538" s="2145" t="n"/>
      <c r="E538" s="2145" t="n"/>
      <c r="F538" s="53" t="n"/>
      <c r="G538" s="53" t="n"/>
    </row>
    <row r="539" customFormat="1" s="1916">
      <c r="A539" s="103" t="n"/>
      <c r="B539" s="103" t="n"/>
      <c r="C539" s="2147" t="n"/>
      <c r="D539" s="2147" t="n"/>
      <c r="E539" s="2147" t="n"/>
      <c r="F539" s="53" t="n"/>
      <c r="G539" s="53" t="n"/>
    </row>
    <row r="540" customFormat="1" s="1916">
      <c r="A540" s="103" t="n"/>
      <c r="B540" s="105" t="n"/>
      <c r="C540" s="2147" t="n"/>
      <c r="D540" s="2147" t="n"/>
      <c r="E540" s="2147" t="n"/>
      <c r="F540" s="53" t="n"/>
      <c r="G540" s="53" t="n"/>
    </row>
    <row r="541" customFormat="1" s="1916">
      <c r="A541" s="103" t="n"/>
      <c r="B541" s="103" t="n"/>
      <c r="C541" s="2147" t="n"/>
      <c r="D541" s="2147" t="n"/>
      <c r="E541" s="2147" t="n"/>
      <c r="F541" s="53" t="n"/>
      <c r="G541" s="53" t="n"/>
    </row>
    <row r="542" customFormat="1" s="1916">
      <c r="A542" s="103" t="n"/>
      <c r="B542" s="105" t="n"/>
      <c r="C542" s="2147" t="n"/>
      <c r="D542" s="2147" t="n"/>
      <c r="E542" s="2147" t="n"/>
      <c r="F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</row>
    <row r="543" customFormat="1" s="1916">
      <c r="A543" s="53" t="n"/>
      <c r="B543" s="53" t="n"/>
      <c r="C543" s="2145" t="n"/>
      <c r="D543" s="2145" t="n"/>
      <c r="E543" s="2145" t="n"/>
      <c r="F543" s="53" t="n"/>
      <c r="H543" s="53" t="n"/>
      <c r="I543" s="53" t="n"/>
      <c r="J543" s="53" t="n"/>
      <c r="K543" s="106" t="n"/>
      <c r="L543" s="106" t="n"/>
      <c r="M543" s="106" t="n"/>
      <c r="N543" s="106" t="n"/>
      <c r="O543" s="106" t="n"/>
    </row>
    <row r="544" customFormat="1" s="1916">
      <c r="A544" s="3" t="n"/>
      <c r="B544" s="2285" t="n"/>
      <c r="C544" s="3" t="n"/>
      <c r="D544" s="3" t="n"/>
      <c r="E544" s="2285" t="n"/>
      <c r="F544" s="107" t="n"/>
      <c r="H544" s="53" t="n"/>
      <c r="I544" s="540" t="n"/>
      <c r="J544" s="53" t="n"/>
      <c r="K544" s="106" t="n"/>
      <c r="L544" s="106" t="n"/>
      <c r="M544" s="106" t="n"/>
      <c r="N544" s="106" t="n"/>
      <c r="O544" s="106" t="n"/>
    </row>
    <row r="545" customFormat="1" s="1916">
      <c r="A545" s="53" t="n"/>
      <c r="B545" s="53" t="n"/>
      <c r="C545" s="53" t="n"/>
      <c r="D545" s="53" t="n"/>
      <c r="E545" s="53" t="n"/>
      <c r="F545" s="107" t="n"/>
      <c r="H545" s="53" t="n"/>
      <c r="I545" s="53" t="n"/>
      <c r="J545" s="53" t="n"/>
      <c r="K545" s="2145" t="n"/>
      <c r="L545" s="2145" t="n"/>
      <c r="M545" s="2145" t="n"/>
      <c r="N545" s="2145" t="n"/>
      <c r="O545" s="53" t="n"/>
    </row>
    <row r="546" customFormat="1" s="1916">
      <c r="A546" s="53" t="n"/>
      <c r="B546" s="53" t="n"/>
      <c r="C546" s="53" t="n"/>
      <c r="D546" s="53" t="n"/>
      <c r="E546" s="106" t="n"/>
      <c r="F546" s="106" t="n"/>
      <c r="H546" s="53" t="n"/>
      <c r="I546" s="93" t="n"/>
      <c r="J546" s="2145" t="n"/>
      <c r="K546" s="2145" t="n"/>
      <c r="L546" s="2145" t="n"/>
      <c r="M546" s="2145" t="n"/>
      <c r="N546" s="2145" t="n"/>
      <c r="O546" s="106" t="n"/>
    </row>
    <row r="547" customFormat="1" s="1916">
      <c r="A547" s="53" t="n"/>
      <c r="B547" s="53" t="n"/>
      <c r="C547" s="53" t="n"/>
      <c r="D547" s="53" t="n"/>
      <c r="E547" s="53" t="n"/>
      <c r="F547" s="53" t="n"/>
      <c r="H547" s="53" t="n"/>
      <c r="I547" s="93" t="n"/>
      <c r="J547" s="2145" t="n"/>
      <c r="K547" s="2145" t="n"/>
      <c r="L547" s="2145" t="n"/>
      <c r="M547" s="2145" t="n"/>
      <c r="N547" s="2145" t="n"/>
      <c r="O547" s="53" t="n"/>
    </row>
    <row r="548" customFormat="1" s="1916">
      <c r="A548" s="53" t="n"/>
      <c r="B548" s="53" t="n"/>
      <c r="C548" s="53" t="n"/>
      <c r="D548" s="53" t="n"/>
      <c r="E548" s="106" t="n"/>
      <c r="F548" s="106" t="n"/>
      <c r="H548" s="53" t="n"/>
      <c r="I548" s="93" t="n"/>
      <c r="J548" s="2145" t="n"/>
      <c r="K548" s="2145" t="n"/>
      <c r="L548" s="2145" t="n"/>
      <c r="M548" s="2145" t="n"/>
      <c r="N548" s="2145" t="n"/>
      <c r="O548" s="106" t="n"/>
    </row>
    <row r="549" customFormat="1" s="1916">
      <c r="A549" s="53" t="n"/>
      <c r="B549" s="53" t="n"/>
      <c r="C549" s="53" t="n"/>
      <c r="D549" s="53" t="n"/>
      <c r="E549" s="2286" t="n"/>
      <c r="F549" s="2286" t="n"/>
      <c r="G549" s="53" t="n"/>
      <c r="H549" s="103" t="n"/>
      <c r="I549" s="103" t="n"/>
      <c r="J549" s="2147" t="n"/>
      <c r="K549" s="2147" t="n"/>
      <c r="L549" s="2147" t="n"/>
      <c r="M549" s="2145" t="n"/>
      <c r="N549" s="2145" t="n"/>
      <c r="O549" s="106" t="n"/>
    </row>
    <row r="550" customFormat="1" s="1916">
      <c r="A550" s="53" t="n"/>
      <c r="B550" s="53" t="n"/>
      <c r="C550" s="2145" t="n"/>
      <c r="D550" s="2145" t="n"/>
      <c r="E550" s="2145" t="n"/>
      <c r="F550" s="2145" t="n"/>
      <c r="G550" s="53" t="n"/>
      <c r="H550" s="53" t="n"/>
      <c r="I550" s="53" t="n"/>
    </row>
    <row r="551" customFormat="1" s="1916">
      <c r="A551" s="53" t="n"/>
      <c r="B551" s="53" t="n"/>
      <c r="C551" s="53" t="n"/>
      <c r="D551" s="53" t="n"/>
      <c r="E551" s="2145" t="n"/>
      <c r="F551" s="53" t="n"/>
      <c r="G551" s="53" t="n"/>
      <c r="H551" s="110" t="n"/>
      <c r="I551" s="53" t="n"/>
      <c r="J551" s="53" t="n"/>
      <c r="K551" s="2145" t="n"/>
      <c r="L551" s="2145" t="n"/>
      <c r="M551" s="2145" t="n"/>
      <c r="N551" s="2145" t="n"/>
    </row>
    <row r="552" customFormat="1" s="1916">
      <c r="A552" s="53" t="n"/>
      <c r="B552" s="93" t="n"/>
      <c r="C552" s="2145" t="n"/>
      <c r="D552" s="2145" t="n"/>
      <c r="E552" s="2145" t="n"/>
      <c r="F552" s="53" t="n"/>
      <c r="G552" s="53" t="n"/>
      <c r="H552" s="2285" t="n"/>
      <c r="I552" s="93" t="n"/>
      <c r="J552" s="2145" t="n"/>
      <c r="K552" s="2145" t="n"/>
      <c r="L552" s="2145" t="n"/>
      <c r="M552" s="2145" t="n"/>
      <c r="N552" s="2145" t="n"/>
    </row>
    <row r="553" customFormat="1" s="1916">
      <c r="A553" s="53" t="n"/>
      <c r="B553" s="93" t="n"/>
      <c r="C553" s="2145" t="n"/>
      <c r="D553" s="2145" t="n"/>
      <c r="E553" s="2145" t="n"/>
      <c r="F553" s="53" t="n"/>
      <c r="G553" s="53" t="n"/>
      <c r="H553" s="53" t="n"/>
      <c r="I553" s="93" t="n"/>
      <c r="J553" s="2145" t="n"/>
      <c r="K553" s="2145" t="n"/>
      <c r="L553" s="2145" t="n"/>
      <c r="M553" s="2145" t="n"/>
      <c r="N553" s="2145" t="n"/>
    </row>
    <row r="554" customFormat="1" s="1916">
      <c r="A554" s="53" t="n"/>
      <c r="B554" s="93" t="n"/>
      <c r="C554" s="2145" t="n"/>
      <c r="D554" s="2145" t="n"/>
      <c r="E554" s="2145" t="n"/>
      <c r="F554" s="53" t="n"/>
      <c r="G554" s="53" t="n"/>
      <c r="H554" s="53" t="n"/>
      <c r="I554" s="93" t="n"/>
      <c r="J554" s="2145" t="n"/>
      <c r="K554" s="2145" t="n"/>
      <c r="L554" s="2145" t="n"/>
      <c r="M554" s="2145" t="n"/>
      <c r="N554" s="2145" t="n"/>
    </row>
    <row r="555" customFormat="1" s="1916">
      <c r="A555" s="53" t="n"/>
      <c r="B555" s="93" t="n"/>
      <c r="C555" s="2145" t="n"/>
      <c r="D555" s="2145" t="n"/>
      <c r="E555" s="2145" t="n"/>
      <c r="F555" s="111" t="n"/>
      <c r="G555" s="53" t="n"/>
      <c r="H555" s="53" t="n"/>
      <c r="I555" s="93" t="n"/>
      <c r="J555" s="2145" t="n"/>
      <c r="K555" s="2145" t="n"/>
      <c r="L555" s="2145" t="n"/>
      <c r="M555" s="2145" t="n"/>
      <c r="N555" s="2145" t="n"/>
    </row>
    <row r="556" customFormat="1" s="1916">
      <c r="A556" s="53" t="n"/>
      <c r="B556" s="93" t="n"/>
      <c r="C556" s="2145" t="n"/>
      <c r="D556" s="2145" t="n"/>
      <c r="E556" s="2145" t="n"/>
      <c r="F556" s="111" t="n"/>
      <c r="G556" s="53" t="n"/>
      <c r="H556" s="53" t="n"/>
      <c r="I556" s="93" t="n"/>
      <c r="J556" s="2145" t="n"/>
      <c r="K556" s="2145" t="n"/>
      <c r="L556" s="2145" t="n"/>
      <c r="M556" s="2145" t="n"/>
      <c r="N556" s="2145" t="n"/>
    </row>
    <row r="557" customFormat="1" s="1916">
      <c r="A557" s="53" t="n"/>
      <c r="B557" s="93" t="n"/>
      <c r="C557" s="2145" t="n"/>
      <c r="D557" s="2145" t="n"/>
      <c r="E557" s="2145" t="n"/>
      <c r="F557" s="53" t="n"/>
      <c r="G557" s="53" t="n"/>
      <c r="H557" s="53" t="n"/>
      <c r="I557" s="93" t="n"/>
      <c r="J557" s="2145" t="n"/>
      <c r="K557" s="2145" t="n"/>
      <c r="L557" s="2145" t="n"/>
      <c r="M557" s="2145" t="n"/>
      <c r="N557" s="2145" t="n"/>
    </row>
    <row r="558" customFormat="1" s="1916">
      <c r="A558" s="53" t="n"/>
      <c r="B558" s="93" t="n"/>
      <c r="C558" s="2145" t="n"/>
      <c r="D558" s="2145" t="n"/>
      <c r="E558" s="2145" t="n"/>
      <c r="F558" s="53" t="n"/>
      <c r="G558" s="53" t="n"/>
      <c r="H558" s="53" t="n"/>
      <c r="I558" s="93" t="n"/>
      <c r="J558" s="2145" t="n"/>
      <c r="K558" s="2145" t="n"/>
      <c r="L558" s="2145" t="n"/>
      <c r="M558" s="2145" t="n"/>
      <c r="N558" s="2145" t="n"/>
    </row>
    <row r="559" customFormat="1" s="1916">
      <c r="A559" s="103" t="n"/>
      <c r="B559" s="103" t="n"/>
      <c r="C559" s="2147" t="n"/>
      <c r="D559" s="2147" t="n"/>
      <c r="E559" s="2147" t="n"/>
      <c r="F559" s="53" t="n"/>
      <c r="G559" s="53" t="n"/>
      <c r="H559" s="103" t="n"/>
      <c r="I559" s="103" t="n"/>
      <c r="J559" s="2147" t="n"/>
      <c r="K559" s="2147" t="n"/>
      <c r="L559" s="2147" t="n"/>
      <c r="M559" s="2147" t="n"/>
      <c r="N559" s="2147" t="n"/>
    </row>
    <row r="560" customFormat="1" s="1916">
      <c r="A560" s="53" t="n"/>
      <c r="B560" s="53" t="n"/>
      <c r="C560" s="2145" t="n"/>
      <c r="D560" s="2145" t="n"/>
      <c r="E560" s="2145" t="n"/>
      <c r="F560" s="53" t="n"/>
      <c r="G560" s="53" t="n"/>
    </row>
    <row r="561" customFormat="1" s="1916">
      <c r="A561" s="53" t="n"/>
      <c r="B561" s="53" t="n"/>
      <c r="C561" s="2145" t="n"/>
      <c r="D561" s="2145" t="n"/>
      <c r="E561" s="2147" t="n"/>
      <c r="F561" s="53" t="n"/>
      <c r="G561" s="53" t="n"/>
    </row>
    <row r="562" customFormat="1" s="1916">
      <c r="A562" s="53" t="n"/>
      <c r="B562" s="53" t="n"/>
      <c r="C562" s="2145" t="n"/>
      <c r="D562" s="2145" t="n"/>
      <c r="E562" s="2145" t="n"/>
      <c r="F562" s="53" t="n"/>
      <c r="G562" s="53" t="n"/>
    </row>
    <row r="563" customFormat="1" s="1916">
      <c r="A563" s="53" t="n"/>
      <c r="B563" s="53" t="n"/>
      <c r="C563" s="2145" t="n"/>
      <c r="D563" s="2145" t="n"/>
      <c r="E563" s="2145" t="n"/>
      <c r="F563" s="53" t="n"/>
      <c r="G563" s="53" t="n"/>
    </row>
    <row r="564" customFormat="1" s="1916">
      <c r="A564" s="53" t="n"/>
      <c r="B564" s="112" t="n"/>
      <c r="C564" s="2145" t="n"/>
      <c r="D564" s="2145" t="n"/>
      <c r="E564" s="2145" t="n"/>
      <c r="F564" s="53" t="n"/>
      <c r="G564" s="53" t="n"/>
    </row>
    <row r="565" customFormat="1" s="1916">
      <c r="A565" s="53" t="n"/>
      <c r="B565" s="112" t="n"/>
      <c r="C565" s="2145" t="n"/>
      <c r="D565" s="2145" t="n"/>
      <c r="E565" s="2145" t="n"/>
      <c r="F565" s="53" t="n"/>
      <c r="G565" s="53" t="n"/>
    </row>
    <row r="566" customFormat="1" s="1916">
      <c r="A566" s="53" t="n"/>
      <c r="B566" s="113" t="n"/>
      <c r="C566" s="2145" t="n"/>
      <c r="D566" s="2145" t="n"/>
      <c r="E566" s="2145" t="n"/>
      <c r="F566" s="53" t="n"/>
      <c r="G566" s="53" t="n"/>
    </row>
    <row r="567" customFormat="1" s="1916">
      <c r="A567" s="53" t="n"/>
      <c r="B567" s="113" t="n"/>
      <c r="C567" s="2145" t="n"/>
      <c r="D567" s="2145" t="n"/>
      <c r="E567" s="2145" t="n"/>
      <c r="F567" s="53" t="n"/>
      <c r="G567" s="53" t="n"/>
    </row>
    <row r="568" customFormat="1" s="1916">
      <c r="A568" s="53" t="n"/>
      <c r="B568" s="113" t="n"/>
      <c r="C568" s="2145" t="n"/>
      <c r="D568" s="2145" t="n"/>
      <c r="E568" s="2145" t="n"/>
      <c r="F568" s="53" t="n"/>
      <c r="G568" s="53" t="n"/>
    </row>
    <row r="569" customFormat="1" s="1916">
      <c r="A569" s="53" t="n"/>
      <c r="B569" s="113" t="n"/>
      <c r="C569" s="2145" t="n"/>
      <c r="D569" s="2145" t="n"/>
      <c r="E569" s="2145" t="n"/>
      <c r="F569" s="53" t="n"/>
      <c r="G569" s="53" t="n"/>
    </row>
    <row r="570" customFormat="1" s="1916">
      <c r="A570" s="53" t="n"/>
      <c r="B570" s="112" t="n"/>
      <c r="C570" s="2145" t="n"/>
      <c r="D570" s="2145" t="n"/>
      <c r="E570" s="2145" t="n"/>
      <c r="F570" s="53" t="n"/>
      <c r="G570" s="53" t="n"/>
    </row>
    <row r="571" customFormat="1" s="1916">
      <c r="A571" s="53" t="n"/>
      <c r="B571" s="112" t="n"/>
      <c r="C571" s="2145" t="n"/>
      <c r="D571" s="2145" t="n"/>
      <c r="E571" s="2145" t="n"/>
      <c r="F571" s="53" t="n"/>
      <c r="G571" s="53" t="n"/>
    </row>
    <row r="572" customFormat="1" s="1916">
      <c r="A572" s="53" t="n"/>
      <c r="B572" s="112" t="n"/>
      <c r="C572" s="2145" t="n"/>
      <c r="D572" s="2145" t="n"/>
      <c r="E572" s="2149" t="n"/>
      <c r="F572" s="53" t="n"/>
      <c r="G572" s="53" t="n"/>
      <c r="Q572" s="53" t="n"/>
    </row>
    <row r="573" customFormat="1" s="1916">
      <c r="A573" s="53" t="n"/>
      <c r="B573" s="113" t="n"/>
      <c r="C573" s="2145" t="n"/>
      <c r="D573" s="2145" t="n"/>
      <c r="E573" s="2145" t="n"/>
      <c r="F573" s="53" t="n"/>
      <c r="G573" s="53" t="n"/>
      <c r="H573" s="53" t="n"/>
      <c r="J573" s="2154" t="n"/>
      <c r="Q573" s="53" t="n"/>
    </row>
    <row r="574" customFormat="1" s="1916">
      <c r="A574" s="53" t="n"/>
      <c r="B574" s="53" t="n"/>
      <c r="C574" s="2145" t="n"/>
      <c r="D574" s="2145" t="n"/>
      <c r="E574" s="2145" t="n"/>
      <c r="F574" s="2145" t="n"/>
      <c r="G574" s="2145" t="n"/>
      <c r="Q574" s="53" t="n"/>
    </row>
    <row r="575" customFormat="1" s="1916">
      <c r="A575" s="53" t="n"/>
      <c r="B575" s="53" t="n"/>
      <c r="C575" s="2145" t="n"/>
      <c r="D575" s="2145" t="n"/>
      <c r="E575" s="2145" t="n"/>
      <c r="G575" s="540" t="n"/>
      <c r="Q575" s="53" t="n"/>
    </row>
    <row r="576" customFormat="1" s="1916">
      <c r="E576" s="2145" t="n"/>
    </row>
    <row r="577" customFormat="1" s="1916"/>
    <row r="578" customFormat="1" s="1916"/>
    <row r="579" customFormat="1" s="1916"/>
    <row r="580" customFormat="1" s="1916"/>
    <row r="581" customFormat="1" s="1916"/>
    <row r="582" customFormat="1" s="1916"/>
    <row r="583" customFormat="1" s="1916"/>
    <row r="584">
      <c r="T584" s="1916" t="n"/>
      <c r="U584" s="1916" t="n"/>
      <c r="V584" s="1916" t="n"/>
      <c r="W584" s="191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5">
    <mergeCell ref="G43:G44"/>
    <mergeCell ref="H8:I8"/>
    <mergeCell ref="H47:I47"/>
    <mergeCell ref="J8:K8"/>
    <mergeCell ref="F8:G8"/>
  </mergeCells>
  <conditionalFormatting sqref="A80">
    <cfRule type="expression" priority="4" dxfId="4">
      <formula>$D$8="yes"</formula>
    </cfRule>
  </conditionalFormatting>
  <conditionalFormatting sqref="A80:B80">
    <cfRule type="expression" priority="1" dxfId="4">
      <formula>$D$6="yes"</formula>
    </cfRule>
  </conditionalFormatting>
  <conditionalFormatting sqref="D7">
    <cfRule type="cellIs" priority="7" operator="equal" dxfId="2">
      <formula>"Yes"</formula>
    </cfRule>
  </conditionalFormatting>
  <conditionalFormatting sqref="D8">
    <cfRule type="containsText" priority="13" operator="containsText" dxfId="10" text="Yes">
      <formula>NOT(ISERROR(SEARCH("Yes",D8)))</formula>
    </cfRule>
  </conditionalFormatting>
  <conditionalFormatting sqref="E43">
    <cfRule type="cellIs" priority="6" operator="equal" dxfId="9" stopIfTrue="1">
      <formula>"PW"</formula>
    </cfRule>
  </conditionalFormatting>
  <conditionalFormatting sqref="E80">
    <cfRule type="expression" priority="5" dxfId="4">
      <formula>$D$6="yes"</formula>
    </cfRule>
  </conditionalFormatting>
  <conditionalFormatting sqref="F43">
    <cfRule type="containsText" priority="8" operator="containsText" dxfId="2" text="10 hour days">
      <formula>NOT(ISERROR(SEARCH("10 hour days",F43)))</formula>
    </cfRule>
    <cfRule type="containsText" priority="9" operator="containsText" dxfId="4" text="8 hour days">
      <formula>NOT(ISERROR(SEARCH("8 hour days",F43)))</formula>
    </cfRule>
    <cfRule type="containsText" priority="10" operator="containsText" dxfId="2" text="10 hour days">
      <formula>NOT(ISERROR(SEARCH("10 hour days",F43)))</formula>
    </cfRule>
    <cfRule type="containsText" priority="11" operator="containsText" dxfId="4" text="8 hour days">
      <formula>NOT(ISERROR(SEARCH("8 hour days",F43)))</formula>
    </cfRule>
  </conditionalFormatting>
  <conditionalFormatting sqref="G88">
    <cfRule type="containsText" priority="14" operator="containsText" dxfId="2" text="owner">
      <formula>NOT(ISERROR(SEARCH("owner",G88)))</formula>
    </cfRule>
  </conditionalFormatting>
  <conditionalFormatting sqref="H74">
    <cfRule type="cellIs" priority="2" operator="lessThan" dxfId="2">
      <formula>0</formula>
    </cfRule>
    <cfRule type="cellIs" priority="3" operator="greaterThanOrEqual" dxfId="1">
      <formula>0</formula>
    </cfRule>
  </conditionalFormatting>
  <conditionalFormatting sqref="H39:I39">
    <cfRule type="cellIs" priority="12" operator="notEqual" dxfId="0">
      <formula>FALSE</formula>
    </cfRule>
  </conditionalFormatting>
  <dataValidations disablePrompts="1" count="3">
    <dataValidation sqref="G11 I11 K11" showDropDown="0" showInputMessage="1" showErrorMessage="1" allowBlank="1" type="list">
      <formula1>$P$52:$P$54</formula1>
    </dataValidation>
    <dataValidation sqref="A36" showDropDown="0" showInputMessage="1" showErrorMessage="1" allowBlank="1" type="list">
      <formula1>$O$36:$O$44</formula1>
    </dataValidation>
    <dataValidation sqref="G10 I10 K10" showDropDown="0" showInputMessage="1" showErrorMessage="1" allowBlank="1" type="list">
      <formula1>$W$51:$W$62</formula1>
    </dataValidation>
  </dataValidations>
  <hyperlinks>
    <hyperlink xmlns:r="http://schemas.openxmlformats.org/officeDocument/2006/relationships" ref="A80" r:id="rId1"/>
  </hyperlinks>
  <pageMargins left="0.75" right="0.75" top="0.5" bottom="0.25" header="0.5" footer="0.5"/>
  <pageSetup orientation="portrait" scale="61" horizontalDpi="4294967292" verticalDpi="4294967292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O584"/>
  <sheetViews>
    <sheetView zoomScaleNormal="100" workbookViewId="0">
      <selection activeCell="D12" sqref="D12"/>
    </sheetView>
  </sheetViews>
  <sheetFormatPr baseColWidth="8" defaultColWidth="11" defaultRowHeight="15.6"/>
  <cols>
    <col width="20.296875" customWidth="1" min="1" max="1"/>
    <col width="13.796875" customWidth="1" min="2" max="2"/>
    <col width="13.296875" customWidth="1" min="3" max="4"/>
    <col width="14.296875" customWidth="1" min="5" max="5"/>
    <col width="32.296875" customWidth="1" min="6" max="6"/>
    <col width="18" customWidth="1" min="7" max="7"/>
    <col width="17.796875" customWidth="1" min="8" max="8"/>
    <col width="19.5" customWidth="1" min="9" max="9"/>
    <col width="21.5" customWidth="1" min="10" max="10"/>
    <col width="19.296875" customWidth="1" min="11" max="12"/>
    <col width="12.69921875" customWidth="1" min="13" max="14"/>
    <col width="17.69921875" customWidth="1" min="15" max="15"/>
    <col width="16.69921875" customWidth="1" min="16" max="18"/>
    <col width="15.69921875" bestFit="1" customWidth="1" min="19" max="19"/>
    <col width="12" customWidth="1" min="20" max="20"/>
    <col width="13.796875" customWidth="1" min="21" max="23"/>
    <col width="19" bestFit="1" customWidth="1" min="24" max="24"/>
    <col width="2.69921875" customWidth="1" min="25" max="25"/>
    <col width="13.69921875" bestFit="1" customWidth="1" min="26" max="26"/>
    <col width="22.5" bestFit="1" customWidth="1" min="27" max="27"/>
    <col width="3.296875" customWidth="1" min="28" max="28"/>
    <col width="15.69921875" bestFit="1" customWidth="1" min="29" max="29"/>
    <col width="22.5" bestFit="1" customWidth="1" min="30" max="30"/>
    <col width="11.5" bestFit="1" customWidth="1" min="31" max="31"/>
    <col width="21.69921875" bestFit="1" customWidth="1" min="39" max="39"/>
    <col width="19" bestFit="1" customWidth="1" min="42" max="42"/>
    <col width="22.5" bestFit="1" customWidth="1" min="45" max="45"/>
    <col width="22.5" bestFit="1" customWidth="1" min="48" max="48"/>
    <col width="11.69921875" bestFit="1" customWidth="1" min="51" max="51"/>
    <col width="2.296875" customWidth="1" min="52" max="52"/>
    <col width="2.796875" customWidth="1" min="53" max="53"/>
    <col width="11.69921875" bestFit="1" customWidth="1" min="54" max="54"/>
    <col width="3" customWidth="1" min="55" max="55"/>
    <col width="3.296875" customWidth="1" min="56" max="56"/>
    <col width="11.69921875" bestFit="1" customWidth="1" min="57" max="57"/>
    <col width="2.19921875" customWidth="1" min="58" max="59"/>
    <col width="9" bestFit="1" customWidth="1" min="60" max="60"/>
    <col width="14.796875" bestFit="1" customWidth="1" min="61" max="61"/>
    <col width="9" bestFit="1" customWidth="1" min="62" max="62"/>
    <col width="2.796875" customWidth="1" min="63" max="63"/>
    <col width="12.5" bestFit="1" customWidth="1" min="64" max="64"/>
    <col width="7.69921875" bestFit="1" customWidth="1" min="65" max="65"/>
    <col width="3.296875" customWidth="1" min="66" max="66"/>
    <col width="13.69921875" bestFit="1" customWidth="1" min="67" max="67"/>
    <col width="9" bestFit="1" customWidth="1" min="68" max="68"/>
    <col width="3.296875" customWidth="1" min="69" max="69"/>
    <col width="15.69921875" bestFit="1" customWidth="1" min="70" max="70"/>
    <col width="21.69921875" bestFit="1" customWidth="1" min="81" max="81"/>
    <col width="19" bestFit="1" customWidth="1" min="84" max="84"/>
    <col width="22.5" bestFit="1" customWidth="1" min="87" max="87"/>
    <col width="22.5" bestFit="1" customWidth="1" min="90" max="90"/>
    <col width="11.69921875" bestFit="1" customWidth="1" min="93" max="93"/>
    <col width="2.296875" customWidth="1" min="94" max="94"/>
    <col width="2.796875" customWidth="1" min="95" max="95"/>
    <col width="11.69921875" bestFit="1" customWidth="1" min="96" max="96"/>
    <col width="3" customWidth="1" min="97" max="97"/>
    <col width="3.296875" customWidth="1" min="98" max="98"/>
    <col width="11.69921875" bestFit="1" customWidth="1" min="99" max="99"/>
    <col width="2.19921875" customWidth="1" min="100" max="101"/>
    <col width="9" bestFit="1" customWidth="1" min="102" max="102"/>
    <col width="14.796875" bestFit="1" customWidth="1" min="103" max="103"/>
    <col width="9" bestFit="1" customWidth="1" min="104" max="104"/>
    <col width="2.796875" customWidth="1" min="105" max="105"/>
    <col width="12.5" bestFit="1" customWidth="1" min="106" max="106"/>
    <col width="7.69921875" bestFit="1" customWidth="1" min="107" max="107"/>
    <col width="3.296875" customWidth="1" min="108" max="108"/>
    <col width="13.69921875" bestFit="1" customWidth="1" min="109" max="109"/>
    <col width="9" bestFit="1" customWidth="1" min="110" max="110"/>
    <col width="3.296875" customWidth="1" min="111" max="111"/>
    <col width="15.69921875" bestFit="1" customWidth="1" min="112" max="112"/>
  </cols>
  <sheetData>
    <row r="1" customFormat="1" s="585">
      <c r="A1" s="1659">
        <f>B16</f>
        <v/>
      </c>
      <c r="G1" s="586" t="inlineStr">
        <is>
          <t>Bidding Contacts:</t>
        </is>
      </c>
      <c r="M1" s="823" t="inlineStr">
        <is>
          <t xml:space="preserve">Layout </t>
        </is>
      </c>
      <c r="N1" s="823" t="inlineStr">
        <is>
          <t xml:space="preserve">Layout </t>
        </is>
      </c>
      <c r="O1" s="584" t="n"/>
      <c r="P1" s="584" t="n"/>
      <c r="Q1" s="584" t="n"/>
      <c r="R1" s="584" t="n"/>
    </row>
    <row r="2" ht="16.2" customFormat="1" customHeight="1" s="585" thickBot="1">
      <c r="A2" s="584" t="inlineStr">
        <is>
          <t>Project</t>
        </is>
      </c>
      <c r="B2" s="585">
        <f>'Gyp (USG 1-8")'!B2</f>
        <v/>
      </c>
      <c r="G2" s="588">
        <f>'Gyp (USG 1-8")'!G2</f>
        <v/>
      </c>
      <c r="H2" s="585">
        <f>'Gyp (USG 1-8")'!H2</f>
        <v/>
      </c>
      <c r="I2" s="585">
        <f>'Gyp (USG 1-8")'!I2</f>
        <v/>
      </c>
      <c r="M2" s="969" t="inlineStr">
        <is>
          <t xml:space="preserve">Building # </t>
        </is>
      </c>
      <c r="N2" s="969" t="inlineStr">
        <is>
          <t xml:space="preserve">Floor # </t>
        </is>
      </c>
      <c r="O2" s="969" t="inlineStr">
        <is>
          <t>Total SF per Floor</t>
        </is>
      </c>
      <c r="P2" s="1289" t="inlineStr">
        <is>
          <t xml:space="preserve">SF-Soft Surfaces </t>
        </is>
      </c>
      <c r="Q2" s="1290" t="inlineStr">
        <is>
          <t xml:space="preserve">SF-Hard Surfaces </t>
        </is>
      </c>
      <c r="R2" s="1291" t="inlineStr">
        <is>
          <t>SF-Corridors</t>
        </is>
      </c>
      <c r="S2" s="969" t="inlineStr">
        <is>
          <t>Bags</t>
        </is>
      </c>
      <c r="T2" s="969" t="inlineStr">
        <is>
          <t>Mobilizations</t>
        </is>
      </c>
      <c r="U2" s="969" t="inlineStr">
        <is>
          <t xml:space="preserve">Alt Mobs. </t>
        </is>
      </c>
      <c r="V2" s="969" t="inlineStr">
        <is>
          <t>Days per Area</t>
        </is>
      </c>
      <c r="W2" s="1331" t="inlineStr">
        <is>
          <t>Mat Totals</t>
        </is>
      </c>
      <c r="X2" s="1331" t="inlineStr">
        <is>
          <t>Bag Totals</t>
        </is>
      </c>
    </row>
    <row r="3" customFormat="1" s="585">
      <c r="A3" s="584" t="inlineStr">
        <is>
          <t>Bid Date</t>
        </is>
      </c>
      <c r="B3" s="587">
        <f>'Gyp (USG 1-8")'!B3</f>
        <v/>
      </c>
      <c r="G3" s="588">
        <f>'Gyp (USG 1-8")'!G3</f>
        <v/>
      </c>
      <c r="H3" s="585">
        <f>'Gyp (USG 1-8")'!H3</f>
        <v/>
      </c>
      <c r="I3" s="585">
        <f>'Gyp (USG 1-8")'!I3</f>
        <v/>
      </c>
      <c r="L3" s="633" t="n"/>
      <c r="N3" s="1292" t="n"/>
      <c r="O3" s="1393">
        <f>SUM(P3:R3)</f>
        <v/>
      </c>
      <c r="P3" s="1394" t="n"/>
      <c r="Q3" s="1395" t="n"/>
      <c r="R3" s="1396" t="n"/>
      <c r="S3" s="1337">
        <f>((P3+Q3+R3)/F22)*H33</f>
        <v/>
      </c>
      <c r="T3" s="970" t="n"/>
      <c r="U3" s="633" t="n"/>
    </row>
    <row r="4" customFormat="1" s="585">
      <c r="A4" s="584" t="inlineStr">
        <is>
          <t>Address</t>
        </is>
      </c>
      <c r="B4" s="585">
        <f>'Gyp (USG 1-8")'!B4</f>
        <v/>
      </c>
      <c r="G4" s="588">
        <f>'Gyp (USG 1-8")'!G4</f>
        <v/>
      </c>
      <c r="H4" s="585">
        <f>'Gyp (USG 1-8")'!H4</f>
        <v/>
      </c>
      <c r="I4" s="585">
        <f>'Gyp (USG 1-8")'!I4</f>
        <v/>
      </c>
      <c r="J4" s="594" t="n"/>
      <c r="L4" s="633" t="n"/>
      <c r="N4" s="1292" t="n"/>
      <c r="O4" s="1393">
        <f>SUM(P4:R4)</f>
        <v/>
      </c>
      <c r="P4" s="1394" t="n"/>
      <c r="Q4" s="1395" t="n"/>
      <c r="R4" s="1396" t="n"/>
      <c r="S4" s="1337">
        <f>((P4+Q4+R4)/F22)*H33</f>
        <v/>
      </c>
      <c r="T4" s="970" t="n"/>
      <c r="U4" s="633" t="n"/>
    </row>
    <row r="5" customFormat="1" s="585">
      <c r="A5" s="1637" t="inlineStr">
        <is>
          <t>Local?</t>
        </is>
      </c>
      <c r="B5" s="585">
        <f>'Gyp (USG 1-8")'!B5</f>
        <v/>
      </c>
      <c r="C5" s="590" t="inlineStr">
        <is>
          <t>&lt; 70 miles?</t>
        </is>
      </c>
      <c r="D5" s="1412" t="inlineStr">
        <is>
          <t xml:space="preserve">     Look-Up on Google Earth</t>
        </is>
      </c>
      <c r="E5" s="1413" t="n"/>
      <c r="G5" s="588">
        <f>'Gyp (USG 1-8")'!G5</f>
        <v/>
      </c>
      <c r="H5" s="585">
        <f>'Gyp (USG 1-8")'!H5</f>
        <v/>
      </c>
      <c r="I5" s="585">
        <f>'Gyp (USG 1-8")'!I5</f>
        <v/>
      </c>
      <c r="J5" s="594" t="n"/>
      <c r="L5" s="633" t="n"/>
      <c r="N5" s="1292" t="n"/>
      <c r="O5" s="1393">
        <f>SUM(P5:R5)</f>
        <v/>
      </c>
      <c r="P5" s="1394" t="n"/>
      <c r="Q5" s="1395" t="n"/>
      <c r="R5" s="1396" t="n"/>
      <c r="S5" s="1337">
        <f>((P5+Q5+R5)/F22)*H33</f>
        <v/>
      </c>
      <c r="T5" s="970" t="n"/>
      <c r="U5" s="633" t="n"/>
    </row>
    <row r="6" ht="16.2" customFormat="1" customHeight="1" s="585" thickBot="1">
      <c r="A6" s="584" t="inlineStr">
        <is>
          <t xml:space="preserve">Miles Away </t>
        </is>
      </c>
      <c r="B6" s="840">
        <f>'Gyp (USG 1-8")'!B6</f>
        <v/>
      </c>
      <c r="G6" s="588">
        <f>'Gyp (USG 1-8")'!G6</f>
        <v/>
      </c>
      <c r="H6" s="585">
        <f>'Gyp (USG 1-8")'!H6</f>
        <v/>
      </c>
      <c r="I6" s="585">
        <f>'Gyp (USG 1-8")'!I6</f>
        <v/>
      </c>
      <c r="J6" s="594" t="n"/>
      <c r="L6" s="633" t="n"/>
      <c r="M6" s="1650" t="inlineStr">
        <is>
          <t>Total from</t>
        </is>
      </c>
      <c r="N6" s="1651" t="inlineStr">
        <is>
          <t>Base Bid</t>
        </is>
      </c>
      <c r="O6" s="1393">
        <f>SUM(P6:R6)</f>
        <v/>
      </c>
      <c r="P6" s="1394">
        <f>'Gyp (USG 1-8")'!P28</f>
        <v/>
      </c>
      <c r="Q6" s="1395">
        <f>'Gyp (USG 1-8")'!Q28</f>
        <v/>
      </c>
      <c r="R6" s="1396">
        <f>'Gyp (USG 1-8")'!R28</f>
        <v/>
      </c>
      <c r="S6" s="1337">
        <f>((P6+Q6+R6)/F22)*H33</f>
        <v/>
      </c>
      <c r="T6" s="1652">
        <f>'Gyp (USG 1-8")'!T28</f>
        <v/>
      </c>
      <c r="U6" s="1650" t="inlineStr">
        <is>
          <t xml:space="preserve">Total from </t>
        </is>
      </c>
      <c r="V6" s="1653" t="inlineStr">
        <is>
          <t>Base Bid</t>
        </is>
      </c>
      <c r="AM6" s="2193" t="n">
        <v>1000</v>
      </c>
      <c r="AN6" s="2193" t="n"/>
      <c r="AO6" s="2193" t="n"/>
      <c r="AP6" s="2193">
        <f>AM6</f>
        <v/>
      </c>
      <c r="AQ6" s="2193" t="n"/>
      <c r="AR6" s="2193" t="n"/>
      <c r="AS6" s="2193">
        <f>AM6+AP6</f>
        <v/>
      </c>
      <c r="AT6" s="2193" t="n"/>
      <c r="AU6" s="2193" t="n"/>
      <c r="AV6" s="2193">
        <f>AS6</f>
        <v/>
      </c>
      <c r="AW6" s="1051">
        <f>IF(AM6&lt;=#REF!,#REF!,IF(AM6&lt;=#REF!,#REF!,IF(AM6&lt;=#REF!,#REF!,IF(AM6&lt;=#REF!,#REF!,IF(AM6&lt;=#REF!,#REF!,IF(AM6&lt;=#REF!,#REF!,IF(AM6&lt;=#REF!,#REF!,0.05)))))))</f>
        <v/>
      </c>
      <c r="AX6" s="2193">
        <f>AW6*AM6</f>
        <v/>
      </c>
      <c r="AY6" s="1051" t="n"/>
      <c r="AZ6" s="1051">
        <f>IF(AP6&lt;=#REF!,#REF!,IF(AP6&lt;=#REF!,#REF!,IF(AP6&lt;=#REF!,#REF!,IF(AP6&lt;=#REF!,#REF!,IF(AP6&lt;=#REF!,#REF!,IF(AP6&lt;=#REF!,#REF!,IF(AP6&lt;=#REF!,#REF!,0.05)))))))</f>
        <v/>
      </c>
      <c r="BA6" s="2193">
        <f>AZ6*AP6</f>
        <v/>
      </c>
      <c r="BB6" s="1051" t="n"/>
      <c r="BC6" s="1051">
        <f>IF(AS6&lt;=#REF!,#REF!,IF(AS6&lt;=#REF!,#REF!,IF(AS6&lt;=#REF!,#REF!,IF(AS6&lt;=#REF!,#REF!,IF(AS6&lt;=#REF!,#REF!,IF(AS6&lt;=#REF!,#REF!,IF(AS6&lt;=#REF!,#REF!,0.05)))))))</f>
        <v/>
      </c>
      <c r="BD6" s="2193">
        <f>BC6*SUM(BA6,AX6,AS6)</f>
        <v/>
      </c>
      <c r="BE6" s="1051" t="n"/>
      <c r="BF6" s="2194">
        <f>IF(AV6&lt;=#REF!,#REF!,IF(AV6&lt;=#REF!,#REF!,IF(AV6&lt;=#REF!,#REF!,IF(AV6&lt;=#REF!,#REF!,IF(AV6&lt;=#REF!,#REF!,IF(AV6&lt;=#REF!,#REF!,IF(AV6&lt;=#REF!,#REF!,0.05)))))))</f>
        <v/>
      </c>
      <c r="BG6" s="2193">
        <f>BF6*AV6</f>
        <v/>
      </c>
      <c r="BI6" s="1932">
        <f>0.07*SUM(AS6,AX6,BA6,BD6,BG6)</f>
        <v/>
      </c>
      <c r="BK6" s="1932">
        <f>SUM(BI6,BG6,BD6,BA6,AX6,AS6)</f>
        <v/>
      </c>
      <c r="BL6" s="1933">
        <f>SUM(BG6,BD6,BA6,AX6)</f>
        <v/>
      </c>
      <c r="BM6" s="1051">
        <f>BL6/BK6</f>
        <v/>
      </c>
      <c r="BP6" s="1051" t="n">
        <v>0.1</v>
      </c>
      <c r="BQ6" s="2193" t="n">
        <v>5000</v>
      </c>
      <c r="BS6" s="1051" t="n">
        <v>0.35</v>
      </c>
      <c r="BT6" s="2193" t="n">
        <v>2000</v>
      </c>
      <c r="BU6" s="2193" t="n"/>
      <c r="BV6" s="1051" t="n">
        <v>0.28</v>
      </c>
      <c r="BW6" s="2193" t="n">
        <v>9000</v>
      </c>
      <c r="BY6" s="2194" t="n">
        <v>0</v>
      </c>
      <c r="BZ6" s="2193" t="n">
        <v>9000</v>
      </c>
      <c r="CC6" s="2193" t="n">
        <v>1000</v>
      </c>
      <c r="CD6" s="2193" t="n"/>
      <c r="CE6" s="2193" t="n"/>
      <c r="CF6" s="2193">
        <f>CC6</f>
        <v/>
      </c>
      <c r="CG6" s="2193" t="n"/>
      <c r="CH6" s="2193" t="n"/>
      <c r="CI6" s="2193">
        <f>CC6+CF6</f>
        <v/>
      </c>
      <c r="CJ6" s="2193" t="n"/>
      <c r="CK6" s="2193" t="n"/>
      <c r="CL6" s="2193">
        <f>CI6</f>
        <v/>
      </c>
      <c r="CM6" s="1051">
        <f>IF(CC6&lt;=BQ$6,BP$6,IF(CC6&lt;=BQ$7,BP$7,IF(CC6&lt;=BQ$8,BP$8,IF(CC6&lt;=BQ$9,BP$9,IF(CC6&lt;=BQ$14,BP$14,IF(CC6&lt;=BQ$15,BP$15,IF(CC6&lt;=BQ$16,BP$16,0.05)))))))</f>
        <v/>
      </c>
      <c r="CN6" s="2193">
        <f>CM6*CC6</f>
        <v/>
      </c>
      <c r="CO6" s="1051" t="n"/>
      <c r="CP6" s="1051">
        <f>IF(CF6&lt;=BT$6,BS$6,IF(CF6&lt;=BT$7,BS$7,IF(CF6&lt;=BT$8,BS$8,IF(CF6&lt;=BT$9,BS$9,IF(CF6&lt;=BT$14,BS$14,IF(CF6&lt;=BT$15,BS$15,IF(CF6&lt;=BT$16,BS$16,0.05)))))))</f>
        <v/>
      </c>
      <c r="CQ6" s="2193">
        <f>CP6*CF6</f>
        <v/>
      </c>
      <c r="CR6" s="1051" t="n"/>
      <c r="CS6" s="1051">
        <f>IF(CI6&lt;=BW$6,BV$6,IF(CI6&lt;=BW$7,BV$7,IF(CI6&lt;=BW$8,BV$8,IF(CI6&lt;=BW$9,BV$9,IF(CI6&lt;=BW$14,BV$14,IF(CI6&lt;=BW$15,BV$15,IF(CI6&lt;=BW$16,BV$16,0.05)))))))</f>
        <v/>
      </c>
      <c r="CT6" s="2193">
        <f>CS6*SUM(CQ6,CN6,CI6)</f>
        <v/>
      </c>
      <c r="CU6" s="1051" t="n"/>
      <c r="CV6" s="2194">
        <f>IF(CL6&lt;=BZ$6,BY$6,IF(CL6&lt;=BZ$7,BY$7,IF(CL6&lt;=BZ$8,BY$8,IF(CL6&lt;=BZ$9,BY$9,IF(CL6&lt;=BZ$14,BY$14,IF(CL6&lt;=BZ$15,BY$15,IF(CL6&lt;=BZ$16,BY$16,0.05)))))))</f>
        <v/>
      </c>
      <c r="CW6" s="2193">
        <f>CV6*CL6</f>
        <v/>
      </c>
      <c r="CY6" s="1932">
        <f>0.07*SUM(CI6,CN6,CQ6,CT6,CW6)</f>
        <v/>
      </c>
      <c r="DA6" s="1932">
        <f>SUM(CY6,CW6,CT6,CQ6,CN6,CI6)</f>
        <v/>
      </c>
      <c r="DB6" s="1933">
        <f>SUM(CW6,CT6,CQ6,CN6)</f>
        <v/>
      </c>
      <c r="DC6" s="1051">
        <f>DB6/DA6</f>
        <v/>
      </c>
    </row>
    <row r="7" ht="16.2" customFormat="1" customHeight="1" s="585" thickBot="1">
      <c r="A7" s="589" t="inlineStr">
        <is>
          <t>Hard Bid?</t>
        </is>
      </c>
      <c r="B7" s="585" t="inlineStr">
        <is>
          <t>No</t>
        </is>
      </c>
      <c r="C7" s="1010" t="inlineStr">
        <is>
          <t>PrevailingWage?</t>
        </is>
      </c>
      <c r="D7" s="591">
        <f>'Gyp (USG 1-8")'!D7</f>
        <v/>
      </c>
      <c r="E7" s="591" t="n"/>
      <c r="F7" s="974" t="inlineStr">
        <is>
          <t>Total SF:</t>
        </is>
      </c>
      <c r="G7" s="1283">
        <f>G9+I9+K9</f>
        <v/>
      </c>
      <c r="H7" s="593" t="n"/>
      <c r="I7" s="594" t="n"/>
      <c r="J7" s="594" t="n"/>
      <c r="K7" s="594" t="n"/>
      <c r="L7" s="633" t="n"/>
      <c r="N7" s="1292" t="n"/>
      <c r="O7" s="1393">
        <f>SUM(P7:R7)</f>
        <v/>
      </c>
      <c r="P7" s="1394" t="n"/>
      <c r="Q7" s="1395" t="n"/>
      <c r="R7" s="1396" t="n"/>
      <c r="S7" s="1337">
        <f>((P7+Q7+R7)/F22)*H33</f>
        <v/>
      </c>
      <c r="T7" s="970" t="n"/>
      <c r="AM7" s="2193" t="n">
        <v>2000</v>
      </c>
      <c r="AN7" s="2193" t="n"/>
      <c r="AO7" s="2193" t="n"/>
      <c r="AP7" s="2193">
        <f>AM7</f>
        <v/>
      </c>
      <c r="AQ7" s="2193" t="n"/>
      <c r="AR7" s="2193" t="n"/>
      <c r="AS7" s="2193">
        <f>AM7+AP7</f>
        <v/>
      </c>
      <c r="AT7" s="2193" t="n"/>
      <c r="AU7" s="2193" t="n"/>
      <c r="AV7" s="2193">
        <f>AS7</f>
        <v/>
      </c>
      <c r="AW7" s="1051">
        <f>IF(AM7&lt;=#REF!,#REF!,IF(AM7&lt;=#REF!,#REF!,IF(AM7&lt;=#REF!,#REF!,IF(AM7&lt;=#REF!,#REF!,IF(AM7&lt;=#REF!,#REF!,IF(AM7&lt;=#REF!,#REF!,IF(AM7&lt;=#REF!,#REF!,0.05)))))))</f>
        <v/>
      </c>
      <c r="AX7" s="2193">
        <f>AW7*AM7</f>
        <v/>
      </c>
      <c r="AY7" s="1051" t="n"/>
      <c r="AZ7" s="1051">
        <f>IF(AP7&lt;=#REF!,#REF!,IF(AP7&lt;=#REF!,#REF!,IF(AP7&lt;=#REF!,#REF!,IF(AP7&lt;=#REF!,#REF!,IF(AP7&lt;=#REF!,#REF!,IF(AP7&lt;=#REF!,#REF!,IF(AP7&lt;=#REF!,#REF!,0.05)))))))</f>
        <v/>
      </c>
      <c r="BA7" s="2193">
        <f>AZ7*AP7</f>
        <v/>
      </c>
      <c r="BB7" s="1051" t="n"/>
      <c r="BC7" s="1051">
        <f>IF(AS7&lt;=#REF!,#REF!,IF(AS7&lt;=#REF!,#REF!,IF(AS7&lt;=#REF!,#REF!,IF(AS7&lt;=#REF!,#REF!,IF(AS7&lt;=#REF!,#REF!,IF(AS7&lt;=#REF!,#REF!,IF(AS7&lt;=#REF!,#REF!,0.05)))))))</f>
        <v/>
      </c>
      <c r="BD7" s="2193">
        <f>BC7*SUM(BA7,AX7,AS7)</f>
        <v/>
      </c>
      <c r="BE7" s="1051" t="n"/>
      <c r="BF7" s="2194">
        <f>IF(AV7&lt;=#REF!,#REF!,IF(AV7&lt;=#REF!,#REF!,IF(AV7&lt;=#REF!,#REF!,IF(AV7&lt;=#REF!,#REF!,IF(AV7&lt;=#REF!,#REF!,IF(AV7&lt;=#REF!,#REF!,IF(AV7&lt;=#REF!,#REF!,0.05)))))))</f>
        <v/>
      </c>
      <c r="BG7" s="2193">
        <f>BF7*AV7</f>
        <v/>
      </c>
      <c r="BI7" s="1932">
        <f>0.07*SUM(AS7,AX7,BA7,BD7,BG7)</f>
        <v/>
      </c>
      <c r="BK7" s="1932">
        <f>SUM(BI7,BG7,BD7,BA7,AX7,AS7)</f>
        <v/>
      </c>
      <c r="BL7" s="1933">
        <f>SUM(BG7,BD7,BA7,AX7)</f>
        <v/>
      </c>
      <c r="BM7" s="1051">
        <f>BL7/BK7</f>
        <v/>
      </c>
      <c r="BP7" s="1051" t="n">
        <v>0.05</v>
      </c>
      <c r="BQ7" s="2193" t="n">
        <v>1000000000</v>
      </c>
      <c r="BS7" s="1051" t="n">
        <v>0.3</v>
      </c>
      <c r="BT7" s="2193" t="n">
        <v>3000</v>
      </c>
      <c r="BU7" s="2193" t="n"/>
      <c r="BV7" s="1051" t="n">
        <v>0.24</v>
      </c>
      <c r="BW7" s="2193" t="n">
        <v>14000</v>
      </c>
      <c r="BY7" s="2194" t="n">
        <v>-0.04</v>
      </c>
      <c r="BZ7" s="2193" t="n">
        <v>14000</v>
      </c>
      <c r="CC7" s="2193" t="n">
        <v>2000</v>
      </c>
      <c r="CD7" s="2193" t="n"/>
      <c r="CE7" s="2193" t="n"/>
      <c r="CF7" s="2193">
        <f>CC7</f>
        <v/>
      </c>
      <c r="CG7" s="2193" t="n"/>
      <c r="CH7" s="2193" t="n"/>
      <c r="CI7" s="2193">
        <f>CC7+CF7</f>
        <v/>
      </c>
      <c r="CJ7" s="2193" t="n"/>
      <c r="CK7" s="2193" t="n"/>
      <c r="CL7" s="2193">
        <f>CI7</f>
        <v/>
      </c>
      <c r="CM7" s="1051">
        <f>IF(CC7&lt;=BQ$6,BP$6,IF(CC7&lt;=BQ$7,BP$7,IF(CC7&lt;=BQ$8,BP$8,IF(CC7&lt;=BQ$9,BP$9,IF(CC7&lt;=BQ$14,BP$14,IF(CC7&lt;=BQ$15,BP$15,IF(CC7&lt;=BQ$16,BP$16,0.05)))))))</f>
        <v/>
      </c>
      <c r="CN7" s="2193">
        <f>CM7*CC7</f>
        <v/>
      </c>
      <c r="CO7" s="1051" t="n"/>
      <c r="CP7" s="1051">
        <f>IF(CF7&lt;=BT$6,BS$6,IF(CF7&lt;=BT$7,BS$7,IF(CF7&lt;=BT$8,BS$8,IF(CF7&lt;=BT$9,BS$9,IF(CF7&lt;=BT$14,BS$14,IF(CF7&lt;=BT$15,BS$15,IF(CF7&lt;=BT$16,BS$16,0.05)))))))</f>
        <v/>
      </c>
      <c r="CQ7" s="2193">
        <f>CP7*CF7</f>
        <v/>
      </c>
      <c r="CR7" s="1051" t="n"/>
      <c r="CS7" s="1051">
        <f>IF(CI7&lt;=BW$6,BV$6,IF(CI7&lt;=BW$7,BV$7,IF(CI7&lt;=BW$8,BV$8,IF(CI7&lt;=BW$9,BV$9,IF(CI7&lt;=BW$14,BV$14,IF(CI7&lt;=BW$15,BV$15,IF(CI7&lt;=BW$16,BV$16,0.05)))))))</f>
        <v/>
      </c>
      <c r="CT7" s="2193">
        <f>CS7*SUM(CQ7,CN7,CI7)</f>
        <v/>
      </c>
      <c r="CU7" s="1051" t="n"/>
      <c r="CV7" s="2194">
        <f>IF(CL7&lt;=BZ$6,BY$6,IF(CL7&lt;=BZ$7,BY$7,IF(CL7&lt;=BZ$8,BY$8,IF(CL7&lt;=BZ$9,BY$9,IF(CL7&lt;=BZ$14,BY$14,IF(CL7&lt;=BZ$15,BY$15,IF(CL7&lt;=BZ$16,BY$16,0.05)))))))</f>
        <v/>
      </c>
      <c r="CW7" s="2193">
        <f>CV7*CL7</f>
        <v/>
      </c>
      <c r="CY7" s="1932">
        <f>0.07*SUM(CI7,CN7,CQ7,CT7,CW7)</f>
        <v/>
      </c>
      <c r="DA7" s="1932">
        <f>SUM(CY7,CW7,CT7,CQ7,CN7,CI7)</f>
        <v/>
      </c>
      <c r="DB7" s="1933">
        <f>SUM(CW7,CT7,CQ7,CN7)</f>
        <v/>
      </c>
      <c r="DC7" s="1051">
        <f>DB7/DA7</f>
        <v/>
      </c>
    </row>
    <row r="8" ht="16.2" customFormat="1" customHeight="1" s="585" thickBot="1">
      <c r="A8" s="589" t="inlineStr">
        <is>
          <t>Taxable?</t>
        </is>
      </c>
      <c r="B8" s="585">
        <f>'Gyp (USG 1-8")'!B8</f>
        <v/>
      </c>
      <c r="C8" s="1539" t="inlineStr">
        <is>
          <t>Remodel Tax?</t>
        </is>
      </c>
      <c r="D8" s="591">
        <f>'Gyp (USG 1-8")'!D8</f>
        <v/>
      </c>
      <c r="E8" s="591" t="n"/>
      <c r="F8" s="2195" t="inlineStr">
        <is>
          <t>Unit</t>
        </is>
      </c>
      <c r="G8" s="2126" t="n"/>
      <c r="H8" s="2196" t="inlineStr">
        <is>
          <t>Unit</t>
        </is>
      </c>
      <c r="I8" s="2126" t="n"/>
      <c r="J8" s="2197" t="inlineStr">
        <is>
          <t>Corridor</t>
        </is>
      </c>
      <c r="K8" s="2126" t="n"/>
      <c r="L8" s="633" t="n"/>
      <c r="N8" s="1292" t="n"/>
      <c r="O8" s="1393">
        <f>SUM(P8:R8)</f>
        <v/>
      </c>
      <c r="P8" s="1394" t="n"/>
      <c r="Q8" s="1395" t="n"/>
      <c r="R8" s="1396" t="n"/>
      <c r="S8" s="1337">
        <f>((P8+Q8+R8)/F22)*H33</f>
        <v/>
      </c>
      <c r="T8" s="970" t="n"/>
      <c r="AM8" s="2193" t="n">
        <v>3000</v>
      </c>
      <c r="AN8" s="2193" t="n"/>
      <c r="AO8" s="2193" t="n"/>
      <c r="AP8" s="2193">
        <f>AM8</f>
        <v/>
      </c>
      <c r="AQ8" s="2193" t="n"/>
      <c r="AR8" s="2193" t="n"/>
      <c r="AS8" s="2193">
        <f>AM8+AP8</f>
        <v/>
      </c>
      <c r="AT8" s="2193" t="n"/>
      <c r="AU8" s="2193" t="n"/>
      <c r="AV8" s="2193">
        <f>AS8</f>
        <v/>
      </c>
      <c r="AW8" s="1051">
        <f>IF(AM8&lt;=#REF!,#REF!,IF(AM8&lt;=#REF!,#REF!,IF(AM8&lt;=#REF!,#REF!,IF(AM8&lt;=#REF!,#REF!,IF(AM8&lt;=#REF!,#REF!,IF(AM8&lt;=#REF!,#REF!,IF(AM8&lt;=#REF!,#REF!,0.05)))))))</f>
        <v/>
      </c>
      <c r="AX8" s="2193">
        <f>AW8*AM8</f>
        <v/>
      </c>
      <c r="AY8" s="1051" t="n"/>
      <c r="AZ8" s="1051">
        <f>IF(AP8&lt;=#REF!,#REF!,IF(AP8&lt;=#REF!,#REF!,IF(AP8&lt;=#REF!,#REF!,IF(AP8&lt;=#REF!,#REF!,IF(AP8&lt;=#REF!,#REF!,IF(AP8&lt;=#REF!,#REF!,IF(AP8&lt;=#REF!,#REF!,0.05)))))))</f>
        <v/>
      </c>
      <c r="BA8" s="2193">
        <f>AZ8*AP8</f>
        <v/>
      </c>
      <c r="BB8" s="1051" t="n"/>
      <c r="BC8" s="1051">
        <f>IF(AS8&lt;=#REF!,#REF!,IF(AS8&lt;=#REF!,#REF!,IF(AS8&lt;=#REF!,#REF!,IF(AS8&lt;=#REF!,#REF!,IF(AS8&lt;=#REF!,#REF!,IF(AS8&lt;=#REF!,#REF!,IF(AS8&lt;=#REF!,#REF!,0.05)))))))</f>
        <v/>
      </c>
      <c r="BD8" s="2193">
        <f>BC8*SUM(BA8,AX8,AS8)</f>
        <v/>
      </c>
      <c r="BE8" s="1051" t="n"/>
      <c r="BF8" s="2194">
        <f>IF(AV8&lt;=#REF!,#REF!,IF(AV8&lt;=#REF!,#REF!,IF(AV8&lt;=#REF!,#REF!,IF(AV8&lt;=#REF!,#REF!,IF(AV8&lt;=#REF!,#REF!,IF(AV8&lt;=#REF!,#REF!,IF(AV8&lt;=#REF!,#REF!,0.05)))))))</f>
        <v/>
      </c>
      <c r="BG8" s="2193">
        <f>BF8*AV8</f>
        <v/>
      </c>
      <c r="BI8" s="1932">
        <f>0.07*SUM(AS8,AX8,BA8,BD8,BG8)</f>
        <v/>
      </c>
      <c r="BK8" s="1932">
        <f>SUM(BI8,BG8,BD8,BA8,AX8,AS8)</f>
        <v/>
      </c>
      <c r="BL8" s="1933">
        <f>SUM(BG8,BD8,BA8,AX8)</f>
        <v/>
      </c>
      <c r="BM8" s="1051">
        <f>BL8/BK8</f>
        <v/>
      </c>
      <c r="BP8" s="1051" t="n">
        <v>0.05</v>
      </c>
      <c r="BQ8" s="2193" t="n">
        <v>1000000000</v>
      </c>
      <c r="BS8" s="1051" t="n">
        <v>0.2</v>
      </c>
      <c r="BT8" s="2193" t="n">
        <v>4000</v>
      </c>
      <c r="BU8" s="2193" t="n"/>
      <c r="BV8" s="1051" t="n">
        <v>0.22</v>
      </c>
      <c r="BW8" s="2193" t="n">
        <v>19000</v>
      </c>
      <c r="BY8" s="2194" t="n">
        <v>-0.05</v>
      </c>
      <c r="BZ8" s="2193" t="n">
        <v>19000</v>
      </c>
      <c r="CC8" s="2193" t="n">
        <v>3000</v>
      </c>
      <c r="CD8" s="2193" t="n"/>
      <c r="CE8" s="2193" t="n"/>
      <c r="CF8" s="2193">
        <f>CC8</f>
        <v/>
      </c>
      <c r="CG8" s="2193" t="n"/>
      <c r="CH8" s="2193" t="n"/>
      <c r="CI8" s="2193">
        <f>CC8+CF8</f>
        <v/>
      </c>
      <c r="CJ8" s="2193" t="n"/>
      <c r="CK8" s="2193" t="n"/>
      <c r="CL8" s="2193">
        <f>CI8</f>
        <v/>
      </c>
      <c r="CM8" s="1051">
        <f>IF(CC8&lt;=BQ$6,BP$6,IF(CC8&lt;=BQ$7,BP$7,IF(CC8&lt;=BQ$8,BP$8,IF(CC8&lt;=BQ$9,BP$9,IF(CC8&lt;=BQ$14,BP$14,IF(CC8&lt;=BQ$15,BP$15,IF(CC8&lt;=BQ$16,BP$16,0.05)))))))</f>
        <v/>
      </c>
      <c r="CN8" s="2193">
        <f>CM8*CC8</f>
        <v/>
      </c>
      <c r="CO8" s="1051" t="n"/>
      <c r="CP8" s="1051">
        <f>IF(CF8&lt;=BT$6,BS$6,IF(CF8&lt;=BT$7,BS$7,IF(CF8&lt;=BT$8,BS$8,IF(CF8&lt;=BT$9,BS$9,IF(CF8&lt;=BT$14,BS$14,IF(CF8&lt;=BT$15,BS$15,IF(CF8&lt;=BT$16,BS$16,0.05)))))))</f>
        <v/>
      </c>
      <c r="CQ8" s="2193">
        <f>CP8*CF8</f>
        <v/>
      </c>
      <c r="CR8" s="1051" t="n"/>
      <c r="CS8" s="1051">
        <f>IF(CI8&lt;=BW$6,BV$6,IF(CI8&lt;=BW$7,BV$7,IF(CI8&lt;=BW$8,BV$8,IF(CI8&lt;=BW$9,BV$9,IF(CI8&lt;=BW$14,BV$14,IF(CI8&lt;=BW$15,BV$15,IF(CI8&lt;=BW$16,BV$16,0.05)))))))</f>
        <v/>
      </c>
      <c r="CT8" s="2193">
        <f>CS8*SUM(CQ8,CN8,CI8)</f>
        <v/>
      </c>
      <c r="CU8" s="1051" t="n"/>
      <c r="CV8" s="2194">
        <f>IF(CL8&lt;=BZ$6,BY$6,IF(CL8&lt;=BZ$7,BY$7,IF(CL8&lt;=BZ$8,BY$8,IF(CL8&lt;=BZ$9,BY$9,IF(CL8&lt;=BZ$14,BY$14,IF(CL8&lt;=BZ$15,BY$15,IF(CL8&lt;=BZ$16,BY$16,0.05)))))))</f>
        <v/>
      </c>
      <c r="CW8" s="2193">
        <f>CV8*CL8</f>
        <v/>
      </c>
      <c r="CY8" s="1932">
        <f>0.07*SUM(CI8,CN8,CQ8,CT8,CW8)</f>
        <v/>
      </c>
      <c r="DA8" s="1932">
        <f>SUM(CY8,CW8,CT8,CQ8,CN8,CI8)</f>
        <v/>
      </c>
      <c r="DB8" s="1933">
        <f>SUM(CW8,CT8,CQ8,CN8)</f>
        <v/>
      </c>
      <c r="DC8" s="1051">
        <f>DB8/DA8</f>
        <v/>
      </c>
    </row>
    <row r="9" customFormat="1" s="585">
      <c r="A9" s="589" t="inlineStr">
        <is>
          <t>Approx Start Date</t>
        </is>
      </c>
      <c r="B9" s="587" t="n"/>
      <c r="C9" s="591" t="n"/>
      <c r="D9" s="591" t="n"/>
      <c r="E9" s="600" t="n"/>
      <c r="F9" s="975" t="inlineStr">
        <is>
          <t xml:space="preserve">SF - Soft Surfaces: </t>
        </is>
      </c>
      <c r="G9" s="1352">
        <f>P28</f>
        <v/>
      </c>
      <c r="H9" s="976" t="inlineStr">
        <is>
          <t>SF - Hard Surfaces:</t>
        </is>
      </c>
      <c r="I9" s="1353">
        <f>Q28</f>
        <v/>
      </c>
      <c r="J9" s="977" t="inlineStr">
        <is>
          <t>SF - Corridors:</t>
        </is>
      </c>
      <c r="K9" s="1354">
        <f>R28</f>
        <v/>
      </c>
      <c r="L9" s="633" t="n"/>
      <c r="N9" s="1292" t="n"/>
      <c r="O9" s="1393">
        <f>SUM(P9:R9)</f>
        <v/>
      </c>
      <c r="P9" s="1394" t="n"/>
      <c r="Q9" s="1395" t="n"/>
      <c r="R9" s="1396" t="n"/>
      <c r="S9" s="1337">
        <f>((P9+Q9+R9)/F22)*H33</f>
        <v/>
      </c>
      <c r="T9" s="970" t="n"/>
      <c r="AM9" s="2193" t="n">
        <v>4000</v>
      </c>
      <c r="AN9" s="2193" t="n"/>
      <c r="AO9" s="2193" t="n"/>
      <c r="AP9" s="2193">
        <f>AM9</f>
        <v/>
      </c>
      <c r="AQ9" s="2193" t="n"/>
      <c r="AR9" s="2193" t="n"/>
      <c r="AS9" s="2193">
        <f>AM9+AP9</f>
        <v/>
      </c>
      <c r="AT9" s="2193" t="n"/>
      <c r="AU9" s="2193" t="n"/>
      <c r="AV9" s="2193">
        <f>AS9</f>
        <v/>
      </c>
      <c r="AW9" s="1051">
        <f>IF(AM9&lt;=#REF!,#REF!,IF(AM9&lt;=#REF!,#REF!,IF(AM9&lt;=#REF!,#REF!,IF(AM9&lt;=#REF!,#REF!,IF(AM9&lt;=#REF!,#REF!,IF(AM9&lt;=#REF!,#REF!,IF(AM9&lt;=#REF!,#REF!,0.05)))))))</f>
        <v/>
      </c>
      <c r="AX9" s="2193">
        <f>AW9*AM9</f>
        <v/>
      </c>
      <c r="AY9" s="1051" t="n"/>
      <c r="AZ9" s="1051">
        <f>IF(AP9&lt;=#REF!,#REF!,IF(AP9&lt;=#REF!,#REF!,IF(AP9&lt;=#REF!,#REF!,IF(AP9&lt;=#REF!,#REF!,IF(AP9&lt;=#REF!,#REF!,IF(AP9&lt;=#REF!,#REF!,IF(AP9&lt;=#REF!,#REF!,0.05)))))))</f>
        <v/>
      </c>
      <c r="BA9" s="2193">
        <f>AZ9*AP9</f>
        <v/>
      </c>
      <c r="BB9" s="1051" t="n"/>
      <c r="BC9" s="1051">
        <f>IF(AS9&lt;=#REF!,#REF!,IF(AS9&lt;=#REF!,#REF!,IF(AS9&lt;=#REF!,#REF!,IF(AS9&lt;=#REF!,#REF!,IF(AS9&lt;=#REF!,#REF!,IF(AS9&lt;=#REF!,#REF!,IF(AS9&lt;=#REF!,#REF!,0.05)))))))</f>
        <v/>
      </c>
      <c r="BD9" s="2193">
        <f>BC9*SUM(BA9,AX9,AS9)</f>
        <v/>
      </c>
      <c r="BE9" s="1051" t="n"/>
      <c r="BF9" s="2194">
        <f>IF(AV9&lt;=#REF!,#REF!,IF(AV9&lt;=#REF!,#REF!,IF(AV9&lt;=#REF!,#REF!,IF(AV9&lt;=#REF!,#REF!,IF(AV9&lt;=#REF!,#REF!,IF(AV9&lt;=#REF!,#REF!,IF(AV9&lt;=#REF!,#REF!,0.05)))))))</f>
        <v/>
      </c>
      <c r="BG9" s="2193">
        <f>BF9*AV9</f>
        <v/>
      </c>
      <c r="BI9" s="1932">
        <f>0.07*SUM(AS9,AX9,BA9,BD9,BG9)</f>
        <v/>
      </c>
      <c r="BK9" s="1932">
        <f>SUM(BI9,BG9,BD9,BA9,AX9,AS9)</f>
        <v/>
      </c>
      <c r="BL9" s="1933">
        <f>SUM(BG9,BD9,BA9,AX9)</f>
        <v/>
      </c>
      <c r="BM9" s="1051">
        <f>BL9/BK9</f>
        <v/>
      </c>
      <c r="BP9" s="1051" t="n">
        <v>0.05</v>
      </c>
      <c r="BQ9" s="2193" t="n">
        <v>1000000000</v>
      </c>
      <c r="BS9" s="1051" t="n">
        <v>0.1</v>
      </c>
      <c r="BT9" s="2193" t="n">
        <v>7000</v>
      </c>
      <c r="BU9" s="2193" t="n"/>
      <c r="BV9" s="1051" t="n">
        <v>0.2</v>
      </c>
      <c r="BW9" s="2193" t="n">
        <v>24000</v>
      </c>
      <c r="BY9" s="2194" t="n">
        <v>-0.05</v>
      </c>
      <c r="BZ9" s="2193" t="n">
        <v>34000</v>
      </c>
      <c r="CC9" s="2193" t="n">
        <v>4000</v>
      </c>
      <c r="CD9" s="2193" t="n"/>
      <c r="CE9" s="2193" t="n"/>
      <c r="CF9" s="2193">
        <f>CC9</f>
        <v/>
      </c>
      <c r="CG9" s="2193" t="n"/>
      <c r="CH9" s="2193" t="n"/>
      <c r="CI9" s="2193">
        <f>CC9+CF9</f>
        <v/>
      </c>
      <c r="CJ9" s="2193" t="n"/>
      <c r="CK9" s="2193" t="n"/>
      <c r="CL9" s="2193">
        <f>CI9</f>
        <v/>
      </c>
      <c r="CM9" s="1051">
        <f>IF(CC9&lt;=BQ$6,BP$6,IF(CC9&lt;=BQ$7,BP$7,IF(CC9&lt;=BQ$8,BP$8,IF(CC9&lt;=BQ$9,BP$9,IF(CC9&lt;=BQ$14,BP$14,IF(CC9&lt;=BQ$15,BP$15,IF(CC9&lt;=BQ$16,BP$16,0.05)))))))</f>
        <v/>
      </c>
      <c r="CN9" s="2193">
        <f>CM9*CC9</f>
        <v/>
      </c>
      <c r="CO9" s="1051" t="n"/>
      <c r="CP9" s="1051">
        <f>IF(CF9&lt;=BT$6,BS$6,IF(CF9&lt;=BT$7,BS$7,IF(CF9&lt;=BT$8,BS$8,IF(CF9&lt;=BT$9,BS$9,IF(CF9&lt;=BT$14,BS$14,IF(CF9&lt;=BT$15,BS$15,IF(CF9&lt;=BT$16,BS$16,0.05)))))))</f>
        <v/>
      </c>
      <c r="CQ9" s="2193">
        <f>CP9*CF9</f>
        <v/>
      </c>
      <c r="CR9" s="1051" t="n"/>
      <c r="CS9" s="1051">
        <f>IF(CI9&lt;=BW$6,BV$6,IF(CI9&lt;=BW$7,BV$7,IF(CI9&lt;=BW$8,BV$8,IF(CI9&lt;=BW$9,BV$9,IF(CI9&lt;=BW$14,BV$14,IF(CI9&lt;=BW$15,BV$15,IF(CI9&lt;=BW$16,BV$16,0.05)))))))</f>
        <v/>
      </c>
      <c r="CT9" s="2193">
        <f>CS9*SUM(CQ9,CN9,CI9)</f>
        <v/>
      </c>
      <c r="CU9" s="1051" t="n"/>
      <c r="CV9" s="2194">
        <f>IF(CL9&lt;=BZ$6,BY$6,IF(CL9&lt;=BZ$7,BY$7,IF(CL9&lt;=BZ$8,BY$8,IF(CL9&lt;=BZ$9,BY$9,IF(CL9&lt;=BZ$14,BY$14,IF(CL9&lt;=BZ$15,BY$15,IF(CL9&lt;=BZ$16,BY$16,0.05)))))))</f>
        <v/>
      </c>
      <c r="CW9" s="2193">
        <f>CV9*CL9</f>
        <v/>
      </c>
      <c r="CY9" s="1932">
        <f>0.07*SUM(CI9,CN9,CQ9,CT9,CW9)</f>
        <v/>
      </c>
      <c r="DA9" s="1932">
        <f>SUM(CY9,CW9,CT9,CQ9,CN9,CI9)</f>
        <v/>
      </c>
      <c r="DB9" s="1933">
        <f>SUM(CW9,CT9,CQ9,CN9)</f>
        <v/>
      </c>
      <c r="DC9" s="1051">
        <f>DB9/DA9</f>
        <v/>
      </c>
    </row>
    <row r="10" customFormat="1" s="585">
      <c r="A10" s="602" t="inlineStr">
        <is>
          <t>Architect</t>
        </is>
      </c>
      <c r="B10" s="603">
        <f>'Gyp (USG 1-8")'!B10</f>
        <v/>
      </c>
      <c r="C10" s="591" t="n"/>
      <c r="D10" s="591" t="n"/>
      <c r="E10" s="600" t="n"/>
      <c r="F10" s="978" t="inlineStr">
        <is>
          <t xml:space="preserve">Ave Thickness: </t>
        </is>
      </c>
      <c r="G10" s="1158" t="n">
        <v>0.75</v>
      </c>
      <c r="H10" s="979" t="inlineStr">
        <is>
          <t>Ave Thickness:</t>
        </is>
      </c>
      <c r="I10" s="1158" t="n">
        <v>0.75</v>
      </c>
      <c r="J10" s="980" t="inlineStr">
        <is>
          <t>Ave Thickness:</t>
        </is>
      </c>
      <c r="K10" s="1158">
        <f>G10</f>
        <v/>
      </c>
      <c r="N10" s="1292" t="n"/>
      <c r="O10" s="1393">
        <f>SUM(P10:R10)</f>
        <v/>
      </c>
      <c r="P10" s="1394" t="n"/>
      <c r="Q10" s="1395" t="n"/>
      <c r="R10" s="1396" t="n"/>
      <c r="S10" s="1337">
        <f>((P10+Q10+R10)/F22)*H33</f>
        <v/>
      </c>
      <c r="T10" s="970" t="n"/>
      <c r="AM10" s="2193" t="n"/>
      <c r="AN10" s="2193" t="n"/>
      <c r="AO10" s="2193" t="n"/>
      <c r="AP10" s="2193" t="n"/>
      <c r="AQ10" s="2193" t="n"/>
      <c r="AR10" s="2193" t="n"/>
      <c r="AS10" s="2193" t="n"/>
      <c r="AT10" s="2193" t="n"/>
      <c r="AU10" s="2193" t="n"/>
      <c r="AV10" s="2193" t="n"/>
      <c r="AW10" s="1051" t="n"/>
      <c r="AX10" s="2193" t="n"/>
      <c r="AY10" s="1051" t="n"/>
      <c r="AZ10" s="1051" t="n"/>
      <c r="BA10" s="2193" t="n"/>
      <c r="BB10" s="1051" t="n"/>
      <c r="BC10" s="1051" t="n"/>
      <c r="BD10" s="2193" t="n"/>
      <c r="BE10" s="1051" t="n"/>
      <c r="BF10" s="2194" t="n"/>
      <c r="BG10" s="2193" t="n"/>
      <c r="BI10" s="1932" t="n"/>
      <c r="BK10" s="1932" t="n"/>
      <c r="BL10" s="1933" t="n"/>
      <c r="BM10" s="1051" t="n"/>
      <c r="BP10" s="1051" t="n"/>
      <c r="BQ10" s="2193" t="n"/>
      <c r="BS10" s="1051" t="n"/>
      <c r="BT10" s="2193" t="n"/>
      <c r="BU10" s="2193" t="n"/>
      <c r="BV10" s="1051" t="n"/>
      <c r="BW10" s="2193" t="n"/>
      <c r="BY10" s="2194" t="n"/>
      <c r="BZ10" s="2193" t="n"/>
      <c r="CC10" s="2193" t="n"/>
      <c r="CD10" s="2193" t="n"/>
      <c r="CE10" s="2193" t="n"/>
      <c r="CF10" s="2193" t="n"/>
      <c r="CG10" s="2193" t="n"/>
      <c r="CH10" s="2193" t="n"/>
      <c r="CI10" s="2193" t="n"/>
      <c r="CJ10" s="2193" t="n"/>
      <c r="CK10" s="2193" t="n"/>
      <c r="CL10" s="2193" t="n"/>
      <c r="CM10" s="1051" t="n"/>
      <c r="CN10" s="2193" t="n"/>
      <c r="CO10" s="1051" t="n"/>
      <c r="CP10" s="1051" t="n"/>
      <c r="CQ10" s="2193" t="n"/>
      <c r="CR10" s="1051" t="n"/>
      <c r="CS10" s="1051" t="n"/>
      <c r="CT10" s="2193" t="n"/>
      <c r="CU10" s="1051" t="n"/>
      <c r="CV10" s="2194" t="n"/>
      <c r="CW10" s="2193" t="n"/>
      <c r="CY10" s="1932" t="n"/>
      <c r="DA10" s="1932" t="n"/>
      <c r="DB10" s="1933" t="n"/>
      <c r="DC10" s="1051" t="n"/>
    </row>
    <row r="11" customFormat="1" s="585">
      <c r="A11" s="602" t="inlineStr">
        <is>
          <t>Drawings Dated</t>
        </is>
      </c>
      <c r="B11" s="587">
        <f>'Gyp (USG 1-8")'!B11</f>
        <v/>
      </c>
      <c r="C11" s="591" t="n"/>
      <c r="D11" s="591" t="n"/>
      <c r="E11" s="600" t="n"/>
      <c r="F11" s="978" t="inlineStr">
        <is>
          <t>Mix Design: (default= 2500psi @1.8)</t>
        </is>
      </c>
      <c r="G11" s="1110" t="n">
        <v>1.8</v>
      </c>
      <c r="H11" s="979" t="inlineStr">
        <is>
          <t xml:space="preserve">Mix Design: </t>
        </is>
      </c>
      <c r="I11" s="1110">
        <f>G11</f>
        <v/>
      </c>
      <c r="J11" s="980" t="inlineStr">
        <is>
          <t xml:space="preserve">Mix Design: </t>
        </is>
      </c>
      <c r="K11" s="1110">
        <f>G11</f>
        <v/>
      </c>
      <c r="N11" s="1292" t="n"/>
      <c r="O11" s="1393">
        <f>SUM(P11:R11)</f>
        <v/>
      </c>
      <c r="P11" s="1394" t="n"/>
      <c r="Q11" s="1395" t="n"/>
      <c r="R11" s="1396" t="n"/>
      <c r="S11" s="1337">
        <f>((P11+Q11+R11)/F22)*H33</f>
        <v/>
      </c>
      <c r="T11" s="970" t="n"/>
      <c r="AM11" s="2193" t="n"/>
      <c r="AN11" s="2193" t="n"/>
      <c r="AO11" s="2193" t="n"/>
      <c r="AP11" s="2193" t="n"/>
      <c r="AQ11" s="2193" t="n"/>
      <c r="AR11" s="2193" t="n"/>
      <c r="AS11" s="2193" t="n"/>
      <c r="AT11" s="2193" t="n"/>
      <c r="AU11" s="2193" t="n"/>
      <c r="AV11" s="2193" t="n"/>
      <c r="AW11" s="1051" t="n"/>
      <c r="AX11" s="2193" t="n"/>
      <c r="AY11" s="1051" t="n"/>
      <c r="AZ11" s="1051" t="n"/>
      <c r="BA11" s="2193" t="n"/>
      <c r="BB11" s="1051" t="n"/>
      <c r="BC11" s="1051" t="n"/>
      <c r="BD11" s="2193" t="n"/>
      <c r="BE11" s="1051" t="n"/>
      <c r="BF11" s="2194" t="n"/>
      <c r="BG11" s="2193" t="n"/>
      <c r="BI11" s="1932" t="n"/>
      <c r="BK11" s="1932" t="n"/>
      <c r="BL11" s="1933" t="n"/>
      <c r="BM11" s="1051" t="n"/>
      <c r="BP11" s="1051" t="n"/>
      <c r="BQ11" s="2193" t="n"/>
      <c r="BS11" s="1051" t="n"/>
      <c r="BT11" s="2193" t="n"/>
      <c r="BU11" s="2193" t="n"/>
      <c r="BV11" s="1051" t="n"/>
      <c r="BW11" s="2193" t="n"/>
      <c r="BY11" s="2194" t="n"/>
      <c r="BZ11" s="2193" t="n"/>
      <c r="CC11" s="2193" t="n"/>
      <c r="CD11" s="2193" t="n"/>
      <c r="CE11" s="2193" t="n"/>
      <c r="CF11" s="2193" t="n"/>
      <c r="CG11" s="2193" t="n"/>
      <c r="CH11" s="2193" t="n"/>
      <c r="CI11" s="2193" t="n"/>
      <c r="CJ11" s="2193" t="n"/>
      <c r="CK11" s="2193" t="n"/>
      <c r="CL11" s="2193" t="n"/>
      <c r="CM11" s="1051" t="n"/>
      <c r="CN11" s="2193" t="n"/>
      <c r="CO11" s="1051" t="n"/>
      <c r="CP11" s="1051" t="n"/>
      <c r="CQ11" s="2193" t="n"/>
      <c r="CR11" s="1051" t="n"/>
      <c r="CS11" s="1051" t="n"/>
      <c r="CT11" s="2193" t="n"/>
      <c r="CU11" s="1051" t="n"/>
      <c r="CV11" s="2194" t="n"/>
      <c r="CW11" s="2193" t="n"/>
      <c r="CY11" s="1932" t="n"/>
      <c r="DA11" s="1932" t="n"/>
      <c r="DB11" s="1933" t="n"/>
      <c r="DC11" s="1051" t="n"/>
    </row>
    <row r="12" customFormat="1" s="585">
      <c r="A12" s="606" t="inlineStr">
        <is>
          <t>New / Reno:</t>
        </is>
      </c>
      <c r="B12" s="603">
        <f>'Gyp (USG 1-8")'!B12</f>
        <v/>
      </c>
      <c r="C12" s="591" t="n"/>
      <c r="D12" s="591" t="n"/>
      <c r="E12" s="600" t="n"/>
      <c r="F12" s="978" t="inlineStr">
        <is>
          <t>Yield Per Bag (1/8")</t>
        </is>
      </c>
      <c r="G12" s="981" t="n">
        <v>254.52</v>
      </c>
      <c r="H12" s="979" t="inlineStr">
        <is>
          <t>Yield Per Bag (1/8")</t>
        </is>
      </c>
      <c r="I12" s="982" t="n">
        <v>254.52</v>
      </c>
      <c r="J12" s="980" t="inlineStr">
        <is>
          <t>Yield Per Bag (1/8")</t>
        </is>
      </c>
      <c r="K12" s="983" t="n">
        <v>254.52</v>
      </c>
      <c r="L12" s="633" t="n"/>
      <c r="N12" s="1292" t="n"/>
      <c r="O12" s="1393">
        <f>SUM(P12:R12)</f>
        <v/>
      </c>
      <c r="P12" s="1394" t="n"/>
      <c r="Q12" s="1395" t="n"/>
      <c r="R12" s="1396" t="n"/>
      <c r="S12" s="1337">
        <f>((P12+Q12+R12)/F22)*H33</f>
        <v/>
      </c>
      <c r="T12" s="970" t="n"/>
      <c r="AM12" s="2193" t="n"/>
      <c r="AN12" s="2193" t="n"/>
      <c r="AO12" s="2193" t="n"/>
      <c r="AP12" s="2193" t="n"/>
      <c r="AQ12" s="2193" t="n"/>
      <c r="AR12" s="2193" t="n"/>
      <c r="AS12" s="2193" t="n"/>
      <c r="AT12" s="2193" t="n"/>
      <c r="AU12" s="2193" t="n"/>
      <c r="AV12" s="2193" t="n"/>
      <c r="AW12" s="1051" t="n"/>
      <c r="AX12" s="2193" t="n"/>
      <c r="AY12" s="1051" t="n"/>
      <c r="AZ12" s="1051" t="n"/>
      <c r="BA12" s="2193" t="n"/>
      <c r="BB12" s="1051" t="n"/>
      <c r="BC12" s="1051" t="n"/>
      <c r="BD12" s="2193" t="n"/>
      <c r="BE12" s="1051" t="n"/>
      <c r="BF12" s="2194" t="n"/>
      <c r="BG12" s="2193" t="n"/>
      <c r="BI12" s="1932" t="n"/>
      <c r="BK12" s="1932" t="n"/>
      <c r="BL12" s="1933" t="n"/>
      <c r="BM12" s="1051" t="n"/>
      <c r="BP12" s="1051" t="n"/>
      <c r="BQ12" s="2193" t="n"/>
      <c r="BS12" s="1051" t="n"/>
      <c r="BT12" s="2193" t="n"/>
      <c r="BU12" s="2193" t="n"/>
      <c r="BV12" s="1051" t="n"/>
      <c r="BW12" s="2193" t="n"/>
      <c r="BY12" s="2194" t="n"/>
      <c r="BZ12" s="2193" t="n"/>
      <c r="CC12" s="2193" t="n"/>
      <c r="CD12" s="2193" t="n"/>
      <c r="CE12" s="2193" t="n"/>
      <c r="CF12" s="2193" t="n"/>
      <c r="CG12" s="2193" t="n"/>
      <c r="CH12" s="2193" t="n"/>
      <c r="CI12" s="2193" t="n"/>
      <c r="CJ12" s="2193" t="n"/>
      <c r="CK12" s="2193" t="n"/>
      <c r="CL12" s="2193" t="n"/>
      <c r="CM12" s="1051" t="n"/>
      <c r="CN12" s="2193" t="n"/>
      <c r="CO12" s="1051" t="n"/>
      <c r="CP12" s="1051" t="n"/>
      <c r="CQ12" s="2193" t="n"/>
      <c r="CR12" s="1051" t="n"/>
      <c r="CS12" s="1051" t="n"/>
      <c r="CT12" s="2193" t="n"/>
      <c r="CU12" s="1051" t="n"/>
      <c r="CV12" s="2194" t="n"/>
      <c r="CW12" s="2193" t="n"/>
      <c r="CY12" s="1932" t="n"/>
      <c r="DA12" s="1932" t="n"/>
      <c r="DB12" s="1933" t="n"/>
      <c r="DC12" s="1051" t="n"/>
    </row>
    <row r="13" ht="16.2" customFormat="1" customHeight="1" s="585" thickBot="1">
      <c r="A13" s="606" t="inlineStr">
        <is>
          <t>Hallow Plank Subfloor:</t>
        </is>
      </c>
      <c r="B13" s="585">
        <f>'Gyp (USG 1-8")'!B13</f>
        <v/>
      </c>
      <c r="C13" s="591" t="n"/>
      <c r="D13" s="591" t="n"/>
      <c r="E13" s="600" t="n"/>
      <c r="F13" s="978" t="inlineStr">
        <is>
          <t xml:space="preserve">Bag Type: </t>
        </is>
      </c>
      <c r="G13" s="2198" t="inlineStr">
        <is>
          <t>Levelrock 2500</t>
        </is>
      </c>
      <c r="H13" s="2199" t="inlineStr">
        <is>
          <t xml:space="preserve">Bag Type: </t>
        </is>
      </c>
      <c r="I13" s="2200">
        <f>G13</f>
        <v/>
      </c>
      <c r="J13" s="2201" t="inlineStr">
        <is>
          <t xml:space="preserve">Bag Type: </t>
        </is>
      </c>
      <c r="K13" s="2202">
        <f>G13</f>
        <v/>
      </c>
      <c r="L13" s="633" t="n"/>
      <c r="N13" s="1293" t="n"/>
      <c r="O13" s="1393">
        <f>SUM(P13:R13)</f>
        <v/>
      </c>
      <c r="P13" s="1394" t="n"/>
      <c r="Q13" s="1395" t="n"/>
      <c r="R13" s="1396" t="n"/>
      <c r="S13" s="1337">
        <f>((P13+Q13+R13)/F22)*H33</f>
        <v/>
      </c>
      <c r="T13" s="970" t="n"/>
      <c r="AM13" s="2193" t="n"/>
      <c r="AN13" s="2193" t="n"/>
      <c r="AO13" s="2193" t="n"/>
      <c r="AP13" s="2193" t="n"/>
      <c r="AQ13" s="2193" t="n"/>
      <c r="AR13" s="2193" t="n"/>
      <c r="AS13" s="2193" t="n"/>
      <c r="AT13" s="2193" t="n"/>
      <c r="AU13" s="2193" t="n"/>
      <c r="AV13" s="2193" t="n"/>
      <c r="AW13" s="1051" t="n"/>
      <c r="AX13" s="2193" t="n"/>
      <c r="AY13" s="1051" t="n"/>
      <c r="AZ13" s="1051" t="n"/>
      <c r="BA13" s="2193" t="n"/>
      <c r="BB13" s="1051" t="n"/>
      <c r="BC13" s="1051" t="n"/>
      <c r="BD13" s="2193" t="n"/>
      <c r="BE13" s="1051" t="n"/>
      <c r="BF13" s="2194" t="n"/>
      <c r="BG13" s="2193" t="n"/>
      <c r="BI13" s="1932" t="n"/>
      <c r="BK13" s="1932" t="n"/>
      <c r="BL13" s="1933" t="n"/>
      <c r="BM13" s="1051" t="n"/>
      <c r="BP13" s="1051" t="n"/>
      <c r="BQ13" s="2193" t="n"/>
      <c r="BS13" s="1051" t="n"/>
      <c r="BT13" s="2193" t="n"/>
      <c r="BU13" s="2193" t="n"/>
      <c r="BV13" s="1051" t="n"/>
      <c r="BW13" s="2193" t="n"/>
      <c r="BY13" s="2194" t="n"/>
      <c r="BZ13" s="2193" t="n"/>
      <c r="CC13" s="2193" t="n"/>
      <c r="CD13" s="2193" t="n"/>
      <c r="CE13" s="2193" t="n"/>
      <c r="CF13" s="2193" t="n"/>
      <c r="CG13" s="2193" t="n"/>
      <c r="CH13" s="2193" t="n"/>
      <c r="CI13" s="2193" t="n"/>
      <c r="CJ13" s="2193" t="n"/>
      <c r="CK13" s="2193" t="n"/>
      <c r="CL13" s="2193" t="n"/>
      <c r="CM13" s="1051" t="n"/>
      <c r="CN13" s="2193" t="n"/>
      <c r="CO13" s="1051" t="n"/>
      <c r="CP13" s="1051" t="n"/>
      <c r="CQ13" s="2193" t="n"/>
      <c r="CR13" s="1051" t="n"/>
      <c r="CS13" s="1051" t="n"/>
      <c r="CT13" s="2193" t="n"/>
      <c r="CU13" s="1051" t="n"/>
      <c r="CV13" s="2194" t="n"/>
      <c r="CW13" s="2193" t="n"/>
      <c r="CY13" s="1932" t="n"/>
      <c r="DA13" s="1932" t="n"/>
      <c r="DB13" s="1933" t="n"/>
      <c r="DC13" s="1051" t="n"/>
    </row>
    <row r="14" customFormat="1" s="585">
      <c r="A14" s="606" t="inlineStr">
        <is>
          <t>ISO Strip at All Areas:</t>
        </is>
      </c>
      <c r="B14" s="585">
        <f>'Gyp (USG 1-8")'!B14</f>
        <v/>
      </c>
      <c r="C14" s="591" t="n"/>
      <c r="D14" s="591" t="n"/>
      <c r="E14" s="600" t="n"/>
      <c r="F14" s="989" t="inlineStr">
        <is>
          <t xml:space="preserve">Yield at 3/4" </t>
        </is>
      </c>
      <c r="G14" s="862" t="n">
        <v>40</v>
      </c>
      <c r="H14" s="1112" t="inlineStr">
        <is>
          <t>42 more realistic</t>
        </is>
      </c>
      <c r="I14" s="863" t="n"/>
      <c r="K14" s="1934" t="n"/>
      <c r="L14" s="633" t="n"/>
      <c r="N14" s="1292" t="n"/>
      <c r="O14" s="1393">
        <f>SUM(P14:R14)</f>
        <v/>
      </c>
      <c r="P14" s="1394" t="n"/>
      <c r="Q14" s="1395" t="n"/>
      <c r="R14" s="1396" t="n"/>
      <c r="S14" s="1337">
        <f>((P14+Q14+R14)/F22)*H33</f>
        <v/>
      </c>
      <c r="T14" s="970" t="n"/>
      <c r="AM14" s="2193" t="n">
        <v>5000</v>
      </c>
      <c r="AN14" s="2193" t="n"/>
      <c r="AO14" s="2193" t="n"/>
      <c r="AP14" s="2193">
        <f>AM14</f>
        <v/>
      </c>
      <c r="AQ14" s="2193" t="n"/>
      <c r="AR14" s="2193" t="n"/>
      <c r="AS14" s="2193">
        <f>AM14+AP14</f>
        <v/>
      </c>
      <c r="AT14" s="2193" t="n"/>
      <c r="AU14" s="2193" t="n"/>
      <c r="AV14" s="2193">
        <f>AS14</f>
        <v/>
      </c>
      <c r="AW14" s="1051">
        <f>IF(AM14&lt;=#REF!,#REF!,IF(AM14&lt;=#REF!,#REF!,IF(AM14&lt;=#REF!,#REF!,IF(AM14&lt;=#REF!,#REF!,IF(AM14&lt;=#REF!,#REF!,IF(AM14&lt;=#REF!,#REF!,IF(AM14&lt;=#REF!,#REF!,0.05)))))))</f>
        <v/>
      </c>
      <c r="AX14" s="2193">
        <f>AW14*AM14</f>
        <v/>
      </c>
      <c r="AY14" s="1051" t="n"/>
      <c r="AZ14" s="1051">
        <f>IF(AP14&lt;=#REF!,#REF!,IF(AP14&lt;=#REF!,#REF!,IF(AP14&lt;=#REF!,#REF!,IF(AP14&lt;=#REF!,#REF!,IF(AP14&lt;=#REF!,#REF!,IF(AP14&lt;=#REF!,#REF!,IF(AP14&lt;=#REF!,#REF!,0.05)))))))</f>
        <v/>
      </c>
      <c r="BA14" s="2193">
        <f>AZ14*AP14</f>
        <v/>
      </c>
      <c r="BB14" s="1051" t="n"/>
      <c r="BC14" s="1051">
        <f>IF(AS14&lt;=#REF!,#REF!,IF(AS14&lt;=#REF!,#REF!,IF(AS14&lt;=#REF!,#REF!,IF(AS14&lt;=#REF!,#REF!,IF(AS14&lt;=#REF!,#REF!,IF(AS14&lt;=#REF!,#REF!,IF(AS14&lt;=#REF!,#REF!,0.05)))))))</f>
        <v/>
      </c>
      <c r="BD14" s="2193">
        <f>BC14*SUM(BA14,AX14,AS14)</f>
        <v/>
      </c>
      <c r="BE14" s="1051" t="n"/>
      <c r="BF14" s="2194">
        <f>IF(AV14&lt;=#REF!,#REF!,IF(AV14&lt;=#REF!,#REF!,IF(AV14&lt;=#REF!,#REF!,IF(AV14&lt;=#REF!,#REF!,IF(AV14&lt;=#REF!,#REF!,IF(AV14&lt;=#REF!,#REF!,IF(AV14&lt;=#REF!,#REF!,0.05)))))))</f>
        <v/>
      </c>
      <c r="BG14" s="2193">
        <f>BF14*AV14</f>
        <v/>
      </c>
      <c r="BI14" s="1932">
        <f>0.07*SUM(AS14,AX14,BA14,BD14,BG14)</f>
        <v/>
      </c>
      <c r="BK14" s="1932">
        <f>SUM(BI14,BG14,BD14,BA14,AX14,AS14)</f>
        <v/>
      </c>
      <c r="BL14" s="1933">
        <f>SUM(BG14,BD14,BA14,AX14)</f>
        <v/>
      </c>
      <c r="BM14" s="1051">
        <f>BL14/BK14</f>
        <v/>
      </c>
      <c r="BP14" s="1051" t="n">
        <v>0.05</v>
      </c>
      <c r="BQ14" s="2193" t="n">
        <v>1000000000</v>
      </c>
      <c r="BS14" s="1051" t="n">
        <v>0.05</v>
      </c>
      <c r="BT14" s="2193" t="n">
        <v>10000</v>
      </c>
      <c r="BU14" s="2193" t="n"/>
      <c r="BV14" s="1051" t="n">
        <v>0.18</v>
      </c>
      <c r="BW14" s="2193" t="n">
        <v>1000000000</v>
      </c>
      <c r="BY14" s="2194" t="n">
        <v>-0.055</v>
      </c>
      <c r="BZ14" s="2193" t="n">
        <v>44000</v>
      </c>
      <c r="CC14" s="2193" t="n">
        <v>5000</v>
      </c>
      <c r="CD14" s="2193" t="n"/>
      <c r="CE14" s="2193" t="n"/>
      <c r="CF14" s="2193">
        <f>CC14</f>
        <v/>
      </c>
      <c r="CG14" s="2193" t="n"/>
      <c r="CH14" s="2193" t="n"/>
      <c r="CI14" s="2193">
        <f>CC14+CF14</f>
        <v/>
      </c>
      <c r="CJ14" s="2193" t="n"/>
      <c r="CK14" s="2193" t="n"/>
      <c r="CL14" s="2193">
        <f>CI14</f>
        <v/>
      </c>
      <c r="CM14" s="1051">
        <f>IF(CC14&lt;=BQ$6,BP$6,IF(CC14&lt;=BQ$7,BP$7,IF(CC14&lt;=BQ$8,BP$8,IF(CC14&lt;=BQ$9,BP$9,IF(CC14&lt;=BQ$14,BP$14,IF(CC14&lt;=BQ$15,BP$15,IF(CC14&lt;=BQ$16,BP$16,0.05)))))))</f>
        <v/>
      </c>
      <c r="CN14" s="2193">
        <f>CM14*CC14</f>
        <v/>
      </c>
      <c r="CO14" s="1051" t="n"/>
      <c r="CP14" s="1051">
        <f>IF(CF14&lt;=BT$6,BS$6,IF(CF14&lt;=BT$7,BS$7,IF(CF14&lt;=BT$8,BS$8,IF(CF14&lt;=BT$9,BS$9,IF(CF14&lt;=BT$14,BS$14,IF(CF14&lt;=BT$15,BS$15,IF(CF14&lt;=BT$16,BS$16,0.05)))))))</f>
        <v/>
      </c>
      <c r="CQ14" s="2193">
        <f>CP14*CF14</f>
        <v/>
      </c>
      <c r="CR14" s="1051" t="n"/>
      <c r="CS14" s="1051">
        <f>IF(CI14&lt;=BW$6,BV$6,IF(CI14&lt;=BW$7,BV$7,IF(CI14&lt;=BW$8,BV$8,IF(CI14&lt;=BW$9,BV$9,IF(CI14&lt;=BW$14,BV$14,IF(CI14&lt;=BW$15,BV$15,IF(CI14&lt;=BW$16,BV$16,0.05)))))))</f>
        <v/>
      </c>
      <c r="CT14" s="2193">
        <f>CS14*SUM(CQ14,CN14,CI14)</f>
        <v/>
      </c>
      <c r="CU14" s="1051" t="n"/>
      <c r="CV14" s="2194">
        <f>IF(CL14&lt;=BZ$6,BY$6,IF(CL14&lt;=BZ$7,BY$7,IF(CL14&lt;=BZ$8,BY$8,IF(CL14&lt;=BZ$9,BY$9,IF(CL14&lt;=BZ$14,BY$14,IF(CL14&lt;=BZ$15,BY$15,IF(CL14&lt;=BZ$16,BY$16,0.05)))))))</f>
        <v/>
      </c>
      <c r="CW14" s="2193">
        <f>CV14*CL14</f>
        <v/>
      </c>
      <c r="CY14" s="1932">
        <f>0.07*SUM(CI14,CN14,CQ14,CT14,CW14)</f>
        <v/>
      </c>
      <c r="DA14" s="1932">
        <f>SUM(CY14,CW14,CT14,CQ14,CN14,CI14)</f>
        <v/>
      </c>
      <c r="DB14" s="1933">
        <f>SUM(CW14,CT14,CQ14,CN14)</f>
        <v/>
      </c>
      <c r="DC14" s="1051">
        <f>DB14/DA14</f>
        <v/>
      </c>
    </row>
    <row r="15" customFormat="1" s="585">
      <c r="A15" s="606" t="inlineStr">
        <is>
          <t>Metal Lath Reinfrcmnt:</t>
        </is>
      </c>
      <c r="B15" s="585">
        <f>'Gyp (USG 1-8")'!B15</f>
        <v/>
      </c>
      <c r="C15" s="591" t="n"/>
      <c r="D15" s="591" t="n"/>
      <c r="E15" s="591" t="n"/>
      <c r="F15" s="864" t="inlineStr">
        <is>
          <t xml:space="preserve">Yield per 1/8" </t>
        </is>
      </c>
      <c r="G15" s="585">
        <f>G14*6</f>
        <v/>
      </c>
      <c r="I15" s="868" t="n"/>
      <c r="K15" s="1934" t="n"/>
      <c r="L15" s="633" t="n"/>
      <c r="N15" s="1292" t="n"/>
      <c r="O15" s="1393">
        <f>SUM(P15:R15)</f>
        <v/>
      </c>
      <c r="P15" s="1394" t="n"/>
      <c r="Q15" s="1395" t="n"/>
      <c r="R15" s="1396" t="n"/>
      <c r="S15" s="1337">
        <f>((P15+Q15+R15)/F22)*H33</f>
        <v/>
      </c>
      <c r="T15" s="970" t="n"/>
      <c r="AM15" s="2193" t="n">
        <v>6000</v>
      </c>
      <c r="AN15" s="2193" t="n"/>
      <c r="AO15" s="2193" t="n"/>
      <c r="AP15" s="2193">
        <f>AM15</f>
        <v/>
      </c>
      <c r="AQ15" s="2193" t="n"/>
      <c r="AR15" s="2193" t="n"/>
      <c r="AS15" s="2193">
        <f>AM15+AP15</f>
        <v/>
      </c>
      <c r="AT15" s="2193" t="n"/>
      <c r="AU15" s="2193" t="n"/>
      <c r="AV15" s="2193">
        <f>AS15</f>
        <v/>
      </c>
      <c r="AW15" s="1051">
        <f>IF(AM15&lt;=#REF!,#REF!,IF(AM15&lt;=#REF!,#REF!,IF(AM15&lt;=#REF!,#REF!,IF(AM15&lt;=#REF!,#REF!,IF(AM15&lt;=#REF!,#REF!,IF(AM15&lt;=#REF!,#REF!,IF(AM15&lt;=#REF!,#REF!,0.05)))))))</f>
        <v/>
      </c>
      <c r="AX15" s="2193">
        <f>AW15*AM15</f>
        <v/>
      </c>
      <c r="AY15" s="1051" t="n"/>
      <c r="AZ15" s="1051">
        <f>IF(AP15&lt;=#REF!,#REF!,IF(AP15&lt;=#REF!,#REF!,IF(AP15&lt;=#REF!,#REF!,IF(AP15&lt;=#REF!,#REF!,IF(AP15&lt;=#REF!,#REF!,IF(AP15&lt;=#REF!,#REF!,IF(AP15&lt;=#REF!,#REF!,0.05)))))))</f>
        <v/>
      </c>
      <c r="BA15" s="2193">
        <f>AZ15*AP15</f>
        <v/>
      </c>
      <c r="BB15" s="1051" t="n"/>
      <c r="BC15" s="1051">
        <f>IF(AS15&lt;=#REF!,#REF!,IF(AS15&lt;=#REF!,#REF!,IF(AS15&lt;=#REF!,#REF!,IF(AS15&lt;=#REF!,#REF!,IF(AS15&lt;=#REF!,#REF!,IF(AS15&lt;=#REF!,#REF!,IF(AS15&lt;=#REF!,#REF!,0.05)))))))</f>
        <v/>
      </c>
      <c r="BD15" s="2193">
        <f>BC15*SUM(BA15,AX15,AS15)</f>
        <v/>
      </c>
      <c r="BE15" s="1051" t="n"/>
      <c r="BF15" s="2194">
        <f>IF(AV15&lt;=#REF!,#REF!,IF(AV15&lt;=#REF!,#REF!,IF(AV15&lt;=#REF!,#REF!,IF(AV15&lt;=#REF!,#REF!,IF(AV15&lt;=#REF!,#REF!,IF(AV15&lt;=#REF!,#REF!,IF(AV15&lt;=#REF!,#REF!,0.05)))))))</f>
        <v/>
      </c>
      <c r="BG15" s="2193">
        <f>BF15*AV15</f>
        <v/>
      </c>
      <c r="BI15" s="1932">
        <f>0.07*SUM(AS15,AX15,BA15,BD15,BG15)</f>
        <v/>
      </c>
      <c r="BK15" s="1932">
        <f>SUM(BI15,BG15,BD15,BA15,AX15,AS15)</f>
        <v/>
      </c>
      <c r="BL15" s="1933">
        <f>SUM(BG15,BD15,BA15,AX15)</f>
        <v/>
      </c>
      <c r="BM15" s="1051">
        <f>BL15/BK15</f>
        <v/>
      </c>
      <c r="BP15" s="1051" t="n">
        <v>0.05</v>
      </c>
      <c r="BQ15" s="2193" t="n">
        <v>1000000000</v>
      </c>
      <c r="BS15" s="1051" t="n">
        <v>0.03</v>
      </c>
      <c r="BT15" s="2193" t="n">
        <v>1000000000</v>
      </c>
      <c r="BU15" s="2193" t="n"/>
      <c r="BV15" s="1051" t="n">
        <v>0.18</v>
      </c>
      <c r="BW15" s="2193" t="n">
        <v>1000000000</v>
      </c>
      <c r="BY15" s="2194" t="n">
        <v>-0.06</v>
      </c>
      <c r="BZ15" s="2193" t="n">
        <v>1000000000</v>
      </c>
      <c r="CC15" s="2193" t="n">
        <v>6000</v>
      </c>
      <c r="CD15" s="2193" t="n"/>
      <c r="CE15" s="2193" t="n"/>
      <c r="CF15" s="2193">
        <f>CC15</f>
        <v/>
      </c>
      <c r="CG15" s="2193" t="n"/>
      <c r="CH15" s="2193" t="n"/>
      <c r="CI15" s="2193">
        <f>CC15+CF15</f>
        <v/>
      </c>
      <c r="CJ15" s="2193" t="n"/>
      <c r="CK15" s="2193" t="n"/>
      <c r="CL15" s="2193">
        <f>CI15</f>
        <v/>
      </c>
      <c r="CM15" s="1051">
        <f>IF(CC15&lt;=BQ$6,BP$6,IF(CC15&lt;=BQ$7,BP$7,IF(CC15&lt;=BQ$8,BP$8,IF(CC15&lt;=BQ$9,BP$9,IF(CC15&lt;=BQ$14,BP$14,IF(CC15&lt;=BQ$15,BP$15,IF(CC15&lt;=BQ$16,BP$16,0.05)))))))</f>
        <v/>
      </c>
      <c r="CN15" s="2193">
        <f>CM15*CC15</f>
        <v/>
      </c>
      <c r="CO15" s="1051" t="n"/>
      <c r="CP15" s="1051">
        <f>IF(CF15&lt;=BT$6,BS$6,IF(CF15&lt;=BT$7,BS$7,IF(CF15&lt;=BT$8,BS$8,IF(CF15&lt;=BT$9,BS$9,IF(CF15&lt;=BT$14,BS$14,IF(CF15&lt;=BT$15,BS$15,IF(CF15&lt;=BT$16,BS$16,0.05)))))))</f>
        <v/>
      </c>
      <c r="CQ15" s="2193">
        <f>CP15*CF15</f>
        <v/>
      </c>
      <c r="CR15" s="1051" t="n"/>
      <c r="CS15" s="1051">
        <f>IF(CI15&lt;=BW$6,BV$6,IF(CI15&lt;=BW$7,BV$7,IF(CI15&lt;=BW$8,BV$8,IF(CI15&lt;=BW$9,BV$9,IF(CI15&lt;=BW$14,BV$14,IF(CI15&lt;=BW$15,BV$15,IF(CI15&lt;=BW$16,BV$16,0.05)))))))</f>
        <v/>
      </c>
      <c r="CT15" s="2193">
        <f>CS15*SUM(CQ15,CN15,CI15)</f>
        <v/>
      </c>
      <c r="CU15" s="1051" t="n"/>
      <c r="CV15" s="2194">
        <f>IF(CL15&lt;=BZ$6,BY$6,IF(CL15&lt;=BZ$7,BY$7,IF(CL15&lt;=BZ$8,BY$8,IF(CL15&lt;=BZ$9,BY$9,IF(CL15&lt;=BZ$14,BY$14,IF(CL15&lt;=BZ$15,BY$15,IF(CL15&lt;=BZ$16,BY$16,0.05)))))))</f>
        <v/>
      </c>
      <c r="CW15" s="2193">
        <f>CV15*CL15</f>
        <v/>
      </c>
      <c r="CY15" s="1932">
        <f>0.07*SUM(CI15,CN15,CQ15,CT15,CW15)</f>
        <v/>
      </c>
      <c r="DA15" s="1932">
        <f>SUM(CY15,CW15,CT15,CQ15,CN15,CI15)</f>
        <v/>
      </c>
      <c r="DB15" s="1933">
        <f>SUM(CW15,CT15,CQ15,CN15)</f>
        <v/>
      </c>
      <c r="DC15" s="1051">
        <f>DB15/DA15</f>
        <v/>
      </c>
    </row>
    <row r="16" customFormat="1" s="585">
      <c r="A16" s="608" t="inlineStr">
        <is>
          <t>System-    Gyp:</t>
        </is>
      </c>
      <c r="B16" s="1659" t="inlineStr">
        <is>
          <t>G-Worx SC 190</t>
        </is>
      </c>
      <c r="C16" s="1654" t="inlineStr">
        <is>
          <t>+ 3/4" Gyp</t>
        </is>
      </c>
      <c r="D16" s="1655" t="inlineStr">
        <is>
          <t>1.8 Mix:2500psi</t>
        </is>
      </c>
      <c r="E16" s="591" t="n"/>
      <c r="F16" s="990" t="inlineStr">
        <is>
          <t>Eights req at Thickness</t>
        </is>
      </c>
      <c r="G16" s="1061" t="n">
        <v>6</v>
      </c>
      <c r="H16" s="991" t="inlineStr">
        <is>
          <t xml:space="preserve">*change this depending on depth, 1"=8… 3/4"=6* </t>
        </is>
      </c>
      <c r="I16" s="868" t="n"/>
      <c r="K16" s="1934" t="n"/>
      <c r="L16" s="633" t="n"/>
      <c r="N16" s="1292" t="n"/>
      <c r="O16" s="1393">
        <f>SUM(P16:R16)</f>
        <v/>
      </c>
      <c r="P16" s="1394" t="n"/>
      <c r="Q16" s="1395" t="n"/>
      <c r="R16" s="1396" t="n"/>
      <c r="S16" s="1337">
        <f>((P16+Q16+R16)/F22)*H33</f>
        <v/>
      </c>
      <c r="T16" s="970" t="n"/>
      <c r="AM16" s="2193" t="n">
        <v>7000</v>
      </c>
      <c r="AN16" s="2193" t="n"/>
      <c r="AO16" s="2193" t="n"/>
      <c r="AP16" s="2193">
        <f>AM16</f>
        <v/>
      </c>
      <c r="AQ16" s="2193" t="n"/>
      <c r="AR16" s="2193" t="n"/>
      <c r="AS16" s="2193">
        <f>AM16+AP16</f>
        <v/>
      </c>
      <c r="AT16" s="2193" t="n"/>
      <c r="AU16" s="2193" t="n"/>
      <c r="AV16" s="2193">
        <f>AS16</f>
        <v/>
      </c>
      <c r="AW16" s="1051">
        <f>IF(AM16&lt;=#REF!,#REF!,IF(AM16&lt;=#REF!,#REF!,IF(AM16&lt;=#REF!,#REF!,IF(AM16&lt;=#REF!,#REF!,IF(AM16&lt;=#REF!,#REF!,IF(AM16&lt;=#REF!,#REF!,IF(AM16&lt;=#REF!,#REF!,0.05)))))))</f>
        <v/>
      </c>
      <c r="AX16" s="2193">
        <f>AW16*AM16</f>
        <v/>
      </c>
      <c r="AY16" s="1051" t="n"/>
      <c r="AZ16" s="1051">
        <f>IF(AP16&lt;=#REF!,#REF!,IF(AP16&lt;=#REF!,#REF!,IF(AP16&lt;=#REF!,#REF!,IF(AP16&lt;=#REF!,#REF!,IF(AP16&lt;=#REF!,#REF!,IF(AP16&lt;=#REF!,#REF!,IF(AP16&lt;=#REF!,#REF!,0.05)))))))</f>
        <v/>
      </c>
      <c r="BA16" s="2193">
        <f>AZ16*AP16</f>
        <v/>
      </c>
      <c r="BB16" s="1051" t="n"/>
      <c r="BC16" s="1051">
        <f>IF(AS16&lt;=#REF!,#REF!,IF(AS16&lt;=#REF!,#REF!,IF(AS16&lt;=#REF!,#REF!,IF(AS16&lt;=#REF!,#REF!,IF(AS16&lt;=#REF!,#REF!,IF(AS16&lt;=#REF!,#REF!,IF(AS16&lt;=#REF!,#REF!,0.05)))))))</f>
        <v/>
      </c>
      <c r="BD16" s="2193">
        <f>BC16*SUM(BA16,AX16,AS16)</f>
        <v/>
      </c>
      <c r="BE16" s="1051" t="n"/>
      <c r="BF16" s="2194">
        <f>IF(AV16&lt;=#REF!,#REF!,IF(AV16&lt;=#REF!,#REF!,IF(AV16&lt;=#REF!,#REF!,IF(AV16&lt;=#REF!,#REF!,IF(AV16&lt;=#REF!,#REF!,IF(AV16&lt;=#REF!,#REF!,IF(AV16&lt;=#REF!,#REF!,0.05)))))))</f>
        <v/>
      </c>
      <c r="BG16" s="2193">
        <f>BF16*AV16</f>
        <v/>
      </c>
      <c r="BI16" s="1932">
        <f>0.07*SUM(AS16,AX16,BA16,BD16,BG16)</f>
        <v/>
      </c>
      <c r="BK16" s="1932">
        <f>SUM(BI16,BG16,BD16,BA16,AX16,AS16)</f>
        <v/>
      </c>
      <c r="BL16" s="1933">
        <f>SUM(BG16,BD16,BA16,AX16)</f>
        <v/>
      </c>
      <c r="BM16" s="1051">
        <f>BL16/BK16</f>
        <v/>
      </c>
      <c r="BP16" s="1051" t="n">
        <v>0.05</v>
      </c>
      <c r="BQ16" s="2193" t="n">
        <v>1000000000</v>
      </c>
      <c r="BS16" s="1051" t="n">
        <v>0.03</v>
      </c>
      <c r="BT16" s="2193" t="n">
        <v>1000000000</v>
      </c>
      <c r="BU16" s="2193" t="n"/>
      <c r="BV16" s="1051" t="n">
        <v>0.18</v>
      </c>
      <c r="BW16" s="2193" t="n">
        <v>1000000000</v>
      </c>
      <c r="BY16" s="2194" t="n">
        <v>0</v>
      </c>
      <c r="BZ16" s="2193" t="n">
        <v>1000000000</v>
      </c>
      <c r="CC16" s="2193" t="n">
        <v>7000</v>
      </c>
      <c r="CD16" s="2193" t="n"/>
      <c r="CE16" s="2193" t="n"/>
      <c r="CF16" s="2193">
        <f>CC16</f>
        <v/>
      </c>
      <c r="CG16" s="2193" t="n"/>
      <c r="CH16" s="2193" t="n"/>
      <c r="CI16" s="2193">
        <f>CC16+CF16</f>
        <v/>
      </c>
      <c r="CJ16" s="2193" t="n"/>
      <c r="CK16" s="2193" t="n"/>
      <c r="CL16" s="2193">
        <f>CI16</f>
        <v/>
      </c>
      <c r="CM16" s="1051">
        <f>IF(CC16&lt;=BQ$6,BP$6,IF(CC16&lt;=BQ$7,BP$7,IF(CC16&lt;=BQ$8,BP$8,IF(CC16&lt;=BQ$9,BP$9,IF(CC16&lt;=BQ$14,BP$14,IF(CC16&lt;=BQ$15,BP$15,IF(CC16&lt;=BQ$16,BP$16,0.05)))))))</f>
        <v/>
      </c>
      <c r="CN16" s="2193">
        <f>CM16*CC16</f>
        <v/>
      </c>
      <c r="CO16" s="1051" t="n"/>
      <c r="CP16" s="1051">
        <f>IF(CF16&lt;=BT$6,BS$6,IF(CF16&lt;=BT$7,BS$7,IF(CF16&lt;=BT$8,BS$8,IF(CF16&lt;=BT$9,BS$9,IF(CF16&lt;=BT$14,BS$14,IF(CF16&lt;=BT$15,BS$15,IF(CF16&lt;=BT$16,BS$16,0.05)))))))</f>
        <v/>
      </c>
      <c r="CQ16" s="2193">
        <f>CP16*CF16</f>
        <v/>
      </c>
      <c r="CR16" s="1051" t="n"/>
      <c r="CS16" s="1051">
        <f>IF(CI16&lt;=BW$6,BV$6,IF(CI16&lt;=BW$7,BV$7,IF(CI16&lt;=BW$8,BV$8,IF(CI16&lt;=BW$9,BV$9,IF(CI16&lt;=BW$14,BV$14,IF(CI16&lt;=BW$15,BV$15,IF(CI16&lt;=BW$16,BV$16,0.05)))))))</f>
        <v/>
      </c>
      <c r="CT16" s="2193">
        <f>CS16*SUM(CQ16,CN16,CI16)</f>
        <v/>
      </c>
      <c r="CU16" s="1051" t="n"/>
      <c r="CV16" s="2194">
        <f>IF(CL16&lt;=BZ$6,BY$6,IF(CL16&lt;=BZ$7,BY$7,IF(CL16&lt;=BZ$8,BY$8,IF(CL16&lt;=BZ$9,BY$9,IF(CL16&lt;=BZ$14,BY$14,IF(CL16&lt;=BZ$15,BY$15,IF(CL16&lt;=BZ$16,BY$16,0.05)))))))</f>
        <v/>
      </c>
      <c r="CW16" s="2193">
        <f>CV16*CL16</f>
        <v/>
      </c>
      <c r="CY16" s="1932">
        <f>0.07*SUM(CI16,CN16,CQ16,CT16,CW16)</f>
        <v/>
      </c>
      <c r="DA16" s="1932">
        <f>SUM(CY16,CW16,CT16,CQ16,CN16,CI16)</f>
        <v/>
      </c>
      <c r="DB16" s="1933">
        <f>SUM(CW16,CT16,CQ16,CN16)</f>
        <v/>
      </c>
      <c r="DC16" s="1051">
        <f>DB16/DA16</f>
        <v/>
      </c>
    </row>
    <row r="17" ht="16.2" customFormat="1" customHeight="1" s="585" thickBot="1">
      <c r="A17" s="1774" t="inlineStr">
        <is>
          <t>** GrassWorx Mat **</t>
        </is>
      </c>
      <c r="B17" s="600" t="n"/>
      <c r="C17" s="591" t="n"/>
      <c r="D17" s="591" t="n"/>
      <c r="E17" s="591" t="n"/>
      <c r="F17" s="990" t="inlineStr">
        <is>
          <t xml:space="preserve">Yield/FT </t>
        </is>
      </c>
      <c r="G17" s="585">
        <f>G15/G16</f>
        <v/>
      </c>
      <c r="I17" s="868" t="n"/>
      <c r="K17" s="1934" t="n"/>
      <c r="L17" s="633" t="n"/>
      <c r="N17" s="1292" t="n"/>
      <c r="O17" s="1393">
        <f>SUM(P17:R17)</f>
        <v/>
      </c>
      <c r="P17" s="1394" t="n"/>
      <c r="Q17" s="1395" t="n"/>
      <c r="R17" s="1396" t="n"/>
      <c r="S17" s="1337">
        <f>((P17+Q17+R17)/F22)*H33</f>
        <v/>
      </c>
      <c r="T17" s="970" t="n"/>
      <c r="AM17" s="2193" t="n">
        <v>8000</v>
      </c>
      <c r="AN17" s="2193" t="n"/>
      <c r="AO17" s="2193" t="n"/>
      <c r="AP17" s="2193">
        <f>AM17</f>
        <v/>
      </c>
      <c r="AQ17" s="2193" t="n"/>
      <c r="AR17" s="2193" t="n"/>
      <c r="AS17" s="2193">
        <f>AM17+AP17</f>
        <v/>
      </c>
      <c r="AT17" s="2193" t="n"/>
      <c r="AU17" s="2193" t="n"/>
      <c r="AV17" s="2193">
        <f>AS17</f>
        <v/>
      </c>
      <c r="AW17" s="1051">
        <f>IF(AM17&lt;=#REF!,#REF!,IF(AM17&lt;=#REF!,#REF!,IF(AM17&lt;=#REF!,#REF!,IF(AM17&lt;=#REF!,#REF!,IF(AM17&lt;=#REF!,#REF!,IF(AM17&lt;=#REF!,#REF!,IF(AM17&lt;=#REF!,#REF!,0.05)))))))</f>
        <v/>
      </c>
      <c r="AX17" s="2193">
        <f>AW17*AM17</f>
        <v/>
      </c>
      <c r="AY17" s="1051" t="n"/>
      <c r="AZ17" s="1051">
        <f>IF(AP17&lt;=#REF!,#REF!,IF(AP17&lt;=#REF!,#REF!,IF(AP17&lt;=#REF!,#REF!,IF(AP17&lt;=#REF!,#REF!,IF(AP17&lt;=#REF!,#REF!,IF(AP17&lt;=#REF!,#REF!,IF(AP17&lt;=#REF!,#REF!,0.05)))))))</f>
        <v/>
      </c>
      <c r="BA17" s="2193">
        <f>AZ17*AP17</f>
        <v/>
      </c>
      <c r="BB17" s="1051" t="n"/>
      <c r="BC17" s="1051">
        <f>IF(AS17&lt;=#REF!,#REF!,IF(AS17&lt;=#REF!,#REF!,IF(AS17&lt;=#REF!,#REF!,IF(AS17&lt;=#REF!,#REF!,IF(AS17&lt;=#REF!,#REF!,IF(AS17&lt;=#REF!,#REF!,IF(AS17&lt;=#REF!,#REF!,0.05)))))))</f>
        <v/>
      </c>
      <c r="BD17" s="2193">
        <f>BC17*SUM(BA17,AX17,AS17)</f>
        <v/>
      </c>
      <c r="BE17" s="1051" t="n"/>
      <c r="BF17" s="2194">
        <f>IF(AV17&lt;=#REF!,#REF!,IF(AV17&lt;=#REF!,#REF!,IF(AV17&lt;=#REF!,#REF!,IF(AV17&lt;=#REF!,#REF!,IF(AV17&lt;=#REF!,#REF!,IF(AV17&lt;=#REF!,#REF!,IF(AV17&lt;=#REF!,#REF!,0.05)))))))</f>
        <v/>
      </c>
      <c r="BG17" s="2193">
        <f>BF17*AV17</f>
        <v/>
      </c>
      <c r="BI17" s="1932">
        <f>0.07*SUM(AS17,AX17,BA17,BD17,BG17)</f>
        <v/>
      </c>
      <c r="BK17" s="1932">
        <f>SUM(BI17,BG17,BD17,BA17,AX17,AS17)</f>
        <v/>
      </c>
      <c r="BL17" s="1933">
        <f>SUM(BG17,BD17,BA17,AX17)</f>
        <v/>
      </c>
      <c r="BM17" s="1051">
        <f>BL17/BK17</f>
        <v/>
      </c>
      <c r="CC17" s="2193" t="n">
        <v>8000</v>
      </c>
      <c r="CD17" s="2193" t="n"/>
      <c r="CE17" s="2193" t="n"/>
      <c r="CF17" s="2193">
        <f>CC17</f>
        <v/>
      </c>
      <c r="CG17" s="2193" t="n"/>
      <c r="CH17" s="2193" t="n"/>
      <c r="CI17" s="2193">
        <f>CC17+CF17</f>
        <v/>
      </c>
      <c r="CJ17" s="2193" t="n"/>
      <c r="CK17" s="2193" t="n"/>
      <c r="CL17" s="2193">
        <f>CI17</f>
        <v/>
      </c>
      <c r="CM17" s="1051">
        <f>IF(CC17&lt;=BQ$6,BP$6,IF(CC17&lt;=BQ$7,BP$7,IF(CC17&lt;=BQ$8,BP$8,IF(CC17&lt;=BQ$9,BP$9,IF(CC17&lt;=BQ$14,BP$14,IF(CC17&lt;=BQ$15,BP$15,IF(CC17&lt;=BQ$16,BP$16,0.05)))))))</f>
        <v/>
      </c>
      <c r="CN17" s="2193">
        <f>CM17*CC17</f>
        <v/>
      </c>
      <c r="CO17" s="1051" t="n"/>
      <c r="CP17" s="1051">
        <f>IF(CF17&lt;=BT$6,BS$6,IF(CF17&lt;=BT$7,BS$7,IF(CF17&lt;=BT$8,BS$8,IF(CF17&lt;=BT$9,BS$9,IF(CF17&lt;=BT$14,BS$14,IF(CF17&lt;=BT$15,BS$15,IF(CF17&lt;=BT$16,BS$16,0.05)))))))</f>
        <v/>
      </c>
      <c r="CQ17" s="2193">
        <f>CP17*CF17</f>
        <v/>
      </c>
      <c r="CR17" s="1051" t="n"/>
      <c r="CS17" s="1051">
        <f>IF(CI17&lt;=BW$6,BV$6,IF(CI17&lt;=BW$7,BV$7,IF(CI17&lt;=BW$8,BV$8,IF(CI17&lt;=BW$9,BV$9,IF(CI17&lt;=BW$14,BV$14,IF(CI17&lt;=BW$15,BV$15,IF(CI17&lt;=BW$16,BV$16,0.05)))))))</f>
        <v/>
      </c>
      <c r="CT17" s="2193">
        <f>CS17*SUM(CQ17,CN17,CI17)</f>
        <v/>
      </c>
      <c r="CU17" s="1051" t="n"/>
      <c r="CV17" s="2194">
        <f>IF(CL17&lt;=BZ$6,BY$6,IF(CL17&lt;=BZ$7,BY$7,IF(CL17&lt;=BZ$8,BY$8,IF(CL17&lt;=BZ$9,BY$9,IF(CL17&lt;=BZ$14,BY$14,IF(CL17&lt;=BZ$15,BY$15,IF(CL17&lt;=BZ$16,BY$16,0.05)))))))</f>
        <v/>
      </c>
      <c r="CW17" s="2193">
        <f>CV17*CL17</f>
        <v/>
      </c>
      <c r="CY17" s="1932">
        <f>0.07*SUM(CI17,CN17,CQ17,CT17,CW17)</f>
        <v/>
      </c>
      <c r="DA17" s="1932">
        <f>SUM(CY17,CW17,CT17,CQ17,CN17,CI17)</f>
        <v/>
      </c>
      <c r="DB17" s="1933">
        <f>SUM(CW17,CT17,CQ17,CN17)</f>
        <v/>
      </c>
      <c r="DC17" s="1051">
        <f>DB17/DA17</f>
        <v/>
      </c>
    </row>
    <row r="18" ht="16.2" customFormat="1" customHeight="1" s="585" thickBot="1">
      <c r="A18" s="612" t="inlineStr">
        <is>
          <t>Total Base Bid:</t>
        </is>
      </c>
      <c r="B18" s="1938">
        <f>E87</f>
        <v/>
      </c>
      <c r="C18" s="614" t="n"/>
      <c r="D18" s="614" t="inlineStr">
        <is>
          <t>$ / SF:</t>
        </is>
      </c>
      <c r="E18" s="1938">
        <f>C87</f>
        <v/>
      </c>
      <c r="F18" s="864" t="inlineStr">
        <is>
          <t xml:space="preserve">Gyp Waste </t>
        </is>
      </c>
      <c r="G18" s="1165" t="n">
        <v>0.03</v>
      </c>
      <c r="H18" s="585" t="inlineStr">
        <is>
          <t>*Adjust these if needed</t>
        </is>
      </c>
      <c r="I18" s="868" t="n"/>
      <c r="K18" s="617" t="n"/>
      <c r="L18" s="633" t="n"/>
      <c r="N18" s="1292" t="n"/>
      <c r="O18" s="1393">
        <f>SUM(P18:R18)</f>
        <v/>
      </c>
      <c r="P18" s="1394" t="n"/>
      <c r="Q18" s="1395" t="n"/>
      <c r="R18" s="1396" t="n"/>
      <c r="S18" s="1337">
        <f>((P18+Q18+R18)/F22)*H33</f>
        <v/>
      </c>
      <c r="T18" s="970" t="n"/>
      <c r="AM18" s="2193" t="n">
        <v>9000</v>
      </c>
      <c r="AN18" s="2193" t="n"/>
      <c r="AO18" s="2193" t="n"/>
      <c r="AP18" s="2193">
        <f>AM18</f>
        <v/>
      </c>
      <c r="AQ18" s="2193" t="n"/>
      <c r="AR18" s="2193" t="n"/>
      <c r="AS18" s="2193">
        <f>AM18+AP18</f>
        <v/>
      </c>
      <c r="AT18" s="2193" t="n"/>
      <c r="AU18" s="2193" t="n"/>
      <c r="AV18" s="2193">
        <f>AS18</f>
        <v/>
      </c>
      <c r="AW18" s="1051">
        <f>IF(AM18&lt;=#REF!,#REF!,IF(AM18&lt;=#REF!,#REF!,IF(AM18&lt;=#REF!,#REF!,IF(AM18&lt;=#REF!,#REF!,IF(AM18&lt;=#REF!,#REF!,IF(AM18&lt;=#REF!,#REF!,IF(AM18&lt;=#REF!,#REF!,0.05)))))))</f>
        <v/>
      </c>
      <c r="AX18" s="2193">
        <f>AW18*AM18</f>
        <v/>
      </c>
      <c r="AY18" s="1051" t="n"/>
      <c r="AZ18" s="1051">
        <f>IF(AP18&lt;=#REF!,#REF!,IF(AP18&lt;=#REF!,#REF!,IF(AP18&lt;=#REF!,#REF!,IF(AP18&lt;=#REF!,#REF!,IF(AP18&lt;=#REF!,#REF!,IF(AP18&lt;=#REF!,#REF!,IF(AP18&lt;=#REF!,#REF!,0.05)))))))</f>
        <v/>
      </c>
      <c r="BA18" s="2193">
        <f>AZ18*AP18</f>
        <v/>
      </c>
      <c r="BB18" s="1051" t="n"/>
      <c r="BC18" s="1051">
        <f>IF(AS18&lt;=#REF!,#REF!,IF(AS18&lt;=#REF!,#REF!,IF(AS18&lt;=#REF!,#REF!,IF(AS18&lt;=#REF!,#REF!,IF(AS18&lt;=#REF!,#REF!,IF(AS18&lt;=#REF!,#REF!,IF(AS18&lt;=#REF!,#REF!,0.05)))))))</f>
        <v/>
      </c>
      <c r="BD18" s="2193">
        <f>BC18*SUM(BA18,AX18,AS18)</f>
        <v/>
      </c>
      <c r="BE18" s="1051" t="n"/>
      <c r="BF18" s="2194">
        <f>IF(AV18&lt;=#REF!,#REF!,IF(AV18&lt;=#REF!,#REF!,IF(AV18&lt;=#REF!,#REF!,IF(AV18&lt;=#REF!,#REF!,IF(AV18&lt;=#REF!,#REF!,IF(AV18&lt;=#REF!,#REF!,IF(AV18&lt;=#REF!,#REF!,0.05)))))))</f>
        <v/>
      </c>
      <c r="BG18" s="2193">
        <f>BF18*AV18</f>
        <v/>
      </c>
      <c r="BI18" s="1932">
        <f>0.07*SUM(AS18,AX18,BA18,BD18,BG18)</f>
        <v/>
      </c>
      <c r="BK18" s="1932">
        <f>SUM(BI18,BG18,BD18,BA18,AX18,AS18)</f>
        <v/>
      </c>
      <c r="BL18" s="1933">
        <f>SUM(BG18,BD18,BA18,AX18)</f>
        <v/>
      </c>
      <c r="BM18" s="1051">
        <f>BL18/BK18</f>
        <v/>
      </c>
      <c r="CC18" s="2193" t="n">
        <v>9000</v>
      </c>
      <c r="CD18" s="2193" t="n"/>
      <c r="CE18" s="2193" t="n"/>
      <c r="CF18" s="2193">
        <f>CC18</f>
        <v/>
      </c>
      <c r="CG18" s="2193" t="n"/>
      <c r="CH18" s="2193" t="n"/>
      <c r="CI18" s="2193">
        <f>CC18+CF18</f>
        <v/>
      </c>
      <c r="CJ18" s="2193" t="n"/>
      <c r="CK18" s="2193" t="n"/>
      <c r="CL18" s="2193">
        <f>CI18</f>
        <v/>
      </c>
      <c r="CM18" s="1051">
        <f>IF(CC18&lt;=BQ$6,BP$6,IF(CC18&lt;=BQ$7,BP$7,IF(CC18&lt;=BQ$8,BP$8,IF(CC18&lt;=BQ$9,BP$9,IF(CC18&lt;=BQ$14,BP$14,IF(CC18&lt;=BQ$15,BP$15,IF(CC18&lt;=BQ$16,BP$16,0.05)))))))</f>
        <v/>
      </c>
      <c r="CN18" s="2193">
        <f>CM18*CC18</f>
        <v/>
      </c>
      <c r="CO18" s="1051" t="n"/>
      <c r="CP18" s="1051">
        <f>IF(CF18&lt;=BT$6,BS$6,IF(CF18&lt;=BT$7,BS$7,IF(CF18&lt;=BT$8,BS$8,IF(CF18&lt;=BT$9,BS$9,IF(CF18&lt;=BT$14,BS$14,IF(CF18&lt;=BT$15,BS$15,IF(CF18&lt;=BT$16,BS$16,0.05)))))))</f>
        <v/>
      </c>
      <c r="CQ18" s="2193">
        <f>CP18*CF18</f>
        <v/>
      </c>
      <c r="CR18" s="1051" t="n"/>
      <c r="CS18" s="1051">
        <f>IF(CI18&lt;=BW$6,BV$6,IF(CI18&lt;=BW$7,BV$7,IF(CI18&lt;=BW$8,BV$8,IF(CI18&lt;=BW$9,BV$9,IF(CI18&lt;=BW$14,BV$14,IF(CI18&lt;=BW$15,BV$15,IF(CI18&lt;=BW$16,BV$16,0.05)))))))</f>
        <v/>
      </c>
      <c r="CT18" s="2193">
        <f>CS18*SUM(CQ18,CN18,CI18)</f>
        <v/>
      </c>
      <c r="CU18" s="1051" t="n"/>
      <c r="CV18" s="2194">
        <f>IF(CL18&lt;=BZ$6,BY$6,IF(CL18&lt;=BZ$7,BY$7,IF(CL18&lt;=BZ$8,BY$8,IF(CL18&lt;=BZ$9,BY$9,IF(CL18&lt;=BZ$14,BY$14,IF(CL18&lt;=BZ$15,BY$15,IF(CL18&lt;=BZ$16,BY$16,0.05)))))))</f>
        <v/>
      </c>
      <c r="CW18" s="2193">
        <f>CV18*CL18</f>
        <v/>
      </c>
      <c r="CY18" s="1932">
        <f>0.07*SUM(CI18,CN18,CQ18,CT18,CW18)</f>
        <v/>
      </c>
      <c r="DA18" s="1932">
        <f>SUM(CY18,CW18,CT18,CQ18,CN18,CI18)</f>
        <v/>
      </c>
      <c r="DB18" s="1933">
        <f>SUM(CW18,CT18,CQ18,CN18)</f>
        <v/>
      </c>
      <c r="DC18" s="1051">
        <f>DB18/DA18</f>
        <v/>
      </c>
    </row>
    <row r="19" customFormat="1" s="585">
      <c r="A19" s="616" t="inlineStr">
        <is>
          <t xml:space="preserve">MATERIAL - </t>
        </is>
      </c>
      <c r="B19" s="617" t="inlineStr">
        <is>
          <t>Quantity</t>
        </is>
      </c>
      <c r="C19" s="1781" t="inlineStr">
        <is>
          <t>Units</t>
        </is>
      </c>
      <c r="D19" s="617" t="inlineStr">
        <is>
          <t>Cost/Unit</t>
        </is>
      </c>
      <c r="E19" s="992" t="inlineStr">
        <is>
          <t xml:space="preserve">Subtotal </t>
        </is>
      </c>
      <c r="F19" s="585" t="inlineStr">
        <is>
          <t xml:space="preserve">Sand Waste </t>
        </is>
      </c>
      <c r="G19" s="1165" t="n">
        <v>0.1</v>
      </c>
      <c r="H19" s="1877" t="inlineStr">
        <is>
          <t>for large bids</t>
        </is>
      </c>
      <c r="I19" s="993" t="n"/>
      <c r="K19" s="2014" t="n"/>
      <c r="L19" s="633" t="n"/>
      <c r="N19" s="1292" t="n"/>
      <c r="O19" s="1393">
        <f>SUM(P19:R19)</f>
        <v/>
      </c>
      <c r="P19" s="1394" t="n"/>
      <c r="Q19" s="1395" t="n"/>
      <c r="R19" s="1396" t="n"/>
      <c r="S19" s="1337">
        <f>((P19+Q19+R19)/F22)*H33</f>
        <v/>
      </c>
      <c r="T19" s="970" t="n"/>
      <c r="AM19" s="2193" t="n">
        <v>10000</v>
      </c>
      <c r="AN19" s="2193" t="n"/>
      <c r="AO19" s="2193" t="n"/>
      <c r="AP19" s="2193">
        <f>AM19</f>
        <v/>
      </c>
      <c r="AQ19" s="2193" t="n"/>
      <c r="AR19" s="2193" t="n"/>
      <c r="AS19" s="2193">
        <f>AM19+AP19</f>
        <v/>
      </c>
      <c r="AT19" s="2193" t="n"/>
      <c r="AU19" s="2193" t="n"/>
      <c r="AV19" s="2193">
        <f>AS19</f>
        <v/>
      </c>
      <c r="AW19" s="1051">
        <f>IF(AM19&lt;=#REF!,#REF!,IF(AM19&lt;=#REF!,#REF!,IF(AM19&lt;=#REF!,#REF!,IF(AM19&lt;=#REF!,#REF!,IF(AM19&lt;=#REF!,#REF!,IF(AM19&lt;=#REF!,#REF!,IF(AM19&lt;=#REF!,#REF!,0.05)))))))</f>
        <v/>
      </c>
      <c r="AX19" s="2193">
        <f>AW19*AM19</f>
        <v/>
      </c>
      <c r="AY19" s="1051" t="n"/>
      <c r="AZ19" s="1051">
        <f>IF(AP19&lt;=#REF!,#REF!,IF(AP19&lt;=#REF!,#REF!,IF(AP19&lt;=#REF!,#REF!,IF(AP19&lt;=#REF!,#REF!,IF(AP19&lt;=#REF!,#REF!,IF(AP19&lt;=#REF!,#REF!,IF(AP19&lt;=#REF!,#REF!,0.05)))))))</f>
        <v/>
      </c>
      <c r="BA19" s="2193">
        <f>AZ19*AP19</f>
        <v/>
      </c>
      <c r="BB19" s="1051" t="n"/>
      <c r="BC19" s="1051">
        <f>IF(AS19&lt;=#REF!,#REF!,IF(AS19&lt;=#REF!,#REF!,IF(AS19&lt;=#REF!,#REF!,IF(AS19&lt;=#REF!,#REF!,IF(AS19&lt;=#REF!,#REF!,IF(AS19&lt;=#REF!,#REF!,IF(AS19&lt;=#REF!,#REF!,0.05)))))))</f>
        <v/>
      </c>
      <c r="BD19" s="2193">
        <f>BC19*SUM(BA19,AX19,AS19)</f>
        <v/>
      </c>
      <c r="BE19" s="1051" t="n"/>
      <c r="BF19" s="2194">
        <f>IF(AV19&lt;=#REF!,#REF!,IF(AV19&lt;=#REF!,#REF!,IF(AV19&lt;=#REF!,#REF!,IF(AV19&lt;=#REF!,#REF!,IF(AV19&lt;=#REF!,#REF!,IF(AV19&lt;=#REF!,#REF!,IF(AV19&lt;=#REF!,#REF!,0.05)))))))</f>
        <v/>
      </c>
      <c r="BG19" s="2193">
        <f>BF19*AV19</f>
        <v/>
      </c>
      <c r="BI19" s="1932">
        <f>0.07*SUM(AS19,AX19,BA19,BD19,BG19)</f>
        <v/>
      </c>
      <c r="BK19" s="1932">
        <f>SUM(BI19,BG19,BD19,BA19,AX19,AS19)</f>
        <v/>
      </c>
      <c r="BL19" s="1933">
        <f>SUM(BG19,BD19,BA19,AX19)</f>
        <v/>
      </c>
      <c r="BM19" s="1051">
        <f>BL19/BK19</f>
        <v/>
      </c>
      <c r="CC19" s="2193" t="n">
        <v>10000</v>
      </c>
      <c r="CD19" s="2193" t="n"/>
      <c r="CE19" s="2193" t="n"/>
      <c r="CF19" s="2193">
        <f>CC19</f>
        <v/>
      </c>
      <c r="CG19" s="2193" t="n"/>
      <c r="CH19" s="2193" t="n"/>
      <c r="CI19" s="2193">
        <f>CC19+CF19</f>
        <v/>
      </c>
      <c r="CJ19" s="2193" t="n"/>
      <c r="CK19" s="2193" t="n"/>
      <c r="CL19" s="2193">
        <f>CI19</f>
        <v/>
      </c>
      <c r="CM19" s="1051">
        <f>IF(CC19&lt;=BQ$6,BP$6,IF(CC19&lt;=BQ$7,BP$7,IF(CC19&lt;=BQ$8,BP$8,IF(CC19&lt;=BQ$9,BP$9,IF(CC19&lt;=BQ$14,BP$14,IF(CC19&lt;=BQ$15,BP$15,IF(CC19&lt;=BQ$16,BP$16,0.05)))))))</f>
        <v/>
      </c>
      <c r="CN19" s="2193">
        <f>CM19*CC19</f>
        <v/>
      </c>
      <c r="CO19" s="1051" t="n"/>
      <c r="CP19" s="1051">
        <f>IF(CF19&lt;=BT$6,BS$6,IF(CF19&lt;=BT$7,BS$7,IF(CF19&lt;=BT$8,BS$8,IF(CF19&lt;=BT$9,BS$9,IF(CF19&lt;=BT$14,BS$14,IF(CF19&lt;=BT$15,BS$15,IF(CF19&lt;=BT$16,BS$16,0.05)))))))</f>
        <v/>
      </c>
      <c r="CQ19" s="2193">
        <f>CP19*CF19</f>
        <v/>
      </c>
      <c r="CR19" s="1051" t="n"/>
      <c r="CS19" s="1051">
        <f>IF(CI19&lt;=BW$6,BV$6,IF(CI19&lt;=BW$7,BV$7,IF(CI19&lt;=BW$8,BV$8,IF(CI19&lt;=BW$9,BV$9,IF(CI19&lt;=BW$14,BV$14,IF(CI19&lt;=BW$15,BV$15,IF(CI19&lt;=BW$16,BV$16,0.05)))))))</f>
        <v/>
      </c>
      <c r="CT19" s="2193">
        <f>CS19*SUM(CQ19,CN19,CI19)</f>
        <v/>
      </c>
      <c r="CU19" s="1051" t="n"/>
      <c r="CV19" s="2194">
        <f>IF(CL19&lt;=BZ$6,BY$6,IF(CL19&lt;=BZ$7,BY$7,IF(CL19&lt;=BZ$8,BY$8,IF(CL19&lt;=BZ$9,BY$9,IF(CL19&lt;=BZ$14,BY$14,IF(CL19&lt;=BZ$15,BY$15,IF(CL19&lt;=BZ$16,BY$16,0.05)))))))</f>
        <v/>
      </c>
      <c r="CW19" s="2193">
        <f>CV19*CL19</f>
        <v/>
      </c>
      <c r="CY19" s="1932">
        <f>0.07*SUM(CI19,CN19,CQ19,CT19,CW19)</f>
        <v/>
      </c>
      <c r="DA19" s="1932">
        <f>SUM(CY19,CW19,CT19,CQ19,CN19,CI19)</f>
        <v/>
      </c>
      <c r="DB19" s="1933">
        <f>SUM(CW19,CT19,CQ19,CN19)</f>
        <v/>
      </c>
      <c r="DC19" s="1051">
        <f>DB19/DA19</f>
        <v/>
      </c>
    </row>
    <row r="20" ht="16.2" customFormat="1" customHeight="1" s="585" thickBot="1">
      <c r="A20" s="624" t="n"/>
      <c r="B20" s="2096" t="n"/>
      <c r="C20" s="2203" t="n"/>
      <c r="D20" s="1942" t="n"/>
      <c r="E20" s="1943">
        <f>B20*D20</f>
        <v/>
      </c>
      <c r="F20" s="874" t="inlineStr">
        <is>
          <t>Sound Mat Waste</t>
        </is>
      </c>
      <c r="G20" s="1166" t="n">
        <v>0.04</v>
      </c>
      <c r="H20" s="874" t="n"/>
      <c r="I20" s="875" t="n"/>
      <c r="L20" s="633" t="n"/>
      <c r="N20" s="1292" t="n"/>
      <c r="O20" s="1393">
        <f>SUM(P20:R20)</f>
        <v/>
      </c>
      <c r="P20" s="1394" t="n"/>
      <c r="Q20" s="1395" t="n"/>
      <c r="R20" s="1396" t="n"/>
      <c r="S20" s="1337">
        <f>((P20+Q20+R20)/F22)*H33</f>
        <v/>
      </c>
      <c r="T20" s="970" t="n"/>
      <c r="AM20" s="2193" t="n">
        <v>11000</v>
      </c>
      <c r="AN20" s="2193" t="n"/>
      <c r="AO20" s="2193" t="n"/>
      <c r="AP20" s="2193">
        <f>AM20</f>
        <v/>
      </c>
      <c r="AQ20" s="2193" t="n"/>
      <c r="AR20" s="2193" t="n"/>
      <c r="AS20" s="2193">
        <f>AM20+AP20</f>
        <v/>
      </c>
      <c r="AT20" s="2193" t="n"/>
      <c r="AU20" s="2193" t="n"/>
      <c r="AV20" s="2193">
        <f>AS20</f>
        <v/>
      </c>
      <c r="AW20" s="1051">
        <f>IF(AM20&lt;=#REF!,#REF!,IF(AM20&lt;=#REF!,#REF!,IF(AM20&lt;=#REF!,#REF!,IF(AM20&lt;=#REF!,#REF!,IF(AM20&lt;=#REF!,#REF!,IF(AM20&lt;=#REF!,#REF!,IF(AM20&lt;=#REF!,#REF!,0.05)))))))</f>
        <v/>
      </c>
      <c r="AX20" s="2193">
        <f>AW20*AM20</f>
        <v/>
      </c>
      <c r="AY20" s="1051" t="n"/>
      <c r="AZ20" s="1051">
        <f>IF(AP20&lt;=#REF!,#REF!,IF(AP20&lt;=#REF!,#REF!,IF(AP20&lt;=#REF!,#REF!,IF(AP20&lt;=#REF!,#REF!,IF(AP20&lt;=#REF!,#REF!,IF(AP20&lt;=#REF!,#REF!,IF(AP20&lt;=#REF!,#REF!,0.05)))))))</f>
        <v/>
      </c>
      <c r="BA20" s="2193">
        <f>AZ20*AP20</f>
        <v/>
      </c>
      <c r="BB20" s="1051" t="n"/>
      <c r="BC20" s="1051">
        <f>IF(AS20&lt;=#REF!,#REF!,IF(AS20&lt;=#REF!,#REF!,IF(AS20&lt;=#REF!,#REF!,IF(AS20&lt;=#REF!,#REF!,IF(AS20&lt;=#REF!,#REF!,IF(AS20&lt;=#REF!,#REF!,IF(AS20&lt;=#REF!,#REF!,0.05)))))))</f>
        <v/>
      </c>
      <c r="BD20" s="2193">
        <f>BC20*SUM(BA20,AX20,AS20)</f>
        <v/>
      </c>
      <c r="BE20" s="1051" t="n"/>
      <c r="BF20" s="2194">
        <f>IF(AV20&lt;=#REF!,#REF!,IF(AV20&lt;=#REF!,#REF!,IF(AV20&lt;=#REF!,#REF!,IF(AV20&lt;=#REF!,#REF!,IF(AV20&lt;=#REF!,#REF!,IF(AV20&lt;=#REF!,#REF!,IF(AV20&lt;=#REF!,#REF!,0.05)))))))</f>
        <v/>
      </c>
      <c r="BG20" s="2193">
        <f>BF20*AV20</f>
        <v/>
      </c>
      <c r="BI20" s="1932">
        <f>0.07*SUM(AS20,AX20,BA20,BD20,BG20)</f>
        <v/>
      </c>
      <c r="BK20" s="1932">
        <f>SUM(BI20,BG20,BD20,BA20,AX20,AS20)</f>
        <v/>
      </c>
      <c r="BL20" s="1933">
        <f>SUM(BG20,BD20,BA20,AX20)</f>
        <v/>
      </c>
      <c r="BM20" s="1051">
        <f>BL20/BK20</f>
        <v/>
      </c>
      <c r="CC20" s="2193" t="n">
        <v>11000</v>
      </c>
      <c r="CD20" s="2193" t="n"/>
      <c r="CE20" s="2193" t="n"/>
      <c r="CF20" s="2193">
        <f>CC20</f>
        <v/>
      </c>
      <c r="CG20" s="2193" t="n"/>
      <c r="CH20" s="2193" t="n"/>
      <c r="CI20" s="2193">
        <f>CC20+CF20</f>
        <v/>
      </c>
      <c r="CJ20" s="2193" t="n"/>
      <c r="CK20" s="2193" t="n"/>
      <c r="CL20" s="2193">
        <f>CI20</f>
        <v/>
      </c>
      <c r="CM20" s="1051">
        <f>IF(CC20&lt;=BQ$6,BP$6,IF(CC20&lt;=BQ$7,BP$7,IF(CC20&lt;=BQ$8,BP$8,IF(CC20&lt;=BQ$9,BP$9,IF(CC20&lt;=BQ$14,BP$14,IF(CC20&lt;=BQ$15,BP$15,IF(CC20&lt;=BQ$16,BP$16,0.05)))))))</f>
        <v/>
      </c>
      <c r="CN20" s="2193">
        <f>CM20*CC20</f>
        <v/>
      </c>
      <c r="CO20" s="1051" t="n"/>
      <c r="CP20" s="1051">
        <f>IF(CF20&lt;=BT$6,BS$6,IF(CF20&lt;=BT$7,BS$7,IF(CF20&lt;=BT$8,BS$8,IF(CF20&lt;=BT$9,BS$9,IF(CF20&lt;=BT$14,BS$14,IF(CF20&lt;=BT$15,BS$15,IF(CF20&lt;=BT$16,BS$16,0.05)))))))</f>
        <v/>
      </c>
      <c r="CQ20" s="2193">
        <f>CP20*CF20</f>
        <v/>
      </c>
      <c r="CR20" s="1051" t="n"/>
      <c r="CS20" s="1051">
        <f>IF(CI20&lt;=BW$6,BV$6,IF(CI20&lt;=BW$7,BV$7,IF(CI20&lt;=BW$8,BV$8,IF(CI20&lt;=BW$9,BV$9,IF(CI20&lt;=BW$14,BV$14,IF(CI20&lt;=BW$15,BV$15,IF(CI20&lt;=BW$16,BV$16,0.05)))))))</f>
        <v/>
      </c>
      <c r="CT20" s="2193">
        <f>CS20*SUM(CQ20,CN20,CI20)</f>
        <v/>
      </c>
      <c r="CU20" s="1051" t="n"/>
      <c r="CV20" s="2194">
        <f>IF(CL20&lt;=BZ$6,BY$6,IF(CL20&lt;=BZ$7,BY$7,IF(CL20&lt;=BZ$8,BY$8,IF(CL20&lt;=BZ$9,BY$9,IF(CL20&lt;=BZ$14,BY$14,IF(CL20&lt;=BZ$15,BY$15,IF(CL20&lt;=BZ$16,BY$16,0.05)))))))</f>
        <v/>
      </c>
      <c r="CW20" s="2193">
        <f>CV20*CL20</f>
        <v/>
      </c>
      <c r="CY20" s="1932">
        <f>0.07*SUM(CI20,CN20,CQ20,CT20,CW20)</f>
        <v/>
      </c>
      <c r="DA20" s="1932">
        <f>SUM(CY20,CW20,CT20,CQ20,CN20,CI20)</f>
        <v/>
      </c>
      <c r="DB20" s="1933">
        <f>SUM(CW20,CT20,CQ20,CN20)</f>
        <v/>
      </c>
      <c r="DC20" s="1051">
        <f>DB20/DA20</f>
        <v/>
      </c>
    </row>
    <row r="21" customFormat="1" s="585">
      <c r="A21" s="1559" t="inlineStr">
        <is>
          <t>USG Levelrock</t>
        </is>
      </c>
      <c r="B21" s="2096" t="n"/>
      <c r="C21" s="2203" t="n"/>
      <c r="D21" s="1942" t="n"/>
      <c r="E21" s="1943">
        <f>B21*D21</f>
        <v/>
      </c>
      <c r="L21" s="633" t="n"/>
      <c r="N21" s="1292" t="n"/>
      <c r="O21" s="1393">
        <f>SUM(P21:R21)</f>
        <v/>
      </c>
      <c r="P21" s="1394" t="n"/>
      <c r="Q21" s="1395" t="n"/>
      <c r="R21" s="1396" t="n"/>
      <c r="S21" s="1337">
        <f>((P21+Q21+R21)/F22)*H33</f>
        <v/>
      </c>
      <c r="T21" s="970" t="n"/>
      <c r="AM21" s="2193" t="n">
        <v>12000</v>
      </c>
      <c r="AN21" s="2193" t="n"/>
      <c r="AO21" s="2193" t="n"/>
      <c r="AP21" s="2193">
        <f>AM21</f>
        <v/>
      </c>
      <c r="AQ21" s="2193" t="n"/>
      <c r="AR21" s="2193" t="n"/>
      <c r="AS21" s="2193">
        <f>AM21+AP21</f>
        <v/>
      </c>
      <c r="AT21" s="2193" t="n"/>
      <c r="AU21" s="2193" t="n"/>
      <c r="AV21" s="2193">
        <f>AS21</f>
        <v/>
      </c>
      <c r="AW21" s="1051">
        <f>IF(AM21&lt;=#REF!,#REF!,IF(AM21&lt;=#REF!,#REF!,IF(AM21&lt;=#REF!,#REF!,IF(AM21&lt;=#REF!,#REF!,IF(AM21&lt;=#REF!,#REF!,IF(AM21&lt;=#REF!,#REF!,IF(AM21&lt;=#REF!,#REF!,0.05)))))))</f>
        <v/>
      </c>
      <c r="AX21" s="2193">
        <f>AW21*AM21</f>
        <v/>
      </c>
      <c r="AY21" s="1051" t="n"/>
      <c r="AZ21" s="1051">
        <f>IF(AP21&lt;=#REF!,#REF!,IF(AP21&lt;=#REF!,#REF!,IF(AP21&lt;=#REF!,#REF!,IF(AP21&lt;=#REF!,#REF!,IF(AP21&lt;=#REF!,#REF!,IF(AP21&lt;=#REF!,#REF!,IF(AP21&lt;=#REF!,#REF!,0.05)))))))</f>
        <v/>
      </c>
      <c r="BA21" s="2193">
        <f>AZ21*AP21</f>
        <v/>
      </c>
      <c r="BB21" s="1051" t="n"/>
      <c r="BC21" s="1051">
        <f>IF(AS21&lt;=#REF!,#REF!,IF(AS21&lt;=#REF!,#REF!,IF(AS21&lt;=#REF!,#REF!,IF(AS21&lt;=#REF!,#REF!,IF(AS21&lt;=#REF!,#REF!,IF(AS21&lt;=#REF!,#REF!,IF(AS21&lt;=#REF!,#REF!,0.05)))))))</f>
        <v/>
      </c>
      <c r="BD21" s="2193">
        <f>BC21*SUM(BA21,AX21,AS21)</f>
        <v/>
      </c>
      <c r="BE21" s="1051" t="n"/>
      <c r="BF21" s="2194">
        <f>IF(AV21&lt;=#REF!,#REF!,IF(AV21&lt;=#REF!,#REF!,IF(AV21&lt;=#REF!,#REF!,IF(AV21&lt;=#REF!,#REF!,IF(AV21&lt;=#REF!,#REF!,IF(AV21&lt;=#REF!,#REF!,IF(AV21&lt;=#REF!,#REF!,0.05)))))))</f>
        <v/>
      </c>
      <c r="BG21" s="2193">
        <f>BF21*AV21</f>
        <v/>
      </c>
      <c r="BI21" s="1932">
        <f>0.07*SUM(AS21,AX21,BA21,BD21,BG21)</f>
        <v/>
      </c>
      <c r="BK21" s="1932">
        <f>SUM(BI21,BG21,BD21,BA21,AX21,AS21)</f>
        <v/>
      </c>
      <c r="BL21" s="1933">
        <f>SUM(BG21,BD21,BA21,AX21)</f>
        <v/>
      </c>
      <c r="BM21" s="1051">
        <f>BL21/BK21</f>
        <v/>
      </c>
      <c r="CC21" s="2193" t="n">
        <v>12000</v>
      </c>
      <c r="CD21" s="2193" t="n"/>
      <c r="CE21" s="2193" t="n"/>
      <c r="CF21" s="2193">
        <f>CC21</f>
        <v/>
      </c>
      <c r="CG21" s="2193" t="n"/>
      <c r="CH21" s="2193" t="n"/>
      <c r="CI21" s="2193">
        <f>CC21+CF21</f>
        <v/>
      </c>
      <c r="CJ21" s="2193" t="n"/>
      <c r="CK21" s="2193" t="n"/>
      <c r="CL21" s="2193">
        <f>CI21</f>
        <v/>
      </c>
      <c r="CM21" s="1051">
        <f>IF(CC21&lt;=BQ$6,BP$6,IF(CC21&lt;=BQ$7,BP$7,IF(CC21&lt;=BQ$8,BP$8,IF(CC21&lt;=BQ$9,BP$9,IF(CC21&lt;=BQ$14,BP$14,IF(CC21&lt;=BQ$15,BP$15,IF(CC21&lt;=BQ$16,BP$16,0.05)))))))</f>
        <v/>
      </c>
      <c r="CN21" s="2193">
        <f>CM21*CC21</f>
        <v/>
      </c>
      <c r="CO21" s="1051" t="n"/>
      <c r="CP21" s="1051">
        <f>IF(CF21&lt;=BT$6,BS$6,IF(CF21&lt;=BT$7,BS$7,IF(CF21&lt;=BT$8,BS$8,IF(CF21&lt;=BT$9,BS$9,IF(CF21&lt;=BT$14,BS$14,IF(CF21&lt;=BT$15,BS$15,IF(CF21&lt;=BT$16,BS$16,0.05)))))))</f>
        <v/>
      </c>
      <c r="CQ21" s="2193">
        <f>CP21*CF21</f>
        <v/>
      </c>
      <c r="CR21" s="1051" t="n"/>
      <c r="CS21" s="1051">
        <f>IF(CI21&lt;=BW$6,BV$6,IF(CI21&lt;=BW$7,BV$7,IF(CI21&lt;=BW$8,BV$8,IF(CI21&lt;=BW$9,BV$9,IF(CI21&lt;=BW$14,BV$14,IF(CI21&lt;=BW$15,BV$15,IF(CI21&lt;=BW$16,BV$16,0.05)))))))</f>
        <v/>
      </c>
      <c r="CT21" s="2193">
        <f>CS21*SUM(CQ21,CN21,CI21)</f>
        <v/>
      </c>
      <c r="CU21" s="1051" t="n"/>
      <c r="CV21" s="2194">
        <f>IF(CL21&lt;=BZ$6,BY$6,IF(CL21&lt;=BZ$7,BY$7,IF(CL21&lt;=BZ$8,BY$8,IF(CL21&lt;=BZ$9,BY$9,IF(CL21&lt;=BZ$14,BY$14,IF(CL21&lt;=BZ$15,BY$15,IF(CL21&lt;=BZ$16,BY$16,0.05)))))))</f>
        <v/>
      </c>
      <c r="CW21" s="2193">
        <f>CV21*CL21</f>
        <v/>
      </c>
      <c r="CY21" s="1932">
        <f>0.07*SUM(CI21,CN21,CQ21,CT21,CW21)</f>
        <v/>
      </c>
      <c r="DA21" s="1932">
        <f>SUM(CY21,CW21,CT21,CQ21,CN21,CI21)</f>
        <v/>
      </c>
      <c r="DB21" s="1933">
        <f>SUM(CW21,CT21,CQ21,CN21)</f>
        <v/>
      </c>
      <c r="DC21" s="1051">
        <f>DB21/DA21</f>
        <v/>
      </c>
    </row>
    <row r="22" customFormat="1" s="585">
      <c r="A22" s="641" t="inlineStr">
        <is>
          <t>MATERIAL - Gypsum Underlayments</t>
        </is>
      </c>
      <c r="B22" s="2204" t="n"/>
      <c r="C22" s="643" t="n"/>
      <c r="D22" s="643" t="n"/>
      <c r="E22" s="2205">
        <f>B22*D22</f>
        <v/>
      </c>
      <c r="F22" s="1284">
        <f>SUM(F23:F25)</f>
        <v/>
      </c>
      <c r="G22" s="887" t="inlineStr">
        <is>
          <t>SF Total</t>
        </is>
      </c>
      <c r="H22" s="837" t="inlineStr">
        <is>
          <t>Ave Gyp Thickness</t>
        </is>
      </c>
      <c r="I22" s="2206" t="inlineStr">
        <is>
          <t>1/8's Req at Thickness</t>
        </is>
      </c>
      <c r="J22" s="822" t="inlineStr">
        <is>
          <t xml:space="preserve">Yield/FT </t>
        </is>
      </c>
      <c r="K22" s="1140" t="inlineStr">
        <is>
          <t>1.8 = 2500 psi</t>
        </is>
      </c>
      <c r="L22" s="1140" t="inlineStr">
        <is>
          <t>1.4 = 3000 psi</t>
        </is>
      </c>
      <c r="O22" s="1393">
        <f>SUM(P22:R22)</f>
        <v/>
      </c>
      <c r="P22" s="1394" t="n"/>
      <c r="Q22" s="1395" t="n"/>
      <c r="R22" s="1396" t="n"/>
      <c r="S22" s="1337">
        <f>((P22+Q22+R22)/F22)*H33</f>
        <v/>
      </c>
      <c r="T22" s="970" t="n"/>
      <c r="AM22" s="2193" t="n">
        <v>13000</v>
      </c>
      <c r="AN22" s="2193" t="n"/>
      <c r="AO22" s="2193" t="n"/>
      <c r="AP22" s="2193">
        <f>AM22</f>
        <v/>
      </c>
      <c r="AQ22" s="2193" t="n"/>
      <c r="AR22" s="2193" t="n"/>
      <c r="AS22" s="2193">
        <f>AM22+AP22</f>
        <v/>
      </c>
      <c r="AT22" s="2193" t="n"/>
      <c r="AU22" s="2193" t="n"/>
      <c r="AV22" s="2193">
        <f>AS22</f>
        <v/>
      </c>
      <c r="AW22" s="1051">
        <f>IF(AM22&lt;=#REF!,#REF!,IF(AM22&lt;=#REF!,#REF!,IF(AM22&lt;=#REF!,#REF!,IF(AM22&lt;=#REF!,#REF!,IF(AM22&lt;=#REF!,#REF!,IF(AM22&lt;=#REF!,#REF!,IF(AM22&lt;=#REF!,#REF!,0.05)))))))</f>
        <v/>
      </c>
      <c r="AX22" s="2193">
        <f>AW22*AM22</f>
        <v/>
      </c>
      <c r="AY22" s="1051" t="n"/>
      <c r="AZ22" s="1051">
        <f>IF(AP22&lt;=#REF!,#REF!,IF(AP22&lt;=#REF!,#REF!,IF(AP22&lt;=#REF!,#REF!,IF(AP22&lt;=#REF!,#REF!,IF(AP22&lt;=#REF!,#REF!,IF(AP22&lt;=#REF!,#REF!,IF(AP22&lt;=#REF!,#REF!,0.05)))))))</f>
        <v/>
      </c>
      <c r="BA22" s="2193">
        <f>AZ22*AP22</f>
        <v/>
      </c>
      <c r="BB22" s="1051" t="n"/>
      <c r="BC22" s="1051">
        <f>IF(AS22&lt;=#REF!,#REF!,IF(AS22&lt;=#REF!,#REF!,IF(AS22&lt;=#REF!,#REF!,IF(AS22&lt;=#REF!,#REF!,IF(AS22&lt;=#REF!,#REF!,IF(AS22&lt;=#REF!,#REF!,IF(AS22&lt;=#REF!,#REF!,0.05)))))))</f>
        <v/>
      </c>
      <c r="BD22" s="2193">
        <f>BC22*SUM(BA22,AX22,AS22)</f>
        <v/>
      </c>
      <c r="BE22" s="1051" t="n"/>
      <c r="BF22" s="2194">
        <f>IF(AV22&lt;=#REF!,#REF!,IF(AV22&lt;=#REF!,#REF!,IF(AV22&lt;=#REF!,#REF!,IF(AV22&lt;=#REF!,#REF!,IF(AV22&lt;=#REF!,#REF!,IF(AV22&lt;=#REF!,#REF!,IF(AV22&lt;=#REF!,#REF!,0.05)))))))</f>
        <v/>
      </c>
      <c r="BG22" s="2193">
        <f>BF22*AV22</f>
        <v/>
      </c>
      <c r="BI22" s="1932">
        <f>0.07*SUM(AS22,AX22,BA22,BD22,BG22)</f>
        <v/>
      </c>
      <c r="BK22" s="1932">
        <f>SUM(BI22,BG22,BD22,BA22,AX22,AS22)</f>
        <v/>
      </c>
      <c r="BL22" s="1933">
        <f>SUM(BG22,BD22,BA22,AX22)</f>
        <v/>
      </c>
      <c r="BM22" s="1051">
        <f>BL22/BK22</f>
        <v/>
      </c>
      <c r="CC22" s="2193" t="n">
        <v>13000</v>
      </c>
      <c r="CD22" s="2193" t="n"/>
      <c r="CE22" s="2193" t="n"/>
      <c r="CF22" s="2193">
        <f>CC22</f>
        <v/>
      </c>
      <c r="CG22" s="2193" t="n"/>
      <c r="CH22" s="2193" t="n"/>
      <c r="CI22" s="2193">
        <f>CC22+CF22</f>
        <v/>
      </c>
      <c r="CJ22" s="2193" t="n"/>
      <c r="CK22" s="2193" t="n"/>
      <c r="CL22" s="2193">
        <f>CI22</f>
        <v/>
      </c>
      <c r="CM22" s="1051">
        <f>IF(CC22&lt;=BQ$6,BP$6,IF(CC22&lt;=BQ$7,BP$7,IF(CC22&lt;=BQ$8,BP$8,IF(CC22&lt;=BQ$9,BP$9,IF(CC22&lt;=BQ$14,BP$14,IF(CC22&lt;=BQ$15,BP$15,IF(CC22&lt;=BQ$16,BP$16,0.05)))))))</f>
        <v/>
      </c>
      <c r="CN22" s="2193">
        <f>CM22*CC22</f>
        <v/>
      </c>
      <c r="CO22" s="1051" t="n"/>
      <c r="CP22" s="1051">
        <f>IF(CF22&lt;=BT$6,BS$6,IF(CF22&lt;=BT$7,BS$7,IF(CF22&lt;=BT$8,BS$8,IF(CF22&lt;=BT$9,BS$9,IF(CF22&lt;=BT$14,BS$14,IF(CF22&lt;=BT$15,BS$15,IF(CF22&lt;=BT$16,BS$16,0.05)))))))</f>
        <v/>
      </c>
      <c r="CQ22" s="2193">
        <f>CP22*CF22</f>
        <v/>
      </c>
      <c r="CR22" s="1051" t="n"/>
      <c r="CS22" s="1051">
        <f>IF(CI22&lt;=BW$6,BV$6,IF(CI22&lt;=BW$7,BV$7,IF(CI22&lt;=BW$8,BV$8,IF(CI22&lt;=BW$9,BV$9,IF(CI22&lt;=BW$14,BV$14,IF(CI22&lt;=BW$15,BV$15,IF(CI22&lt;=BW$16,BV$16,0.05)))))))</f>
        <v/>
      </c>
      <c r="CT22" s="2193">
        <f>CS22*SUM(CQ22,CN22,CI22)</f>
        <v/>
      </c>
      <c r="CU22" s="1051" t="n"/>
      <c r="CV22" s="2194">
        <f>IF(CL22&lt;=BZ$6,BY$6,IF(CL22&lt;=BZ$7,BY$7,IF(CL22&lt;=BZ$8,BY$8,IF(CL22&lt;=BZ$9,BY$9,IF(CL22&lt;=BZ$14,BY$14,IF(CL22&lt;=BZ$15,BY$15,IF(CL22&lt;=BZ$16,BY$16,0.05)))))))</f>
        <v/>
      </c>
      <c r="CW22" s="2193">
        <f>CV22*CL22</f>
        <v/>
      </c>
      <c r="CY22" s="1932">
        <f>0.07*SUM(CI22,CN22,CQ22,CT22,CW22)</f>
        <v/>
      </c>
      <c r="DA22" s="1932">
        <f>SUM(CY22,CW22,CT22,CQ22,CN22,CI22)</f>
        <v/>
      </c>
      <c r="DB22" s="1933">
        <f>SUM(CW22,CT22,CQ22,CN22)</f>
        <v/>
      </c>
      <c r="DC22" s="1051">
        <f>DB22/DA22</f>
        <v/>
      </c>
    </row>
    <row r="23" customFormat="1" s="585">
      <c r="A23" s="647" t="inlineStr">
        <is>
          <t>Levelrock 2500 (SSA)</t>
        </is>
      </c>
      <c r="B23" s="2207">
        <f>(F23/J23)*(1+G18)</f>
        <v/>
      </c>
      <c r="C23" s="2179" t="inlineStr">
        <is>
          <t>bags w/ waste</t>
        </is>
      </c>
      <c r="D23" s="2208" t="n">
        <v>14.08</v>
      </c>
      <c r="E23" s="1962">
        <f>B23*D23</f>
        <v/>
      </c>
      <c r="F23" s="2209">
        <f>G9</f>
        <v/>
      </c>
      <c r="G23" s="996" t="inlineStr">
        <is>
          <t>SF - Soft Surfaces</t>
        </is>
      </c>
      <c r="H23" s="2210">
        <f>G10</f>
        <v/>
      </c>
      <c r="I23" s="1147">
        <f>H23*8</f>
        <v/>
      </c>
      <c r="J23" s="1162">
        <f>IF(G11=P52,R52,IF(G11=P54,R54))</f>
        <v/>
      </c>
      <c r="K23" s="590" t="n">
        <v>40</v>
      </c>
      <c r="L23" s="585" t="n">
        <v>34</v>
      </c>
      <c r="O23" s="1393">
        <f>SUM(P23:R23)</f>
        <v/>
      </c>
      <c r="P23" s="1394" t="n"/>
      <c r="Q23" s="1395" t="n"/>
      <c r="R23" s="1396" t="n"/>
      <c r="S23" s="1337">
        <f>((P23+Q23+R23)/F22)*H33</f>
        <v/>
      </c>
      <c r="T23" s="997" t="n"/>
      <c r="AM23" s="2193" t="n">
        <v>14000</v>
      </c>
      <c r="AN23" s="2193" t="n"/>
      <c r="AO23" s="2193" t="n"/>
      <c r="AP23" s="2193">
        <f>AM23</f>
        <v/>
      </c>
      <c r="AQ23" s="2193" t="n"/>
      <c r="AR23" s="2193" t="n"/>
      <c r="AS23" s="2193">
        <f>AM23+AP23</f>
        <v/>
      </c>
      <c r="AT23" s="2193" t="n"/>
      <c r="AU23" s="2193" t="n"/>
      <c r="AV23" s="2193">
        <f>AS23</f>
        <v/>
      </c>
      <c r="AW23" s="1051">
        <f>IF(AM23&lt;=#REF!,#REF!,IF(AM23&lt;=#REF!,#REF!,IF(AM23&lt;=#REF!,#REF!,IF(AM23&lt;=#REF!,#REF!,IF(AM23&lt;=#REF!,#REF!,IF(AM23&lt;=#REF!,#REF!,IF(AM23&lt;=#REF!,#REF!,0.05)))))))</f>
        <v/>
      </c>
      <c r="AX23" s="2193">
        <f>AW23*AM23</f>
        <v/>
      </c>
      <c r="AY23" s="1051" t="n"/>
      <c r="AZ23" s="1051">
        <f>IF(AP23&lt;=#REF!,#REF!,IF(AP23&lt;=#REF!,#REF!,IF(AP23&lt;=#REF!,#REF!,IF(AP23&lt;=#REF!,#REF!,IF(AP23&lt;=#REF!,#REF!,IF(AP23&lt;=#REF!,#REF!,IF(AP23&lt;=#REF!,#REF!,0.05)))))))</f>
        <v/>
      </c>
      <c r="BA23" s="2193">
        <f>AZ23*AP23</f>
        <v/>
      </c>
      <c r="BB23" s="1051" t="n"/>
      <c r="BC23" s="1051">
        <f>IF(AS23&lt;=#REF!,#REF!,IF(AS23&lt;=#REF!,#REF!,IF(AS23&lt;=#REF!,#REF!,IF(AS23&lt;=#REF!,#REF!,IF(AS23&lt;=#REF!,#REF!,IF(AS23&lt;=#REF!,#REF!,IF(AS23&lt;=#REF!,#REF!,0.05)))))))</f>
        <v/>
      </c>
      <c r="BD23" s="2193">
        <f>BC23*SUM(BA23,AX23,AS23)</f>
        <v/>
      </c>
      <c r="BE23" s="1051" t="n"/>
      <c r="BF23" s="2194">
        <f>IF(AV23&lt;=#REF!,#REF!,IF(AV23&lt;=#REF!,#REF!,IF(AV23&lt;=#REF!,#REF!,IF(AV23&lt;=#REF!,#REF!,IF(AV23&lt;=#REF!,#REF!,IF(AV23&lt;=#REF!,#REF!,IF(AV23&lt;=#REF!,#REF!,0.05)))))))</f>
        <v/>
      </c>
      <c r="BG23" s="2193">
        <f>BF23*AV23</f>
        <v/>
      </c>
      <c r="BI23" s="1932">
        <f>0.07*SUM(AS23,AX23,BA23,BD23,BG23)</f>
        <v/>
      </c>
      <c r="BK23" s="1932">
        <f>SUM(BI23,BG23,BD23,BA23,AX23,AS23)</f>
        <v/>
      </c>
      <c r="BL23" s="1933">
        <f>SUM(BG23,BD23,BA23,AX23)</f>
        <v/>
      </c>
      <c r="BM23" s="1051">
        <f>BL23/BK23</f>
        <v/>
      </c>
      <c r="CC23" s="2193" t="n">
        <v>14000</v>
      </c>
      <c r="CD23" s="2193" t="n"/>
      <c r="CE23" s="2193" t="n"/>
      <c r="CF23" s="2193">
        <f>CC23</f>
        <v/>
      </c>
      <c r="CG23" s="2193" t="n"/>
      <c r="CH23" s="2193" t="n"/>
      <c r="CI23" s="2193">
        <f>CC23+CF23</f>
        <v/>
      </c>
      <c r="CJ23" s="2193" t="n"/>
      <c r="CK23" s="2193" t="n"/>
      <c r="CL23" s="2193">
        <f>CI23</f>
        <v/>
      </c>
      <c r="CM23" s="1051">
        <f>IF(CC23&lt;=BQ$6,BP$6,IF(CC23&lt;=BQ$7,BP$7,IF(CC23&lt;=BQ$8,BP$8,IF(CC23&lt;=BQ$9,BP$9,IF(CC23&lt;=BQ$14,BP$14,IF(CC23&lt;=BQ$15,BP$15,IF(CC23&lt;=BQ$16,BP$16,0.05)))))))</f>
        <v/>
      </c>
      <c r="CN23" s="2193">
        <f>CM23*CC23</f>
        <v/>
      </c>
      <c r="CO23" s="1051" t="n"/>
      <c r="CP23" s="1051">
        <f>IF(CF23&lt;=BT$6,BS$6,IF(CF23&lt;=BT$7,BS$7,IF(CF23&lt;=BT$8,BS$8,IF(CF23&lt;=BT$9,BS$9,IF(CF23&lt;=BT$14,BS$14,IF(CF23&lt;=BT$15,BS$15,IF(CF23&lt;=BT$16,BS$16,0.05)))))))</f>
        <v/>
      </c>
      <c r="CQ23" s="2193">
        <f>CP23*CF23</f>
        <v/>
      </c>
      <c r="CR23" s="1051" t="n"/>
      <c r="CS23" s="1051">
        <f>IF(CI23&lt;=BW$6,BV$6,IF(CI23&lt;=BW$7,BV$7,IF(CI23&lt;=BW$8,BV$8,IF(CI23&lt;=BW$9,BV$9,IF(CI23&lt;=BW$14,BV$14,IF(CI23&lt;=BW$15,BV$15,IF(CI23&lt;=BW$16,BV$16,0.05)))))))</f>
        <v/>
      </c>
      <c r="CT23" s="2193">
        <f>CS23*SUM(CQ23,CN23,CI23)</f>
        <v/>
      </c>
      <c r="CU23" s="1051" t="n"/>
      <c r="CV23" s="2194">
        <f>IF(CL23&lt;=BZ$6,BY$6,IF(CL23&lt;=BZ$7,BY$7,IF(CL23&lt;=BZ$8,BY$8,IF(CL23&lt;=BZ$9,BY$9,IF(CL23&lt;=BZ$14,BY$14,IF(CL23&lt;=BZ$15,BY$15,IF(CL23&lt;=BZ$16,BY$16,0.05)))))))</f>
        <v/>
      </c>
      <c r="CW23" s="2193">
        <f>CV23*CL23</f>
        <v/>
      </c>
      <c r="CY23" s="1932">
        <f>0.07*SUM(CI23,CN23,CQ23,CT23,CW23)</f>
        <v/>
      </c>
      <c r="DA23" s="1932">
        <f>SUM(CY23,CW23,CT23,CQ23,CN23,CI23)</f>
        <v/>
      </c>
      <c r="DB23" s="1933">
        <f>SUM(CW23,CT23,CQ23,CN23)</f>
        <v/>
      </c>
      <c r="DC23" s="1051">
        <f>DB23/DA23</f>
        <v/>
      </c>
    </row>
    <row r="24" customFormat="1" s="585">
      <c r="A24" s="647" t="inlineStr">
        <is>
          <t>Levelrock 2500 (HSA)</t>
        </is>
      </c>
      <c r="B24" s="2211">
        <f>(F24/J24)*(1+G18)</f>
        <v/>
      </c>
      <c r="C24" s="2212">
        <f>C23</f>
        <v/>
      </c>
      <c r="D24" s="2212">
        <f>D23</f>
        <v/>
      </c>
      <c r="E24" s="1962">
        <f>B24*D24</f>
        <v/>
      </c>
      <c r="F24" s="2213">
        <f>I9</f>
        <v/>
      </c>
      <c r="G24" s="999" t="inlineStr">
        <is>
          <t>SF - Hard Surfaces</t>
        </is>
      </c>
      <c r="H24" s="2214">
        <f>I10</f>
        <v/>
      </c>
      <c r="I24" s="1148">
        <f>H24*8</f>
        <v/>
      </c>
      <c r="J24" s="1163">
        <f>IF(I11=P52,S52,IF(I11=P54,S54))</f>
        <v/>
      </c>
      <c r="K24" s="590" t="n">
        <v>42</v>
      </c>
      <c r="L24" s="585" t="n">
        <v>36</v>
      </c>
      <c r="O24" s="1393">
        <f>SUM(P24:R24)</f>
        <v/>
      </c>
      <c r="P24" s="1394" t="n"/>
      <c r="Q24" s="1395" t="n"/>
      <c r="R24" s="1396" t="n"/>
      <c r="S24" s="1337">
        <f>((P24+Q24+R24)/F22)*H33</f>
        <v/>
      </c>
      <c r="T24" s="970" t="n"/>
      <c r="AM24" s="2193" t="n">
        <v>15000</v>
      </c>
      <c r="AN24" s="2193" t="n"/>
      <c r="AO24" s="2193" t="n"/>
      <c r="AP24" s="2193">
        <f>AM24</f>
        <v/>
      </c>
      <c r="AQ24" s="2193" t="n"/>
      <c r="AR24" s="2193" t="n"/>
      <c r="AS24" s="2193">
        <f>AM24+AP24</f>
        <v/>
      </c>
      <c r="AT24" s="2193" t="n"/>
      <c r="AU24" s="2193" t="n"/>
      <c r="AV24" s="2193">
        <f>AS24</f>
        <v/>
      </c>
      <c r="AW24" s="1051">
        <f>IF(AM24&lt;=#REF!,#REF!,IF(AM24&lt;=#REF!,#REF!,IF(AM24&lt;=#REF!,#REF!,IF(AM24&lt;=#REF!,#REF!,IF(AM24&lt;=#REF!,#REF!,IF(AM24&lt;=#REF!,#REF!,IF(AM24&lt;=#REF!,#REF!,0.05)))))))</f>
        <v/>
      </c>
      <c r="AX24" s="2193">
        <f>AW24*AM24</f>
        <v/>
      </c>
      <c r="AY24" s="1051" t="n"/>
      <c r="AZ24" s="1051">
        <f>IF(AP24&lt;=#REF!,#REF!,IF(AP24&lt;=#REF!,#REF!,IF(AP24&lt;=#REF!,#REF!,IF(AP24&lt;=#REF!,#REF!,IF(AP24&lt;=#REF!,#REF!,IF(AP24&lt;=#REF!,#REF!,IF(AP24&lt;=#REF!,#REF!,0.05)))))))</f>
        <v/>
      </c>
      <c r="BA24" s="2193">
        <f>AZ24*AP24</f>
        <v/>
      </c>
      <c r="BB24" s="1051" t="n"/>
      <c r="BC24" s="1051">
        <f>IF(AS24&lt;=#REF!,#REF!,IF(AS24&lt;=#REF!,#REF!,IF(AS24&lt;=#REF!,#REF!,IF(AS24&lt;=#REF!,#REF!,IF(AS24&lt;=#REF!,#REF!,IF(AS24&lt;=#REF!,#REF!,IF(AS24&lt;=#REF!,#REF!,0.05)))))))</f>
        <v/>
      </c>
      <c r="BD24" s="2193">
        <f>BC24*SUM(BA24,AX24,AS24)</f>
        <v/>
      </c>
      <c r="BE24" s="1051" t="n"/>
      <c r="BF24" s="2194">
        <f>IF(AV24&lt;=#REF!,#REF!,IF(AV24&lt;=#REF!,#REF!,IF(AV24&lt;=#REF!,#REF!,IF(AV24&lt;=#REF!,#REF!,IF(AV24&lt;=#REF!,#REF!,IF(AV24&lt;=#REF!,#REF!,IF(AV24&lt;=#REF!,#REF!,0.05)))))))</f>
        <v/>
      </c>
      <c r="BG24" s="2193">
        <f>BF24*AV24</f>
        <v/>
      </c>
      <c r="BI24" s="1932">
        <f>0.07*SUM(AS24,AX24,BA24,BD24,BG24)</f>
        <v/>
      </c>
      <c r="BK24" s="1932">
        <f>SUM(BI24,BG24,BD24,BA24,AX24,AS24)</f>
        <v/>
      </c>
      <c r="BL24" s="1933">
        <f>SUM(BG24,BD24,BA24,AX24)</f>
        <v/>
      </c>
      <c r="BM24" s="1051">
        <f>BL24/BK24</f>
        <v/>
      </c>
      <c r="CC24" s="2193" t="n">
        <v>15000</v>
      </c>
      <c r="CD24" s="2193" t="n"/>
      <c r="CE24" s="2193" t="n"/>
      <c r="CF24" s="2193">
        <f>CC24</f>
        <v/>
      </c>
      <c r="CG24" s="2193" t="n"/>
      <c r="CH24" s="2193" t="n"/>
      <c r="CI24" s="2193">
        <f>CC24+CF24</f>
        <v/>
      </c>
      <c r="CJ24" s="2193" t="n"/>
      <c r="CK24" s="2193" t="n"/>
      <c r="CL24" s="2193">
        <f>CI24</f>
        <v/>
      </c>
      <c r="CM24" s="1051">
        <f>IF(CC24&lt;=BQ$6,BP$6,IF(CC24&lt;=BQ$7,BP$7,IF(CC24&lt;=BQ$8,BP$8,IF(CC24&lt;=BQ$9,BP$9,IF(CC24&lt;=BQ$14,BP$14,IF(CC24&lt;=BQ$15,BP$15,IF(CC24&lt;=BQ$16,BP$16,0.05)))))))</f>
        <v/>
      </c>
      <c r="CN24" s="2193">
        <f>CM24*CC24</f>
        <v/>
      </c>
      <c r="CO24" s="1051" t="n"/>
      <c r="CP24" s="1051">
        <f>IF(CF24&lt;=BT$6,BS$6,IF(CF24&lt;=BT$7,BS$7,IF(CF24&lt;=BT$8,BS$8,IF(CF24&lt;=BT$9,BS$9,IF(CF24&lt;=BT$14,BS$14,IF(CF24&lt;=BT$15,BS$15,IF(CF24&lt;=BT$16,BS$16,0.05)))))))</f>
        <v/>
      </c>
      <c r="CQ24" s="2193">
        <f>CP24*CF24</f>
        <v/>
      </c>
      <c r="CR24" s="1051" t="n"/>
      <c r="CS24" s="1051">
        <f>IF(CI24&lt;=BW$6,BV$6,IF(CI24&lt;=BW$7,BV$7,IF(CI24&lt;=BW$8,BV$8,IF(CI24&lt;=BW$9,BV$9,IF(CI24&lt;=BW$14,BV$14,IF(CI24&lt;=BW$15,BV$15,IF(CI24&lt;=BW$16,BV$16,0.05)))))))</f>
        <v/>
      </c>
      <c r="CT24" s="2193">
        <f>CS24*SUM(CQ24,CN24,CI24)</f>
        <v/>
      </c>
      <c r="CU24" s="1051" t="n"/>
      <c r="CV24" s="2194">
        <f>IF(CL24&lt;=BZ$6,BY$6,IF(CL24&lt;=BZ$7,BY$7,IF(CL24&lt;=BZ$8,BY$8,IF(CL24&lt;=BZ$9,BY$9,IF(CL24&lt;=BZ$14,BY$14,IF(CL24&lt;=BZ$15,BY$15,IF(CL24&lt;=BZ$16,BY$16,0.05)))))))</f>
        <v/>
      </c>
      <c r="CW24" s="2193">
        <f>CV24*CL24</f>
        <v/>
      </c>
      <c r="CY24" s="1932">
        <f>0.07*SUM(CI24,CN24,CQ24,CT24,CW24)</f>
        <v/>
      </c>
      <c r="DA24" s="1932">
        <f>SUM(CY24,CW24,CT24,CQ24,CN24,CI24)</f>
        <v/>
      </c>
      <c r="DB24" s="1933">
        <f>SUM(CW24,CT24,CQ24,CN24)</f>
        <v/>
      </c>
      <c r="DC24" s="1051">
        <f>DB24/DA24</f>
        <v/>
      </c>
    </row>
    <row r="25" customFormat="1" s="585">
      <c r="A25" s="647" t="inlineStr">
        <is>
          <t>Levelrock 2500 (Corr)</t>
        </is>
      </c>
      <c r="B25" s="2215">
        <f>(F25/J25)*(1+G18)</f>
        <v/>
      </c>
      <c r="C25" s="2216">
        <f>C23</f>
        <v/>
      </c>
      <c r="D25" s="2216">
        <f>D23</f>
        <v/>
      </c>
      <c r="E25" s="1962">
        <f>B25*D25</f>
        <v/>
      </c>
      <c r="F25" s="2217">
        <f>K9</f>
        <v/>
      </c>
      <c r="G25" s="1001" t="inlineStr">
        <is>
          <t>SF - Corridors</t>
        </is>
      </c>
      <c r="H25" s="2218">
        <f>K10</f>
        <v/>
      </c>
      <c r="I25" s="1149">
        <f>H25*8</f>
        <v/>
      </c>
      <c r="J25" s="1164">
        <f>IF(K11=P52,T52,IF(K11=P54,T54))</f>
        <v/>
      </c>
      <c r="K25" s="1142" t="n">
        <v>40</v>
      </c>
      <c r="L25" s="784" t="n">
        <v>34</v>
      </c>
      <c r="O25" s="1393">
        <f>SUM(P25:R25)</f>
        <v/>
      </c>
      <c r="P25" s="1394" t="n"/>
      <c r="Q25" s="1395" t="n"/>
      <c r="R25" s="1396" t="n"/>
      <c r="S25" s="1337">
        <f>((P25+Q25+R25)/F22)*H33</f>
        <v/>
      </c>
      <c r="T25" s="970" t="n"/>
      <c r="AM25" s="2193" t="n">
        <v>16000</v>
      </c>
      <c r="AN25" s="2193" t="n"/>
      <c r="AO25" s="2193" t="n"/>
      <c r="AP25" s="2193">
        <f>AM25</f>
        <v/>
      </c>
      <c r="AQ25" s="2193" t="n"/>
      <c r="AR25" s="2193" t="n"/>
      <c r="AS25" s="2193">
        <f>AM25+AP25</f>
        <v/>
      </c>
      <c r="AT25" s="2193" t="n"/>
      <c r="AU25" s="2193" t="n"/>
      <c r="AV25" s="2193">
        <f>AS25</f>
        <v/>
      </c>
      <c r="AW25" s="1051">
        <f>IF(AM25&lt;=#REF!,#REF!,IF(AM25&lt;=#REF!,#REF!,IF(AM25&lt;=#REF!,#REF!,IF(AM25&lt;=#REF!,#REF!,IF(AM25&lt;=#REF!,#REF!,IF(AM25&lt;=#REF!,#REF!,IF(AM25&lt;=#REF!,#REF!,0.05)))))))</f>
        <v/>
      </c>
      <c r="AX25" s="2193">
        <f>AW25*AM25</f>
        <v/>
      </c>
      <c r="AY25" s="1051" t="n"/>
      <c r="AZ25" s="1051">
        <f>IF(AP25&lt;=#REF!,#REF!,IF(AP25&lt;=#REF!,#REF!,IF(AP25&lt;=#REF!,#REF!,IF(AP25&lt;=#REF!,#REF!,IF(AP25&lt;=#REF!,#REF!,IF(AP25&lt;=#REF!,#REF!,IF(AP25&lt;=#REF!,#REF!,0.05)))))))</f>
        <v/>
      </c>
      <c r="BA25" s="2193">
        <f>AZ25*AP25</f>
        <v/>
      </c>
      <c r="BB25" s="1051" t="n"/>
      <c r="BC25" s="1051">
        <f>IF(AS25&lt;=#REF!,#REF!,IF(AS25&lt;=#REF!,#REF!,IF(AS25&lt;=#REF!,#REF!,IF(AS25&lt;=#REF!,#REF!,IF(AS25&lt;=#REF!,#REF!,IF(AS25&lt;=#REF!,#REF!,IF(AS25&lt;=#REF!,#REF!,0.05)))))))</f>
        <v/>
      </c>
      <c r="BD25" s="2193">
        <f>BC25*SUM(BA25,AX25,AS25)</f>
        <v/>
      </c>
      <c r="BE25" s="1051" t="n"/>
      <c r="BF25" s="2194">
        <f>IF(AV25&lt;=#REF!,#REF!,IF(AV25&lt;=#REF!,#REF!,IF(AV25&lt;=#REF!,#REF!,IF(AV25&lt;=#REF!,#REF!,IF(AV25&lt;=#REF!,#REF!,IF(AV25&lt;=#REF!,#REF!,IF(AV25&lt;=#REF!,#REF!,0.05)))))))</f>
        <v/>
      </c>
      <c r="BG25" s="2193">
        <f>BF25*AV25</f>
        <v/>
      </c>
      <c r="BI25" s="1932">
        <f>0.07*SUM(AS25,AX25,BA25,BD25,BG25)</f>
        <v/>
      </c>
      <c r="BK25" s="1932">
        <f>SUM(BI25,BG25,BD25,BA25,AX25,AS25)</f>
        <v/>
      </c>
      <c r="BL25" s="1933">
        <f>SUM(BG25,BD25,BA25,AX25)</f>
        <v/>
      </c>
      <c r="BM25" s="1051">
        <f>BL25/BK25</f>
        <v/>
      </c>
      <c r="CC25" s="2193" t="n">
        <v>16000</v>
      </c>
      <c r="CD25" s="2193" t="n"/>
      <c r="CE25" s="2193" t="n"/>
      <c r="CF25" s="2193">
        <f>CC25</f>
        <v/>
      </c>
      <c r="CG25" s="2193" t="n"/>
      <c r="CH25" s="2193" t="n"/>
      <c r="CI25" s="2193">
        <f>CC25+CF25</f>
        <v/>
      </c>
      <c r="CJ25" s="2193" t="n"/>
      <c r="CK25" s="2193" t="n"/>
      <c r="CL25" s="2193">
        <f>CI25</f>
        <v/>
      </c>
      <c r="CM25" s="1051">
        <f>IF(CC25&lt;=BQ$6,BP$6,IF(CC25&lt;=BQ$7,BP$7,IF(CC25&lt;=BQ$8,BP$8,IF(CC25&lt;=BQ$9,BP$9,IF(CC25&lt;=BQ$14,BP$14,IF(CC25&lt;=BQ$15,BP$15,IF(CC25&lt;=BQ$16,BP$16,0.05)))))))</f>
        <v/>
      </c>
      <c r="CN25" s="2193">
        <f>CM25*CC25</f>
        <v/>
      </c>
      <c r="CO25" s="1051" t="n"/>
      <c r="CP25" s="1051">
        <f>IF(CF25&lt;=BT$6,BS$6,IF(CF25&lt;=BT$7,BS$7,IF(CF25&lt;=BT$8,BS$8,IF(CF25&lt;=BT$9,BS$9,IF(CF25&lt;=BT$14,BS$14,IF(CF25&lt;=BT$15,BS$15,IF(CF25&lt;=BT$16,BS$16,0.05)))))))</f>
        <v/>
      </c>
      <c r="CQ25" s="2193">
        <f>CP25*CF25</f>
        <v/>
      </c>
      <c r="CR25" s="1051" t="n"/>
      <c r="CS25" s="1051">
        <f>IF(CI25&lt;=BW$6,BV$6,IF(CI25&lt;=BW$7,BV$7,IF(CI25&lt;=BW$8,BV$8,IF(CI25&lt;=BW$9,BV$9,IF(CI25&lt;=BW$14,BV$14,IF(CI25&lt;=BW$15,BV$15,IF(CI25&lt;=BW$16,BV$16,0.05)))))))</f>
        <v/>
      </c>
      <c r="CT25" s="2193">
        <f>CS25*SUM(CQ25,CN25,CI25)</f>
        <v/>
      </c>
      <c r="CU25" s="1051" t="n"/>
      <c r="CV25" s="2194">
        <f>IF(CL25&lt;=BZ$6,BY$6,IF(CL25&lt;=BZ$7,BY$7,IF(CL25&lt;=BZ$8,BY$8,IF(CL25&lt;=BZ$9,BY$9,IF(CL25&lt;=BZ$14,BY$14,IF(CL25&lt;=BZ$15,BY$15,IF(CL25&lt;=BZ$16,BY$16,0.05)))))))</f>
        <v/>
      </c>
      <c r="CW25" s="2193">
        <f>CV25*CL25</f>
        <v/>
      </c>
      <c r="CY25" s="1932">
        <f>0.07*SUM(CI25,CN25,CQ25,CT25,CW25)</f>
        <v/>
      </c>
      <c r="DA25" s="1932">
        <f>SUM(CY25,CW25,CT25,CQ25,CN25,CI25)</f>
        <v/>
      </c>
      <c r="DB25" s="1933">
        <f>SUM(CW25,CT25,CQ25,CN25)</f>
        <v/>
      </c>
      <c r="DC25" s="1051">
        <f>DB25/DA25</f>
        <v/>
      </c>
    </row>
    <row r="26" customFormat="1" s="585">
      <c r="A26" s="641" t="inlineStr">
        <is>
          <t>MATERIAL - Extras</t>
        </is>
      </c>
      <c r="B26" s="1066" t="n"/>
      <c r="C26" s="1066" t="n"/>
      <c r="D26" s="1066" t="n"/>
      <c r="E26" s="1067" t="n"/>
      <c r="F26" s="600" t="n"/>
      <c r="G26" s="600" t="n"/>
      <c r="H26" s="600" t="n"/>
      <c r="I26" s="1934" t="n"/>
      <c r="J26" s="2219" t="n"/>
      <c r="K26" s="1141" t="inlineStr">
        <is>
          <t>NO Mat = 42</t>
        </is>
      </c>
      <c r="L26" s="1141" t="inlineStr">
        <is>
          <t>NO Mat = 36</t>
        </is>
      </c>
      <c r="O26" s="1393">
        <f>SUM(P26:R26)</f>
        <v/>
      </c>
      <c r="P26" s="1394" t="n"/>
      <c r="Q26" s="1395" t="n"/>
      <c r="R26" s="1396" t="n"/>
      <c r="S26" s="1337">
        <f>((P26+Q26+R26)/F22)*H33</f>
        <v/>
      </c>
      <c r="T26" s="970" t="n"/>
      <c r="AM26" s="2220" t="n">
        <v>17000</v>
      </c>
      <c r="AN26" s="2220" t="n"/>
      <c r="AO26" s="2220" t="n"/>
      <c r="AP26" s="2220">
        <f>AM26</f>
        <v/>
      </c>
      <c r="AQ26" s="2220" t="n"/>
      <c r="AR26" s="2220" t="n"/>
      <c r="AS26" s="2220">
        <f>AM26+AP26</f>
        <v/>
      </c>
      <c r="AT26" s="2220" t="n"/>
      <c r="AU26" s="2220" t="n"/>
      <c r="AV26" s="2193">
        <f>AS26</f>
        <v/>
      </c>
      <c r="AW26" s="1004">
        <f>IF(AM26&lt;=#REF!,#REF!,IF(AM26&lt;=#REF!,#REF!,IF(AM26&lt;=#REF!,#REF!,IF(AM26&lt;=#REF!,#REF!,IF(AM26&lt;=#REF!,#REF!,IF(AM26&lt;=#REF!,#REF!,IF(AM26&lt;=#REF!,#REF!,0.05)))))))</f>
        <v/>
      </c>
      <c r="AX26" s="2220">
        <f>AW26*AM26</f>
        <v/>
      </c>
      <c r="AY26" s="1004" t="n"/>
      <c r="AZ26" s="1004">
        <f>IF(AP26&lt;=#REF!,#REF!,IF(AP26&lt;=#REF!,#REF!,IF(AP26&lt;=#REF!,#REF!,IF(AP26&lt;=#REF!,#REF!,IF(AP26&lt;=#REF!,#REF!,IF(AP26&lt;=#REF!,#REF!,IF(AP26&lt;=#REF!,#REF!,0.05)))))))</f>
        <v/>
      </c>
      <c r="BA26" s="2220">
        <f>AZ26*AP26</f>
        <v/>
      </c>
      <c r="BB26" s="1004" t="n"/>
      <c r="BC26" s="1004">
        <f>IF(AS26&lt;=#REF!,#REF!,IF(AS26&lt;=#REF!,#REF!,IF(AS26&lt;=#REF!,#REF!,IF(AS26&lt;=#REF!,#REF!,IF(AS26&lt;=#REF!,#REF!,IF(AS26&lt;=#REF!,#REF!,IF(AS26&lt;=#REF!,#REF!,0.05)))))))</f>
        <v/>
      </c>
      <c r="BD26" s="2193">
        <f>BC26*SUM(BA26,AX26,AS26)</f>
        <v/>
      </c>
      <c r="BE26" s="1004" t="n"/>
      <c r="BF26" s="2221">
        <f>IF(AV26&lt;=#REF!,#REF!,IF(AV26&lt;=#REF!,#REF!,IF(AV26&lt;=#REF!,#REF!,IF(AV26&lt;=#REF!,#REF!,IF(AV26&lt;=#REF!,#REF!,IF(AV26&lt;=#REF!,#REF!,IF(AV26&lt;=#REF!,#REF!,0.05)))))))</f>
        <v/>
      </c>
      <c r="BG26" s="2220">
        <f>BF26*AV26</f>
        <v/>
      </c>
      <c r="BH26" s="667" t="n"/>
      <c r="BI26" s="1968">
        <f>0.07*SUM(AS26,AX26,BA26,BD26,BG26)</f>
        <v/>
      </c>
      <c r="BJ26" s="667" t="n"/>
      <c r="BK26" s="1968">
        <f>SUM(BI26,BG26,BD26,BA26,AX26,AS26)</f>
        <v/>
      </c>
      <c r="BL26" s="1969">
        <f>SUM(BG26,BD26,BA26,AX26)</f>
        <v/>
      </c>
      <c r="BM26" s="1004">
        <f>BL26/BK26</f>
        <v/>
      </c>
      <c r="CC26" s="2220" t="n">
        <v>17000</v>
      </c>
      <c r="CD26" s="2220" t="n"/>
      <c r="CE26" s="2220" t="n"/>
      <c r="CF26" s="2220">
        <f>CC26</f>
        <v/>
      </c>
      <c r="CG26" s="2220" t="n"/>
      <c r="CH26" s="2220" t="n"/>
      <c r="CI26" s="2220">
        <f>CC26+CF26</f>
        <v/>
      </c>
      <c r="CJ26" s="2220" t="n"/>
      <c r="CK26" s="2220" t="n"/>
      <c r="CL26" s="2193">
        <f>CI26</f>
        <v/>
      </c>
      <c r="CM26" s="1004">
        <f>IF(CC26&lt;=BQ$6,BP$6,IF(CC26&lt;=BQ$7,BP$7,IF(CC26&lt;=BQ$8,BP$8,IF(CC26&lt;=BQ$9,BP$9,IF(CC26&lt;=BQ$14,BP$14,IF(CC26&lt;=BQ$15,BP$15,IF(CC26&lt;=BQ$16,BP$16,0.05)))))))</f>
        <v/>
      </c>
      <c r="CN26" s="2220">
        <f>CM26*CC26</f>
        <v/>
      </c>
      <c r="CO26" s="1004" t="n"/>
      <c r="CP26" s="1004">
        <f>IF(CF26&lt;=BT$6,BS$6,IF(CF26&lt;=BT$7,BS$7,IF(CF26&lt;=BT$8,BS$8,IF(CF26&lt;=BT$9,BS$9,IF(CF26&lt;=BT$14,BS$14,IF(CF26&lt;=BT$15,BS$15,IF(CF26&lt;=BT$16,BS$16,0.05)))))))</f>
        <v/>
      </c>
      <c r="CQ26" s="2220">
        <f>CP26*CF26</f>
        <v/>
      </c>
      <c r="CR26" s="1004" t="n"/>
      <c r="CS26" s="1004">
        <f>IF(CI26&lt;=BW$6,BV$6,IF(CI26&lt;=BW$7,BV$7,IF(CI26&lt;=BW$8,BV$8,IF(CI26&lt;=BW$9,BV$9,IF(CI26&lt;=BW$14,BV$14,IF(CI26&lt;=BW$15,BV$15,IF(CI26&lt;=BW$16,BV$16,0.05)))))))</f>
        <v/>
      </c>
      <c r="CT26" s="2193">
        <f>CS26*SUM(CQ26,CN26,CI26)</f>
        <v/>
      </c>
      <c r="CU26" s="1004" t="n"/>
      <c r="CV26" s="2221">
        <f>IF(CL26&lt;=BZ$6,BY$6,IF(CL26&lt;=BZ$7,BY$7,IF(CL26&lt;=BZ$8,BY$8,IF(CL26&lt;=BZ$9,BY$9,IF(CL26&lt;=BZ$14,BY$14,IF(CL26&lt;=BZ$15,BY$15,IF(CL26&lt;=BZ$16,BY$16,0.05)))))))</f>
        <v/>
      </c>
      <c r="CW26" s="2220">
        <f>CV26*CL26</f>
        <v/>
      </c>
      <c r="CX26" s="667" t="n"/>
      <c r="CY26" s="1968">
        <f>0.07*SUM(CI26,CN26,CQ26,CT26,CW26)</f>
        <v/>
      </c>
      <c r="CZ26" s="667" t="n"/>
      <c r="DA26" s="1968">
        <f>SUM(CY26,CW26,CT26,CQ26,CN26,CI26)</f>
        <v/>
      </c>
      <c r="DB26" s="1969">
        <f>SUM(CW26,CT26,CQ26,CN26)</f>
        <v/>
      </c>
      <c r="DC26" s="1004">
        <f>DB26/DA26</f>
        <v/>
      </c>
    </row>
    <row r="27" ht="16.2" customFormat="1" customHeight="1" s="585" thickBot="1">
      <c r="A27" s="1522" t="inlineStr">
        <is>
          <t>USG Primer (53gal Drum)</t>
        </is>
      </c>
      <c r="B27" s="2096">
        <f>(F23+F25)/1200</f>
        <v/>
      </c>
      <c r="C27" s="1977" t="inlineStr">
        <is>
          <t>gallons</t>
        </is>
      </c>
      <c r="D27" s="1944">
        <f>891/53</f>
        <v/>
      </c>
      <c r="E27" s="1962">
        <f>B27*D27</f>
        <v/>
      </c>
      <c r="F27" s="1176" t="inlineStr">
        <is>
          <t>*Sealer @ Soft Surfc &amp; Corridors ONLY</t>
        </is>
      </c>
      <c r="G27" s="1521" t="inlineStr">
        <is>
          <t>($21.60 = $108 /5 gal -or- $16.81 = $891 /53 gal drum)-Aug2024</t>
        </is>
      </c>
      <c r="H27" s="780" t="n"/>
      <c r="I27" s="2222" t="n"/>
      <c r="N27" s="1292" t="n"/>
      <c r="O27" s="1398">
        <f>SUM(P27:R27)</f>
        <v/>
      </c>
      <c r="P27" s="1399" t="n"/>
      <c r="Q27" s="1399" t="n"/>
      <c r="R27" s="1399" t="n"/>
      <c r="S27" s="1338">
        <f>((P27+Q27+R27)/F22)*H33</f>
        <v/>
      </c>
      <c r="T27" s="1335" t="n"/>
      <c r="U27" s="1129" t="n"/>
      <c r="V27" s="1135" t="n"/>
      <c r="W27" s="1135" t="n"/>
      <c r="X27" s="784" t="n"/>
      <c r="AM27" s="2193" t="n">
        <v>18000</v>
      </c>
      <c r="AN27" s="2193" t="n"/>
      <c r="AO27" s="2193" t="n"/>
      <c r="AP27" s="2193">
        <f>AM27</f>
        <v/>
      </c>
      <c r="AQ27" s="2193" t="n"/>
      <c r="AR27" s="2193" t="n"/>
      <c r="AS27" s="2193">
        <f>AM27+AP27</f>
        <v/>
      </c>
      <c r="AT27" s="2193" t="n"/>
      <c r="AU27" s="2193" t="n"/>
      <c r="AV27" s="2193">
        <f>AS27</f>
        <v/>
      </c>
      <c r="AW27" s="1051">
        <f>IF(AM27&lt;=#REF!,#REF!,IF(AM27&lt;=#REF!,#REF!,IF(AM27&lt;=#REF!,#REF!,IF(AM27&lt;=#REF!,#REF!,IF(AM27&lt;=#REF!,#REF!,IF(AM27&lt;=#REF!,#REF!,IF(AM27&lt;=#REF!,#REF!,0.05)))))))</f>
        <v/>
      </c>
      <c r="AX27" s="2193">
        <f>AW27*AM27</f>
        <v/>
      </c>
      <c r="AY27" s="1051" t="n"/>
      <c r="AZ27" s="1051">
        <f>IF(AP27&lt;=#REF!,#REF!,IF(AP27&lt;=#REF!,#REF!,IF(AP27&lt;=#REF!,#REF!,IF(AP27&lt;=#REF!,#REF!,IF(AP27&lt;=#REF!,#REF!,IF(AP27&lt;=#REF!,#REF!,IF(AP27&lt;=#REF!,#REF!,0.05)))))))</f>
        <v/>
      </c>
      <c r="BA27" s="2193">
        <f>AZ27*AP27</f>
        <v/>
      </c>
      <c r="BB27" s="1051" t="n"/>
      <c r="BC27" s="1051">
        <f>IF(AS27&lt;=#REF!,#REF!,IF(AS27&lt;=#REF!,#REF!,IF(AS27&lt;=#REF!,#REF!,IF(AS27&lt;=#REF!,#REF!,IF(AS27&lt;=#REF!,#REF!,IF(AS27&lt;=#REF!,#REF!,IF(AS27&lt;=#REF!,#REF!,0.05)))))))</f>
        <v/>
      </c>
      <c r="BD27" s="2193">
        <f>BC27*SUM(BA27,AX27,AS27)</f>
        <v/>
      </c>
      <c r="BE27" s="1051" t="n"/>
      <c r="BF27" s="2194">
        <f>IF(AV27&lt;=#REF!,#REF!,IF(AV27&lt;=#REF!,#REF!,IF(AV27&lt;=#REF!,#REF!,IF(AV27&lt;=#REF!,#REF!,IF(AV27&lt;=#REF!,#REF!,IF(AV27&lt;=#REF!,#REF!,IF(AV27&lt;=#REF!,#REF!,0.05)))))))</f>
        <v/>
      </c>
      <c r="BG27" s="2193">
        <f>BF27*AV27</f>
        <v/>
      </c>
      <c r="BI27" s="1932">
        <f>0.07*SUM(AS27,AX27,BA27,BD27,BG27)</f>
        <v/>
      </c>
      <c r="BK27" s="1932">
        <f>SUM(BI27,BG27,BD27,BA27,AX27,AS27)</f>
        <v/>
      </c>
      <c r="BL27" s="1933">
        <f>SUM(BG27,BD27,BA27,AX27)</f>
        <v/>
      </c>
      <c r="BM27" s="1051">
        <f>BL27/BK27</f>
        <v/>
      </c>
      <c r="CC27" s="2193" t="n">
        <v>18000</v>
      </c>
      <c r="CD27" s="2193" t="n"/>
      <c r="CE27" s="2193" t="n"/>
      <c r="CF27" s="2193">
        <f>CC27</f>
        <v/>
      </c>
      <c r="CG27" s="2193" t="n"/>
      <c r="CH27" s="2193" t="n"/>
      <c r="CI27" s="2193">
        <f>CC27+CF27</f>
        <v/>
      </c>
      <c r="CJ27" s="2193" t="n"/>
      <c r="CK27" s="2193" t="n"/>
      <c r="CL27" s="2193">
        <f>CI27</f>
        <v/>
      </c>
      <c r="CM27" s="1051">
        <f>IF(CC27&lt;=BQ$6,BP$6,IF(CC27&lt;=BQ$7,BP$7,IF(CC27&lt;=BQ$8,BP$8,IF(CC27&lt;=BQ$9,BP$9,IF(CC27&lt;=BQ$14,BP$14,IF(CC27&lt;=BQ$15,BP$15,IF(CC27&lt;=BQ$16,BP$16,0.05)))))))</f>
        <v/>
      </c>
      <c r="CN27" s="2193">
        <f>CM27*CC27</f>
        <v/>
      </c>
      <c r="CO27" s="1051" t="n"/>
      <c r="CP27" s="1051">
        <f>IF(CF27&lt;=BT$6,BS$6,IF(CF27&lt;=BT$7,BS$7,IF(CF27&lt;=BT$8,BS$8,IF(CF27&lt;=BT$9,BS$9,IF(CF27&lt;=BT$14,BS$14,IF(CF27&lt;=BT$15,BS$15,IF(CF27&lt;=BT$16,BS$16,0.05)))))))</f>
        <v/>
      </c>
      <c r="CQ27" s="2193">
        <f>CP27*CF27</f>
        <v/>
      </c>
      <c r="CR27" s="1051" t="n"/>
      <c r="CS27" s="1051">
        <f>IF(CI27&lt;=BW$6,BV$6,IF(CI27&lt;=BW$7,BV$7,IF(CI27&lt;=BW$8,BV$8,IF(CI27&lt;=BW$9,BV$9,IF(CI27&lt;=BW$14,BV$14,IF(CI27&lt;=BW$15,BV$15,IF(CI27&lt;=BW$16,BV$16,0.05)))))))</f>
        <v/>
      </c>
      <c r="CT27" s="2193">
        <f>CS27*SUM(CQ27,CN27,CI27)</f>
        <v/>
      </c>
      <c r="CU27" s="1051" t="n"/>
      <c r="CV27" s="2194">
        <f>IF(CL27&lt;=BZ$6,BY$6,IF(CL27&lt;=BZ$7,BY$7,IF(CL27&lt;=BZ$8,BY$8,IF(CL27&lt;=BZ$9,BY$9,IF(CL27&lt;=BZ$14,BY$14,IF(CL27&lt;=BZ$15,BY$15,IF(CL27&lt;=BZ$16,BY$16,0.05)))))))</f>
        <v/>
      </c>
      <c r="CW27" s="2193">
        <f>CV27*CL27</f>
        <v/>
      </c>
      <c r="CY27" s="1932">
        <f>0.07*SUM(CI27,CN27,CQ27,CT27,CW27)</f>
        <v/>
      </c>
      <c r="DA27" s="1932">
        <f>SUM(CY27,CW27,CT27,CQ27,CN27,CI27)</f>
        <v/>
      </c>
      <c r="DB27" s="1933">
        <f>SUM(CW27,CT27,CQ27,CN27)</f>
        <v/>
      </c>
      <c r="DC27" s="1051">
        <f>DB27/DA27</f>
        <v/>
      </c>
    </row>
    <row r="28" ht="16.2" customFormat="1" customHeight="1" s="585" thickBot="1">
      <c r="A28" s="1522" t="inlineStr">
        <is>
          <t>ISO Strip 3" adhsv (roll)</t>
        </is>
      </c>
      <c r="B28" s="2096">
        <f>IF(B14="Yes",((F23+F24+F25)/(1200*1.8)),(F24/(1200*1.8)))</f>
        <v/>
      </c>
      <c r="C28" s="1977" t="inlineStr">
        <is>
          <t>rolls</t>
        </is>
      </c>
      <c r="D28" s="1944" t="n">
        <v>48.75</v>
      </c>
      <c r="E28" s="1962">
        <f>B28*D28</f>
        <v/>
      </c>
      <c r="F28" s="600" t="n"/>
      <c r="G28" s="1521" t="inlineStr">
        <is>
          <t>(16 rolls /bag: $48.75 = $780 /16) = 450 LF /roll</t>
        </is>
      </c>
      <c r="H28" s="600" t="n"/>
      <c r="I28" s="1934" t="n"/>
      <c r="N28" s="1283">
        <f>SUM(P28:R28)</f>
        <v/>
      </c>
      <c r="O28" s="1403">
        <f>SUM(O3:O27)</f>
        <v/>
      </c>
      <c r="P28" s="1349">
        <f>SUM(P3:P27)</f>
        <v/>
      </c>
      <c r="Q28" s="1350">
        <f>SUM(Q3:Q27)</f>
        <v/>
      </c>
      <c r="R28" s="1351">
        <f>SUM(R3:R27)</f>
        <v/>
      </c>
      <c r="S28" s="1336">
        <f>SUM(S3:S27)</f>
        <v/>
      </c>
      <c r="T28" s="1332">
        <f>SUM(T3:T27)</f>
        <v/>
      </c>
      <c r="U28" s="1333">
        <f>SUM(U3:U27)</f>
        <v/>
      </c>
      <c r="V28" s="1333">
        <f>SUM(V3:V27)</f>
        <v/>
      </c>
      <c r="W28" s="1333">
        <f>SUM(W3:W27)</f>
        <v/>
      </c>
      <c r="X28" s="1333">
        <f>SUM(X3:X27)</f>
        <v/>
      </c>
      <c r="AM28" s="2193" t="n">
        <v>19000</v>
      </c>
      <c r="AN28" s="2193" t="n"/>
      <c r="AO28" s="2193" t="n"/>
      <c r="AP28" s="2193">
        <f>AM28</f>
        <v/>
      </c>
      <c r="AQ28" s="2193" t="n"/>
      <c r="AR28" s="2193" t="n"/>
      <c r="AS28" s="2193">
        <f>AM28+AP28</f>
        <v/>
      </c>
      <c r="AT28" s="2193" t="n"/>
      <c r="AU28" s="2193" t="n"/>
      <c r="AV28" s="2193">
        <f>AS28</f>
        <v/>
      </c>
      <c r="AW28" s="1051">
        <f>IF(AM28&lt;=#REF!,#REF!,IF(AM28&lt;=#REF!,#REF!,IF(AM28&lt;=#REF!,#REF!,IF(AM28&lt;=#REF!,#REF!,IF(AM28&lt;=#REF!,#REF!,IF(AM28&lt;=#REF!,#REF!,IF(AM28&lt;=#REF!,#REF!,0.05)))))))</f>
        <v/>
      </c>
      <c r="AX28" s="2193">
        <f>AW28*AM28</f>
        <v/>
      </c>
      <c r="AY28" s="1051" t="n"/>
      <c r="AZ28" s="1051">
        <f>IF(AP28&lt;=#REF!,#REF!,IF(AP28&lt;=#REF!,#REF!,IF(AP28&lt;=#REF!,#REF!,IF(AP28&lt;=#REF!,#REF!,IF(AP28&lt;=#REF!,#REF!,IF(AP28&lt;=#REF!,#REF!,IF(AP28&lt;=#REF!,#REF!,0.05)))))))</f>
        <v/>
      </c>
      <c r="BA28" s="2193">
        <f>AZ28*AP28</f>
        <v/>
      </c>
      <c r="BB28" s="1051" t="n"/>
      <c r="BC28" s="1051">
        <f>IF(AS28&lt;=#REF!,#REF!,IF(AS28&lt;=#REF!,#REF!,IF(AS28&lt;=#REF!,#REF!,IF(AS28&lt;=#REF!,#REF!,IF(AS28&lt;=#REF!,#REF!,IF(AS28&lt;=#REF!,#REF!,IF(AS28&lt;=#REF!,#REF!,0.05)))))))</f>
        <v/>
      </c>
      <c r="BD28" s="2193">
        <f>BC28*SUM(BA28,AX28,AS28)</f>
        <v/>
      </c>
      <c r="BE28" s="1051" t="n"/>
      <c r="BF28" s="2194">
        <f>IF(AV28&lt;=#REF!,#REF!,IF(AV28&lt;=#REF!,#REF!,IF(AV28&lt;=#REF!,#REF!,IF(AV28&lt;=#REF!,#REF!,IF(AV28&lt;=#REF!,#REF!,IF(AV28&lt;=#REF!,#REF!,IF(AV28&lt;=#REF!,#REF!,0.05)))))))</f>
        <v/>
      </c>
      <c r="BG28" s="2193">
        <f>BF28*AV28</f>
        <v/>
      </c>
      <c r="BI28" s="1932">
        <f>0.07*SUM(AS28,AX28,BA28,BD28,BG28)</f>
        <v/>
      </c>
      <c r="BK28" s="1932">
        <f>SUM(BI28,BG28,BD28,BA28,AX28,AS28)</f>
        <v/>
      </c>
      <c r="BL28" s="1933">
        <f>SUM(BG28,BD28,BA28,AX28)</f>
        <v/>
      </c>
      <c r="BM28" s="1051">
        <f>BL28/BK28</f>
        <v/>
      </c>
      <c r="CC28" s="2193" t="n">
        <v>19000</v>
      </c>
      <c r="CD28" s="2193" t="n"/>
      <c r="CE28" s="2193" t="n"/>
      <c r="CF28" s="2193">
        <f>CC28</f>
        <v/>
      </c>
      <c r="CG28" s="2193" t="n"/>
      <c r="CH28" s="2193" t="n"/>
      <c r="CI28" s="2193">
        <f>CC28+CF28</f>
        <v/>
      </c>
      <c r="CJ28" s="2193" t="n"/>
      <c r="CK28" s="2193" t="n"/>
      <c r="CL28" s="2193">
        <f>CI28</f>
        <v/>
      </c>
      <c r="CM28" s="1051">
        <f>IF(CC28&lt;=BQ$6,BP$6,IF(CC28&lt;=BQ$7,BP$7,IF(CC28&lt;=BQ$8,BP$8,IF(CC28&lt;=BQ$9,BP$9,IF(CC28&lt;=BQ$14,BP$14,IF(CC28&lt;=BQ$15,BP$15,IF(CC28&lt;=BQ$16,BP$16,0.05)))))))</f>
        <v/>
      </c>
      <c r="CN28" s="2193">
        <f>CM28*CC28</f>
        <v/>
      </c>
      <c r="CO28" s="1051" t="n"/>
      <c r="CP28" s="1051">
        <f>IF(CF28&lt;=BT$6,BS$6,IF(CF28&lt;=BT$7,BS$7,IF(CF28&lt;=BT$8,BS$8,IF(CF28&lt;=BT$9,BS$9,IF(CF28&lt;=BT$14,BS$14,IF(CF28&lt;=BT$15,BS$15,IF(CF28&lt;=BT$16,BS$16,0.05)))))))</f>
        <v/>
      </c>
      <c r="CQ28" s="2193">
        <f>CP28*CF28</f>
        <v/>
      </c>
      <c r="CR28" s="1051" t="n"/>
      <c r="CS28" s="1051">
        <f>IF(CI28&lt;=BW$6,BV$6,IF(CI28&lt;=BW$7,BV$7,IF(CI28&lt;=BW$8,BV$8,IF(CI28&lt;=BW$9,BV$9,IF(CI28&lt;=BW$14,BV$14,IF(CI28&lt;=BW$15,BV$15,IF(CI28&lt;=BW$16,BV$16,0.05)))))))</f>
        <v/>
      </c>
      <c r="CT28" s="2193">
        <f>CS28*SUM(CQ28,CN28,CI28)</f>
        <v/>
      </c>
      <c r="CU28" s="1051" t="n"/>
      <c r="CV28" s="2194">
        <f>IF(CL28&lt;=BZ$6,BY$6,IF(CL28&lt;=BZ$7,BY$7,IF(CL28&lt;=BZ$8,BY$8,IF(CL28&lt;=BZ$9,BY$9,IF(CL28&lt;=BZ$14,BY$14,IF(CL28&lt;=BZ$15,BY$15,IF(CL28&lt;=BZ$16,BY$16,0.05)))))))</f>
        <v/>
      </c>
      <c r="CW28" s="2193">
        <f>CV28*CL28</f>
        <v/>
      </c>
      <c r="CY28" s="1932">
        <f>0.07*SUM(CI28,CN28,CQ28,CT28,CW28)</f>
        <v/>
      </c>
      <c r="DA28" s="1932">
        <f>SUM(CY28,CW28,CT28,CQ28,CN28,CI28)</f>
        <v/>
      </c>
      <c r="DB28" s="1933">
        <f>SUM(CW28,CT28,CQ28,CN28)</f>
        <v/>
      </c>
      <c r="DC28" s="1051">
        <f>DB28/DA28</f>
        <v/>
      </c>
    </row>
    <row r="29" ht="16.2" customFormat="1" customHeight="1" s="585" thickBot="1">
      <c r="A29" s="1522" t="inlineStr">
        <is>
          <t>Joint Tape (rolls)</t>
        </is>
      </c>
      <c r="B29" s="2096">
        <f>F24/240</f>
        <v/>
      </c>
      <c r="C29" s="1977" t="inlineStr">
        <is>
          <t>rolls</t>
        </is>
      </c>
      <c r="D29" s="1944" t="n">
        <v>5.75</v>
      </c>
      <c r="E29" s="1962">
        <f>B29*D29</f>
        <v/>
      </c>
      <c r="F29" s="600" t="n"/>
      <c r="G29" s="600" t="n"/>
      <c r="H29" s="600" t="n"/>
      <c r="I29" s="600" t="n"/>
      <c r="O29" s="1046" t="inlineStr">
        <is>
          <t>Soft Surf + Corrs.</t>
        </is>
      </c>
      <c r="R29" s="939" t="n"/>
      <c r="S29" s="2223" t="n"/>
      <c r="T29" s="2223" t="n"/>
      <c r="U29" s="2223" t="n"/>
      <c r="V29" s="2223" t="n"/>
      <c r="W29" s="2223" t="n"/>
      <c r="AY29" s="2193" t="n">
        <v>20000</v>
      </c>
      <c r="AZ29" s="2193" t="n"/>
      <c r="BA29" s="2193" t="n"/>
      <c r="BB29" s="2193">
        <f>AY29</f>
        <v/>
      </c>
      <c r="BC29" s="2193" t="n"/>
      <c r="BD29" s="2193" t="n"/>
      <c r="BE29" s="2193">
        <f>AY29+BB29</f>
        <v/>
      </c>
      <c r="BF29" s="2193" t="n"/>
      <c r="BG29" s="2193" t="n"/>
      <c r="BH29" s="2193">
        <f>BE29</f>
        <v/>
      </c>
      <c r="BI29" s="1051">
        <f>IF(AY29&lt;=#REF!,#REF!,IF(AY29&lt;=#REF!,#REF!,IF(AY29&lt;=#REF!,#REF!,IF(AY29&lt;=#REF!,#REF!,IF(AY29&lt;=#REF!,#REF!,IF(AY29&lt;=#REF!,#REF!,IF(AY29&lt;=#REF!,#REF!,0.05)))))))</f>
        <v/>
      </c>
      <c r="BJ29" s="2193">
        <f>BI29*AY29</f>
        <v/>
      </c>
      <c r="BK29" s="1051" t="n"/>
      <c r="BL29" s="1051">
        <f>IF(BB29&lt;=#REF!,#REF!,IF(BB29&lt;=#REF!,#REF!,IF(BB29&lt;=#REF!,#REF!,IF(BB29&lt;=#REF!,#REF!,IF(BB29&lt;=#REF!,#REF!,IF(BB29&lt;=#REF!,#REF!,IF(BB29&lt;=#REF!,#REF!,0.05)))))))</f>
        <v/>
      </c>
      <c r="BM29" s="2193">
        <f>BL29*BB29</f>
        <v/>
      </c>
      <c r="BN29" s="1051" t="n"/>
      <c r="BO29" s="1051">
        <f>IF(BE29&lt;=#REF!,#REF!,IF(BE29&lt;=#REF!,#REF!,IF(BE29&lt;=#REF!,#REF!,IF(BE29&lt;=#REF!,#REF!,IF(BE29&lt;=#REF!,#REF!,IF(BE29&lt;=#REF!,#REF!,IF(BE29&lt;=#REF!,#REF!,0.05)))))))</f>
        <v/>
      </c>
      <c r="BP29" s="2193">
        <f>BO29*SUM(BM29,BJ29,BE29)</f>
        <v/>
      </c>
      <c r="BQ29" s="1051" t="n"/>
      <c r="BR29" s="2194">
        <f>IF(BH29&lt;=#REF!,#REF!,IF(BH29&lt;=#REF!,#REF!,IF(BH29&lt;=#REF!,#REF!,IF(BH29&lt;=#REF!,#REF!,IF(BH29&lt;=#REF!,#REF!,IF(BH29&lt;=#REF!,#REF!,IF(BH29&lt;=#REF!,#REF!,0.05)))))))</f>
        <v/>
      </c>
      <c r="BS29" s="2193">
        <f>BR29*BH29</f>
        <v/>
      </c>
      <c r="BU29" s="1932">
        <f>0.07*SUM(BE29,BJ29,BM29,BP29,BS29)</f>
        <v/>
      </c>
      <c r="BW29" s="1932">
        <f>SUM(BU29,BS29,BP29,BM29,BJ29,BE29)</f>
        <v/>
      </c>
      <c r="BX29" s="1933">
        <f>SUM(BS29,BP29,BM29,BJ29)</f>
        <v/>
      </c>
      <c r="BY29" s="1051">
        <f>BX29/BW29</f>
        <v/>
      </c>
      <c r="CO29" s="2193" t="n">
        <v>20000</v>
      </c>
      <c r="CP29" s="2193" t="n"/>
      <c r="CQ29" s="2193" t="n"/>
      <c r="CR29" s="2193">
        <f>CO29</f>
        <v/>
      </c>
      <c r="CS29" s="2193" t="n"/>
      <c r="CT29" s="2193" t="n"/>
      <c r="CU29" s="2193">
        <f>CO29+CR29</f>
        <v/>
      </c>
      <c r="CV29" s="2193" t="n"/>
      <c r="CW29" s="2193" t="n"/>
      <c r="CX29" s="2193">
        <f>CU29</f>
        <v/>
      </c>
      <c r="CY29" s="1051">
        <f>IF(CO29&lt;=BQ$6,BP$6,IF(CO29&lt;=BQ$7,BP$7,IF(CO29&lt;=BQ$8,BP$8,IF(CO29&lt;=BQ$9,BP$9,IF(CO29&lt;=BQ$14,BP$14,IF(CO29&lt;=BQ$15,BP$15,IF(CO29&lt;=BQ$16,BP$16,0.05)))))))</f>
        <v/>
      </c>
      <c r="CZ29" s="2193">
        <f>CY29*CO29</f>
        <v/>
      </c>
      <c r="DA29" s="1051" t="n"/>
      <c r="DB29" s="1051">
        <f>IF(CR29&lt;=BT$6,BS$6,IF(CR29&lt;=BT$7,BS$7,IF(CR29&lt;=BT$8,BS$8,IF(CR29&lt;=BT$9,BS$9,IF(CR29&lt;=BT$14,BS$14,IF(CR29&lt;=BT$15,BS$15,IF(CR29&lt;=BT$16,BS$16,0.05)))))))</f>
        <v/>
      </c>
      <c r="DC29" s="2193">
        <f>DB29*CR29</f>
        <v/>
      </c>
      <c r="DD29" s="1051" t="n"/>
      <c r="DE29" s="1051">
        <f>IF(CU29&lt;=BW$6,BV$6,IF(CU29&lt;=BW$7,BV$7,IF(CU29&lt;=BW$8,BV$8,IF(CU29&lt;=BW$9,BV$9,IF(CU29&lt;=BW$14,BV$14,IF(CU29&lt;=BW$15,BV$15,IF(CU29&lt;=BW$16,BV$16,0.05)))))))</f>
        <v/>
      </c>
      <c r="DF29" s="2193">
        <f>DE29*SUM(DC29,CZ29,CU29)</f>
        <v/>
      </c>
      <c r="DG29" s="1051" t="n"/>
      <c r="DH29" s="2194">
        <f>IF(CX29&lt;=BZ$6,BY$6,IF(CX29&lt;=BZ$7,BY$7,IF(CX29&lt;=BZ$8,BY$8,IF(CX29&lt;=BZ$9,BY$9,IF(CX29&lt;=BZ$14,BY$14,IF(CX29&lt;=BZ$15,BY$15,IF(CX29&lt;=BZ$16,BY$16,0.05)))))))</f>
        <v/>
      </c>
      <c r="DI29" s="2193">
        <f>DH29*CX29</f>
        <v/>
      </c>
      <c r="DK29" s="1932">
        <f>0.07*SUM(CU29,CZ29,DC29,DF29,DI29)</f>
        <v/>
      </c>
      <c r="DM29" s="1932">
        <f>SUM(DK29,DI29,DF29,DC29,CZ29,CU29)</f>
        <v/>
      </c>
      <c r="DN29" s="1933">
        <f>SUM(DI29,DF29,DC29,CZ29)</f>
        <v/>
      </c>
      <c r="DO29" s="1051">
        <f>DN29/DM29</f>
        <v/>
      </c>
    </row>
    <row r="30" ht="16.2" customFormat="1" customHeight="1" s="585" thickBot="1">
      <c r="A30" s="1778" t="n"/>
      <c r="B30" s="2096" t="n"/>
      <c r="C30" s="1977" t="n"/>
      <c r="D30" s="1944" t="n"/>
      <c r="E30" s="1962">
        <f>B30*D30</f>
        <v/>
      </c>
      <c r="F30" s="600" t="n"/>
      <c r="G30" s="600" t="n"/>
      <c r="H30" s="2224">
        <f>(F22/300)/0.1</f>
        <v/>
      </c>
      <c r="I30" s="1175" t="inlineStr">
        <is>
          <t>Add for Sealer</t>
        </is>
      </c>
      <c r="J30" s="1613" t="inlineStr">
        <is>
          <t>=(sf / 300) / 10% = Sealer *Material ONLY*</t>
        </is>
      </c>
      <c r="K30" s="855" t="n"/>
      <c r="O30" s="1330">
        <f>SUM(P28,R28)</f>
        <v/>
      </c>
      <c r="P30" s="1340" t="inlineStr">
        <is>
          <t>% Soft Surf</t>
        </is>
      </c>
      <c r="Q30" s="1340" t="inlineStr">
        <is>
          <t>% Hard Surf / Mat</t>
        </is>
      </c>
      <c r="R30" s="1340" t="inlineStr">
        <is>
          <t>% Corridors</t>
        </is>
      </c>
      <c r="T30" s="2223" t="n"/>
      <c r="U30" s="2223" t="n"/>
      <c r="V30" s="2223" t="n"/>
      <c r="W30" s="2223" t="n"/>
      <c r="AY30" s="2193" t="n">
        <v>21000</v>
      </c>
      <c r="AZ30" s="2193" t="n"/>
      <c r="BA30" s="2193" t="n"/>
      <c r="BB30" s="2193">
        <f>AY30</f>
        <v/>
      </c>
      <c r="BC30" s="2193" t="n"/>
      <c r="BD30" s="2193" t="n"/>
      <c r="BE30" s="2193">
        <f>AY30+BB30</f>
        <v/>
      </c>
      <c r="BF30" s="2193" t="n"/>
      <c r="BG30" s="2193" t="n"/>
      <c r="BH30" s="2193">
        <f>BE30</f>
        <v/>
      </c>
      <c r="BI30" s="1051">
        <f>IF(AY30&lt;=#REF!,#REF!,IF(AY30&lt;=#REF!,#REF!,IF(AY30&lt;=#REF!,#REF!,IF(AY30&lt;=#REF!,#REF!,IF(AY30&lt;=#REF!,#REF!,IF(AY30&lt;=#REF!,#REF!,IF(AY30&lt;=#REF!,#REF!,0.05)))))))</f>
        <v/>
      </c>
      <c r="BJ30" s="2193">
        <f>BI30*AY30</f>
        <v/>
      </c>
      <c r="BK30" s="1051" t="n"/>
      <c r="BL30" s="1051">
        <f>IF(BB30&lt;=#REF!,#REF!,IF(BB30&lt;=#REF!,#REF!,IF(BB30&lt;=#REF!,#REF!,IF(BB30&lt;=#REF!,#REF!,IF(BB30&lt;=#REF!,#REF!,IF(BB30&lt;=#REF!,#REF!,IF(BB30&lt;=#REF!,#REF!,0.05)))))))</f>
        <v/>
      </c>
      <c r="BM30" s="2193">
        <f>BL30*BB30</f>
        <v/>
      </c>
      <c r="BN30" s="1051" t="n"/>
      <c r="BO30" s="1051">
        <f>IF(BE30&lt;=#REF!,#REF!,IF(BE30&lt;=#REF!,#REF!,IF(BE30&lt;=#REF!,#REF!,IF(BE30&lt;=#REF!,#REF!,IF(BE30&lt;=#REF!,#REF!,IF(BE30&lt;=#REF!,#REF!,IF(BE30&lt;=#REF!,#REF!,0.05)))))))</f>
        <v/>
      </c>
      <c r="BP30" s="2193">
        <f>BO30*SUM(BM30,BJ30,BE30)</f>
        <v/>
      </c>
      <c r="BQ30" s="1051" t="n"/>
      <c r="BR30" s="2194">
        <f>IF(BH30&lt;=#REF!,#REF!,IF(BH30&lt;=#REF!,#REF!,IF(BH30&lt;=#REF!,#REF!,IF(BH30&lt;=#REF!,#REF!,IF(BH30&lt;=#REF!,#REF!,IF(BH30&lt;=#REF!,#REF!,IF(BH30&lt;=#REF!,#REF!,0.05)))))))</f>
        <v/>
      </c>
      <c r="BS30" s="2193">
        <f>BR30*BH30</f>
        <v/>
      </c>
      <c r="BU30" s="1932">
        <f>0.07*SUM(BE30,BJ30,BM30,BP30,BS30)</f>
        <v/>
      </c>
      <c r="BW30" s="1932">
        <f>SUM(BU30,BS30,BP30,BM30,BJ30,BE30)</f>
        <v/>
      </c>
      <c r="BX30" s="1933">
        <f>SUM(BS30,BP30,BM30,BJ30)</f>
        <v/>
      </c>
      <c r="BY30" s="1051">
        <f>BX30/BW30</f>
        <v/>
      </c>
      <c r="CO30" s="2193" t="n">
        <v>21000</v>
      </c>
      <c r="CP30" s="2193" t="n"/>
      <c r="CQ30" s="2193" t="n"/>
      <c r="CR30" s="2193">
        <f>CO30</f>
        <v/>
      </c>
      <c r="CS30" s="2193" t="n"/>
      <c r="CT30" s="2193" t="n"/>
      <c r="CU30" s="2193">
        <f>CO30+CR30</f>
        <v/>
      </c>
      <c r="CV30" s="2193" t="n"/>
      <c r="CW30" s="2193" t="n"/>
      <c r="CX30" s="2193">
        <f>CU30</f>
        <v/>
      </c>
      <c r="CY30" s="1051">
        <f>IF(CO30&lt;=BQ$6,BP$6,IF(CO30&lt;=BQ$7,BP$7,IF(CO30&lt;=BQ$8,BP$8,IF(CO30&lt;=BQ$9,BP$9,IF(CO30&lt;=BQ$14,BP$14,IF(CO30&lt;=BQ$15,BP$15,IF(CO30&lt;=BQ$16,BP$16,0.05)))))))</f>
        <v/>
      </c>
      <c r="CZ30" s="2193">
        <f>CY30*CO30</f>
        <v/>
      </c>
      <c r="DA30" s="1051" t="n"/>
      <c r="DB30" s="1051">
        <f>IF(CR30&lt;=BT$6,BS$6,IF(CR30&lt;=BT$7,BS$7,IF(CR30&lt;=BT$8,BS$8,IF(CR30&lt;=BT$9,BS$9,IF(CR30&lt;=BT$14,BS$14,IF(CR30&lt;=BT$15,BS$15,IF(CR30&lt;=BT$16,BS$16,0.05)))))))</f>
        <v/>
      </c>
      <c r="DC30" s="2193">
        <f>DB30*CR30</f>
        <v/>
      </c>
      <c r="DD30" s="1051" t="n"/>
      <c r="DE30" s="1051">
        <f>IF(CU30&lt;=BW$6,BV$6,IF(CU30&lt;=BW$7,BV$7,IF(CU30&lt;=BW$8,BV$8,IF(CU30&lt;=BW$9,BV$9,IF(CU30&lt;=BW$14,BV$14,IF(CU30&lt;=BW$15,BV$15,IF(CU30&lt;=BW$16,BV$16,0.05)))))))</f>
        <v/>
      </c>
      <c r="DF30" s="2193">
        <f>DE30*SUM(DC30,CZ30,CU30)</f>
        <v/>
      </c>
      <c r="DG30" s="1051" t="n"/>
      <c r="DH30" s="2194">
        <f>IF(CX30&lt;=BZ$6,BY$6,IF(CX30&lt;=BZ$7,BY$7,IF(CX30&lt;=BZ$8,BY$8,IF(CX30&lt;=BZ$9,BY$9,IF(CX30&lt;=BZ$14,BY$14,IF(CX30&lt;=BZ$15,BY$15,IF(CX30&lt;=BZ$16,BY$16,0.05)))))))</f>
        <v/>
      </c>
      <c r="DI30" s="2193">
        <f>DH30*CX30</f>
        <v/>
      </c>
      <c r="DK30" s="1932">
        <f>0.07*SUM(CU30,CZ30,DC30,DF30,DI30)</f>
        <v/>
      </c>
      <c r="DM30" s="1932">
        <f>SUM(DK30,DI30,DF30,DC30,CZ30,CU30)</f>
        <v/>
      </c>
      <c r="DN30" s="1933">
        <f>SUM(DI30,DF30,DC30,CZ30)</f>
        <v/>
      </c>
      <c r="DO30" s="1051">
        <f>DN30/DM30</f>
        <v/>
      </c>
    </row>
    <row r="31" ht="16.2" customFormat="1" customHeight="1" s="585" thickBot="1">
      <c r="A31" s="1778" t="n"/>
      <c r="B31" s="2096" t="n"/>
      <c r="C31" s="1977" t="n"/>
      <c r="D31" s="1944" t="n"/>
      <c r="E31" s="1962">
        <f>B31*D31</f>
        <v/>
      </c>
      <c r="F31" s="600" t="n"/>
      <c r="G31" s="600" t="n"/>
      <c r="H31" s="2225">
        <f>ROUNDUP((((2*8)*(C46)*(1+C53)*(1+C54))*(1+G83))*G55,0)</f>
        <v/>
      </c>
      <c r="I31" s="1606" t="inlineStr">
        <is>
          <t>Add for Offsite Storage</t>
        </is>
      </c>
      <c r="J31" s="601" t="inlineStr">
        <is>
          <t>2 guys x 8 hrs + Markups x # of mobz</t>
        </is>
      </c>
      <c r="O31" s="747">
        <f>O30/N28</f>
        <v/>
      </c>
      <c r="P31" s="747">
        <f>P28/N28</f>
        <v/>
      </c>
      <c r="Q31" s="747">
        <f>Q28/N28</f>
        <v/>
      </c>
      <c r="R31" s="747">
        <f>R28/N28</f>
        <v/>
      </c>
      <c r="T31" s="2226" t="n"/>
      <c r="U31" s="2223" t="n"/>
      <c r="V31" s="2223" t="n"/>
      <c r="W31" s="2223" t="n"/>
      <c r="AY31" s="2193" t="n">
        <v>22000</v>
      </c>
      <c r="AZ31" s="2193" t="n"/>
      <c r="BA31" s="2193" t="n"/>
      <c r="BB31" s="2193">
        <f>AY31</f>
        <v/>
      </c>
      <c r="BC31" s="2193" t="n"/>
      <c r="BD31" s="2193" t="n"/>
      <c r="BE31" s="2193">
        <f>AY31+BB31</f>
        <v/>
      </c>
      <c r="BF31" s="2193" t="n"/>
      <c r="BG31" s="2193" t="n"/>
      <c r="BH31" s="2193">
        <f>BE31</f>
        <v/>
      </c>
      <c r="BI31" s="1051">
        <f>IF(AY31&lt;=#REF!,#REF!,IF(AY31&lt;=#REF!,#REF!,IF(AY31&lt;=#REF!,#REF!,IF(AY31&lt;=#REF!,#REF!,IF(AY31&lt;=#REF!,#REF!,IF(AY31&lt;=#REF!,#REF!,IF(AY31&lt;=#REF!,#REF!,0.05)))))))</f>
        <v/>
      </c>
      <c r="BJ31" s="2193">
        <f>BI31*AY31</f>
        <v/>
      </c>
      <c r="BK31" s="1051" t="n"/>
      <c r="BL31" s="1051">
        <f>IF(BB31&lt;=#REF!,#REF!,IF(BB31&lt;=#REF!,#REF!,IF(BB31&lt;=#REF!,#REF!,IF(BB31&lt;=#REF!,#REF!,IF(BB31&lt;=#REF!,#REF!,IF(BB31&lt;=#REF!,#REF!,IF(BB31&lt;=#REF!,#REF!,0.05)))))))</f>
        <v/>
      </c>
      <c r="BM31" s="2193">
        <f>BL31*BB31</f>
        <v/>
      </c>
      <c r="BN31" s="1051" t="n"/>
      <c r="BO31" s="1051">
        <f>IF(BE31&lt;=#REF!,#REF!,IF(BE31&lt;=#REF!,#REF!,IF(BE31&lt;=#REF!,#REF!,IF(BE31&lt;=#REF!,#REF!,IF(BE31&lt;=#REF!,#REF!,IF(BE31&lt;=#REF!,#REF!,IF(BE31&lt;=#REF!,#REF!,0.05)))))))</f>
        <v/>
      </c>
      <c r="BP31" s="2193">
        <f>BO31*SUM(BM31,BJ31,BE31)</f>
        <v/>
      </c>
      <c r="BQ31" s="1051" t="n"/>
      <c r="BR31" s="2194">
        <f>IF(BH31&lt;=#REF!,#REF!,IF(BH31&lt;=#REF!,#REF!,IF(BH31&lt;=#REF!,#REF!,IF(BH31&lt;=#REF!,#REF!,IF(BH31&lt;=#REF!,#REF!,IF(BH31&lt;=#REF!,#REF!,IF(BH31&lt;=#REF!,#REF!,0.05)))))))</f>
        <v/>
      </c>
      <c r="BS31" s="2193">
        <f>BR31*BH31</f>
        <v/>
      </c>
      <c r="BU31" s="1932">
        <f>0.07*SUM(BE31,BJ31,BM31,BP31,BS31)</f>
        <v/>
      </c>
      <c r="BW31" s="1932">
        <f>SUM(BU31,BS31,BP31,BM31,BJ31,BE31)</f>
        <v/>
      </c>
      <c r="BX31" s="1933">
        <f>SUM(BS31,BP31,BM31,BJ31)</f>
        <v/>
      </c>
      <c r="BY31" s="1051">
        <f>BX31/BW31</f>
        <v/>
      </c>
      <c r="CO31" s="2193" t="n">
        <v>22000</v>
      </c>
      <c r="CP31" s="2193" t="n"/>
      <c r="CQ31" s="2193" t="n"/>
      <c r="CR31" s="2193">
        <f>CO31</f>
        <v/>
      </c>
      <c r="CS31" s="2193" t="n"/>
      <c r="CT31" s="2193" t="n"/>
      <c r="CU31" s="2193">
        <f>CO31+CR31</f>
        <v/>
      </c>
      <c r="CV31" s="2193" t="n"/>
      <c r="CW31" s="2193" t="n"/>
      <c r="CX31" s="2193">
        <f>CU31</f>
        <v/>
      </c>
      <c r="CY31" s="1051">
        <f>IF(CO31&lt;=BQ$6,BP$6,IF(CO31&lt;=BQ$7,BP$7,IF(CO31&lt;=BQ$8,BP$8,IF(CO31&lt;=BQ$9,BP$9,IF(CO31&lt;=BQ$14,BP$14,IF(CO31&lt;=BQ$15,BP$15,IF(CO31&lt;=BQ$16,BP$16,0.05)))))))</f>
        <v/>
      </c>
      <c r="CZ31" s="2193">
        <f>CY31*CO31</f>
        <v/>
      </c>
      <c r="DA31" s="1051" t="n"/>
      <c r="DB31" s="1051">
        <f>IF(CR31&lt;=BT$6,BS$6,IF(CR31&lt;=BT$7,BS$7,IF(CR31&lt;=BT$8,BS$8,IF(CR31&lt;=BT$9,BS$9,IF(CR31&lt;=BT$14,BS$14,IF(CR31&lt;=BT$15,BS$15,IF(CR31&lt;=BT$16,BS$16,0.05)))))))</f>
        <v/>
      </c>
      <c r="DC31" s="2193">
        <f>DB31*CR31</f>
        <v/>
      </c>
      <c r="DD31" s="1051" t="n"/>
      <c r="DE31" s="1051">
        <f>IF(CU31&lt;=BW$6,BV$6,IF(CU31&lt;=BW$7,BV$7,IF(CU31&lt;=BW$8,BV$8,IF(CU31&lt;=BW$9,BV$9,IF(CU31&lt;=BW$14,BV$14,IF(CU31&lt;=BW$15,BV$15,IF(CU31&lt;=BW$16,BV$16,0.05)))))))</f>
        <v/>
      </c>
      <c r="DF31" s="2193">
        <f>DE31*SUM(DC31,CZ31,CU31)</f>
        <v/>
      </c>
      <c r="DG31" s="1051" t="n"/>
      <c r="DH31" s="2194">
        <f>IF(CX31&lt;=BZ$6,BY$6,IF(CX31&lt;=BZ$7,BY$7,IF(CX31&lt;=BZ$8,BY$8,IF(CX31&lt;=BZ$9,BY$9,IF(CX31&lt;=BZ$14,BY$14,IF(CX31&lt;=BZ$15,BY$15,IF(CX31&lt;=BZ$16,BY$16,0.05)))))))</f>
        <v/>
      </c>
      <c r="DI31" s="2193">
        <f>DH31*CX31</f>
        <v/>
      </c>
      <c r="DK31" s="1932">
        <f>0.07*SUM(CU31,CZ31,DC31,DF31,DI31)</f>
        <v/>
      </c>
      <c r="DM31" s="1932">
        <f>SUM(DK31,DI31,DF31,DC31,CZ31,CU31)</f>
        <v/>
      </c>
      <c r="DN31" s="1933">
        <f>SUM(DI31,DF31,DC31,CZ31)</f>
        <v/>
      </c>
      <c r="DO31" s="1051">
        <f>DN31/DM31</f>
        <v/>
      </c>
    </row>
    <row r="32" ht="16.05" customFormat="1" customHeight="1" s="585" thickBot="1">
      <c r="A32" s="641" t="inlineStr">
        <is>
          <t>MATERIAL - Sand</t>
        </is>
      </c>
      <c r="B32" s="2227" t="n"/>
      <c r="C32" s="1977" t="n"/>
      <c r="D32" s="1977" t="n"/>
      <c r="E32" s="1978" t="n"/>
      <c r="F32" s="600" t="n"/>
      <c r="G32" s="600" t="n"/>
      <c r="H32" s="600" t="n"/>
      <c r="T32" s="600" t="n"/>
      <c r="U32" s="600" t="n"/>
      <c r="V32" s="600" t="n"/>
      <c r="W32" s="600" t="n"/>
      <c r="AY32" s="2193" t="n">
        <v>23000</v>
      </c>
      <c r="AZ32" s="2193" t="n"/>
      <c r="BA32" s="2193" t="n"/>
      <c r="BB32" s="2193">
        <f>AY32</f>
        <v/>
      </c>
      <c r="BC32" s="2193" t="n"/>
      <c r="BD32" s="2193" t="n"/>
      <c r="BE32" s="2193">
        <f>AY32+BB32</f>
        <v/>
      </c>
      <c r="BF32" s="2193" t="n"/>
      <c r="BG32" s="2193" t="n"/>
      <c r="BH32" s="2193">
        <f>BE32</f>
        <v/>
      </c>
      <c r="BI32" s="1051">
        <f>IF(AY32&lt;=#REF!,#REF!,IF(AY32&lt;=#REF!,#REF!,IF(AY32&lt;=#REF!,#REF!,IF(AY32&lt;=#REF!,#REF!,IF(AY32&lt;=#REF!,#REF!,IF(AY32&lt;=#REF!,#REF!,IF(AY32&lt;=#REF!,#REF!,0.05)))))))</f>
        <v/>
      </c>
      <c r="BJ32" s="2193">
        <f>BI32*AY32</f>
        <v/>
      </c>
      <c r="BK32" s="1051" t="n"/>
      <c r="BL32" s="1051">
        <f>IF(BB32&lt;=#REF!,#REF!,IF(BB32&lt;=#REF!,#REF!,IF(BB32&lt;=#REF!,#REF!,IF(BB32&lt;=#REF!,#REF!,IF(BB32&lt;=#REF!,#REF!,IF(BB32&lt;=#REF!,#REF!,IF(BB32&lt;=#REF!,#REF!,0.05)))))))</f>
        <v/>
      </c>
      <c r="BM32" s="2193">
        <f>BL32*BB32</f>
        <v/>
      </c>
      <c r="BN32" s="1051" t="n"/>
      <c r="BO32" s="1051">
        <f>IF(BE32&lt;=#REF!,#REF!,IF(BE32&lt;=#REF!,#REF!,IF(BE32&lt;=#REF!,#REF!,IF(BE32&lt;=#REF!,#REF!,IF(BE32&lt;=#REF!,#REF!,IF(BE32&lt;=#REF!,#REF!,IF(BE32&lt;=#REF!,#REF!,0.05)))))))</f>
        <v/>
      </c>
      <c r="BP32" s="2193">
        <f>BO32*SUM(BM32,BJ32,BE32)</f>
        <v/>
      </c>
      <c r="BQ32" s="1051" t="n"/>
      <c r="BR32" s="2194">
        <f>IF(BH32&lt;=#REF!,#REF!,IF(BH32&lt;=#REF!,#REF!,IF(BH32&lt;=#REF!,#REF!,IF(BH32&lt;=#REF!,#REF!,IF(BH32&lt;=#REF!,#REF!,IF(BH32&lt;=#REF!,#REF!,IF(BH32&lt;=#REF!,#REF!,0.05)))))))</f>
        <v/>
      </c>
      <c r="BS32" s="2193">
        <f>BR32*BH32</f>
        <v/>
      </c>
      <c r="BU32" s="1932">
        <f>0.07*SUM(BE32,BJ32,BM32,BP32,BS32)</f>
        <v/>
      </c>
      <c r="BW32" s="1932">
        <f>SUM(BU32,BS32,BP32,BM32,BJ32,BE32)</f>
        <v/>
      </c>
      <c r="BX32" s="1933">
        <f>SUM(BS32,BP32,BM32,BJ32)</f>
        <v/>
      </c>
      <c r="BY32" s="1051">
        <f>BX32/BW32</f>
        <v/>
      </c>
      <c r="CO32" s="2193" t="n">
        <v>23000</v>
      </c>
      <c r="CP32" s="2193" t="n"/>
      <c r="CQ32" s="2193" t="n"/>
      <c r="CR32" s="2193">
        <f>CO32</f>
        <v/>
      </c>
      <c r="CS32" s="2193" t="n"/>
      <c r="CT32" s="2193" t="n"/>
      <c r="CU32" s="2193">
        <f>CO32+CR32</f>
        <v/>
      </c>
      <c r="CV32" s="2193" t="n"/>
      <c r="CW32" s="2193" t="n"/>
      <c r="CX32" s="2193">
        <f>CU32</f>
        <v/>
      </c>
      <c r="CY32" s="1051">
        <f>IF(CO32&lt;=BQ$6,BP$6,IF(CO32&lt;=BQ$7,BP$7,IF(CO32&lt;=BQ$8,BP$8,IF(CO32&lt;=BQ$9,BP$9,IF(CO32&lt;=BQ$14,BP$14,IF(CO32&lt;=BQ$15,BP$15,IF(CO32&lt;=BQ$16,BP$16,0.05)))))))</f>
        <v/>
      </c>
      <c r="CZ32" s="2193">
        <f>CY32*CO32</f>
        <v/>
      </c>
      <c r="DA32" s="1051" t="n"/>
      <c r="DB32" s="1051">
        <f>IF(CR32&lt;=BT$6,BS$6,IF(CR32&lt;=BT$7,BS$7,IF(CR32&lt;=BT$8,BS$8,IF(CR32&lt;=BT$9,BS$9,IF(CR32&lt;=BT$14,BS$14,IF(CR32&lt;=BT$15,BS$15,IF(CR32&lt;=BT$16,BS$16,0.05)))))))</f>
        <v/>
      </c>
      <c r="DC32" s="2193">
        <f>DB32*CR32</f>
        <v/>
      </c>
      <c r="DD32" s="1051" t="n"/>
      <c r="DE32" s="1051">
        <f>IF(CU32&lt;=BW$6,BV$6,IF(CU32&lt;=BW$7,BV$7,IF(CU32&lt;=BW$8,BV$8,IF(CU32&lt;=BW$9,BV$9,IF(CU32&lt;=BW$14,BV$14,IF(CU32&lt;=BW$15,BV$15,IF(CU32&lt;=BW$16,BV$16,0.05)))))))</f>
        <v/>
      </c>
      <c r="DF32" s="2193">
        <f>DE32*SUM(DC32,CZ32,CU32)</f>
        <v/>
      </c>
      <c r="DG32" s="1051" t="n"/>
      <c r="DH32" s="2194">
        <f>IF(CX32&lt;=BZ$6,BY$6,IF(CX32&lt;=BZ$7,BY$7,IF(CX32&lt;=BZ$8,BY$8,IF(CX32&lt;=BZ$9,BY$9,IF(CX32&lt;=BZ$14,BY$14,IF(CX32&lt;=BZ$15,BY$15,IF(CX32&lt;=BZ$16,BY$16,0.05)))))))</f>
        <v/>
      </c>
      <c r="DI32" s="2193">
        <f>DH32*CX32</f>
        <v/>
      </c>
      <c r="DK32" s="1932">
        <f>0.07*SUM(CU32,CZ32,DC32,DF32,DI32)</f>
        <v/>
      </c>
      <c r="DM32" s="1932">
        <f>SUM(DK32,DI32,DF32,DC32,CZ32,CU32)</f>
        <v/>
      </c>
      <c r="DN32" s="1933">
        <f>SUM(DI32,DF32,DC32,CZ32)</f>
        <v/>
      </c>
      <c r="DO32" s="1051">
        <f>DN32/DM32</f>
        <v/>
      </c>
    </row>
    <row r="33" ht="16.2" customFormat="1" customHeight="1" s="585" thickBot="1">
      <c r="A33" s="647" t="inlineStr">
        <is>
          <t>Sand (per Ton)</t>
        </is>
      </c>
      <c r="B33" s="2096">
        <f>((IF(G11=P52,Q52,IF(G11=P54,Q54))*H33)/2000)*(1+G19)</f>
        <v/>
      </c>
      <c r="C33" s="1066" t="inlineStr">
        <is>
          <t>tons w/ waste</t>
        </is>
      </c>
      <c r="D33" s="1944" t="n">
        <v>35</v>
      </c>
      <c r="E33" s="1962">
        <f>B33*D33</f>
        <v/>
      </c>
      <c r="F33" s="600" t="inlineStr">
        <is>
          <t>(Total Bags x Mix Design)/2000</t>
        </is>
      </c>
      <c r="H33" s="1392">
        <f>B23+B24+B25</f>
        <v/>
      </c>
      <c r="I33" s="1008" t="inlineStr">
        <is>
          <t>Total Bags</t>
        </is>
      </c>
      <c r="T33" s="620" t="n"/>
      <c r="U33" s="620" t="n"/>
      <c r="AY33" s="2193" t="n">
        <v>24000</v>
      </c>
      <c r="AZ33" s="2193" t="n"/>
      <c r="BA33" s="2193" t="n"/>
      <c r="BB33" s="2193">
        <f>AY33</f>
        <v/>
      </c>
      <c r="BC33" s="2193" t="n"/>
      <c r="BD33" s="2193" t="n"/>
      <c r="BE33" s="2193">
        <f>AY33+BB33</f>
        <v/>
      </c>
      <c r="BF33" s="2193" t="n"/>
      <c r="BG33" s="2193" t="n"/>
      <c r="BH33" s="2193">
        <f>BE33</f>
        <v/>
      </c>
      <c r="BI33" s="1051">
        <f>IF(AY33&lt;=#REF!,#REF!,IF(AY33&lt;=#REF!,#REF!,IF(AY33&lt;=#REF!,#REF!,IF(AY33&lt;=#REF!,#REF!,IF(AY33&lt;=#REF!,#REF!,IF(AY33&lt;=#REF!,#REF!,IF(AY33&lt;=#REF!,#REF!,0.05)))))))</f>
        <v/>
      </c>
      <c r="BJ33" s="2193">
        <f>BI33*AY33</f>
        <v/>
      </c>
      <c r="BK33" s="1051" t="n"/>
      <c r="BL33" s="1051">
        <f>IF(BB33&lt;=#REF!,#REF!,IF(BB33&lt;=#REF!,#REF!,IF(BB33&lt;=#REF!,#REF!,IF(BB33&lt;=#REF!,#REF!,IF(BB33&lt;=#REF!,#REF!,IF(BB33&lt;=#REF!,#REF!,IF(BB33&lt;=#REF!,#REF!,0.05)))))))</f>
        <v/>
      </c>
      <c r="BM33" s="2193">
        <f>BL33*BB33</f>
        <v/>
      </c>
      <c r="BN33" s="1051" t="n"/>
      <c r="BO33" s="1051">
        <f>IF(BE33&lt;=#REF!,#REF!,IF(BE33&lt;=#REF!,#REF!,IF(BE33&lt;=#REF!,#REF!,IF(BE33&lt;=#REF!,#REF!,IF(BE33&lt;=#REF!,#REF!,IF(BE33&lt;=#REF!,#REF!,IF(BE33&lt;=#REF!,#REF!,0.05)))))))</f>
        <v/>
      </c>
      <c r="BP33" s="2193">
        <f>BO33*SUM(BM33,BJ33,BE33)</f>
        <v/>
      </c>
      <c r="BQ33" s="1051" t="n"/>
      <c r="BR33" s="2194">
        <f>IF(BH33&lt;=#REF!,#REF!,IF(BH33&lt;=#REF!,#REF!,IF(BH33&lt;=#REF!,#REF!,IF(BH33&lt;=#REF!,#REF!,IF(BH33&lt;=#REF!,#REF!,IF(BH33&lt;=#REF!,#REF!,IF(BH33&lt;=#REF!,#REF!,0.05)))))))</f>
        <v/>
      </c>
      <c r="BS33" s="2193">
        <f>BR33*BH33</f>
        <v/>
      </c>
      <c r="BU33" s="1932">
        <f>0.07*SUM(BE33,BJ33,BM33,BP33,BS33)</f>
        <v/>
      </c>
      <c r="BW33" s="1932">
        <f>SUM(BU33,BS33,BP33,BM33,BJ33,BE33)</f>
        <v/>
      </c>
      <c r="BX33" s="1933">
        <f>SUM(BS33,BP33,BM33,BJ33)</f>
        <v/>
      </c>
      <c r="BY33" s="1051">
        <f>BX33/BW33</f>
        <v/>
      </c>
      <c r="CO33" s="2193" t="n">
        <v>24000</v>
      </c>
      <c r="CP33" s="2193" t="n"/>
      <c r="CQ33" s="2193" t="n"/>
      <c r="CR33" s="2193">
        <f>CO33</f>
        <v/>
      </c>
      <c r="CS33" s="2193" t="n"/>
      <c r="CT33" s="2193" t="n"/>
      <c r="CU33" s="2193">
        <f>CO33+CR33</f>
        <v/>
      </c>
      <c r="CV33" s="2193" t="n"/>
      <c r="CW33" s="2193" t="n"/>
      <c r="CX33" s="2193">
        <f>CU33</f>
        <v/>
      </c>
      <c r="CY33" s="1051">
        <f>IF(CO33&lt;=BQ$6,BP$6,IF(CO33&lt;=BQ$7,BP$7,IF(CO33&lt;=BQ$8,BP$8,IF(CO33&lt;=BQ$9,BP$9,IF(CO33&lt;=BQ$14,BP$14,IF(CO33&lt;=BQ$15,BP$15,IF(CO33&lt;=BQ$16,BP$16,0.05)))))))</f>
        <v/>
      </c>
      <c r="CZ33" s="2193">
        <f>CY33*CO33</f>
        <v/>
      </c>
      <c r="DA33" s="1051" t="n"/>
      <c r="DB33" s="1051">
        <f>IF(CR33&lt;=BT$6,BS$6,IF(CR33&lt;=BT$7,BS$7,IF(CR33&lt;=BT$8,BS$8,IF(CR33&lt;=BT$9,BS$9,IF(CR33&lt;=BT$14,BS$14,IF(CR33&lt;=BT$15,BS$15,IF(CR33&lt;=BT$16,BS$16,0.05)))))))</f>
        <v/>
      </c>
      <c r="DC33" s="2193">
        <f>DB33*CR33</f>
        <v/>
      </c>
      <c r="DD33" s="1051" t="n"/>
      <c r="DE33" s="1051">
        <f>IF(CU33&lt;=BW$6,BV$6,IF(CU33&lt;=BW$7,BV$7,IF(CU33&lt;=BW$8,BV$8,IF(CU33&lt;=BW$9,BV$9,IF(CU33&lt;=BW$14,BV$14,IF(CU33&lt;=BW$15,BV$15,IF(CU33&lt;=BW$16,BV$16,0.05)))))))</f>
        <v/>
      </c>
      <c r="DF33" s="2193">
        <f>DE33*SUM(DC33,CZ33,CU33)</f>
        <v/>
      </c>
      <c r="DG33" s="1051" t="n"/>
      <c r="DH33" s="2194">
        <f>IF(CX33&lt;=BZ$6,BY$6,IF(CX33&lt;=BZ$7,BY$7,IF(CX33&lt;=BZ$8,BY$8,IF(CX33&lt;=BZ$9,BY$9,IF(CX33&lt;=BZ$14,BY$14,IF(CX33&lt;=BZ$15,BY$15,IF(CX33&lt;=BZ$16,BY$16,0.05)))))))</f>
        <v/>
      </c>
      <c r="DI33" s="2193">
        <f>DH33*CX33</f>
        <v/>
      </c>
      <c r="DK33" s="1932">
        <f>0.07*SUM(CU33,CZ33,DC33,DF33,DI33)</f>
        <v/>
      </c>
      <c r="DM33" s="1932">
        <f>SUM(DK33,DI33,DF33,DC33,CZ33,CU33)</f>
        <v/>
      </c>
      <c r="DN33" s="1933">
        <f>SUM(DI33,DF33,DC33,CZ33)</f>
        <v/>
      </c>
      <c r="DO33" s="1051">
        <f>DN33/DM33</f>
        <v/>
      </c>
    </row>
    <row r="34" ht="16.05" customFormat="1" customHeight="1" s="585">
      <c r="A34" s="1778" t="n"/>
      <c r="B34" s="2096" t="n"/>
      <c r="C34" s="1977" t="n"/>
      <c r="D34" s="1944" t="n"/>
      <c r="E34" s="1962">
        <f>B34*D34</f>
        <v/>
      </c>
      <c r="F34" s="948" t="n"/>
      <c r="G34" s="600" t="n"/>
      <c r="H34" s="600" t="n"/>
      <c r="S34" s="593" t="n"/>
      <c r="T34" s="593" t="n"/>
      <c r="U34" s="593" t="n"/>
      <c r="AY34" s="2193" t="n">
        <v>25000</v>
      </c>
      <c r="AZ34" s="2193" t="n"/>
      <c r="BA34" s="2193" t="n"/>
      <c r="BB34" s="2193">
        <f>AY34</f>
        <v/>
      </c>
      <c r="BC34" s="2193" t="n"/>
      <c r="BD34" s="2193" t="n"/>
      <c r="BE34" s="2193">
        <f>AY34+BB34</f>
        <v/>
      </c>
      <c r="BF34" s="2193" t="n"/>
      <c r="BG34" s="2193" t="n"/>
      <c r="BH34" s="2193">
        <f>BE34</f>
        <v/>
      </c>
      <c r="BI34" s="1051">
        <f>IF(AY34&lt;=#REF!,#REF!,IF(AY34&lt;=#REF!,#REF!,IF(AY34&lt;=#REF!,#REF!,IF(AY34&lt;=#REF!,#REF!,IF(AY34&lt;=#REF!,#REF!,IF(AY34&lt;=#REF!,#REF!,IF(AY34&lt;=#REF!,#REF!,0.05)))))))</f>
        <v/>
      </c>
      <c r="BJ34" s="2193">
        <f>BI34*AY34</f>
        <v/>
      </c>
      <c r="BK34" s="1051" t="n"/>
      <c r="BL34" s="1051">
        <f>IF(BB34&lt;=#REF!,#REF!,IF(BB34&lt;=#REF!,#REF!,IF(BB34&lt;=#REF!,#REF!,IF(BB34&lt;=#REF!,#REF!,IF(BB34&lt;=#REF!,#REF!,IF(BB34&lt;=#REF!,#REF!,IF(BB34&lt;=#REF!,#REF!,0.05)))))))</f>
        <v/>
      </c>
      <c r="BM34" s="2193">
        <f>BL34*BB34</f>
        <v/>
      </c>
      <c r="BN34" s="1051" t="n"/>
      <c r="BO34" s="1051">
        <f>IF(BE34&lt;=#REF!,#REF!,IF(BE34&lt;=#REF!,#REF!,IF(BE34&lt;=#REF!,#REF!,IF(BE34&lt;=#REF!,#REF!,IF(BE34&lt;=#REF!,#REF!,IF(BE34&lt;=#REF!,#REF!,IF(BE34&lt;=#REF!,#REF!,0.05)))))))</f>
        <v/>
      </c>
      <c r="BP34" s="2193">
        <f>BO34*SUM(BM34,BJ34,BE34)</f>
        <v/>
      </c>
      <c r="BQ34" s="1051" t="n"/>
      <c r="BR34" s="2194">
        <f>IF(BH34&lt;=#REF!,#REF!,IF(BH34&lt;=#REF!,#REF!,IF(BH34&lt;=#REF!,#REF!,IF(BH34&lt;=#REF!,#REF!,IF(BH34&lt;=#REF!,#REF!,IF(BH34&lt;=#REF!,#REF!,IF(BH34&lt;=#REF!,#REF!,0.05)))))))</f>
        <v/>
      </c>
      <c r="BS34" s="2193">
        <f>BR34*BH34</f>
        <v/>
      </c>
      <c r="BU34" s="1932">
        <f>0.07*SUM(BE34,BJ34,BM34,BP34,BS34)</f>
        <v/>
      </c>
      <c r="BW34" s="1932">
        <f>SUM(BU34,BS34,BP34,BM34,BJ34,BE34)</f>
        <v/>
      </c>
      <c r="BX34" s="1933">
        <f>SUM(BS34,BP34,BM34,BJ34)</f>
        <v/>
      </c>
      <c r="BY34" s="1051">
        <f>BX34/BW34</f>
        <v/>
      </c>
      <c r="CO34" s="2193" t="n">
        <v>25000</v>
      </c>
      <c r="CP34" s="2193" t="n"/>
      <c r="CQ34" s="2193" t="n"/>
      <c r="CR34" s="2193">
        <f>CO34</f>
        <v/>
      </c>
      <c r="CS34" s="2193" t="n"/>
      <c r="CT34" s="2193" t="n"/>
      <c r="CU34" s="2193">
        <f>CO34+CR34</f>
        <v/>
      </c>
      <c r="CV34" s="2193" t="n"/>
      <c r="CW34" s="2193" t="n"/>
      <c r="CX34" s="2193">
        <f>CU34</f>
        <v/>
      </c>
      <c r="CY34" s="1051">
        <f>IF(CO34&lt;=BQ$6,BP$6,IF(CO34&lt;=BQ$7,BP$7,IF(CO34&lt;=BQ$8,BP$8,IF(CO34&lt;=BQ$9,BP$9,IF(CO34&lt;=BQ$14,BP$14,IF(CO34&lt;=BQ$15,BP$15,IF(CO34&lt;=BQ$16,BP$16,0.05)))))))</f>
        <v/>
      </c>
      <c r="CZ34" s="2193">
        <f>CY34*CO34</f>
        <v/>
      </c>
      <c r="DA34" s="1051" t="n"/>
      <c r="DB34" s="1051">
        <f>IF(CR34&lt;=BT$6,BS$6,IF(CR34&lt;=BT$7,BS$7,IF(CR34&lt;=BT$8,BS$8,IF(CR34&lt;=BT$9,BS$9,IF(CR34&lt;=BT$14,BS$14,IF(CR34&lt;=BT$15,BS$15,IF(CR34&lt;=BT$16,BS$16,0.05)))))))</f>
        <v/>
      </c>
      <c r="DC34" s="2193">
        <f>DB34*CR34</f>
        <v/>
      </c>
      <c r="DD34" s="1051" t="n"/>
      <c r="DE34" s="1051">
        <f>IF(CU34&lt;=BW$6,BV$6,IF(CU34&lt;=BW$7,BV$7,IF(CU34&lt;=BW$8,BV$8,IF(CU34&lt;=BW$9,BV$9,IF(CU34&lt;=BW$14,BV$14,IF(CU34&lt;=BW$15,BV$15,IF(CU34&lt;=BW$16,BV$16,0.05)))))))</f>
        <v/>
      </c>
      <c r="DF34" s="2193">
        <f>DE34*SUM(DC34,CZ34,CU34)</f>
        <v/>
      </c>
      <c r="DG34" s="1051" t="n"/>
      <c r="DH34" s="2194">
        <f>IF(CX34&lt;=BZ$6,BY$6,IF(CX34&lt;=BZ$7,BY$7,IF(CX34&lt;=BZ$8,BY$8,IF(CX34&lt;=BZ$9,BY$9,IF(CX34&lt;=BZ$14,BY$14,IF(CX34&lt;=BZ$15,BY$15,IF(CX34&lt;=BZ$16,BY$16,0.05)))))))</f>
        <v/>
      </c>
      <c r="DI34" s="2193">
        <f>DH34*CX34</f>
        <v/>
      </c>
      <c r="DK34" s="1932">
        <f>0.07*SUM(CU34,CZ34,DC34,DF34,DI34)</f>
        <v/>
      </c>
      <c r="DM34" s="1932">
        <f>SUM(DK34,DI34,DF34,DC34,CZ34,CU34)</f>
        <v/>
      </c>
      <c r="DN34" s="1933">
        <f>SUM(DI34,DF34,DC34,CZ34)</f>
        <v/>
      </c>
      <c r="DO34" s="1051">
        <f>DN34/DM34</f>
        <v/>
      </c>
    </row>
    <row r="35" customFormat="1" s="585">
      <c r="A35" s="641" t="inlineStr">
        <is>
          <t>MATERIAL - Sound Mat</t>
        </is>
      </c>
      <c r="B35" s="1658">
        <f>B16</f>
        <v/>
      </c>
      <c r="C35" s="1977" t="n"/>
      <c r="D35" s="1977" t="n"/>
      <c r="E35" s="1978" t="n"/>
      <c r="F35" s="600" t="n"/>
      <c r="G35" s="600" t="n"/>
      <c r="I35" s="959" t="inlineStr">
        <is>
          <t>[GrassWorx = 384 (for all)]</t>
        </is>
      </c>
      <c r="O35" s="1323" t="inlineStr">
        <is>
          <t>Sound Mat $$$$</t>
        </is>
      </c>
      <c r="T35" s="600" t="n"/>
      <c r="U35" s="600" t="n"/>
      <c r="AY35" s="2193" t="n">
        <v>26000</v>
      </c>
      <c r="AZ35" s="2193" t="n"/>
      <c r="BA35" s="2193" t="n"/>
      <c r="BB35" s="2193">
        <f>AY35</f>
        <v/>
      </c>
      <c r="BC35" s="2193" t="n"/>
      <c r="BD35" s="2193" t="n"/>
      <c r="BE35" s="2193">
        <f>AY35+BB35</f>
        <v/>
      </c>
      <c r="BF35" s="2193" t="n"/>
      <c r="BG35" s="2193" t="n"/>
      <c r="BH35" s="2193">
        <f>BE35</f>
        <v/>
      </c>
      <c r="BI35" s="1051">
        <f>IF(AY35&lt;=#REF!,#REF!,IF(AY35&lt;=#REF!,#REF!,IF(AY35&lt;=#REF!,#REF!,IF(AY35&lt;=#REF!,#REF!,IF(AY35&lt;=#REF!,#REF!,IF(AY35&lt;=#REF!,#REF!,IF(AY35&lt;=#REF!,#REF!,0.05)))))))</f>
        <v/>
      </c>
      <c r="BJ35" s="2193">
        <f>BI35*AY35</f>
        <v/>
      </c>
      <c r="BK35" s="1051" t="n"/>
      <c r="BL35" s="1051">
        <f>IF(BB35&lt;=#REF!,#REF!,IF(BB35&lt;=#REF!,#REF!,IF(BB35&lt;=#REF!,#REF!,IF(BB35&lt;=#REF!,#REF!,IF(BB35&lt;=#REF!,#REF!,IF(BB35&lt;=#REF!,#REF!,IF(BB35&lt;=#REF!,#REF!,0.05)))))))</f>
        <v/>
      </c>
      <c r="BM35" s="2193">
        <f>BL35*BB35</f>
        <v/>
      </c>
      <c r="BN35" s="1051" t="n"/>
      <c r="BO35" s="1051">
        <f>IF(BE35&lt;=#REF!,#REF!,IF(BE35&lt;=#REF!,#REF!,IF(BE35&lt;=#REF!,#REF!,IF(BE35&lt;=#REF!,#REF!,IF(BE35&lt;=#REF!,#REF!,IF(BE35&lt;=#REF!,#REF!,IF(BE35&lt;=#REF!,#REF!,0.05)))))))</f>
        <v/>
      </c>
      <c r="BP35" s="2193">
        <f>BO35*SUM(BM35,BJ35,BE35)</f>
        <v/>
      </c>
      <c r="BQ35" s="1051" t="n"/>
      <c r="BR35" s="2194">
        <f>IF(BH35&lt;=#REF!,#REF!,IF(BH35&lt;=#REF!,#REF!,IF(BH35&lt;=#REF!,#REF!,IF(BH35&lt;=#REF!,#REF!,IF(BH35&lt;=#REF!,#REF!,IF(BH35&lt;=#REF!,#REF!,IF(BH35&lt;=#REF!,#REF!,0.05)))))))</f>
        <v/>
      </c>
      <c r="BS35" s="2193">
        <f>BR35*BH35</f>
        <v/>
      </c>
      <c r="BU35" s="1932">
        <f>0.07*SUM(BE35,BJ35,BM35,BP35,BS35)</f>
        <v/>
      </c>
      <c r="BW35" s="1932">
        <f>SUM(BU35,BS35,BP35,BM35,BJ35,BE35)</f>
        <v/>
      </c>
      <c r="BX35" s="1933">
        <f>SUM(BS35,BP35,BM35,BJ35)</f>
        <v/>
      </c>
      <c r="BY35" s="1051">
        <f>BX35/BW35</f>
        <v/>
      </c>
      <c r="CO35" s="2193" t="n">
        <v>26000</v>
      </c>
      <c r="CP35" s="2193" t="n"/>
      <c r="CQ35" s="2193" t="n"/>
      <c r="CR35" s="2193">
        <f>CO35</f>
        <v/>
      </c>
      <c r="CS35" s="2193" t="n"/>
      <c r="CT35" s="2193" t="n"/>
      <c r="CU35" s="2193">
        <f>CO35+CR35</f>
        <v/>
      </c>
      <c r="CV35" s="2193" t="n"/>
      <c r="CW35" s="2193" t="n"/>
      <c r="CX35" s="2193">
        <f>CU35</f>
        <v/>
      </c>
      <c r="CY35" s="1051">
        <f>IF(CO35&lt;=BQ$6,BP$6,IF(CO35&lt;=BQ$7,BP$7,IF(CO35&lt;=BQ$8,BP$8,IF(CO35&lt;=BQ$9,BP$9,IF(CO35&lt;=BQ$14,BP$14,IF(CO35&lt;=BQ$15,BP$15,IF(CO35&lt;=BQ$16,BP$16,0.05)))))))</f>
        <v/>
      </c>
      <c r="CZ35" s="2193">
        <f>CY35*CO35</f>
        <v/>
      </c>
      <c r="DA35" s="1051" t="n"/>
      <c r="DB35" s="1051">
        <f>IF(CR35&lt;=BT$6,BS$6,IF(CR35&lt;=BT$7,BS$7,IF(CR35&lt;=BT$8,BS$8,IF(CR35&lt;=BT$9,BS$9,IF(CR35&lt;=BT$14,BS$14,IF(CR35&lt;=BT$15,BS$15,IF(CR35&lt;=BT$16,BS$16,0.05)))))))</f>
        <v/>
      </c>
      <c r="DC35" s="2193">
        <f>DB35*CR35</f>
        <v/>
      </c>
      <c r="DD35" s="1051" t="n"/>
      <c r="DE35" s="1051">
        <f>IF(CU35&lt;=BW$6,BV$6,IF(CU35&lt;=BW$7,BV$7,IF(CU35&lt;=BW$8,BV$8,IF(CU35&lt;=BW$9,BV$9,IF(CU35&lt;=BW$14,BV$14,IF(CU35&lt;=BW$15,BV$15,IF(CU35&lt;=BW$16,BV$16,0.05)))))))</f>
        <v/>
      </c>
      <c r="DF35" s="2193">
        <f>DE35*SUM(DC35,CZ35,CU35)</f>
        <v/>
      </c>
      <c r="DG35" s="1051" t="n"/>
      <c r="DH35" s="2194">
        <f>IF(CX35&lt;=BZ$6,BY$6,IF(CX35&lt;=BZ$7,BY$7,IF(CX35&lt;=BZ$8,BY$8,IF(CX35&lt;=BZ$9,BY$9,IF(CX35&lt;=BZ$14,BY$14,IF(CX35&lt;=BZ$15,BY$15,IF(CX35&lt;=BZ$16,BY$16,0.05)))))))</f>
        <v/>
      </c>
      <c r="DI35" s="2193">
        <f>DH35*CX35</f>
        <v/>
      </c>
      <c r="DK35" s="1932">
        <f>0.07*SUM(CU35,CZ35,DC35,DF35,DI35)</f>
        <v/>
      </c>
      <c r="DM35" s="1932">
        <f>SUM(DK35,DI35,DF35,DC35,CZ35,CU35)</f>
        <v/>
      </c>
      <c r="DN35" s="1933">
        <f>SUM(DI35,DF35,DC35,CZ35)</f>
        <v/>
      </c>
      <c r="DO35" s="1051">
        <f>DN35/DM35</f>
        <v/>
      </c>
    </row>
    <row r="36" customFormat="1" s="585">
      <c r="A36" s="1706" t="inlineStr">
        <is>
          <t>SC 190   (1/8")</t>
        </is>
      </c>
      <c r="B36" s="2228">
        <f>ROUNDUP(IF(A36=O37,(F24/Q37),IF(A36=O38,(F24/Q38),IF(A36=O39,(F24/Q39),IF(A36=O40,(F24/Q40),IF(A36=O42,(F24/Q42),IF(A36=O43,(F24/Q43),IF(A36=O44,(F24/Q44),"none")))))))*(1+G20),0)</f>
        <v/>
      </c>
      <c r="C36" s="1977" t="inlineStr">
        <is>
          <t>rolls</t>
        </is>
      </c>
      <c r="D36" s="1944">
        <f>IF(A36=O37,(P37),IF(A36=O38,(P38),IF(A36=O39,(P39),IF(A36=O40,(P40),IF(A36=O42,(P42),IF(A36=O43,(P43),IF(A36=O44,(P44),"none")))))))</f>
        <v/>
      </c>
      <c r="E36" s="1962">
        <f>B36*D36</f>
        <v/>
      </c>
      <c r="F36" s="948" t="n"/>
      <c r="G36" s="600" t="n"/>
      <c r="H36" s="1534">
        <f>IF(A36=O37,280,IF(A36=O38,208,IF(A36=O39,208,IF(A36=O40,260,IF(A36=O42,384,IF(A36=O43,384,IF(A36=O44,384,"error")))))))</f>
        <v/>
      </c>
      <c r="I36" s="1607" t="inlineStr">
        <is>
          <t>Mat Rolls /Truck Load</t>
        </is>
      </c>
      <c r="K36" s="633" t="inlineStr">
        <is>
          <t>shipping on gyp = 20%</t>
        </is>
      </c>
      <c r="L36" s="2135">
        <f>(ROUNDUP(SUM(E20:E26)*B40,0))</f>
        <v/>
      </c>
      <c r="N36" s="1934" t="n"/>
      <c r="O36" s="1323" t="inlineStr">
        <is>
          <t>USG $: 1/8/2026</t>
        </is>
      </c>
      <c r="P36" s="1010" t="inlineStr">
        <is>
          <t xml:space="preserve">Price </t>
        </is>
      </c>
      <c r="Q36" s="1010" t="inlineStr">
        <is>
          <t xml:space="preserve">Sqft per Roll </t>
        </is>
      </c>
      <c r="R36" s="1010" t="inlineStr">
        <is>
          <t xml:space="preserve">$ per Sqft </t>
        </is>
      </c>
      <c r="S36" s="1411" t="inlineStr">
        <is>
          <t>($ per 10-2024)</t>
        </is>
      </c>
      <c r="AY36" s="2193" t="n">
        <v>27000</v>
      </c>
      <c r="AZ36" s="2193" t="n"/>
      <c r="BA36" s="2193" t="n"/>
      <c r="BB36" s="2193">
        <f>AY36</f>
        <v/>
      </c>
      <c r="BC36" s="2193" t="n"/>
      <c r="BD36" s="2193" t="n"/>
      <c r="BE36" s="2193">
        <f>AY36+BB36</f>
        <v/>
      </c>
      <c r="BF36" s="2193" t="n"/>
      <c r="BG36" s="2193" t="n"/>
      <c r="BH36" s="2193">
        <f>BE36</f>
        <v/>
      </c>
      <c r="BI36" s="1051">
        <f>IF(AY36&lt;=#REF!,#REF!,IF(AY36&lt;=#REF!,#REF!,IF(AY36&lt;=#REF!,#REF!,IF(AY36&lt;=#REF!,#REF!,IF(AY36&lt;=#REF!,#REF!,IF(AY36&lt;=#REF!,#REF!,IF(AY36&lt;=#REF!,#REF!,0.05)))))))</f>
        <v/>
      </c>
      <c r="BJ36" s="2193">
        <f>BI36*AY36</f>
        <v/>
      </c>
      <c r="BK36" s="1051" t="n"/>
      <c r="BL36" s="1051">
        <f>IF(BB36&lt;=#REF!,#REF!,IF(BB36&lt;=#REF!,#REF!,IF(BB36&lt;=#REF!,#REF!,IF(BB36&lt;=#REF!,#REF!,IF(BB36&lt;=#REF!,#REF!,IF(BB36&lt;=#REF!,#REF!,IF(BB36&lt;=#REF!,#REF!,0.05)))))))</f>
        <v/>
      </c>
      <c r="BM36" s="2193">
        <f>BL36*BB36</f>
        <v/>
      </c>
      <c r="BN36" s="1051" t="n"/>
      <c r="BO36" s="1051">
        <f>IF(BE36&lt;=#REF!,#REF!,IF(BE36&lt;=#REF!,#REF!,IF(BE36&lt;=#REF!,#REF!,IF(BE36&lt;=#REF!,#REF!,IF(BE36&lt;=#REF!,#REF!,IF(BE36&lt;=#REF!,#REF!,IF(BE36&lt;=#REF!,#REF!,0.05)))))))</f>
        <v/>
      </c>
      <c r="BP36" s="2193">
        <f>BO36*SUM(BM36,BJ36,BE36)</f>
        <v/>
      </c>
      <c r="BQ36" s="1051" t="n"/>
      <c r="BR36" s="2194">
        <f>IF(BH36&lt;=#REF!,#REF!,IF(BH36&lt;=#REF!,#REF!,IF(BH36&lt;=#REF!,#REF!,IF(BH36&lt;=#REF!,#REF!,IF(BH36&lt;=#REF!,#REF!,IF(BH36&lt;=#REF!,#REF!,IF(BH36&lt;=#REF!,#REF!,0.05)))))))</f>
        <v/>
      </c>
      <c r="BS36" s="2193">
        <f>BR36*BH36</f>
        <v/>
      </c>
      <c r="BU36" s="1932">
        <f>0.07*SUM(BE36,BJ36,BM36,BP36,BS36)</f>
        <v/>
      </c>
      <c r="BW36" s="1932">
        <f>SUM(BU36,BS36,BP36,BM36,BJ36,BE36)</f>
        <v/>
      </c>
      <c r="BX36" s="1933">
        <f>SUM(BS36,BP36,BM36,BJ36)</f>
        <v/>
      </c>
      <c r="BY36" s="1051">
        <f>BX36/BW36</f>
        <v/>
      </c>
      <c r="CO36" s="2193" t="n">
        <v>27000</v>
      </c>
      <c r="CP36" s="2193" t="n"/>
      <c r="CQ36" s="2193" t="n"/>
      <c r="CR36" s="2193">
        <f>CO36</f>
        <v/>
      </c>
      <c r="CS36" s="2193" t="n"/>
      <c r="CT36" s="2193" t="n"/>
      <c r="CU36" s="2193">
        <f>CO36+CR36</f>
        <v/>
      </c>
      <c r="CV36" s="2193" t="n"/>
      <c r="CW36" s="2193" t="n"/>
      <c r="CX36" s="2193">
        <f>CU36</f>
        <v/>
      </c>
      <c r="CY36" s="1051">
        <f>IF(CO36&lt;=BQ$6,BP$6,IF(CO36&lt;=BQ$7,BP$7,IF(CO36&lt;=BQ$8,BP$8,IF(CO36&lt;=BQ$9,BP$9,IF(CO36&lt;=BQ$14,BP$14,IF(CO36&lt;=BQ$15,BP$15,IF(CO36&lt;=BQ$16,BP$16,0.05)))))))</f>
        <v/>
      </c>
      <c r="CZ36" s="2193">
        <f>CY36*CO36</f>
        <v/>
      </c>
      <c r="DA36" s="1051" t="n"/>
      <c r="DB36" s="1051">
        <f>IF(CR36&lt;=BT$6,BS$6,IF(CR36&lt;=BT$7,BS$7,IF(CR36&lt;=BT$8,BS$8,IF(CR36&lt;=BT$9,BS$9,IF(CR36&lt;=BT$14,BS$14,IF(CR36&lt;=BT$15,BS$15,IF(CR36&lt;=BT$16,BS$16,0.05)))))))</f>
        <v/>
      </c>
      <c r="DC36" s="2193">
        <f>DB36*CR36</f>
        <v/>
      </c>
      <c r="DD36" s="1051" t="n"/>
      <c r="DE36" s="1051">
        <f>IF(CU36&lt;=BW$6,BV$6,IF(CU36&lt;=BW$7,BV$7,IF(CU36&lt;=BW$8,BV$8,IF(CU36&lt;=BW$9,BV$9,IF(CU36&lt;=BW$14,BV$14,IF(CU36&lt;=BW$15,BV$15,IF(CU36&lt;=BW$16,BV$16,0.05)))))))</f>
        <v/>
      </c>
      <c r="DF36" s="2193">
        <f>DE36*SUM(DC36,CZ36,CU36)</f>
        <v/>
      </c>
      <c r="DG36" s="1051" t="n"/>
      <c r="DH36" s="2194">
        <f>IF(CX36&lt;=BZ$6,BY$6,IF(CX36&lt;=BZ$7,BY$7,IF(CX36&lt;=BZ$8,BY$8,IF(CX36&lt;=BZ$9,BY$9,IF(CX36&lt;=BZ$14,BY$14,IF(CX36&lt;=BZ$15,BY$15,IF(CX36&lt;=BZ$16,BY$16,0.05)))))))</f>
        <v/>
      </c>
      <c r="DI36" s="2193">
        <f>DH36*CX36</f>
        <v/>
      </c>
      <c r="DK36" s="1932">
        <f>0.07*SUM(CU36,CZ36,DC36,DF36,DI36)</f>
        <v/>
      </c>
      <c r="DM36" s="1932">
        <f>SUM(DK36,DI36,DF36,DC36,CZ36,CU36)</f>
        <v/>
      </c>
      <c r="DN36" s="1933">
        <f>SUM(DI36,DF36,DC36,CZ36)</f>
        <v/>
      </c>
      <c r="DO36" s="1051">
        <f>DN36/DM36</f>
        <v/>
      </c>
    </row>
    <row r="37" customFormat="1" s="585">
      <c r="A37" s="688" t="n"/>
      <c r="B37" s="2229" t="n"/>
      <c r="C37" s="2230" t="n"/>
      <c r="D37" s="1985" t="n"/>
      <c r="E37" s="1986">
        <f>B37*D37</f>
        <v/>
      </c>
      <c r="F37" s="600" t="n"/>
      <c r="G37" s="600" t="n"/>
      <c r="H37" s="714" t="inlineStr">
        <is>
          <t>[280 = USG 1/8"]</t>
        </is>
      </c>
      <c r="I37" s="1617" t="inlineStr">
        <is>
          <t>[Formulated = 448]</t>
        </is>
      </c>
      <c r="K37" s="633" t="inlineStr">
        <is>
          <t>shipping on mat,primr,iso,tape = 10%</t>
        </is>
      </c>
      <c r="L37" s="2127">
        <f>(ROUNDUP(((SUM(E27:E31,IF(B36&lt;448,(SUM(E35:E37)),0)))*D40),0))</f>
        <v/>
      </c>
      <c r="M37" s="585" t="inlineStr">
        <is>
          <t>159k vs 159,300 Hard Surfaces</t>
        </is>
      </c>
      <c r="N37" s="1947" t="inlineStr">
        <is>
          <t>1/8"</t>
        </is>
      </c>
      <c r="O37" s="1012" t="inlineStr">
        <is>
          <t>SAM-N12   (1/8")</t>
        </is>
      </c>
      <c r="P37" s="2231">
        <f>Q37*R37</f>
        <v/>
      </c>
      <c r="Q37" s="1014" t="n">
        <v>494</v>
      </c>
      <c r="R37" s="2232" t="n">
        <v>0.48</v>
      </c>
      <c r="S37" s="2223" t="inlineStr">
        <is>
          <t>Bag Price (2500)</t>
        </is>
      </c>
      <c r="T37" s="2135" t="n">
        <v>14.08</v>
      </c>
      <c r="U37" s="1519" t="inlineStr">
        <is>
          <t>-or- (3500)</t>
        </is>
      </c>
      <c r="V37" s="1928" t="n">
        <v>18.6</v>
      </c>
      <c r="AY37" s="2193" t="n">
        <v>28000</v>
      </c>
      <c r="AZ37" s="2193" t="n"/>
      <c r="BA37" s="2193" t="n"/>
      <c r="BB37" s="2193">
        <f>AY37</f>
        <v/>
      </c>
      <c r="BC37" s="2193" t="n"/>
      <c r="BD37" s="2193" t="n"/>
      <c r="BE37" s="2193">
        <f>AY37+BB37</f>
        <v/>
      </c>
      <c r="BF37" s="2193" t="n"/>
      <c r="BG37" s="2193" t="n"/>
      <c r="BH37" s="2193">
        <f>BE37</f>
        <v/>
      </c>
      <c r="BI37" s="1051">
        <f>IF(AY37&lt;=#REF!,#REF!,IF(AY37&lt;=#REF!,#REF!,IF(AY37&lt;=#REF!,#REF!,IF(AY37&lt;=#REF!,#REF!,IF(AY37&lt;=#REF!,#REF!,IF(AY37&lt;=#REF!,#REF!,IF(AY37&lt;=#REF!,#REF!,0.05)))))))</f>
        <v/>
      </c>
      <c r="BJ37" s="2193">
        <f>BI37*AY37</f>
        <v/>
      </c>
      <c r="BK37" s="1051" t="n"/>
      <c r="BL37" s="1051">
        <f>IF(BB37&lt;=#REF!,#REF!,IF(BB37&lt;=#REF!,#REF!,IF(BB37&lt;=#REF!,#REF!,IF(BB37&lt;=#REF!,#REF!,IF(BB37&lt;=#REF!,#REF!,IF(BB37&lt;=#REF!,#REF!,IF(BB37&lt;=#REF!,#REF!,0.05)))))))</f>
        <v/>
      </c>
      <c r="BM37" s="2193">
        <f>BL37*BB37</f>
        <v/>
      </c>
      <c r="BN37" s="1051" t="n"/>
      <c r="BO37" s="1051">
        <f>IF(BE37&lt;=#REF!,#REF!,IF(BE37&lt;=#REF!,#REF!,IF(BE37&lt;=#REF!,#REF!,IF(BE37&lt;=#REF!,#REF!,IF(BE37&lt;=#REF!,#REF!,IF(BE37&lt;=#REF!,#REF!,IF(BE37&lt;=#REF!,#REF!,0.05)))))))</f>
        <v/>
      </c>
      <c r="BP37" s="2193">
        <f>BO37*SUM(BM37,BJ37,BE37)</f>
        <v/>
      </c>
      <c r="BQ37" s="1051" t="n"/>
      <c r="BR37" s="2194">
        <f>IF(BH37&lt;=#REF!,#REF!,IF(BH37&lt;=#REF!,#REF!,IF(BH37&lt;=#REF!,#REF!,IF(BH37&lt;=#REF!,#REF!,IF(BH37&lt;=#REF!,#REF!,IF(BH37&lt;=#REF!,#REF!,IF(BH37&lt;=#REF!,#REF!,0.05)))))))</f>
        <v/>
      </c>
      <c r="BS37" s="2193">
        <f>BR37*BH37</f>
        <v/>
      </c>
      <c r="BU37" s="1932">
        <f>0.07*SUM(BE37,BJ37,BM37,BP37,BS37)</f>
        <v/>
      </c>
      <c r="BW37" s="1932">
        <f>SUM(BU37,BS37,BP37,BM37,BJ37,BE37)</f>
        <v/>
      </c>
      <c r="BX37" s="1933">
        <f>SUM(BS37,BP37,BM37,BJ37)</f>
        <v/>
      </c>
      <c r="BY37" s="1051">
        <f>BX37/BW37</f>
        <v/>
      </c>
      <c r="CO37" s="2193" t="n">
        <v>28000</v>
      </c>
      <c r="CP37" s="2193" t="n"/>
      <c r="CQ37" s="2193" t="n"/>
      <c r="CR37" s="2193">
        <f>CO37</f>
        <v/>
      </c>
      <c r="CS37" s="2193" t="n"/>
      <c r="CT37" s="2193" t="n"/>
      <c r="CU37" s="2193">
        <f>CO37+CR37</f>
        <v/>
      </c>
      <c r="CV37" s="2193" t="n"/>
      <c r="CW37" s="2193" t="n"/>
      <c r="CX37" s="2193">
        <f>CU37</f>
        <v/>
      </c>
      <c r="CY37" s="1051">
        <f>IF(CO37&lt;=BQ$6,BP$6,IF(CO37&lt;=BQ$7,BP$7,IF(CO37&lt;=BQ$8,BP$8,IF(CO37&lt;=BQ$9,BP$9,IF(CO37&lt;=BQ$14,BP$14,IF(CO37&lt;=BQ$15,BP$15,IF(CO37&lt;=BQ$16,BP$16,0.05)))))))</f>
        <v/>
      </c>
      <c r="CZ37" s="2193">
        <f>CY37*CO37</f>
        <v/>
      </c>
      <c r="DA37" s="1051" t="n"/>
      <c r="DB37" s="1051">
        <f>IF(CR37&lt;=BT$6,BS$6,IF(CR37&lt;=BT$7,BS$7,IF(CR37&lt;=BT$8,BS$8,IF(CR37&lt;=BT$9,BS$9,IF(CR37&lt;=BT$14,BS$14,IF(CR37&lt;=BT$15,BS$15,IF(CR37&lt;=BT$16,BS$16,0.05)))))))</f>
        <v/>
      </c>
      <c r="DC37" s="2193">
        <f>DB37*CR37</f>
        <v/>
      </c>
      <c r="DD37" s="1051" t="n"/>
      <c r="DE37" s="1051">
        <f>IF(CU37&lt;=BW$6,BV$6,IF(CU37&lt;=BW$7,BV$7,IF(CU37&lt;=BW$8,BV$8,IF(CU37&lt;=BW$9,BV$9,IF(CU37&lt;=BW$14,BV$14,IF(CU37&lt;=BW$15,BV$15,IF(CU37&lt;=BW$16,BV$16,0.05)))))))</f>
        <v/>
      </c>
      <c r="DF37" s="2193">
        <f>DE37*SUM(DC37,CZ37,CU37)</f>
        <v/>
      </c>
      <c r="DG37" s="1051" t="n"/>
      <c r="DH37" s="2194">
        <f>IF(CX37&lt;=BZ$6,BY$6,IF(CX37&lt;=BZ$7,BY$7,IF(CX37&lt;=BZ$8,BY$8,IF(CX37&lt;=BZ$9,BY$9,IF(CX37&lt;=BZ$14,BY$14,IF(CX37&lt;=BZ$15,BY$15,IF(CX37&lt;=BZ$16,BY$16,0.05)))))))</f>
        <v/>
      </c>
      <c r="DI37" s="2193">
        <f>DH37*CX37</f>
        <v/>
      </c>
      <c r="DK37" s="1932">
        <f>0.07*SUM(CU37,CZ37,DC37,DF37,DI37)</f>
        <v/>
      </c>
      <c r="DM37" s="1932">
        <f>SUM(DK37,DI37,DF37,DC37,CZ37,CU37)</f>
        <v/>
      </c>
      <c r="DN37" s="1933">
        <f>SUM(DI37,DF37,DC37,CZ37)</f>
        <v/>
      </c>
      <c r="DO37" s="1051">
        <f>DN37/DM37</f>
        <v/>
      </c>
    </row>
    <row r="38" ht="16.05" customFormat="1" customHeight="1" s="585">
      <c r="A38" s="1783" t="inlineStr">
        <is>
          <t>Material Sub Total</t>
        </is>
      </c>
      <c r="B38" s="1533" t="n"/>
      <c r="C38" s="2166" t="n"/>
      <c r="D38" s="2166" t="n"/>
      <c r="E38" s="1987">
        <f>ROUNDUP(SUM(E20:E37),0)</f>
        <v/>
      </c>
      <c r="F38" s="600" t="n"/>
      <c r="G38" s="600" t="n"/>
      <c r="H38" s="714" t="inlineStr">
        <is>
          <t>[208 = USG 1/4" +]</t>
        </is>
      </c>
      <c r="I38" s="793" t="inlineStr">
        <is>
          <t>[260 = USG 3/16"]</t>
        </is>
      </c>
      <c r="K38" s="633" t="inlineStr">
        <is>
          <t>combined=</t>
        </is>
      </c>
      <c r="L38" s="2135">
        <f>SUM(L36:L37)</f>
        <v/>
      </c>
      <c r="N38" s="1947" t="inlineStr">
        <is>
          <t>1/4"</t>
        </is>
      </c>
      <c r="O38" s="1016" t="inlineStr">
        <is>
          <t>SAM-N25   (1/4")</t>
        </is>
      </c>
      <c r="P38" s="2233">
        <f>Q38*R38</f>
        <v/>
      </c>
      <c r="Q38" s="1018" t="n">
        <v>445</v>
      </c>
      <c r="R38" s="2234" t="n">
        <v>0.55</v>
      </c>
      <c r="S38" s="633" t="inlineStr">
        <is>
          <t>Wood Primer</t>
        </is>
      </c>
      <c r="T38" s="2235">
        <f>108/5</f>
        <v/>
      </c>
      <c r="U38" s="585" t="inlineStr">
        <is>
          <t xml:space="preserve">($108 /5 gal) -or- ($891 /Drum </t>
        </is>
      </c>
      <c r="W38" s="840" t="inlineStr">
        <is>
          <t>x gallons ???)</t>
        </is>
      </c>
      <c r="AY38" s="2193" t="n">
        <v>29000</v>
      </c>
      <c r="AZ38" s="2193" t="n"/>
      <c r="BA38" s="2193" t="n"/>
      <c r="BB38" s="2193">
        <f>AY38</f>
        <v/>
      </c>
      <c r="BC38" s="2193" t="n"/>
      <c r="BD38" s="2193" t="n"/>
      <c r="BE38" s="2193">
        <f>AY38+BB38</f>
        <v/>
      </c>
      <c r="BF38" s="2193" t="n"/>
      <c r="BG38" s="2193" t="n"/>
      <c r="BH38" s="2193">
        <f>BE38</f>
        <v/>
      </c>
      <c r="BI38" s="1051">
        <f>IF(AY38&lt;=#REF!,#REF!,IF(AY38&lt;=#REF!,#REF!,IF(AY38&lt;=#REF!,#REF!,IF(AY38&lt;=#REF!,#REF!,IF(AY38&lt;=#REF!,#REF!,IF(AY38&lt;=#REF!,#REF!,IF(AY38&lt;=#REF!,#REF!,0.05)))))))</f>
        <v/>
      </c>
      <c r="BJ38" s="2193">
        <f>BI38*AY38</f>
        <v/>
      </c>
      <c r="BK38" s="1051" t="n"/>
      <c r="BL38" s="1051">
        <f>IF(BB38&lt;=#REF!,#REF!,IF(BB38&lt;=#REF!,#REF!,IF(BB38&lt;=#REF!,#REF!,IF(BB38&lt;=#REF!,#REF!,IF(BB38&lt;=#REF!,#REF!,IF(BB38&lt;=#REF!,#REF!,IF(BB38&lt;=#REF!,#REF!,0.05)))))))</f>
        <v/>
      </c>
      <c r="BM38" s="2193">
        <f>BL38*BB38</f>
        <v/>
      </c>
      <c r="BN38" s="1051" t="n"/>
      <c r="BO38" s="1051">
        <f>IF(BE38&lt;=#REF!,#REF!,IF(BE38&lt;=#REF!,#REF!,IF(BE38&lt;=#REF!,#REF!,IF(BE38&lt;=#REF!,#REF!,IF(BE38&lt;=#REF!,#REF!,IF(BE38&lt;=#REF!,#REF!,IF(BE38&lt;=#REF!,#REF!,0.05)))))))</f>
        <v/>
      </c>
      <c r="BP38" s="2193">
        <f>BO38*SUM(BM38,BJ38,BE38)</f>
        <v/>
      </c>
      <c r="BQ38" s="1051" t="n"/>
      <c r="BR38" s="2194">
        <f>IF(BH38&lt;=#REF!,#REF!,IF(BH38&lt;=#REF!,#REF!,IF(BH38&lt;=#REF!,#REF!,IF(BH38&lt;=#REF!,#REF!,IF(BH38&lt;=#REF!,#REF!,IF(BH38&lt;=#REF!,#REF!,IF(BH38&lt;=#REF!,#REF!,0.05)))))))</f>
        <v/>
      </c>
      <c r="BS38" s="2193">
        <f>BR38*BH38</f>
        <v/>
      </c>
      <c r="BU38" s="1932">
        <f>0.07*SUM(BE38,BJ38,BM38,BP38,BS38)</f>
        <v/>
      </c>
      <c r="BW38" s="1932">
        <f>SUM(BU38,BS38,BP38,BM38,BJ38,BE38)</f>
        <v/>
      </c>
      <c r="BX38" s="1933">
        <f>SUM(BS38,BP38,BM38,BJ38)</f>
        <v/>
      </c>
      <c r="BY38" s="1051">
        <f>BX38/BW38</f>
        <v/>
      </c>
      <c r="CO38" s="2193" t="n">
        <v>29000</v>
      </c>
      <c r="CP38" s="2193" t="n"/>
      <c r="CQ38" s="2193" t="n"/>
      <c r="CR38" s="2193">
        <f>CO38</f>
        <v/>
      </c>
      <c r="CS38" s="2193" t="n"/>
      <c r="CT38" s="2193" t="n"/>
      <c r="CU38" s="2193">
        <f>CO38+CR38</f>
        <v/>
      </c>
      <c r="CV38" s="2193" t="n"/>
      <c r="CW38" s="2193" t="n"/>
      <c r="CX38" s="2193">
        <f>CU38</f>
        <v/>
      </c>
      <c r="CY38" s="1051">
        <f>IF(CO38&lt;=BQ$6,BP$6,IF(CO38&lt;=BQ$7,BP$7,IF(CO38&lt;=BQ$8,BP$8,IF(CO38&lt;=BQ$9,BP$9,IF(CO38&lt;=BQ$14,BP$14,IF(CO38&lt;=BQ$15,BP$15,IF(CO38&lt;=BQ$16,BP$16,0.05)))))))</f>
        <v/>
      </c>
      <c r="CZ38" s="2193">
        <f>CY38*CO38</f>
        <v/>
      </c>
      <c r="DA38" s="1051" t="n"/>
      <c r="DB38" s="1051">
        <f>IF(CR38&lt;=BT$6,BS$6,IF(CR38&lt;=BT$7,BS$7,IF(CR38&lt;=BT$8,BS$8,IF(CR38&lt;=BT$9,BS$9,IF(CR38&lt;=BT$14,BS$14,IF(CR38&lt;=BT$15,BS$15,IF(CR38&lt;=BT$16,BS$16,0.05)))))))</f>
        <v/>
      </c>
      <c r="DC38" s="2193">
        <f>DB38*CR38</f>
        <v/>
      </c>
      <c r="DD38" s="1051" t="n"/>
      <c r="DE38" s="1051">
        <f>IF(CU38&lt;=BW$6,BV$6,IF(CU38&lt;=BW$7,BV$7,IF(CU38&lt;=BW$8,BV$8,IF(CU38&lt;=BW$9,BV$9,IF(CU38&lt;=BW$14,BV$14,IF(CU38&lt;=BW$15,BV$15,IF(CU38&lt;=BW$16,BV$16,0.05)))))))</f>
        <v/>
      </c>
      <c r="DF38" s="2193">
        <f>DE38*SUM(DC38,CZ38,CU38)</f>
        <v/>
      </c>
      <c r="DG38" s="1051" t="n"/>
      <c r="DH38" s="2194">
        <f>IF(CX38&lt;=BZ$6,BY$6,IF(CX38&lt;=BZ$7,BY$7,IF(CX38&lt;=BZ$8,BY$8,IF(CX38&lt;=BZ$9,BY$9,IF(CX38&lt;=BZ$14,BY$14,IF(CX38&lt;=BZ$15,BY$15,IF(CX38&lt;=BZ$16,BY$16,0.05)))))))</f>
        <v/>
      </c>
      <c r="DI38" s="2193">
        <f>DH38*CX38</f>
        <v/>
      </c>
      <c r="DK38" s="1932">
        <f>0.07*SUM(CU38,CZ38,DC38,DF38,DI38)</f>
        <v/>
      </c>
      <c r="DM38" s="1932">
        <f>SUM(DK38,DI38,DF38,DC38,CZ38,CU38)</f>
        <v/>
      </c>
      <c r="DN38" s="1933">
        <f>SUM(DI38,DF38,DC38,CZ38)</f>
        <v/>
      </c>
      <c r="DO38" s="1051">
        <f>DN38/DM38</f>
        <v/>
      </c>
    </row>
    <row r="39" customFormat="1" s="585">
      <c r="A39" s="1418" t="inlineStr">
        <is>
          <t>Material Escalation</t>
        </is>
      </c>
      <c r="B39" s="1417" t="n">
        <v>0.08</v>
      </c>
      <c r="C39" s="2236" t="n"/>
      <c r="D39" s="2237" t="n"/>
      <c r="E39" s="2238">
        <f>ROUNDUP(SUM(E23:E31,E35:E37)*B39,0)</f>
        <v/>
      </c>
      <c r="F39" s="1416" t="inlineStr">
        <is>
          <t>escalation for gyp, extras + mat</t>
        </is>
      </c>
      <c r="G39" s="600" t="n"/>
      <c r="H39" s="1876" t="n"/>
      <c r="K39" s="674" t="inlineStr">
        <is>
          <t>(**none on sand**)</t>
        </is>
      </c>
      <c r="L39" s="700" t="n"/>
      <c r="M39" s="700" t="n"/>
      <c r="N39" s="1947" t="inlineStr">
        <is>
          <t>3/8"</t>
        </is>
      </c>
      <c r="O39" s="1020" t="inlineStr">
        <is>
          <t>SAM-N40    (3/8")</t>
        </is>
      </c>
      <c r="P39" s="2239">
        <f>Q39*R39</f>
        <v/>
      </c>
      <c r="Q39" s="1021" t="n">
        <v>330</v>
      </c>
      <c r="R39" s="2240" t="n">
        <v>0.65</v>
      </c>
      <c r="S39" s="633" t="inlineStr">
        <is>
          <t>Iso</t>
        </is>
      </c>
      <c r="T39" s="2235" t="n">
        <v>25</v>
      </c>
      <c r="U39" s="840" t="inlineStr">
        <is>
          <t>ISO ??? Which one ??</t>
        </is>
      </c>
      <c r="V39" s="840" t="n"/>
      <c r="AY39" s="2193" t="n">
        <v>30000</v>
      </c>
      <c r="AZ39" s="2193" t="n"/>
      <c r="BA39" s="2193" t="n"/>
      <c r="BB39" s="2193">
        <f>AY39</f>
        <v/>
      </c>
      <c r="BC39" s="2193" t="n"/>
      <c r="BD39" s="2193" t="n"/>
      <c r="BE39" s="2193">
        <f>AY39+BB39</f>
        <v/>
      </c>
      <c r="BF39" s="2193" t="n"/>
      <c r="BG39" s="2193" t="n"/>
      <c r="BH39" s="2193">
        <f>BE39</f>
        <v/>
      </c>
      <c r="BI39" s="1051">
        <f>IF(AY39&lt;=#REF!,#REF!,IF(AY39&lt;=#REF!,#REF!,IF(AY39&lt;=#REF!,#REF!,IF(AY39&lt;=#REF!,#REF!,IF(AY39&lt;=#REF!,#REF!,IF(AY39&lt;=#REF!,#REF!,IF(AY39&lt;=#REF!,#REF!,0.05)))))))</f>
        <v/>
      </c>
      <c r="BJ39" s="2193">
        <f>BI39*AY39</f>
        <v/>
      </c>
      <c r="BK39" s="1051" t="n"/>
      <c r="BL39" s="1051">
        <f>IF(BB39&lt;=#REF!,#REF!,IF(BB39&lt;=#REF!,#REF!,IF(BB39&lt;=#REF!,#REF!,IF(BB39&lt;=#REF!,#REF!,IF(BB39&lt;=#REF!,#REF!,IF(BB39&lt;=#REF!,#REF!,IF(BB39&lt;=#REF!,#REF!,0.05)))))))</f>
        <v/>
      </c>
      <c r="BM39" s="2193">
        <f>BL39*BB39</f>
        <v/>
      </c>
      <c r="BN39" s="1051" t="n"/>
      <c r="BO39" s="1051">
        <f>IF(BE39&lt;=#REF!,#REF!,IF(BE39&lt;=#REF!,#REF!,IF(BE39&lt;=#REF!,#REF!,IF(BE39&lt;=#REF!,#REF!,IF(BE39&lt;=#REF!,#REF!,IF(BE39&lt;=#REF!,#REF!,IF(BE39&lt;=#REF!,#REF!,0.05)))))))</f>
        <v/>
      </c>
      <c r="BP39" s="2193">
        <f>BO39*SUM(BM39,BJ39,BE39)</f>
        <v/>
      </c>
      <c r="BQ39" s="1051" t="n"/>
      <c r="BR39" s="2194">
        <f>IF(BH39&lt;=#REF!,#REF!,IF(BH39&lt;=#REF!,#REF!,IF(BH39&lt;=#REF!,#REF!,IF(BH39&lt;=#REF!,#REF!,IF(BH39&lt;=#REF!,#REF!,IF(BH39&lt;=#REF!,#REF!,IF(BH39&lt;=#REF!,#REF!,0.05)))))))</f>
        <v/>
      </c>
      <c r="BS39" s="2193">
        <f>BR39*BH39</f>
        <v/>
      </c>
      <c r="BU39" s="1932">
        <f>0.07*SUM(BE39,BJ39,BM39,BP39,BS39)</f>
        <v/>
      </c>
      <c r="BW39" s="1932">
        <f>SUM(BU39,BS39,BP39,BM39,BJ39,BE39)</f>
        <v/>
      </c>
      <c r="BX39" s="1933">
        <f>SUM(BS39,BP39,BM39,BJ39)</f>
        <v/>
      </c>
      <c r="BY39" s="1051">
        <f>BX39/BW39</f>
        <v/>
      </c>
      <c r="CO39" s="2193" t="n">
        <v>30000</v>
      </c>
      <c r="CP39" s="2193" t="n"/>
      <c r="CQ39" s="2193" t="n"/>
      <c r="CR39" s="2193">
        <f>CO39</f>
        <v/>
      </c>
      <c r="CS39" s="2193" t="n"/>
      <c r="CT39" s="2193" t="n"/>
      <c r="CU39" s="2193">
        <f>CO39+CR39</f>
        <v/>
      </c>
      <c r="CV39" s="2193" t="n"/>
      <c r="CW39" s="2193" t="n"/>
      <c r="CX39" s="2193">
        <f>CU39</f>
        <v/>
      </c>
      <c r="CY39" s="1051">
        <f>IF(CO39&lt;=BQ$6,BP$6,IF(CO39&lt;=BQ$7,BP$7,IF(CO39&lt;=BQ$8,BP$8,IF(CO39&lt;=BQ$9,BP$9,IF(CO39&lt;=BQ$14,BP$14,IF(CO39&lt;=BQ$15,BP$15,IF(CO39&lt;=BQ$16,BP$16,0.05)))))))</f>
        <v/>
      </c>
      <c r="CZ39" s="2193">
        <f>CY39*CO39</f>
        <v/>
      </c>
      <c r="DA39" s="1051" t="n"/>
      <c r="DB39" s="1051">
        <f>IF(CR39&lt;=BT$6,BS$6,IF(CR39&lt;=BT$7,BS$7,IF(CR39&lt;=BT$8,BS$8,IF(CR39&lt;=BT$9,BS$9,IF(CR39&lt;=BT$14,BS$14,IF(CR39&lt;=BT$15,BS$15,IF(CR39&lt;=BT$16,BS$16,0.05)))))))</f>
        <v/>
      </c>
      <c r="DC39" s="2193">
        <f>DB39*CR39</f>
        <v/>
      </c>
      <c r="DD39" s="1051" t="n"/>
      <c r="DE39" s="1051">
        <f>IF(CU39&lt;=BW$6,BV$6,IF(CU39&lt;=BW$7,BV$7,IF(CU39&lt;=BW$8,BV$8,IF(CU39&lt;=BW$9,BV$9,IF(CU39&lt;=BW$14,BV$14,IF(CU39&lt;=BW$15,BV$15,IF(CU39&lt;=BW$16,BV$16,0.05)))))))</f>
        <v/>
      </c>
      <c r="DF39" s="2193">
        <f>DE39*SUM(DC39,CZ39,CU39)</f>
        <v/>
      </c>
      <c r="DG39" s="1051" t="n"/>
      <c r="DH39" s="2194">
        <f>IF(CX39&lt;=BZ$6,BY$6,IF(CX39&lt;=BZ$7,BY$7,IF(CX39&lt;=BZ$8,BY$8,IF(CX39&lt;=BZ$9,BY$9,IF(CX39&lt;=BZ$14,BY$14,IF(CX39&lt;=BZ$15,BY$15,IF(CX39&lt;=BZ$16,BY$16,0.05)))))))</f>
        <v/>
      </c>
      <c r="DI39" s="2193">
        <f>DH39*CX39</f>
        <v/>
      </c>
      <c r="DK39" s="1932">
        <f>0.07*SUM(CU39,CZ39,DC39,DF39,DI39)</f>
        <v/>
      </c>
      <c r="DM39" s="1932">
        <f>SUM(DK39,DI39,DF39,DC39,CZ39,CU39)</f>
        <v/>
      </c>
      <c r="DN39" s="1933">
        <f>SUM(DI39,DF39,DC39,CZ39)</f>
        <v/>
      </c>
      <c r="DO39" s="1051">
        <f>DN39/DM39</f>
        <v/>
      </c>
    </row>
    <row r="40" ht="16.2" customFormat="1" customHeight="1" s="585" thickBot="1">
      <c r="A40" s="701" t="inlineStr">
        <is>
          <t>Shipping On... Gyp Bags:</t>
        </is>
      </c>
      <c r="B40" s="1059" t="n">
        <v>0.2</v>
      </c>
      <c r="C40" s="1058" t="inlineStr">
        <is>
          <t>... Ship Other:</t>
        </is>
      </c>
      <c r="D40" s="1059" t="n">
        <v>0.1</v>
      </c>
      <c r="E40" s="2168">
        <f>(ROUNDUP(SUM(E20:E26)*B40,0))+(ROUNDUP(((SUM(E27:E31,IF(B36&lt;H36,(SUM(E35:E37)),0)))*D40),0))</f>
        <v/>
      </c>
      <c r="F40" s="1060" t="inlineStr">
        <is>
          <t>Shipping: 20% on gyp bags, 10% on primer, iso, tape, mat (none on sand)</t>
        </is>
      </c>
      <c r="G40" s="1061" t="n"/>
      <c r="H40" s="1062" t="n"/>
      <c r="I40" s="1023" t="inlineStr">
        <is>
          <t>Material Budget</t>
        </is>
      </c>
      <c r="J40" s="707" t="n"/>
      <c r="N40" s="2241" t="inlineStr">
        <is>
          <t>3/16"</t>
        </is>
      </c>
      <c r="O40" s="1641" t="inlineStr">
        <is>
          <t>SAM-N12 ULTRA  (3/16")</t>
        </is>
      </c>
      <c r="P40" s="2242">
        <f>Q40*R40</f>
        <v/>
      </c>
      <c r="Q40" s="1643" t="n">
        <v>369</v>
      </c>
      <c r="R40" s="2243" t="n">
        <v>0.64</v>
      </c>
      <c r="S40" s="874" t="n"/>
      <c r="T40" s="874" t="n"/>
      <c r="U40" s="874" t="n"/>
      <c r="V40" s="874" t="n"/>
      <c r="AY40" s="2193" t="n">
        <v>31000</v>
      </c>
      <c r="AZ40" s="2193" t="n"/>
      <c r="BA40" s="2193" t="n"/>
      <c r="BB40" s="2193">
        <f>AY40</f>
        <v/>
      </c>
      <c r="BC40" s="2193" t="n"/>
      <c r="BD40" s="2193" t="n"/>
      <c r="BE40" s="2193">
        <f>AY40+BB40</f>
        <v/>
      </c>
      <c r="BF40" s="2193" t="n"/>
      <c r="BG40" s="2193" t="n"/>
      <c r="BH40" s="2193">
        <f>BE40</f>
        <v/>
      </c>
      <c r="BI40" s="1051">
        <f>IF(AY40&lt;=#REF!,#REF!,IF(AY40&lt;=#REF!,#REF!,IF(AY40&lt;=#REF!,#REF!,IF(AY40&lt;=#REF!,#REF!,IF(AY40&lt;=#REF!,#REF!,IF(AY40&lt;=#REF!,#REF!,IF(AY40&lt;=#REF!,#REF!,0.05)))))))</f>
        <v/>
      </c>
      <c r="BJ40" s="2193">
        <f>BI40*AY40</f>
        <v/>
      </c>
      <c r="BK40" s="1051" t="n"/>
      <c r="BL40" s="1051">
        <f>IF(BB40&lt;=#REF!,#REF!,IF(BB40&lt;=#REF!,#REF!,IF(BB40&lt;=#REF!,#REF!,IF(BB40&lt;=#REF!,#REF!,IF(BB40&lt;=#REF!,#REF!,IF(BB40&lt;=#REF!,#REF!,IF(BB40&lt;=#REF!,#REF!,0.05)))))))</f>
        <v/>
      </c>
      <c r="BM40" s="2193">
        <f>BL40*BB40</f>
        <v/>
      </c>
      <c r="BN40" s="1051" t="n"/>
      <c r="BO40" s="1051">
        <f>IF(BE40&lt;=#REF!,#REF!,IF(BE40&lt;=#REF!,#REF!,IF(BE40&lt;=#REF!,#REF!,IF(BE40&lt;=#REF!,#REF!,IF(BE40&lt;=#REF!,#REF!,IF(BE40&lt;=#REF!,#REF!,IF(BE40&lt;=#REF!,#REF!,0.05)))))))</f>
        <v/>
      </c>
      <c r="BP40" s="2193">
        <f>BO40*SUM(BM40,BJ40,BE40)</f>
        <v/>
      </c>
      <c r="BQ40" s="1051" t="n"/>
      <c r="BR40" s="2194">
        <f>IF(BH40&lt;=#REF!,#REF!,IF(BH40&lt;=#REF!,#REF!,IF(BH40&lt;=#REF!,#REF!,IF(BH40&lt;=#REF!,#REF!,IF(BH40&lt;=#REF!,#REF!,IF(BH40&lt;=#REF!,#REF!,IF(BH40&lt;=#REF!,#REF!,0.05)))))))</f>
        <v/>
      </c>
      <c r="BS40" s="2193">
        <f>BR40*BH40</f>
        <v/>
      </c>
      <c r="BU40" s="1932">
        <f>0.07*SUM(BE40,BJ40,BM40,BP40,BS40)</f>
        <v/>
      </c>
      <c r="BW40" s="1932">
        <f>SUM(BU40,BS40,BP40,BM40,BJ40,BE40)</f>
        <v/>
      </c>
      <c r="BX40" s="1933">
        <f>SUM(BS40,BP40,BM40,BJ40)</f>
        <v/>
      </c>
      <c r="BY40" s="1051">
        <f>BX40/BW40</f>
        <v/>
      </c>
      <c r="CO40" s="2193" t="n">
        <v>31000</v>
      </c>
      <c r="CP40" s="2193" t="n"/>
      <c r="CQ40" s="2193" t="n"/>
      <c r="CR40" s="2193">
        <f>CO40</f>
        <v/>
      </c>
      <c r="CS40" s="2193" t="n"/>
      <c r="CT40" s="2193" t="n"/>
      <c r="CU40" s="2193">
        <f>CO40+CR40</f>
        <v/>
      </c>
      <c r="CV40" s="2193" t="n"/>
      <c r="CW40" s="2193" t="n"/>
      <c r="CX40" s="2193">
        <f>CU40</f>
        <v/>
      </c>
      <c r="CY40" s="1051">
        <f>IF(CO40&lt;=BQ$6,BP$6,IF(CO40&lt;=BQ$7,BP$7,IF(CO40&lt;=BQ$8,BP$8,IF(CO40&lt;=BQ$9,BP$9,IF(CO40&lt;=BQ$14,BP$14,IF(CO40&lt;=BQ$15,BP$15,IF(CO40&lt;=BQ$16,BP$16,0.05)))))))</f>
        <v/>
      </c>
      <c r="CZ40" s="2193">
        <f>CY40*CO40</f>
        <v/>
      </c>
      <c r="DA40" s="1051" t="n"/>
      <c r="DB40" s="1051">
        <f>IF(CR40&lt;=BT$6,BS$6,IF(CR40&lt;=BT$7,BS$7,IF(CR40&lt;=BT$8,BS$8,IF(CR40&lt;=BT$9,BS$9,IF(CR40&lt;=BT$14,BS$14,IF(CR40&lt;=BT$15,BS$15,IF(CR40&lt;=BT$16,BS$16,0.05)))))))</f>
        <v/>
      </c>
      <c r="DC40" s="2193">
        <f>DB40*CR40</f>
        <v/>
      </c>
      <c r="DD40" s="1051" t="n"/>
      <c r="DE40" s="1051">
        <f>IF(CU40&lt;=BW$6,BV$6,IF(CU40&lt;=BW$7,BV$7,IF(CU40&lt;=BW$8,BV$8,IF(CU40&lt;=BW$9,BV$9,IF(CU40&lt;=BW$14,BV$14,IF(CU40&lt;=BW$15,BV$15,IF(CU40&lt;=BW$16,BV$16,0.05)))))))</f>
        <v/>
      </c>
      <c r="DF40" s="2193">
        <f>DE40*SUM(DC40,CZ40,CU40)</f>
        <v/>
      </c>
      <c r="DG40" s="1051" t="n"/>
      <c r="DH40" s="2194">
        <f>IF(CX40&lt;=BZ$6,BY$6,IF(CX40&lt;=BZ$7,BY$7,IF(CX40&lt;=BZ$8,BY$8,IF(CX40&lt;=BZ$9,BY$9,IF(CX40&lt;=BZ$14,BY$14,IF(CX40&lt;=BZ$15,BY$15,IF(CX40&lt;=BZ$16,BY$16,0.05)))))))</f>
        <v/>
      </c>
      <c r="DI40" s="2193">
        <f>DH40*CX40</f>
        <v/>
      </c>
      <c r="DK40" s="1932">
        <f>0.07*SUM(CU40,CZ40,DC40,DF40,DI40)</f>
        <v/>
      </c>
      <c r="DM40" s="1932">
        <f>SUM(DK40,DI40,DF40,DC40,CZ40,CU40)</f>
        <v/>
      </c>
      <c r="DN40" s="1933">
        <f>SUM(DI40,DF40,DC40,CZ40)</f>
        <v/>
      </c>
      <c r="DO40" s="1051">
        <f>DN40/DM40</f>
        <v/>
      </c>
    </row>
    <row r="41" customFormat="1" s="585">
      <c r="A41" s="708" t="inlineStr">
        <is>
          <t>Material Total</t>
        </is>
      </c>
      <c r="B41" s="709" t="n"/>
      <c r="C41" s="1991" t="n"/>
      <c r="D41" s="1991" t="n"/>
      <c r="E41" s="1991">
        <f>SUM(E38:E40)</f>
        <v/>
      </c>
      <c r="F41" s="711">
        <f>E41/B43</f>
        <v/>
      </c>
      <c r="G41" s="712" t="inlineStr">
        <is>
          <t>Material $/SF</t>
        </is>
      </c>
      <c r="H41" s="1944" t="n"/>
      <c r="I41" s="1992">
        <f>E41</f>
        <v/>
      </c>
      <c r="J41" s="1051" t="n"/>
      <c r="K41" s="600" t="n"/>
      <c r="L41" s="600" t="n"/>
      <c r="N41" s="1840" t="n"/>
      <c r="O41" s="1840" t="inlineStr">
        <is>
          <t>GrassWorx $: 10/2026</t>
        </is>
      </c>
      <c r="P41" s="1010" t="inlineStr">
        <is>
          <t xml:space="preserve">Price </t>
        </is>
      </c>
      <c r="Q41" s="1010" t="inlineStr">
        <is>
          <t xml:space="preserve">Sqft per Roll </t>
        </is>
      </c>
      <c r="R41" s="1010" t="inlineStr">
        <is>
          <t xml:space="preserve">$ per Sqft </t>
        </is>
      </c>
      <c r="S41" s="1841" t="inlineStr">
        <is>
          <t>GrassWorx $: Oct 2026 (per email May 1, '26 from Tom Torello &lt;tom.torello@grassworxllc.com&gt; )</t>
        </is>
      </c>
      <c r="T41" s="1841" t="n"/>
      <c r="AY41" s="2193" t="n">
        <v>32000</v>
      </c>
      <c r="AZ41" s="2193" t="n"/>
      <c r="BA41" s="2193" t="n"/>
      <c r="BB41" s="2193">
        <f>AY41</f>
        <v/>
      </c>
      <c r="BC41" s="2193" t="n"/>
      <c r="BD41" s="2193" t="n"/>
      <c r="BE41" s="2193">
        <f>AY41+BB41</f>
        <v/>
      </c>
      <c r="BF41" s="2193" t="n"/>
      <c r="BG41" s="2193" t="n"/>
      <c r="BH41" s="2193">
        <f>BE41</f>
        <v/>
      </c>
      <c r="BI41" s="1051">
        <f>IF(AY41&lt;=#REF!,#REF!,IF(AY41&lt;=#REF!,#REF!,IF(AY41&lt;=#REF!,#REF!,IF(AY41&lt;=#REF!,#REF!,IF(AY41&lt;=#REF!,#REF!,IF(AY41&lt;=#REF!,#REF!,IF(AY41&lt;=#REF!,#REF!,0.05)))))))</f>
        <v/>
      </c>
      <c r="BJ41" s="2193">
        <f>BI41*AY41</f>
        <v/>
      </c>
      <c r="BK41" s="1051" t="n"/>
      <c r="BL41" s="1051">
        <f>IF(BB41&lt;=#REF!,#REF!,IF(BB41&lt;=#REF!,#REF!,IF(BB41&lt;=#REF!,#REF!,IF(BB41&lt;=#REF!,#REF!,IF(BB41&lt;=#REF!,#REF!,IF(BB41&lt;=#REF!,#REF!,IF(BB41&lt;=#REF!,#REF!,0.05)))))))</f>
        <v/>
      </c>
      <c r="BM41" s="2193">
        <f>BL41*BB41</f>
        <v/>
      </c>
      <c r="BN41" s="1051" t="n"/>
      <c r="BO41" s="1051">
        <f>IF(BE41&lt;=#REF!,#REF!,IF(BE41&lt;=#REF!,#REF!,IF(BE41&lt;=#REF!,#REF!,IF(BE41&lt;=#REF!,#REF!,IF(BE41&lt;=#REF!,#REF!,IF(BE41&lt;=#REF!,#REF!,IF(BE41&lt;=#REF!,#REF!,0.05)))))))</f>
        <v/>
      </c>
      <c r="BP41" s="2193">
        <f>BO41*SUM(BM41,BJ41,BE41)</f>
        <v/>
      </c>
      <c r="BQ41" s="1051" t="n"/>
      <c r="BR41" s="2194">
        <f>IF(BH41&lt;=#REF!,#REF!,IF(BH41&lt;=#REF!,#REF!,IF(BH41&lt;=#REF!,#REF!,IF(BH41&lt;=#REF!,#REF!,IF(BH41&lt;=#REF!,#REF!,IF(BH41&lt;=#REF!,#REF!,IF(BH41&lt;=#REF!,#REF!,0.05)))))))</f>
        <v/>
      </c>
      <c r="BS41" s="2193">
        <f>BR41*BH41</f>
        <v/>
      </c>
      <c r="BU41" s="1932">
        <f>0.07*SUM(BE41,BJ41,BM41,BP41,BS41)</f>
        <v/>
      </c>
      <c r="BW41" s="1932">
        <f>SUM(BU41,BS41,BP41,BM41,BJ41,BE41)</f>
        <v/>
      </c>
      <c r="BX41" s="1933">
        <f>SUM(BS41,BP41,BM41,BJ41)</f>
        <v/>
      </c>
      <c r="BY41" s="1051">
        <f>BX41/BW41</f>
        <v/>
      </c>
      <c r="CO41" s="2193" t="n">
        <v>32000</v>
      </c>
      <c r="CP41" s="2193" t="n"/>
      <c r="CQ41" s="2193" t="n"/>
      <c r="CR41" s="2193">
        <f>CO41</f>
        <v/>
      </c>
      <c r="CS41" s="2193" t="n"/>
      <c r="CT41" s="2193" t="n"/>
      <c r="CU41" s="2193">
        <f>CO41+CR41</f>
        <v/>
      </c>
      <c r="CV41" s="2193" t="n"/>
      <c r="CW41" s="2193" t="n"/>
      <c r="CX41" s="2193">
        <f>CU41</f>
        <v/>
      </c>
      <c r="CY41" s="1051">
        <f>IF(CO41&lt;=BQ$6,BP$6,IF(CO41&lt;=BQ$7,BP$7,IF(CO41&lt;=BQ$8,BP$8,IF(CO41&lt;=BQ$9,BP$9,IF(CO41&lt;=BQ$14,BP$14,IF(CO41&lt;=BQ$15,BP$15,IF(CO41&lt;=BQ$16,BP$16,0.05)))))))</f>
        <v/>
      </c>
      <c r="CZ41" s="2193">
        <f>CY41*CO41</f>
        <v/>
      </c>
      <c r="DA41" s="1051" t="n"/>
      <c r="DB41" s="1051">
        <f>IF(CR41&lt;=BT$6,BS$6,IF(CR41&lt;=BT$7,BS$7,IF(CR41&lt;=BT$8,BS$8,IF(CR41&lt;=BT$9,BS$9,IF(CR41&lt;=BT$14,BS$14,IF(CR41&lt;=BT$15,BS$15,IF(CR41&lt;=BT$16,BS$16,0.05)))))))</f>
        <v/>
      </c>
      <c r="DC41" s="2193">
        <f>DB41*CR41</f>
        <v/>
      </c>
      <c r="DD41" s="1051" t="n"/>
      <c r="DE41" s="1051">
        <f>IF(CU41&lt;=BW$6,BV$6,IF(CU41&lt;=BW$7,BV$7,IF(CU41&lt;=BW$8,BV$8,IF(CU41&lt;=BW$9,BV$9,IF(CU41&lt;=BW$14,BV$14,IF(CU41&lt;=BW$15,BV$15,IF(CU41&lt;=BW$16,BV$16,0.05)))))))</f>
        <v/>
      </c>
      <c r="DF41" s="2193">
        <f>DE41*SUM(DC41,CZ41,CU41)</f>
        <v/>
      </c>
      <c r="DG41" s="1051" t="n"/>
      <c r="DH41" s="2194">
        <f>IF(CX41&lt;=BZ$6,BY$6,IF(CX41&lt;=BZ$7,BY$7,IF(CX41&lt;=BZ$8,BY$8,IF(CX41&lt;=BZ$9,BY$9,IF(CX41&lt;=BZ$14,BY$14,IF(CX41&lt;=BZ$15,BY$15,IF(CX41&lt;=BZ$16,BY$16,0.05)))))))</f>
        <v/>
      </c>
      <c r="DI41" s="2193">
        <f>DH41*CX41</f>
        <v/>
      </c>
      <c r="DK41" s="1932">
        <f>0.07*SUM(CU41,CZ41,DC41,DF41,DI41)</f>
        <v/>
      </c>
      <c r="DM41" s="1932">
        <f>SUM(DK41,DI41,DF41,DC41,CZ41,CU41)</f>
        <v/>
      </c>
      <c r="DN41" s="1933">
        <f>SUM(DI41,DF41,DC41,CZ41)</f>
        <v/>
      </c>
      <c r="DO41" s="1051">
        <f>DN41/DM41</f>
        <v/>
      </c>
    </row>
    <row r="42" customFormat="1" s="585">
      <c r="A42" s="834" t="n"/>
      <c r="B42" s="1877" t="n"/>
      <c r="C42" s="1944" t="n"/>
      <c r="D42" s="1944" t="n"/>
      <c r="E42" s="1944" t="n"/>
      <c r="F42" s="600" t="n"/>
      <c r="H42" s="1024" t="n"/>
      <c r="I42" s="600" t="n"/>
      <c r="J42" s="600" t="n"/>
      <c r="N42" s="1947" t="inlineStr">
        <is>
          <t>1/8"</t>
        </is>
      </c>
      <c r="O42" s="1012" t="inlineStr">
        <is>
          <t>SC 190   (1/8")</t>
        </is>
      </c>
      <c r="P42" s="2231">
        <f>Q42*R42</f>
        <v/>
      </c>
      <c r="Q42" s="1014" t="n">
        <v>300</v>
      </c>
      <c r="R42" s="2244">
        <f>0.35+0.04</f>
        <v/>
      </c>
      <c r="S42" s="633" t="n"/>
      <c r="T42" s="2135" t="n"/>
      <c r="U42" s="2135" t="n"/>
      <c r="AY42" s="2193" t="n">
        <v>33000</v>
      </c>
      <c r="AZ42" s="2193" t="n"/>
      <c r="BA42" s="2193" t="n"/>
      <c r="BB42" s="2193">
        <f>AY42</f>
        <v/>
      </c>
      <c r="BC42" s="2193" t="n"/>
      <c r="BD42" s="2193" t="n"/>
      <c r="BE42" s="2193">
        <f>AY42+BB42</f>
        <v/>
      </c>
      <c r="BF42" s="2193" t="n"/>
      <c r="BG42" s="2193" t="n"/>
      <c r="BH42" s="2193">
        <f>BE42</f>
        <v/>
      </c>
      <c r="BI42" s="1051">
        <f>IF(AY42&lt;=#REF!,#REF!,IF(AY42&lt;=#REF!,#REF!,IF(AY42&lt;=#REF!,#REF!,IF(AY42&lt;=#REF!,#REF!,IF(AY42&lt;=#REF!,#REF!,IF(AY42&lt;=#REF!,#REF!,IF(AY42&lt;=#REF!,#REF!,0.05)))))))</f>
        <v/>
      </c>
      <c r="BJ42" s="2193">
        <f>BI42*AY42</f>
        <v/>
      </c>
      <c r="BK42" s="1051" t="n"/>
      <c r="BL42" s="1051">
        <f>IF(BB42&lt;=#REF!,#REF!,IF(BB42&lt;=#REF!,#REF!,IF(BB42&lt;=#REF!,#REF!,IF(BB42&lt;=#REF!,#REF!,IF(BB42&lt;=#REF!,#REF!,IF(BB42&lt;=#REF!,#REF!,IF(BB42&lt;=#REF!,#REF!,0.05)))))))</f>
        <v/>
      </c>
      <c r="BM42" s="2193">
        <f>BL42*BB42</f>
        <v/>
      </c>
      <c r="BN42" s="1051" t="n"/>
      <c r="BO42" s="1051">
        <f>IF(BE42&lt;=#REF!,#REF!,IF(BE42&lt;=#REF!,#REF!,IF(BE42&lt;=#REF!,#REF!,IF(BE42&lt;=#REF!,#REF!,IF(BE42&lt;=#REF!,#REF!,IF(BE42&lt;=#REF!,#REF!,IF(BE42&lt;=#REF!,#REF!,0.05)))))))</f>
        <v/>
      </c>
      <c r="BP42" s="2193">
        <f>BO42*SUM(BM42,BJ42,BE42)</f>
        <v/>
      </c>
      <c r="BQ42" s="1051" t="n"/>
      <c r="BR42" s="2194">
        <f>IF(BH42&lt;=#REF!,#REF!,IF(BH42&lt;=#REF!,#REF!,IF(BH42&lt;=#REF!,#REF!,IF(BH42&lt;=#REF!,#REF!,IF(BH42&lt;=#REF!,#REF!,IF(BH42&lt;=#REF!,#REF!,IF(BH42&lt;=#REF!,#REF!,0.05)))))))</f>
        <v/>
      </c>
      <c r="BS42" s="2193">
        <f>BR42*BH42</f>
        <v/>
      </c>
      <c r="BU42" s="1932">
        <f>0.07*SUM(BE42,BJ42,BM42,BP42,BS42)</f>
        <v/>
      </c>
      <c r="BW42" s="1932">
        <f>SUM(BU42,BS42,BP42,BM42,BJ42,BE42)</f>
        <v/>
      </c>
      <c r="BX42" s="1933">
        <f>SUM(BS42,BP42,BM42,BJ42)</f>
        <v/>
      </c>
      <c r="BY42" s="1051">
        <f>BX42/BW42</f>
        <v/>
      </c>
      <c r="CO42" s="2193" t="n">
        <v>33000</v>
      </c>
      <c r="CP42" s="2193" t="n"/>
      <c r="CQ42" s="2193" t="n"/>
      <c r="CR42" s="2193">
        <f>CO42</f>
        <v/>
      </c>
      <c r="CS42" s="2193" t="n"/>
      <c r="CT42" s="2193" t="n"/>
      <c r="CU42" s="2193">
        <f>CO42+CR42</f>
        <v/>
      </c>
      <c r="CV42" s="2193" t="n"/>
      <c r="CW42" s="2193" t="n"/>
      <c r="CX42" s="2193">
        <f>CU42</f>
        <v/>
      </c>
      <c r="CY42" s="1051">
        <f>IF(CO42&lt;=BQ$6,BP$6,IF(CO42&lt;=BQ$7,BP$7,IF(CO42&lt;=BQ$8,BP$8,IF(CO42&lt;=BQ$9,BP$9,IF(CO42&lt;=BQ$14,BP$14,IF(CO42&lt;=BQ$15,BP$15,IF(CO42&lt;=BQ$16,BP$16,0.05)))))))</f>
        <v/>
      </c>
      <c r="CZ42" s="2193">
        <f>CY42*CO42</f>
        <v/>
      </c>
      <c r="DA42" s="1051" t="n"/>
      <c r="DB42" s="1051">
        <f>IF(CR42&lt;=BT$6,BS$6,IF(CR42&lt;=BT$7,BS$7,IF(CR42&lt;=BT$8,BS$8,IF(CR42&lt;=BT$9,BS$9,IF(CR42&lt;=BT$14,BS$14,IF(CR42&lt;=BT$15,BS$15,IF(CR42&lt;=BT$16,BS$16,0.05)))))))</f>
        <v/>
      </c>
      <c r="DC42" s="2193">
        <f>DB42*CR42</f>
        <v/>
      </c>
      <c r="DD42" s="1051" t="n"/>
      <c r="DE42" s="1051">
        <f>IF(CU42&lt;=BW$6,BV$6,IF(CU42&lt;=BW$7,BV$7,IF(CU42&lt;=BW$8,BV$8,IF(CU42&lt;=BW$9,BV$9,IF(CU42&lt;=BW$14,BV$14,IF(CU42&lt;=BW$15,BV$15,IF(CU42&lt;=BW$16,BV$16,0.05)))))))</f>
        <v/>
      </c>
      <c r="DF42" s="2193">
        <f>DE42*SUM(DC42,CZ42,CU42)</f>
        <v/>
      </c>
      <c r="DG42" s="1051" t="n"/>
      <c r="DH42" s="2194">
        <f>IF(CX42&lt;=BZ$6,BY$6,IF(CX42&lt;=BZ$7,BY$7,IF(CX42&lt;=BZ$8,BY$8,IF(CX42&lt;=BZ$9,BY$9,IF(CX42&lt;=BZ$14,BY$14,IF(CX42&lt;=BZ$15,BY$15,IF(CX42&lt;=BZ$16,BY$16,0.05)))))))</f>
        <v/>
      </c>
      <c r="DI42" s="2193">
        <f>DH42*CX42</f>
        <v/>
      </c>
      <c r="DK42" s="1932">
        <f>0.07*SUM(CU42,CZ42,DC42,DF42,DI42)</f>
        <v/>
      </c>
      <c r="DM42" s="1932">
        <f>SUM(DK42,DI42,DF42,DC42,CZ42,CU42)</f>
        <v/>
      </c>
      <c r="DN42" s="1933">
        <f>SUM(DI42,DF42,DC42,CZ42)</f>
        <v/>
      </c>
      <c r="DO42" s="1051">
        <f>DN42/DM42</f>
        <v/>
      </c>
    </row>
    <row r="43" customFormat="1" s="585">
      <c r="A43" s="719" t="inlineStr">
        <is>
          <t>Square Footage:</t>
        </is>
      </c>
      <c r="B43" s="2245">
        <f>F22</f>
        <v/>
      </c>
      <c r="C43" s="719" t="inlineStr">
        <is>
          <t>Linear Footage:</t>
        </is>
      </c>
      <c r="D43" s="1026" t="n"/>
      <c r="E43" s="1541">
        <f>(IF(D7="Yes","PW","-"))</f>
        <v/>
      </c>
      <c r="F43" s="722" t="inlineStr">
        <is>
          <t>10 hour days</t>
        </is>
      </c>
      <c r="G43" s="2246" t="inlineStr">
        <is>
          <t>Labor Production Rates (Hard Enter)</t>
        </is>
      </c>
      <c r="H43" s="606" t="n"/>
      <c r="I43" s="1027" t="n"/>
      <c r="J43" s="823" t="n"/>
      <c r="K43" s="700" t="n"/>
      <c r="L43" s="700" t="n"/>
      <c r="N43" s="1947" t="inlineStr">
        <is>
          <t>1/4"</t>
        </is>
      </c>
      <c r="O43" s="1016" t="inlineStr">
        <is>
          <t>SC 250   (1/4")</t>
        </is>
      </c>
      <c r="P43" s="2233">
        <f>Q43*R43</f>
        <v/>
      </c>
      <c r="Q43" s="1018" t="n">
        <v>250</v>
      </c>
      <c r="R43" s="2247">
        <f>0.38+0.04</f>
        <v/>
      </c>
      <c r="S43" s="633" t="n"/>
      <c r="T43" s="2135" t="n"/>
      <c r="U43" s="2135" t="n"/>
      <c r="AY43" s="2193" t="n">
        <v>34000</v>
      </c>
      <c r="AZ43" s="2193" t="n"/>
      <c r="BA43" s="2193" t="n"/>
      <c r="BB43" s="2193">
        <f>AY43</f>
        <v/>
      </c>
      <c r="BC43" s="2193" t="n"/>
      <c r="BD43" s="2193" t="n"/>
      <c r="BE43" s="2193">
        <f>AY43+BB43</f>
        <v/>
      </c>
      <c r="BF43" s="2193" t="n"/>
      <c r="BG43" s="2193" t="n"/>
      <c r="BH43" s="2193">
        <f>BE43</f>
        <v/>
      </c>
      <c r="BI43" s="1051">
        <f>IF(AY43&lt;=#REF!,#REF!,IF(AY43&lt;=#REF!,#REF!,IF(AY43&lt;=#REF!,#REF!,IF(AY43&lt;=#REF!,#REF!,IF(AY43&lt;=#REF!,#REF!,IF(AY43&lt;=#REF!,#REF!,IF(AY43&lt;=#REF!,#REF!,0.05)))))))</f>
        <v/>
      </c>
      <c r="BJ43" s="2193">
        <f>BI43*AY43</f>
        <v/>
      </c>
      <c r="BK43" s="1051" t="n"/>
      <c r="BL43" s="1051">
        <f>IF(BB43&lt;=#REF!,#REF!,IF(BB43&lt;=#REF!,#REF!,IF(BB43&lt;=#REF!,#REF!,IF(BB43&lt;=#REF!,#REF!,IF(BB43&lt;=#REF!,#REF!,IF(BB43&lt;=#REF!,#REF!,IF(BB43&lt;=#REF!,#REF!,0.05)))))))</f>
        <v/>
      </c>
      <c r="BM43" s="2193">
        <f>BL43*BB43</f>
        <v/>
      </c>
      <c r="BN43" s="1051" t="n"/>
      <c r="BO43" s="1051">
        <f>IF(BE43&lt;=#REF!,#REF!,IF(BE43&lt;=#REF!,#REF!,IF(BE43&lt;=#REF!,#REF!,IF(BE43&lt;=#REF!,#REF!,IF(BE43&lt;=#REF!,#REF!,IF(BE43&lt;=#REF!,#REF!,IF(BE43&lt;=#REF!,#REF!,0.05)))))))</f>
        <v/>
      </c>
      <c r="BP43" s="2193">
        <f>BO43*SUM(BM43,BJ43,BE43)</f>
        <v/>
      </c>
      <c r="BQ43" s="1051" t="n"/>
      <c r="BR43" s="2194">
        <f>IF(BH43&lt;=#REF!,#REF!,IF(BH43&lt;=#REF!,#REF!,IF(BH43&lt;=#REF!,#REF!,IF(BH43&lt;=#REF!,#REF!,IF(BH43&lt;=#REF!,#REF!,IF(BH43&lt;=#REF!,#REF!,IF(BH43&lt;=#REF!,#REF!,0.05)))))))</f>
        <v/>
      </c>
      <c r="BS43" s="2193">
        <f>BR43*BH43</f>
        <v/>
      </c>
      <c r="BU43" s="1932">
        <f>0.07*SUM(BE43,BJ43,BM43,BP43,BS43)</f>
        <v/>
      </c>
      <c r="BW43" s="1932">
        <f>SUM(BU43,BS43,BP43,BM43,BJ43,BE43)</f>
        <v/>
      </c>
      <c r="BX43" s="1933">
        <f>SUM(BS43,BP43,BM43,BJ43)</f>
        <v/>
      </c>
      <c r="BY43" s="1051">
        <f>BX43/BW43</f>
        <v/>
      </c>
      <c r="CO43" s="2193" t="n">
        <v>34000</v>
      </c>
      <c r="CP43" s="2193" t="n"/>
      <c r="CQ43" s="2193" t="n"/>
      <c r="CR43" s="2193">
        <f>CO43</f>
        <v/>
      </c>
      <c r="CS43" s="2193" t="n"/>
      <c r="CT43" s="2193" t="n"/>
      <c r="CU43" s="2193">
        <f>CO43+CR43</f>
        <v/>
      </c>
      <c r="CV43" s="2193" t="n"/>
      <c r="CW43" s="2193" t="n"/>
      <c r="CX43" s="2193">
        <f>CU43</f>
        <v/>
      </c>
      <c r="CY43" s="1051">
        <f>IF(CO43&lt;=BQ$6,BP$6,IF(CO43&lt;=BQ$7,BP$7,IF(CO43&lt;=BQ$8,BP$8,IF(CO43&lt;=BQ$9,BP$9,IF(CO43&lt;=BQ$14,BP$14,IF(CO43&lt;=BQ$15,BP$15,IF(CO43&lt;=BQ$16,BP$16,0.05)))))))</f>
        <v/>
      </c>
      <c r="CZ43" s="2193">
        <f>CY43*CO43</f>
        <v/>
      </c>
      <c r="DA43" s="1051" t="n"/>
      <c r="DB43" s="1051">
        <f>IF(CR43&lt;=BT$6,BS$6,IF(CR43&lt;=BT$7,BS$7,IF(CR43&lt;=BT$8,BS$8,IF(CR43&lt;=BT$9,BS$9,IF(CR43&lt;=BT$14,BS$14,IF(CR43&lt;=BT$15,BS$15,IF(CR43&lt;=BT$16,BS$16,0.05)))))))</f>
        <v/>
      </c>
      <c r="DC43" s="2193">
        <f>DB43*CR43</f>
        <v/>
      </c>
      <c r="DD43" s="1051" t="n"/>
      <c r="DE43" s="1051">
        <f>IF(CU43&lt;=BW$6,BV$6,IF(CU43&lt;=BW$7,BV$7,IF(CU43&lt;=BW$8,BV$8,IF(CU43&lt;=BW$9,BV$9,IF(CU43&lt;=BW$14,BV$14,IF(CU43&lt;=BW$15,BV$15,IF(CU43&lt;=BW$16,BV$16,0.05)))))))</f>
        <v/>
      </c>
      <c r="DF43" s="2193">
        <f>DE43*SUM(DC43,CZ43,CU43)</f>
        <v/>
      </c>
      <c r="DG43" s="1051" t="n"/>
      <c r="DH43" s="2194">
        <f>IF(CX43&lt;=BZ$6,BY$6,IF(CX43&lt;=BZ$7,BY$7,IF(CX43&lt;=BZ$8,BY$8,IF(CX43&lt;=BZ$9,BY$9,IF(CX43&lt;=BZ$14,BY$14,IF(CX43&lt;=BZ$15,BY$15,IF(CX43&lt;=BZ$16,BY$16,0.05)))))))</f>
        <v/>
      </c>
      <c r="DI43" s="2193">
        <f>DH43*CX43</f>
        <v/>
      </c>
      <c r="DK43" s="1932">
        <f>0.07*SUM(CU43,CZ43,DC43,DF43,DI43)</f>
        <v/>
      </c>
      <c r="DM43" s="1932">
        <f>SUM(DK43,DI43,DF43,DC43,CZ43,CU43)</f>
        <v/>
      </c>
      <c r="DN43" s="1933">
        <f>SUM(DI43,DF43,DC43,CZ43)</f>
        <v/>
      </c>
      <c r="DO43" s="1051">
        <f>DN43/DM43</f>
        <v/>
      </c>
    </row>
    <row r="44" customFormat="1" s="585">
      <c r="A44" s="730" t="inlineStr">
        <is>
          <t>Labor:              Guys</t>
        </is>
      </c>
      <c r="B44" s="731" t="inlineStr">
        <is>
          <t>Hours</t>
        </is>
      </c>
      <c r="C44" s="731" t="inlineStr">
        <is>
          <t>Rate (PW?)</t>
        </is>
      </c>
      <c r="D44" s="731" t="n"/>
      <c r="E44" s="1028" t="inlineStr">
        <is>
          <t>Totals</t>
        </is>
      </c>
      <c r="F44" s="1029" t="inlineStr">
        <is>
          <t xml:space="preserve">Labor </t>
        </is>
      </c>
      <c r="G44" s="2248" t="n"/>
      <c r="H44" s="2014" t="n"/>
      <c r="I44" s="1947" t="n"/>
      <c r="J44" s="633" t="n"/>
      <c r="N44" s="1947" t="inlineStr">
        <is>
          <t>3/8"</t>
        </is>
      </c>
      <c r="O44" s="1020" t="inlineStr">
        <is>
          <t>SC 50 HP    (3/8")</t>
        </is>
      </c>
      <c r="P44" s="2239">
        <f>Q44*R44</f>
        <v/>
      </c>
      <c r="Q44" s="1021" t="n">
        <v>120</v>
      </c>
      <c r="R44" s="2249">
        <f>0.55+0.06</f>
        <v/>
      </c>
      <c r="S44" s="633" t="n"/>
      <c r="T44" s="2135" t="n"/>
      <c r="U44" s="2135" t="n"/>
      <c r="AY44" s="2193" t="n">
        <v>35000</v>
      </c>
      <c r="AZ44" s="2193" t="n"/>
      <c r="BA44" s="2193" t="n"/>
      <c r="BB44" s="2193">
        <f>AY44</f>
        <v/>
      </c>
      <c r="BC44" s="2193" t="n"/>
      <c r="BD44" s="2193" t="n"/>
      <c r="BE44" s="2193">
        <f>AY44+BB44</f>
        <v/>
      </c>
      <c r="BF44" s="2193" t="n"/>
      <c r="BG44" s="2193" t="n"/>
      <c r="BH44" s="2193">
        <f>BE44</f>
        <v/>
      </c>
      <c r="BI44" s="1051">
        <f>IF(AY44&lt;=#REF!,#REF!,IF(AY44&lt;=#REF!,#REF!,IF(AY44&lt;=#REF!,#REF!,IF(AY44&lt;=#REF!,#REF!,IF(AY44&lt;=#REF!,#REF!,IF(AY44&lt;=#REF!,#REF!,IF(AY44&lt;=#REF!,#REF!,0.05)))))))</f>
        <v/>
      </c>
      <c r="BJ44" s="2193">
        <f>BI44*AY44</f>
        <v/>
      </c>
      <c r="BK44" s="1051" t="n"/>
      <c r="BL44" s="1051">
        <f>IF(BB44&lt;=#REF!,#REF!,IF(BB44&lt;=#REF!,#REF!,IF(BB44&lt;=#REF!,#REF!,IF(BB44&lt;=#REF!,#REF!,IF(BB44&lt;=#REF!,#REF!,IF(BB44&lt;=#REF!,#REF!,IF(BB44&lt;=#REF!,#REF!,0.05)))))))</f>
        <v/>
      </c>
      <c r="BM44" s="2193">
        <f>BL44*BB44</f>
        <v/>
      </c>
      <c r="BN44" s="1051" t="n"/>
      <c r="BO44" s="1051">
        <f>IF(BE44&lt;=#REF!,#REF!,IF(BE44&lt;=#REF!,#REF!,IF(BE44&lt;=#REF!,#REF!,IF(BE44&lt;=#REF!,#REF!,IF(BE44&lt;=#REF!,#REF!,IF(BE44&lt;=#REF!,#REF!,IF(BE44&lt;=#REF!,#REF!,0.05)))))))</f>
        <v/>
      </c>
      <c r="BP44" s="2193">
        <f>BO44*SUM(BM44,BJ44,BE44)</f>
        <v/>
      </c>
      <c r="BQ44" s="1051" t="n"/>
      <c r="BR44" s="2194">
        <f>IF(BH44&lt;=#REF!,#REF!,IF(BH44&lt;=#REF!,#REF!,IF(BH44&lt;=#REF!,#REF!,IF(BH44&lt;=#REF!,#REF!,IF(BH44&lt;=#REF!,#REF!,IF(BH44&lt;=#REF!,#REF!,IF(BH44&lt;=#REF!,#REF!,0.05)))))))</f>
        <v/>
      </c>
      <c r="BS44" s="2193">
        <f>BR44*BH44</f>
        <v/>
      </c>
      <c r="BU44" s="1932">
        <f>0.07*SUM(BE44,BJ44,BM44,BP44,BS44)</f>
        <v/>
      </c>
      <c r="BW44" s="1932">
        <f>SUM(BU44,BS44,BP44,BM44,BJ44,BE44)</f>
        <v/>
      </c>
      <c r="BX44" s="1933">
        <f>SUM(BS44,BP44,BM44,BJ44)</f>
        <v/>
      </c>
      <c r="BY44" s="1051">
        <f>BX44/BW44</f>
        <v/>
      </c>
      <c r="CO44" s="2193" t="n">
        <v>35000</v>
      </c>
      <c r="CP44" s="2193" t="n"/>
      <c r="CQ44" s="2193" t="n"/>
      <c r="CR44" s="2193">
        <f>CO44</f>
        <v/>
      </c>
      <c r="CS44" s="2193" t="n"/>
      <c r="CT44" s="2193" t="n"/>
      <c r="CU44" s="2193">
        <f>CO44+CR44</f>
        <v/>
      </c>
      <c r="CV44" s="2193" t="n"/>
      <c r="CW44" s="2193" t="n"/>
      <c r="CX44" s="2193">
        <f>CU44</f>
        <v/>
      </c>
      <c r="CY44" s="1051">
        <f>IF(CO44&lt;=BQ$6,BP$6,IF(CO44&lt;=BQ$7,BP$7,IF(CO44&lt;=BQ$8,BP$8,IF(CO44&lt;=BQ$9,BP$9,IF(CO44&lt;=BQ$14,BP$14,IF(CO44&lt;=BQ$15,BP$15,IF(CO44&lt;=BQ$16,BP$16,0.05)))))))</f>
        <v/>
      </c>
      <c r="CZ44" s="2193">
        <f>CY44*CO44</f>
        <v/>
      </c>
      <c r="DA44" s="1051" t="n"/>
      <c r="DB44" s="1051">
        <f>IF(CR44&lt;=BT$6,BS$6,IF(CR44&lt;=BT$7,BS$7,IF(CR44&lt;=BT$8,BS$8,IF(CR44&lt;=BT$9,BS$9,IF(CR44&lt;=BT$14,BS$14,IF(CR44&lt;=BT$15,BS$15,IF(CR44&lt;=BT$16,BS$16,0.05)))))))</f>
        <v/>
      </c>
      <c r="DC44" s="2193">
        <f>DB44*CR44</f>
        <v/>
      </c>
      <c r="DD44" s="1051" t="n"/>
      <c r="DE44" s="1051">
        <f>IF(CU44&lt;=BW$6,BV$6,IF(CU44&lt;=BW$7,BV$7,IF(CU44&lt;=BW$8,BV$8,IF(CU44&lt;=BW$9,BV$9,IF(CU44&lt;=BW$14,BV$14,IF(CU44&lt;=BW$15,BV$15,IF(CU44&lt;=BW$16,BV$16,0.05)))))))</f>
        <v/>
      </c>
      <c r="DF44" s="2193">
        <f>DE44*SUM(DC44,CZ44,CU44)</f>
        <v/>
      </c>
      <c r="DG44" s="1051" t="n"/>
      <c r="DH44" s="2194">
        <f>IF(CX44&lt;=BZ$6,BY$6,IF(CX44&lt;=BZ$7,BY$7,IF(CX44&lt;=BZ$8,BY$8,IF(CX44&lt;=BZ$9,BY$9,IF(CX44&lt;=BZ$14,BY$14,IF(CX44&lt;=BZ$15,BY$15,IF(CX44&lt;=BZ$16,BY$16,0.05)))))))</f>
        <v/>
      </c>
      <c r="DI44" s="2193">
        <f>DH44*CX44</f>
        <v/>
      </c>
      <c r="DK44" s="1932">
        <f>0.07*SUM(CU44,CZ44,DC44,DF44,DI44)</f>
        <v/>
      </c>
      <c r="DM44" s="1932">
        <f>SUM(DK44,DI44,DF44,DC44,CZ44,CU44)</f>
        <v/>
      </c>
      <c r="DN44" s="1933">
        <f>SUM(DI44,DF44,DC44,CZ44)</f>
        <v/>
      </c>
      <c r="DO44" s="1051">
        <f>DN44/DM44</f>
        <v/>
      </c>
    </row>
    <row r="45" customFormat="1" s="585">
      <c r="A45" s="1442" t="n">
        <v>8</v>
      </c>
      <c r="B45" s="2498" t="n"/>
      <c r="C45" s="2001" t="n">
        <v>33.66</v>
      </c>
      <c r="D45" s="2250" t="n"/>
      <c r="E45" s="763">
        <f>A45*B45*C45</f>
        <v/>
      </c>
      <c r="F45" s="2251" t="inlineStr">
        <is>
          <t>Pre-Pours Hours</t>
        </is>
      </c>
      <c r="G45" s="1033" t="n">
        <v>8</v>
      </c>
      <c r="H45" s="1034" t="n"/>
      <c r="I45" s="2252" t="n"/>
      <c r="J45" s="2253" t="n"/>
      <c r="K45" s="780" t="n"/>
      <c r="L45" s="780" t="n"/>
      <c r="N45" s="1947" t="n"/>
      <c r="O45" s="600" t="n"/>
      <c r="P45" s="600" t="n"/>
      <c r="AY45" s="2193" t="n">
        <v>36000</v>
      </c>
      <c r="AZ45" s="2193" t="n"/>
      <c r="BA45" s="2193" t="n"/>
      <c r="BB45" s="2193">
        <f>AY45</f>
        <v/>
      </c>
      <c r="BC45" s="2193" t="n"/>
      <c r="BD45" s="2193" t="n"/>
      <c r="BE45" s="2193">
        <f>AY45+BB45</f>
        <v/>
      </c>
      <c r="BF45" s="2193" t="n"/>
      <c r="BG45" s="2193" t="n"/>
      <c r="BH45" s="2193">
        <f>BE45</f>
        <v/>
      </c>
      <c r="BI45" s="1051">
        <f>IF(AY45&lt;=#REF!,#REF!,IF(AY45&lt;=#REF!,#REF!,IF(AY45&lt;=#REF!,#REF!,IF(AY45&lt;=#REF!,#REF!,IF(AY45&lt;=#REF!,#REF!,IF(AY45&lt;=#REF!,#REF!,IF(AY45&lt;=#REF!,#REF!,0.05)))))))</f>
        <v/>
      </c>
      <c r="BJ45" s="2193">
        <f>BI45*AY45</f>
        <v/>
      </c>
      <c r="BK45" s="1051" t="n"/>
      <c r="BL45" s="1051">
        <f>IF(BB45&lt;=#REF!,#REF!,IF(BB45&lt;=#REF!,#REF!,IF(BB45&lt;=#REF!,#REF!,IF(BB45&lt;=#REF!,#REF!,IF(BB45&lt;=#REF!,#REF!,IF(BB45&lt;=#REF!,#REF!,IF(BB45&lt;=#REF!,#REF!,0.05)))))))</f>
        <v/>
      </c>
      <c r="BM45" s="2193">
        <f>BL45*BB45</f>
        <v/>
      </c>
      <c r="BN45" s="1051" t="n"/>
      <c r="BO45" s="1051">
        <f>IF(BE45&lt;=#REF!,#REF!,IF(BE45&lt;=#REF!,#REF!,IF(BE45&lt;=#REF!,#REF!,IF(BE45&lt;=#REF!,#REF!,IF(BE45&lt;=#REF!,#REF!,IF(BE45&lt;=#REF!,#REF!,IF(BE45&lt;=#REF!,#REF!,0.05)))))))</f>
        <v/>
      </c>
      <c r="BP45" s="2193">
        <f>BO45*SUM(BM45,BJ45,BE45)</f>
        <v/>
      </c>
      <c r="BQ45" s="1051" t="n"/>
      <c r="BR45" s="2194">
        <f>IF(BH45&lt;=#REF!,#REF!,IF(BH45&lt;=#REF!,#REF!,IF(BH45&lt;=#REF!,#REF!,IF(BH45&lt;=#REF!,#REF!,IF(BH45&lt;=#REF!,#REF!,IF(BH45&lt;=#REF!,#REF!,IF(BH45&lt;=#REF!,#REF!,0.05)))))))</f>
        <v/>
      </c>
      <c r="BS45" s="2193">
        <f>BR45*BH45</f>
        <v/>
      </c>
      <c r="BU45" s="1932">
        <f>0.07*SUM(BE45,BJ45,BM45,BP45,BS45)</f>
        <v/>
      </c>
      <c r="BW45" s="1932">
        <f>SUM(BU45,BS45,BP45,BM45,BJ45,BE45)</f>
        <v/>
      </c>
      <c r="BX45" s="1933">
        <f>SUM(BS45,BP45,BM45,BJ45)</f>
        <v/>
      </c>
      <c r="BY45" s="1051">
        <f>BX45/BW45</f>
        <v/>
      </c>
      <c r="CO45" s="2193" t="n">
        <v>36000</v>
      </c>
      <c r="CP45" s="2193" t="n"/>
      <c r="CQ45" s="2193" t="n"/>
      <c r="CR45" s="2193">
        <f>CO45</f>
        <v/>
      </c>
      <c r="CS45" s="2193" t="n"/>
      <c r="CT45" s="2193" t="n"/>
      <c r="CU45" s="2193">
        <f>CO45+CR45</f>
        <v/>
      </c>
      <c r="CV45" s="2193" t="n"/>
      <c r="CW45" s="2193" t="n"/>
      <c r="CX45" s="2193">
        <f>CU45</f>
        <v/>
      </c>
      <c r="CY45" s="1051">
        <f>IF(CO45&lt;=BQ$6,BP$6,IF(CO45&lt;=BQ$7,BP$7,IF(CO45&lt;=BQ$8,BP$8,IF(CO45&lt;=BQ$9,BP$9,IF(CO45&lt;=BQ$14,BP$14,IF(CO45&lt;=BQ$15,BP$15,IF(CO45&lt;=BQ$16,BP$16,0.05)))))))</f>
        <v/>
      </c>
      <c r="CZ45" s="2193">
        <f>CY45*CO45</f>
        <v/>
      </c>
      <c r="DA45" s="1051" t="n"/>
      <c r="DB45" s="1051">
        <f>IF(CR45&lt;=BT$6,BS$6,IF(CR45&lt;=BT$7,BS$7,IF(CR45&lt;=BT$8,BS$8,IF(CR45&lt;=BT$9,BS$9,IF(CR45&lt;=BT$14,BS$14,IF(CR45&lt;=BT$15,BS$15,IF(CR45&lt;=BT$16,BS$16,0.05)))))))</f>
        <v/>
      </c>
      <c r="DC45" s="2193">
        <f>DB45*CR45</f>
        <v/>
      </c>
      <c r="DD45" s="1051" t="n"/>
      <c r="DE45" s="1051">
        <f>IF(CU45&lt;=BW$6,BV$6,IF(CU45&lt;=BW$7,BV$7,IF(CU45&lt;=BW$8,BV$8,IF(CU45&lt;=BW$9,BV$9,IF(CU45&lt;=BW$14,BV$14,IF(CU45&lt;=BW$15,BV$15,IF(CU45&lt;=BW$16,BV$16,0.05)))))))</f>
        <v/>
      </c>
      <c r="DF45" s="2193">
        <f>DE45*SUM(DC45,CZ45,CU45)</f>
        <v/>
      </c>
      <c r="DG45" s="1051" t="n"/>
      <c r="DH45" s="2194">
        <f>IF(CX45&lt;=BZ$6,BY$6,IF(CX45&lt;=BZ$7,BY$7,IF(CX45&lt;=BZ$8,BY$8,IF(CX45&lt;=BZ$9,BY$9,IF(CX45&lt;=BZ$14,BY$14,IF(CX45&lt;=BZ$15,BY$15,IF(CX45&lt;=BZ$16,BY$16,0.05)))))))</f>
        <v/>
      </c>
      <c r="DI45" s="2193">
        <f>DH45*CX45</f>
        <v/>
      </c>
      <c r="DK45" s="1932">
        <f>0.07*SUM(CU45,CZ45,DC45,DF45,DI45)</f>
        <v/>
      </c>
      <c r="DM45" s="1932">
        <f>SUM(DK45,DI45,DF45,DC45,CZ45,CU45)</f>
        <v/>
      </c>
      <c r="DN45" s="1933">
        <f>SUM(DI45,DF45,DC45,CZ45)</f>
        <v/>
      </c>
      <c r="DO45" s="1051">
        <f>DN45/DM45</f>
        <v/>
      </c>
    </row>
    <row r="46" customFormat="1" s="585">
      <c r="A46" s="1442" t="n">
        <v>8</v>
      </c>
      <c r="B46" s="2499">
        <f>T28*G46</f>
        <v/>
      </c>
      <c r="C46" s="2003">
        <f>C45</f>
        <v/>
      </c>
      <c r="D46" s="2250" t="n"/>
      <c r="E46" s="763">
        <f>A46*B46*C46</f>
        <v/>
      </c>
      <c r="F46" s="2251" t="inlineStr">
        <is>
          <t xml:space="preserve">Prep/Prime/Seal Hours (hrs per mob) </t>
        </is>
      </c>
      <c r="G46" s="1033" t="n">
        <v>4</v>
      </c>
      <c r="H46" s="1034" t="n"/>
      <c r="I46" s="2252" t="n"/>
      <c r="J46" s="1344">
        <f>P31</f>
        <v/>
      </c>
      <c r="K46" s="1342" t="inlineStr">
        <is>
          <t>% Soft Surf</t>
        </is>
      </c>
      <c r="N46" s="600" t="n"/>
      <c r="O46" s="1140" t="inlineStr">
        <is>
          <t>mat $ difference</t>
        </is>
      </c>
      <c r="P46" s="2254">
        <f>P37-P42</f>
        <v/>
      </c>
      <c r="R46" s="2254">
        <f>R37-R42</f>
        <v/>
      </c>
      <c r="AY46" s="2193" t="n">
        <v>36000</v>
      </c>
      <c r="AZ46" s="2193" t="n"/>
      <c r="BA46" s="2193" t="n"/>
      <c r="BB46" s="2193">
        <f>AY46</f>
        <v/>
      </c>
      <c r="BC46" s="2193" t="n"/>
      <c r="BD46" s="2193" t="n"/>
      <c r="BE46" s="2193">
        <f>AY46+BB46</f>
        <v/>
      </c>
      <c r="BF46" s="2193" t="n"/>
      <c r="BG46" s="2193" t="n"/>
      <c r="BH46" s="2193">
        <f>BE46</f>
        <v/>
      </c>
      <c r="BI46" s="1051">
        <f>IF(AY46&lt;=#REF!,#REF!,IF(AY46&lt;=#REF!,#REF!,IF(AY46&lt;=#REF!,#REF!,IF(AY46&lt;=#REF!,#REF!,IF(AY46&lt;=#REF!,#REF!,IF(AY46&lt;=#REF!,#REF!,IF(AY46&lt;=#REF!,#REF!,0.05)))))))</f>
        <v/>
      </c>
      <c r="BJ46" s="2193">
        <f>BI46*AY46</f>
        <v/>
      </c>
      <c r="BK46" s="1051" t="n"/>
      <c r="BL46" s="1051">
        <f>IF(BB46&lt;=#REF!,#REF!,IF(BB46&lt;=#REF!,#REF!,IF(BB46&lt;=#REF!,#REF!,IF(BB46&lt;=#REF!,#REF!,IF(BB46&lt;=#REF!,#REF!,IF(BB46&lt;=#REF!,#REF!,IF(BB46&lt;=#REF!,#REF!,0.05)))))))</f>
        <v/>
      </c>
      <c r="BM46" s="2193">
        <f>BL46*BB46</f>
        <v/>
      </c>
      <c r="BN46" s="1051" t="n"/>
      <c r="BO46" s="1051">
        <f>IF(BE46&lt;=#REF!,#REF!,IF(BE46&lt;=#REF!,#REF!,IF(BE46&lt;=#REF!,#REF!,IF(BE46&lt;=#REF!,#REF!,IF(BE46&lt;=#REF!,#REF!,IF(BE46&lt;=#REF!,#REF!,IF(BE46&lt;=#REF!,#REF!,0.05)))))))</f>
        <v/>
      </c>
      <c r="BP46" s="2193">
        <f>BO46*SUM(BM46,BJ46,BE46)</f>
        <v/>
      </c>
      <c r="BQ46" s="1051" t="n"/>
      <c r="BR46" s="2194">
        <f>IF(BH46&lt;=#REF!,#REF!,IF(BH46&lt;=#REF!,#REF!,IF(BH46&lt;=#REF!,#REF!,IF(BH46&lt;=#REF!,#REF!,IF(BH46&lt;=#REF!,#REF!,IF(BH46&lt;=#REF!,#REF!,IF(BH46&lt;=#REF!,#REF!,0.05)))))))</f>
        <v/>
      </c>
      <c r="BS46" s="2193">
        <f>BR46*BH46</f>
        <v/>
      </c>
      <c r="BU46" s="1932">
        <f>0.07*SUM(BE46,BJ46,BM46,BP46,BS46)</f>
        <v/>
      </c>
      <c r="BW46" s="1932">
        <f>SUM(BU46,BS46,BP46,BM46,BJ46,BE46)</f>
        <v/>
      </c>
      <c r="BX46" s="1933">
        <f>SUM(BS46,BP46,BM46,BJ46)</f>
        <v/>
      </c>
      <c r="BY46" s="1051">
        <f>BX46/BW46</f>
        <v/>
      </c>
      <c r="CO46" s="2193" t="n">
        <v>36000</v>
      </c>
      <c r="CP46" s="2193" t="n"/>
      <c r="CQ46" s="2193" t="n"/>
      <c r="CR46" s="2193">
        <f>CO46</f>
        <v/>
      </c>
      <c r="CS46" s="2193" t="n"/>
      <c r="CT46" s="2193" t="n"/>
      <c r="CU46" s="2193">
        <f>CO46+CR46</f>
        <v/>
      </c>
      <c r="CV46" s="2193" t="n"/>
      <c r="CW46" s="2193" t="n"/>
      <c r="CX46" s="2193">
        <f>CU46</f>
        <v/>
      </c>
      <c r="CY46" s="1051">
        <f>IF(CO46&lt;=BQ$6,BP$6,IF(CO46&lt;=BQ$7,BP$7,IF(CO46&lt;=BQ$8,BP$8,IF(CO46&lt;=BQ$9,BP$9,IF(CO46&lt;=BQ$14,BP$14,IF(CO46&lt;=BQ$15,BP$15,IF(CO46&lt;=BQ$16,BP$16,0.05)))))))</f>
        <v/>
      </c>
      <c r="CZ46" s="2193">
        <f>CY46*CO46</f>
        <v/>
      </c>
      <c r="DA46" s="1051" t="n"/>
      <c r="DB46" s="1051">
        <f>IF(CR46&lt;=BT$6,BS$6,IF(CR46&lt;=BT$7,BS$7,IF(CR46&lt;=BT$8,BS$8,IF(CR46&lt;=BT$9,BS$9,IF(CR46&lt;=BT$14,BS$14,IF(CR46&lt;=BT$15,BS$15,IF(CR46&lt;=BT$16,BS$16,0.05)))))))</f>
        <v/>
      </c>
      <c r="DC46" s="2193">
        <f>DB46*CR46</f>
        <v/>
      </c>
      <c r="DD46" s="1051" t="n"/>
      <c r="DE46" s="1051">
        <f>IF(CU46&lt;=BW$6,BV$6,IF(CU46&lt;=BW$7,BV$7,IF(CU46&lt;=BW$8,BV$8,IF(CU46&lt;=BW$9,BV$9,IF(CU46&lt;=BW$14,BV$14,IF(CU46&lt;=BW$15,BV$15,IF(CU46&lt;=BW$16,BV$16,0.05)))))))</f>
        <v/>
      </c>
      <c r="DF46" s="2193">
        <f>DE46*SUM(DC46,CZ46,CU46)</f>
        <v/>
      </c>
      <c r="DG46" s="1051" t="n"/>
      <c r="DH46" s="2194">
        <f>IF(CX46&lt;=BZ$6,BY$6,IF(CX46&lt;=BZ$7,BY$7,IF(CX46&lt;=BZ$8,BY$8,IF(CX46&lt;=BZ$9,BY$9,IF(CX46&lt;=BZ$14,BY$14,IF(CX46&lt;=BZ$15,BY$15,IF(CX46&lt;=BZ$16,BY$16,0.05)))))))</f>
        <v/>
      </c>
      <c r="DI46" s="2193">
        <f>DH46*CX46</f>
        <v/>
      </c>
      <c r="DK46" s="1932">
        <f>0.07*SUM(CU46,CZ46,DC46,DF46,DI46)</f>
        <v/>
      </c>
      <c r="DM46" s="1932">
        <f>SUM(DK46,DI46,DF46,DC46,CZ46,CU46)</f>
        <v/>
      </c>
      <c r="DN46" s="1933">
        <f>SUM(DI46,DF46,DC46,CZ46)</f>
        <v/>
      </c>
      <c r="DO46" s="1051">
        <f>DN46/DM46</f>
        <v/>
      </c>
    </row>
    <row r="47" customFormat="1" s="585">
      <c r="A47" s="1602" t="n">
        <v>7</v>
      </c>
      <c r="B47" s="2499">
        <f>F24/G47</f>
        <v/>
      </c>
      <c r="C47" s="2003">
        <f>C45</f>
        <v/>
      </c>
      <c r="D47" s="2250" t="n"/>
      <c r="E47" s="763">
        <f>A47*B47*C47</f>
        <v/>
      </c>
      <c r="F47" s="2251" t="inlineStr">
        <is>
          <t>Mat Time Hours (total HSA mat area/rate)</t>
        </is>
      </c>
      <c r="G47" s="1355">
        <f>85*A47</f>
        <v/>
      </c>
      <c r="H47" s="1889" t="inlineStr">
        <is>
          <t>INCLUDES HARD SURFACE AREAS ONLY</t>
        </is>
      </c>
      <c r="I47" s="585" t="n"/>
      <c r="J47" s="1345">
        <f>Q31</f>
        <v/>
      </c>
      <c r="K47" s="1341" t="inlineStr">
        <is>
          <t>% Hard Surf / Mat</t>
        </is>
      </c>
      <c r="M47" s="600" t="n"/>
      <c r="N47" s="600" t="n"/>
      <c r="O47" s="763" t="n"/>
      <c r="P47" s="2254">
        <f>P38-P43</f>
        <v/>
      </c>
      <c r="R47" s="2254">
        <f>R38-R43</f>
        <v/>
      </c>
      <c r="AY47" s="2193" t="n"/>
      <c r="AZ47" s="2193" t="n"/>
      <c r="BA47" s="2193" t="n"/>
      <c r="BB47" s="2193" t="n"/>
      <c r="BC47" s="2193" t="n"/>
      <c r="BD47" s="2193" t="n"/>
      <c r="BE47" s="2193" t="n"/>
      <c r="BF47" s="2193" t="n"/>
      <c r="BG47" s="2193" t="n"/>
      <c r="BH47" s="2193" t="n"/>
      <c r="BI47" s="1051" t="n"/>
      <c r="BJ47" s="2193" t="n"/>
      <c r="BK47" s="1051" t="n"/>
      <c r="BL47" s="1051" t="n"/>
      <c r="BM47" s="2193" t="n"/>
      <c r="BN47" s="1051" t="n"/>
      <c r="BO47" s="1051" t="n"/>
      <c r="BP47" s="2193" t="n"/>
      <c r="BQ47" s="1051" t="n"/>
      <c r="BR47" s="2194" t="n"/>
      <c r="BS47" s="2193" t="n"/>
      <c r="BU47" s="1932" t="n"/>
      <c r="BW47" s="1932" t="n"/>
      <c r="BX47" s="1933" t="n"/>
      <c r="BY47" s="1051" t="n"/>
      <c r="CO47" s="2193" t="n"/>
      <c r="CP47" s="2193" t="n"/>
      <c r="CQ47" s="2193" t="n"/>
      <c r="CR47" s="2193" t="n"/>
      <c r="CS47" s="2193" t="n"/>
      <c r="CT47" s="2193" t="n"/>
      <c r="CU47" s="2193" t="n"/>
      <c r="CV47" s="2193" t="n"/>
      <c r="CW47" s="2193" t="n"/>
      <c r="CX47" s="2193" t="n"/>
      <c r="CY47" s="1051" t="n"/>
      <c r="CZ47" s="2193" t="n"/>
      <c r="DA47" s="1051" t="n"/>
      <c r="DB47" s="1051" t="n"/>
      <c r="DC47" s="2193" t="n"/>
      <c r="DD47" s="1051" t="n"/>
      <c r="DE47" s="1051" t="n"/>
      <c r="DF47" s="2193" t="n"/>
      <c r="DG47" s="1051" t="n"/>
      <c r="DH47" s="2194" t="n"/>
      <c r="DI47" s="2193" t="n"/>
      <c r="DK47" s="1932" t="n"/>
      <c r="DM47" s="1932" t="n"/>
      <c r="DN47" s="1933" t="n"/>
      <c r="DO47" s="1051" t="n"/>
    </row>
    <row r="48" customFormat="1" s="585">
      <c r="A48" s="739">
        <f>A46</f>
        <v/>
      </c>
      <c r="B48" s="2499">
        <f>H33/G48</f>
        <v/>
      </c>
      <c r="C48" s="2003">
        <f>C45</f>
        <v/>
      </c>
      <c r="D48" s="2250" t="n"/>
      <c r="E48" s="763">
        <f>A48*B48*C48</f>
        <v/>
      </c>
      <c r="F48" s="2251" t="inlineStr">
        <is>
          <t xml:space="preserve">Pour Hours (total bags/pump rate) </t>
        </is>
      </c>
      <c r="G48" s="1033" t="n">
        <v>75</v>
      </c>
      <c r="H48" s="1034" t="n"/>
      <c r="I48" s="2252" t="n"/>
      <c r="J48" s="1346">
        <f>R31</f>
        <v/>
      </c>
      <c r="K48" s="1343" t="inlineStr">
        <is>
          <t>% Corridors</t>
        </is>
      </c>
      <c r="O48" s="763" t="n"/>
      <c r="P48" s="2254">
        <f>P39-P44</f>
        <v/>
      </c>
      <c r="R48" s="2254">
        <f>R39-R44</f>
        <v/>
      </c>
      <c r="AY48" s="2193" t="n">
        <v>37000</v>
      </c>
      <c r="AZ48" s="2193" t="n"/>
      <c r="BA48" s="2193" t="n"/>
      <c r="BB48" s="2193">
        <f>AY48</f>
        <v/>
      </c>
      <c r="BC48" s="2193" t="n"/>
      <c r="BD48" s="2193" t="n"/>
      <c r="BE48" s="2193">
        <f>AY48+BB48</f>
        <v/>
      </c>
      <c r="BF48" s="2193" t="n"/>
      <c r="BG48" s="2193" t="n"/>
      <c r="BH48" s="2193">
        <f>BE48</f>
        <v/>
      </c>
      <c r="BI48" s="1051">
        <f>IF(AY48&lt;=#REF!,#REF!,IF(AY48&lt;=#REF!,#REF!,IF(AY48&lt;=#REF!,#REF!,IF(AY48&lt;=#REF!,#REF!,IF(AY48&lt;=#REF!,#REF!,IF(AY48&lt;=#REF!,#REF!,IF(AY48&lt;=#REF!,#REF!,0.05)))))))</f>
        <v/>
      </c>
      <c r="BJ48" s="2193">
        <f>BI48*AY48</f>
        <v/>
      </c>
      <c r="BK48" s="1051" t="n"/>
      <c r="BL48" s="1051">
        <f>IF(BB48&lt;=#REF!,#REF!,IF(BB48&lt;=#REF!,#REF!,IF(BB48&lt;=#REF!,#REF!,IF(BB48&lt;=#REF!,#REF!,IF(BB48&lt;=#REF!,#REF!,IF(BB48&lt;=#REF!,#REF!,IF(BB48&lt;=#REF!,#REF!,0.05)))))))</f>
        <v/>
      </c>
      <c r="BM48" s="2193">
        <f>BL48*BB48</f>
        <v/>
      </c>
      <c r="BN48" s="1051" t="n"/>
      <c r="BO48" s="1051">
        <f>IF(BE48&lt;=#REF!,#REF!,IF(BE48&lt;=#REF!,#REF!,IF(BE48&lt;=#REF!,#REF!,IF(BE48&lt;=#REF!,#REF!,IF(BE48&lt;=#REF!,#REF!,IF(BE48&lt;=#REF!,#REF!,IF(BE48&lt;=#REF!,#REF!,0.05)))))))</f>
        <v/>
      </c>
      <c r="BP48" s="2193">
        <f>BO48*SUM(BM48,BJ48,BE48)</f>
        <v/>
      </c>
      <c r="BQ48" s="1051" t="n"/>
      <c r="BR48" s="2194">
        <f>IF(BH48&lt;=#REF!,#REF!,IF(BH48&lt;=#REF!,#REF!,IF(BH48&lt;=#REF!,#REF!,IF(BH48&lt;=#REF!,#REF!,IF(BH48&lt;=#REF!,#REF!,IF(BH48&lt;=#REF!,#REF!,IF(BH48&lt;=#REF!,#REF!,0.05)))))))</f>
        <v/>
      </c>
      <c r="BS48" s="2193">
        <f>BR48*BH48</f>
        <v/>
      </c>
      <c r="BU48" s="1932">
        <f>0.07*SUM(BE48,BJ48,BM48,BP48,BS48)</f>
        <v/>
      </c>
      <c r="BW48" s="1932">
        <f>SUM(BU48,BS48,BP48,BM48,BJ48,BE48)</f>
        <v/>
      </c>
      <c r="BX48" s="1933">
        <f>SUM(BS48,BP48,BM48,BJ48)</f>
        <v/>
      </c>
      <c r="BY48" s="1051">
        <f>BX48/BW48</f>
        <v/>
      </c>
      <c r="CO48" s="2193" t="n">
        <v>37000</v>
      </c>
      <c r="CP48" s="2193" t="n"/>
      <c r="CQ48" s="2193" t="n"/>
      <c r="CR48" s="2193">
        <f>CO48</f>
        <v/>
      </c>
      <c r="CS48" s="2193" t="n"/>
      <c r="CT48" s="2193" t="n"/>
      <c r="CU48" s="2193">
        <f>CO48+CR48</f>
        <v/>
      </c>
      <c r="CV48" s="2193" t="n"/>
      <c r="CW48" s="2193" t="n"/>
      <c r="CX48" s="2193">
        <f>CU48</f>
        <v/>
      </c>
      <c r="CY48" s="1051">
        <f>IF(CO48&lt;=BQ$6,BP$6,IF(CO48&lt;=BQ$7,BP$7,IF(CO48&lt;=BQ$8,BP$8,IF(CO48&lt;=BQ$9,BP$9,IF(CO48&lt;=BQ$14,BP$14,IF(CO48&lt;=BQ$15,BP$15,IF(CO48&lt;=BQ$16,BP$16,0.05)))))))</f>
        <v/>
      </c>
      <c r="CZ48" s="2193">
        <f>CY48*CO48</f>
        <v/>
      </c>
      <c r="DA48" s="1051" t="n"/>
      <c r="DB48" s="1051">
        <f>IF(CR48&lt;=BT$6,BS$6,IF(CR48&lt;=BT$7,BS$7,IF(CR48&lt;=BT$8,BS$8,IF(CR48&lt;=BT$9,BS$9,IF(CR48&lt;=BT$14,BS$14,IF(CR48&lt;=BT$15,BS$15,IF(CR48&lt;=BT$16,BS$16,0.05)))))))</f>
        <v/>
      </c>
      <c r="DC48" s="2193">
        <f>DB48*CR48</f>
        <v/>
      </c>
      <c r="DD48" s="1051" t="n"/>
      <c r="DE48" s="1051">
        <f>IF(CU48&lt;=BW$6,BV$6,IF(CU48&lt;=BW$7,BV$7,IF(CU48&lt;=BW$8,BV$8,IF(CU48&lt;=BW$9,BV$9,IF(CU48&lt;=BW$14,BV$14,IF(CU48&lt;=BW$15,BV$15,IF(CU48&lt;=BW$16,BV$16,0.05)))))))</f>
        <v/>
      </c>
      <c r="DF48" s="2193">
        <f>DE48*SUM(DC48,CZ48,CU48)</f>
        <v/>
      </c>
      <c r="DG48" s="1051" t="n"/>
      <c r="DH48" s="2194">
        <f>IF(CX48&lt;=BZ$6,BY$6,IF(CX48&lt;=BZ$7,BY$7,IF(CX48&lt;=BZ$8,BY$8,IF(CX48&lt;=BZ$9,BY$9,IF(CX48&lt;=BZ$14,BY$14,IF(CX48&lt;=BZ$15,BY$15,IF(CX48&lt;=BZ$16,BY$16,0.05)))))))</f>
        <v/>
      </c>
      <c r="DI48" s="2193">
        <f>DH48*CX48</f>
        <v/>
      </c>
      <c r="DK48" s="1932">
        <f>0.07*SUM(CU48,CZ48,DC48,DF48,DI48)</f>
        <v/>
      </c>
      <c r="DM48" s="1932">
        <f>SUM(DK48,DI48,DF48,DC48,CZ48,CU48)</f>
        <v/>
      </c>
      <c r="DN48" s="1933">
        <f>SUM(DI48,DF48,DC48,CZ48)</f>
        <v/>
      </c>
      <c r="DO48" s="1051">
        <f>DN48/DM48</f>
        <v/>
      </c>
    </row>
    <row r="49" customFormat="1" s="585">
      <c r="A49" s="739" t="n">
        <v>2</v>
      </c>
      <c r="B49" s="2499">
        <f>G49*H49</f>
        <v/>
      </c>
      <c r="C49" s="2003">
        <f>C45</f>
        <v/>
      </c>
      <c r="D49" s="2255" t="inlineStr">
        <is>
          <t>for mat ONLY</t>
        </is>
      </c>
      <c r="E49" s="763">
        <f>A49*B49*C49</f>
        <v/>
      </c>
      <c r="F49" s="2251" t="inlineStr">
        <is>
          <t>Semi Delivery Unload Hours (Mobz X hr)</t>
        </is>
      </c>
      <c r="G49" s="1611" t="n">
        <v>2</v>
      </c>
      <c r="H49" s="1608">
        <f>G55</f>
        <v/>
      </c>
      <c r="I49" s="1609" t="inlineStr">
        <is>
          <t># of Mobs      -or-</t>
        </is>
      </c>
      <c r="J49" s="1347" t="n"/>
      <c r="O49" s="763" t="n"/>
      <c r="AY49" s="2193" t="n">
        <v>37000</v>
      </c>
      <c r="AZ49" s="2193" t="n"/>
      <c r="BA49" s="2193" t="n"/>
      <c r="BB49" s="2193">
        <f>AY49</f>
        <v/>
      </c>
      <c r="BC49" s="2193" t="n"/>
      <c r="BD49" s="2193" t="n"/>
      <c r="BE49" s="2193">
        <f>AY49+BB49</f>
        <v/>
      </c>
      <c r="BF49" s="2193" t="n"/>
      <c r="BG49" s="2193" t="n"/>
      <c r="BH49" s="2193">
        <f>BE49</f>
        <v/>
      </c>
      <c r="BI49" s="1051">
        <f>IF(AY49&lt;=#REF!,#REF!,IF(AY49&lt;=#REF!,#REF!,IF(AY49&lt;=#REF!,#REF!,IF(AY49&lt;=#REF!,#REF!,IF(AY49&lt;=#REF!,#REF!,IF(AY49&lt;=#REF!,#REF!,IF(AY49&lt;=#REF!,#REF!,0.05)))))))</f>
        <v/>
      </c>
      <c r="BJ49" s="2193">
        <f>BI49*AY49</f>
        <v/>
      </c>
      <c r="BK49" s="1051" t="n"/>
      <c r="BL49" s="1051">
        <f>IF(BB49&lt;=#REF!,#REF!,IF(BB49&lt;=#REF!,#REF!,IF(BB49&lt;=#REF!,#REF!,IF(BB49&lt;=#REF!,#REF!,IF(BB49&lt;=#REF!,#REF!,IF(BB49&lt;=#REF!,#REF!,IF(BB49&lt;=#REF!,#REF!,0.05)))))))</f>
        <v/>
      </c>
      <c r="BM49" s="2193">
        <f>BL49*BB49</f>
        <v/>
      </c>
      <c r="BN49" s="1051" t="n"/>
      <c r="BO49" s="1051">
        <f>IF(BE49&lt;=#REF!,#REF!,IF(BE49&lt;=#REF!,#REF!,IF(BE49&lt;=#REF!,#REF!,IF(BE49&lt;=#REF!,#REF!,IF(BE49&lt;=#REF!,#REF!,IF(BE49&lt;=#REF!,#REF!,IF(BE49&lt;=#REF!,#REF!,0.05)))))))</f>
        <v/>
      </c>
      <c r="BP49" s="2193">
        <f>BO49*SUM(BM49,BJ49,BE49)</f>
        <v/>
      </c>
      <c r="BQ49" s="1051" t="n"/>
      <c r="BR49" s="2194">
        <f>IF(BH49&lt;=#REF!,#REF!,IF(BH49&lt;=#REF!,#REF!,IF(BH49&lt;=#REF!,#REF!,IF(BH49&lt;=#REF!,#REF!,IF(BH49&lt;=#REF!,#REF!,IF(BH49&lt;=#REF!,#REF!,IF(BH49&lt;=#REF!,#REF!,0.05)))))))</f>
        <v/>
      </c>
      <c r="BS49" s="2193">
        <f>BR49*BH49</f>
        <v/>
      </c>
      <c r="BU49" s="1932">
        <f>0.07*SUM(BE49,BJ49,BM49,BP49,BS49)</f>
        <v/>
      </c>
      <c r="BW49" s="1932">
        <f>SUM(BU49,BS49,BP49,BM49,BJ49,BE49)</f>
        <v/>
      </c>
      <c r="BX49" s="1933">
        <f>SUM(BS49,BP49,BM49,BJ49)</f>
        <v/>
      </c>
      <c r="BY49" s="1051">
        <f>BX49/BW49</f>
        <v/>
      </c>
      <c r="CO49" s="2193" t="n">
        <v>37000</v>
      </c>
      <c r="CP49" s="2193" t="n"/>
      <c r="CQ49" s="2193" t="n"/>
      <c r="CR49" s="2193">
        <f>CO49</f>
        <v/>
      </c>
      <c r="CS49" s="2193" t="n"/>
      <c r="CT49" s="2193" t="n"/>
      <c r="CU49" s="2193">
        <f>CO49+CR49</f>
        <v/>
      </c>
      <c r="CV49" s="2193" t="n"/>
      <c r="CW49" s="2193" t="n"/>
      <c r="CX49" s="2193">
        <f>CU49</f>
        <v/>
      </c>
      <c r="CY49" s="1051">
        <f>IF(CO49&lt;=BQ$6,BP$6,IF(CO49&lt;=BQ$7,BP$7,IF(CO49&lt;=BQ$8,BP$8,IF(CO49&lt;=BQ$9,BP$9,IF(CO49&lt;=BQ$14,BP$14,IF(CO49&lt;=BQ$15,BP$15,IF(CO49&lt;=BQ$16,BP$16,0.05)))))))</f>
        <v/>
      </c>
      <c r="CZ49" s="2193">
        <f>CY49*CO49</f>
        <v/>
      </c>
      <c r="DA49" s="1051" t="n"/>
      <c r="DB49" s="1051">
        <f>IF(CR49&lt;=BT$6,BS$6,IF(CR49&lt;=BT$7,BS$7,IF(CR49&lt;=BT$8,BS$8,IF(CR49&lt;=BT$9,BS$9,IF(CR49&lt;=BT$14,BS$14,IF(CR49&lt;=BT$15,BS$15,IF(CR49&lt;=BT$16,BS$16,0.05)))))))</f>
        <v/>
      </c>
      <c r="DC49" s="2193">
        <f>DB49*CR49</f>
        <v/>
      </c>
      <c r="DD49" s="1051" t="n"/>
      <c r="DE49" s="1051">
        <f>IF(CU49&lt;=BW$6,BV$6,IF(CU49&lt;=BW$7,BV$7,IF(CU49&lt;=BW$8,BV$8,IF(CU49&lt;=BW$9,BV$9,IF(CU49&lt;=BW$14,BV$14,IF(CU49&lt;=BW$15,BV$15,IF(CU49&lt;=BW$16,BV$16,0.05)))))))</f>
        <v/>
      </c>
      <c r="DF49" s="2193">
        <f>DE49*SUM(DC49,CZ49,CU49)</f>
        <v/>
      </c>
      <c r="DG49" s="1051" t="n"/>
      <c r="DH49" s="2194">
        <f>IF(CX49&lt;=BZ$6,BY$6,IF(CX49&lt;=BZ$7,BY$7,IF(CX49&lt;=BZ$8,BY$8,IF(CX49&lt;=BZ$9,BY$9,IF(CX49&lt;=BZ$14,BY$14,IF(CX49&lt;=BZ$15,BY$15,IF(CX49&lt;=BZ$16,BY$16,0.05)))))))</f>
        <v/>
      </c>
      <c r="DI49" s="2193">
        <f>DH49*CX49</f>
        <v/>
      </c>
      <c r="DK49" s="1932">
        <f>0.07*SUM(CU49,CZ49,DC49,DF49,DI49)</f>
        <v/>
      </c>
      <c r="DM49" s="1932">
        <f>SUM(DK49,DI49,DF49,DC49,CZ49,CU49)</f>
        <v/>
      </c>
      <c r="DN49" s="1933">
        <f>SUM(DI49,DF49,DC49,CZ49)</f>
        <v/>
      </c>
      <c r="DO49" s="1051">
        <f>DN49/DM49</f>
        <v/>
      </c>
    </row>
    <row r="50" customFormat="1" s="585">
      <c r="A50" s="750" t="inlineStr">
        <is>
          <t>Travel:             Guys</t>
        </is>
      </c>
      <c r="B50" s="751" t="inlineStr">
        <is>
          <t>Hours</t>
        </is>
      </c>
      <c r="C50" s="751" t="inlineStr">
        <is>
          <t>Rate</t>
        </is>
      </c>
      <c r="D50" s="751" t="n"/>
      <c r="E50" s="751" t="n"/>
      <c r="F50" s="1037" t="inlineStr">
        <is>
          <t>Travel</t>
        </is>
      </c>
      <c r="G50" s="1169" t="n"/>
      <c r="H50" s="1608">
        <f>ROUNDUP(IF(B36&gt;H36,B36/H36,1),0)</f>
        <v/>
      </c>
      <c r="I50" s="1609" t="inlineStr">
        <is>
          <t># of Mat Truck Loads</t>
        </is>
      </c>
      <c r="J50" s="1348">
        <f>J46+J48</f>
        <v/>
      </c>
      <c r="K50" s="1339" t="inlineStr">
        <is>
          <t>% Soft Surf + Corridors</t>
        </is>
      </c>
      <c r="L50" s="1339" t="n"/>
      <c r="M50" s="1944" t="n"/>
      <c r="N50" s="1944" t="n"/>
      <c r="V50" s="1172" t="inlineStr">
        <is>
          <t>1/8"</t>
        </is>
      </c>
      <c r="W50" s="1167" t="n">
        <v>8</v>
      </c>
      <c r="X50" s="1167" t="inlineStr">
        <is>
          <t>s</t>
        </is>
      </c>
      <c r="AY50" s="2193" t="n">
        <v>38000</v>
      </c>
      <c r="AZ50" s="2193" t="n"/>
      <c r="BA50" s="2193" t="n"/>
      <c r="BB50" s="2193">
        <f>AY50</f>
        <v/>
      </c>
      <c r="BC50" s="2193" t="n"/>
      <c r="BD50" s="2193" t="n"/>
      <c r="BE50" s="2193">
        <f>AY50+BB50</f>
        <v/>
      </c>
      <c r="BF50" s="2193" t="n"/>
      <c r="BG50" s="2193" t="n"/>
      <c r="BH50" s="2193">
        <f>BE50</f>
        <v/>
      </c>
      <c r="BI50" s="1051">
        <f>IF(AY50&lt;=#REF!,#REF!,IF(AY50&lt;=#REF!,#REF!,IF(AY50&lt;=#REF!,#REF!,IF(AY50&lt;=#REF!,#REF!,IF(AY50&lt;=#REF!,#REF!,IF(AY50&lt;=#REF!,#REF!,IF(AY50&lt;=#REF!,#REF!,0.05)))))))</f>
        <v/>
      </c>
      <c r="BJ50" s="2193">
        <f>BI50*AY50</f>
        <v/>
      </c>
      <c r="BK50" s="1051" t="n"/>
      <c r="BL50" s="1051">
        <f>IF(BB50&lt;=#REF!,#REF!,IF(BB50&lt;=#REF!,#REF!,IF(BB50&lt;=#REF!,#REF!,IF(BB50&lt;=#REF!,#REF!,IF(BB50&lt;=#REF!,#REF!,IF(BB50&lt;=#REF!,#REF!,IF(BB50&lt;=#REF!,#REF!,0.05)))))))</f>
        <v/>
      </c>
      <c r="BM50" s="2193">
        <f>BL50*BB50</f>
        <v/>
      </c>
      <c r="BN50" s="1051" t="n"/>
      <c r="BO50" s="1051">
        <f>IF(BE50&lt;=#REF!,#REF!,IF(BE50&lt;=#REF!,#REF!,IF(BE50&lt;=#REF!,#REF!,IF(BE50&lt;=#REF!,#REF!,IF(BE50&lt;=#REF!,#REF!,IF(BE50&lt;=#REF!,#REF!,IF(BE50&lt;=#REF!,#REF!,0.05)))))))</f>
        <v/>
      </c>
      <c r="BP50" s="2193">
        <f>BO50*SUM(BM50,BJ50,BE50)</f>
        <v/>
      </c>
      <c r="BQ50" s="1051" t="n"/>
      <c r="BR50" s="2194">
        <f>IF(BH50&lt;=#REF!,#REF!,IF(BH50&lt;=#REF!,#REF!,IF(BH50&lt;=#REF!,#REF!,IF(BH50&lt;=#REF!,#REF!,IF(BH50&lt;=#REF!,#REF!,IF(BH50&lt;=#REF!,#REF!,IF(BH50&lt;=#REF!,#REF!,0.05)))))))</f>
        <v/>
      </c>
      <c r="BS50" s="2193">
        <f>BR50*BH50</f>
        <v/>
      </c>
      <c r="BU50" s="1932">
        <f>0.07*SUM(BE50,BJ50,BM50,BP50,BS50)</f>
        <v/>
      </c>
      <c r="BW50" s="1932">
        <f>SUM(BU50,BS50,BP50,BM50,BJ50,BE50)</f>
        <v/>
      </c>
      <c r="BX50" s="1933">
        <f>SUM(BS50,BP50,BM50,BJ50)</f>
        <v/>
      </c>
      <c r="BY50" s="1051">
        <f>BX50/BW50</f>
        <v/>
      </c>
      <c r="CO50" s="2193" t="n">
        <v>38000</v>
      </c>
      <c r="CP50" s="2193" t="n"/>
      <c r="CQ50" s="2193" t="n"/>
      <c r="CR50" s="2193">
        <f>CO50</f>
        <v/>
      </c>
      <c r="CS50" s="2193" t="n"/>
      <c r="CT50" s="2193" t="n"/>
      <c r="CU50" s="2193">
        <f>CO50+CR50</f>
        <v/>
      </c>
      <c r="CV50" s="2193" t="n"/>
      <c r="CW50" s="2193" t="n"/>
      <c r="CX50" s="2193">
        <f>CU50</f>
        <v/>
      </c>
      <c r="CY50" s="1051">
        <f>IF(CO50&lt;=BQ$6,BP$6,IF(CO50&lt;=BQ$7,BP$7,IF(CO50&lt;=BQ$8,BP$8,IF(CO50&lt;=BQ$9,BP$9,IF(CO50&lt;=BQ$14,BP$14,IF(CO50&lt;=BQ$15,BP$15,IF(CO50&lt;=BQ$16,BP$16,0.05)))))))</f>
        <v/>
      </c>
      <c r="CZ50" s="2193">
        <f>CY50*CO50</f>
        <v/>
      </c>
      <c r="DA50" s="1051" t="n"/>
      <c r="DB50" s="1051">
        <f>IF(CR50&lt;=BT$6,BS$6,IF(CR50&lt;=BT$7,BS$7,IF(CR50&lt;=BT$8,BS$8,IF(CR50&lt;=BT$9,BS$9,IF(CR50&lt;=BT$14,BS$14,IF(CR50&lt;=BT$15,BS$15,IF(CR50&lt;=BT$16,BS$16,0.05)))))))</f>
        <v/>
      </c>
      <c r="DC50" s="2193">
        <f>DB50*CR50</f>
        <v/>
      </c>
      <c r="DD50" s="1051" t="n"/>
      <c r="DE50" s="1051">
        <f>IF(CU50&lt;=BW$6,BV$6,IF(CU50&lt;=BW$7,BV$7,IF(CU50&lt;=BW$8,BV$8,IF(CU50&lt;=BW$9,BV$9,IF(CU50&lt;=BW$14,BV$14,IF(CU50&lt;=BW$15,BV$15,IF(CU50&lt;=BW$16,BV$16,0.05)))))))</f>
        <v/>
      </c>
      <c r="DF50" s="2193">
        <f>DE50*SUM(DC50,CZ50,CU50)</f>
        <v/>
      </c>
      <c r="DG50" s="1051" t="n"/>
      <c r="DH50" s="2194">
        <f>IF(CX50&lt;=BZ$6,BY$6,IF(CX50&lt;=BZ$7,BY$7,IF(CX50&lt;=BZ$8,BY$8,IF(CX50&lt;=BZ$9,BY$9,IF(CX50&lt;=BZ$14,BY$14,IF(CX50&lt;=BZ$15,BY$15,IF(CX50&lt;=BZ$16,BY$16,0.05)))))))</f>
        <v/>
      </c>
      <c r="DI50" s="2193">
        <f>DH50*CX50</f>
        <v/>
      </c>
      <c r="DK50" s="1932">
        <f>0.07*SUM(CU50,CZ50,DC50,DF50,DI50)</f>
        <v/>
      </c>
      <c r="DM50" s="1932">
        <f>SUM(DK50,DI50,DF50,DC50,CZ50,CU50)</f>
        <v/>
      </c>
      <c r="DN50" s="1933">
        <f>SUM(DI50,DF50,DC50,CZ50)</f>
        <v/>
      </c>
      <c r="DO50" s="1051">
        <f>DN50/DM50</f>
        <v/>
      </c>
    </row>
    <row r="51" customFormat="1" s="585">
      <c r="A51" s="755">
        <f>A46</f>
        <v/>
      </c>
      <c r="B51" s="2500">
        <f>((B6*2)/60)*T28</f>
        <v/>
      </c>
      <c r="C51" s="2256" t="n">
        <v>33.66</v>
      </c>
      <c r="D51" s="2257" t="n"/>
      <c r="E51" s="1041">
        <f>A51*B51*C51</f>
        <v/>
      </c>
      <c r="F51" s="2036" t="inlineStr">
        <is>
          <t xml:space="preserve">Travel Hours ((miles/60) x # Mobz)  </t>
        </is>
      </c>
      <c r="G51" s="1170" t="n"/>
      <c r="H51" s="705" t="n"/>
      <c r="I51" s="2017" t="n"/>
      <c r="J51" s="774" t="n"/>
      <c r="O51" s="851" t="inlineStr">
        <is>
          <t>PSI</t>
        </is>
      </c>
      <c r="Q51" s="1046" t="inlineStr">
        <is>
          <t>Sand Mix</t>
        </is>
      </c>
      <c r="R51" s="776" t="inlineStr">
        <is>
          <t>Gyp Yield Soft</t>
        </is>
      </c>
      <c r="S51" s="1150" t="inlineStr">
        <is>
          <t>Gyp Yield Hard</t>
        </is>
      </c>
      <c r="T51" s="1151" t="inlineStr">
        <is>
          <t>Gyp Yield Corr</t>
        </is>
      </c>
      <c r="W51" s="1034">
        <f>X51/$W$50</f>
        <v/>
      </c>
      <c r="X51" s="594" t="n">
        <v>6</v>
      </c>
      <c r="AY51" s="2193" t="n">
        <v>39000</v>
      </c>
      <c r="AZ51" s="2193" t="n"/>
      <c r="BA51" s="2193" t="n"/>
      <c r="BB51" s="2193">
        <f>AY51</f>
        <v/>
      </c>
      <c r="BC51" s="2193" t="n"/>
      <c r="BD51" s="2193" t="n"/>
      <c r="BE51" s="2193">
        <f>AY51+BB51</f>
        <v/>
      </c>
      <c r="BF51" s="2193" t="n"/>
      <c r="BG51" s="2193" t="n"/>
      <c r="BH51" s="2193">
        <f>BE51</f>
        <v/>
      </c>
      <c r="BI51" s="1051">
        <f>IF(AY51&lt;=#REF!,#REF!,IF(AY51&lt;=#REF!,#REF!,IF(AY51&lt;=#REF!,#REF!,IF(AY51&lt;=#REF!,#REF!,IF(AY51&lt;=#REF!,#REF!,IF(AY51&lt;=#REF!,#REF!,IF(AY51&lt;=#REF!,#REF!,0.05)))))))</f>
        <v/>
      </c>
      <c r="BJ51" s="2193">
        <f>BI51*AY51</f>
        <v/>
      </c>
      <c r="BK51" s="1051" t="n"/>
      <c r="BL51" s="1051">
        <f>IF(BB51&lt;=#REF!,#REF!,IF(BB51&lt;=#REF!,#REF!,IF(BB51&lt;=#REF!,#REF!,IF(BB51&lt;=#REF!,#REF!,IF(BB51&lt;=#REF!,#REF!,IF(BB51&lt;=#REF!,#REF!,IF(BB51&lt;=#REF!,#REF!,0.05)))))))</f>
        <v/>
      </c>
      <c r="BM51" s="2193">
        <f>BL51*BB51</f>
        <v/>
      </c>
      <c r="BN51" s="1051" t="n"/>
      <c r="BO51" s="1051">
        <f>IF(BE51&lt;=#REF!,#REF!,IF(BE51&lt;=#REF!,#REF!,IF(BE51&lt;=#REF!,#REF!,IF(BE51&lt;=#REF!,#REF!,IF(BE51&lt;=#REF!,#REF!,IF(BE51&lt;=#REF!,#REF!,IF(BE51&lt;=#REF!,#REF!,0.05)))))))</f>
        <v/>
      </c>
      <c r="BP51" s="2193">
        <f>BO51*SUM(BM51,BJ51,BE51)</f>
        <v/>
      </c>
      <c r="BQ51" s="1051" t="n"/>
      <c r="BR51" s="2194">
        <f>IF(BH51&lt;=#REF!,#REF!,IF(BH51&lt;=#REF!,#REF!,IF(BH51&lt;=#REF!,#REF!,IF(BH51&lt;=#REF!,#REF!,IF(BH51&lt;=#REF!,#REF!,IF(BH51&lt;=#REF!,#REF!,IF(BH51&lt;=#REF!,#REF!,0.05)))))))</f>
        <v/>
      </c>
      <c r="BS51" s="2193">
        <f>BR51*BH51</f>
        <v/>
      </c>
      <c r="BU51" s="1932">
        <f>0.07*SUM(BE51,BJ51,BM51,BP51,BS51)</f>
        <v/>
      </c>
      <c r="BW51" s="1932">
        <f>SUM(BU51,BS51,BP51,BM51,BJ51,BE51)</f>
        <v/>
      </c>
      <c r="BX51" s="1933">
        <f>SUM(BS51,BP51,BM51,BJ51)</f>
        <v/>
      </c>
      <c r="BY51" s="1051">
        <f>BX51/BW51</f>
        <v/>
      </c>
      <c r="CO51" s="2193" t="n">
        <v>39000</v>
      </c>
      <c r="CP51" s="2193" t="n"/>
      <c r="CQ51" s="2193" t="n"/>
      <c r="CR51" s="2193">
        <f>CO51</f>
        <v/>
      </c>
      <c r="CS51" s="2193" t="n"/>
      <c r="CT51" s="2193" t="n"/>
      <c r="CU51" s="2193">
        <f>CO51+CR51</f>
        <v/>
      </c>
      <c r="CV51" s="2193" t="n"/>
      <c r="CW51" s="2193" t="n"/>
      <c r="CX51" s="2193">
        <f>CU51</f>
        <v/>
      </c>
      <c r="CY51" s="1051">
        <f>IF(CO51&lt;=BQ$6,BP$6,IF(CO51&lt;=BQ$7,BP$7,IF(CO51&lt;=BQ$8,BP$8,IF(CO51&lt;=BQ$9,BP$9,IF(CO51&lt;=BQ$14,BP$14,IF(CO51&lt;=BQ$15,BP$15,IF(CO51&lt;=BQ$16,BP$16,0.05)))))))</f>
        <v/>
      </c>
      <c r="CZ51" s="2193">
        <f>CY51*CO51</f>
        <v/>
      </c>
      <c r="DA51" s="1051" t="n"/>
      <c r="DB51" s="1051">
        <f>IF(CR51&lt;=BT$6,BS$6,IF(CR51&lt;=BT$7,BS$7,IF(CR51&lt;=BT$8,BS$8,IF(CR51&lt;=BT$9,BS$9,IF(CR51&lt;=BT$14,BS$14,IF(CR51&lt;=BT$15,BS$15,IF(CR51&lt;=BT$16,BS$16,0.05)))))))</f>
        <v/>
      </c>
      <c r="DC51" s="2193">
        <f>DB51*CR51</f>
        <v/>
      </c>
      <c r="DD51" s="1051" t="n"/>
      <c r="DE51" s="1051">
        <f>IF(CU51&lt;=BW$6,BV$6,IF(CU51&lt;=BW$7,BV$7,IF(CU51&lt;=BW$8,BV$8,IF(CU51&lt;=BW$9,BV$9,IF(CU51&lt;=BW$14,BV$14,IF(CU51&lt;=BW$15,BV$15,IF(CU51&lt;=BW$16,BV$16,0.05)))))))</f>
        <v/>
      </c>
      <c r="DF51" s="2193">
        <f>DE51*SUM(DC51,CZ51,CU51)</f>
        <v/>
      </c>
      <c r="DG51" s="1051" t="n"/>
      <c r="DH51" s="2194">
        <f>IF(CX51&lt;=BZ$6,BY$6,IF(CX51&lt;=BZ$7,BY$7,IF(CX51&lt;=BZ$8,BY$8,IF(CX51&lt;=BZ$9,BY$9,IF(CX51&lt;=BZ$14,BY$14,IF(CX51&lt;=BZ$15,BY$15,IF(CX51&lt;=BZ$16,BY$16,0.05)))))))</f>
        <v/>
      </c>
      <c r="DI51" s="2193">
        <f>DH51*CX51</f>
        <v/>
      </c>
      <c r="DK51" s="1932">
        <f>0.07*SUM(CU51,CZ51,DC51,DF51,DI51)</f>
        <v/>
      </c>
      <c r="DM51" s="1932">
        <f>SUM(DK51,DI51,DF51,DC51,CZ51,CU51)</f>
        <v/>
      </c>
      <c r="DN51" s="1933">
        <f>SUM(DI51,DF51,DC51,CZ51)</f>
        <v/>
      </c>
      <c r="DO51" s="1051">
        <f>DN51/DM51</f>
        <v/>
      </c>
    </row>
    <row r="52" ht="16.2" customFormat="1" customHeight="1" s="585" thickBot="1">
      <c r="A52" s="764" t="inlineStr">
        <is>
          <t xml:space="preserve">Install Labor </t>
        </is>
      </c>
      <c r="B52" s="765" t="n"/>
      <c r="C52" s="766" t="n"/>
      <c r="D52" s="765" t="n"/>
      <c r="E52" s="2258">
        <f>ROUNDUP(SUM(E45:E51),0)</f>
        <v/>
      </c>
      <c r="F52" s="766">
        <f>E52/B43</f>
        <v/>
      </c>
      <c r="G52" s="766" t="inlineStr">
        <is>
          <t>Labor $/SF</t>
        </is>
      </c>
      <c r="H52" s="2011" t="n"/>
      <c r="I52" s="600" t="n"/>
      <c r="J52" s="1046" t="n"/>
      <c r="O52" s="585" t="inlineStr">
        <is>
          <t>2500 psi = 1.8</t>
        </is>
      </c>
      <c r="P52" s="585" t="n">
        <v>1.8</v>
      </c>
      <c r="Q52" s="585" t="n">
        <v>180</v>
      </c>
      <c r="R52" s="1034">
        <f>G15/I23</f>
        <v/>
      </c>
      <c r="S52" s="1034">
        <f>(G15+12)/I24</f>
        <v/>
      </c>
      <c r="T52" s="1034">
        <f>G15/I25</f>
        <v/>
      </c>
      <c r="W52" s="1034">
        <f>X52/$W$50</f>
        <v/>
      </c>
      <c r="X52" s="594" t="n">
        <v>8</v>
      </c>
    </row>
    <row r="53" ht="16.2" customFormat="1" customHeight="1" s="585" thickBot="1">
      <c r="A53" s="1527" t="inlineStr">
        <is>
          <t>Labor Escalation</t>
        </is>
      </c>
      <c r="B53" s="1533" t="inlineStr">
        <is>
          <t>(rate esc. only)</t>
        </is>
      </c>
      <c r="C53" s="1555">
        <f>'Gyp (USG 1-8")'!C53</f>
        <v/>
      </c>
      <c r="D53" s="1528" t="n"/>
      <c r="E53" s="2259">
        <f>ROUNDUP(((E52)*C53),0)</f>
        <v/>
      </c>
      <c r="F53" s="1556" t="inlineStr">
        <is>
          <t>+5%IFPWorLong Lead Job (12+months)</t>
        </is>
      </c>
      <c r="G53" s="600" t="n"/>
      <c r="H53" s="2014" t="n"/>
      <c r="I53" s="600" t="n"/>
      <c r="J53" s="1046" t="n"/>
      <c r="K53" s="1595" t="inlineStr">
        <is>
          <t xml:space="preserve">        "Entry" Laborer for MO "State" Wage ONLY</t>
        </is>
      </c>
      <c r="L53" s="1594" t="n"/>
      <c r="M53" s="1944" t="n"/>
      <c r="N53" s="1944" t="n"/>
      <c r="R53" s="1034" t="n"/>
      <c r="S53" s="1034" t="n"/>
      <c r="T53" s="1034" t="n"/>
      <c r="W53" s="1034">
        <f>X53/$W$50</f>
        <v/>
      </c>
      <c r="X53" s="594" t="n">
        <v>10</v>
      </c>
    </row>
    <row r="54" ht="16.2" customFormat="1" customHeight="1" s="585" thickBot="1">
      <c r="A54" s="771" t="inlineStr">
        <is>
          <t>Labor Burden</t>
        </is>
      </c>
      <c r="B54" s="766" t="n"/>
      <c r="C54" s="1044" t="n">
        <v>0.12</v>
      </c>
      <c r="D54" s="1044" t="n"/>
      <c r="E54" s="2260">
        <f>ROUNDUP((E52+E53)*C54,0)</f>
        <v/>
      </c>
      <c r="F54" s="600" t="n"/>
      <c r="G54" s="600" t="n"/>
      <c r="H54" s="2017" t="n"/>
      <c r="I54" s="2017" t="n"/>
      <c r="J54" s="774" t="n"/>
      <c r="K54" s="1585" t="inlineStr">
        <is>
          <t xml:space="preserve">                    ** Cement Mason **              </t>
        </is>
      </c>
      <c r="L54" s="1586" t="n"/>
      <c r="M54" s="1944" t="n"/>
      <c r="N54" s="1944" t="n"/>
      <c r="O54" s="585" t="inlineStr">
        <is>
          <t>3000+ psi = 1.4</t>
        </is>
      </c>
      <c r="P54" s="585" t="n">
        <v>1.4</v>
      </c>
      <c r="Q54" s="585" t="n">
        <v>140</v>
      </c>
      <c r="R54" s="1121">
        <f>ROUND(G15/(I23*1.1764705915999),0)</f>
        <v/>
      </c>
      <c r="S54" s="1122">
        <f>ROUND((G15+12)/(I24*1.1764705915999),0)</f>
        <v/>
      </c>
      <c r="T54" s="1121">
        <f>ROUND(G15/(I25*1.1764705915999),0)</f>
        <v/>
      </c>
      <c r="W54" s="1034">
        <f>X54/$W$50</f>
        <v/>
      </c>
      <c r="X54" s="594" t="n">
        <v>12</v>
      </c>
    </row>
    <row r="55" ht="16.2" customFormat="1" customHeight="1" s="585" thickBot="1">
      <c r="A55" s="600" t="n"/>
      <c r="B55" s="1877" t="n"/>
      <c r="C55" s="1944" t="n"/>
      <c r="D55" s="1944" t="n"/>
      <c r="E55" s="1944" t="n"/>
      <c r="F55" s="1944" t="n"/>
      <c r="G55" s="1610">
        <f>T28</f>
        <v/>
      </c>
      <c r="H55" s="1390" t="inlineStr">
        <is>
          <t>Total mobs INCLUDED</t>
        </is>
      </c>
      <c r="I55" s="1441" t="inlineStr">
        <is>
          <t>---from---'S28'---&gt;</t>
        </is>
      </c>
      <c r="J55" s="1046" t="n"/>
      <c r="K55" s="1576" t="inlineStr">
        <is>
          <t>Prevailing Wage Rate:</t>
        </is>
      </c>
      <c r="L55" s="2018">
        <f>SUM(L56:L57)</f>
        <v/>
      </c>
      <c r="M55" s="2026">
        <f>IF((L55/2)&lt;23,23,(L55/2))</f>
        <v/>
      </c>
      <c r="W55" s="1034">
        <f>X55/$W$50</f>
        <v/>
      </c>
      <c r="X55" s="594" t="n">
        <v>14</v>
      </c>
    </row>
    <row r="56" customFormat="1" s="585">
      <c r="A56" s="621" t="inlineStr">
        <is>
          <t>TOOLING &amp; CONSUMABLES</t>
        </is>
      </c>
      <c r="B56" s="622" t="inlineStr">
        <is>
          <t>Quantity</t>
        </is>
      </c>
      <c r="C56" s="778" t="inlineStr">
        <is>
          <t>Cost</t>
        </is>
      </c>
      <c r="D56" s="1047" t="n"/>
      <c r="E56" s="2261" t="inlineStr">
        <is>
          <t>Totals</t>
        </is>
      </c>
      <c r="F56" s="600" t="n"/>
      <c r="G56" s="600" t="n"/>
      <c r="H56" s="1450">
        <f>F43</f>
        <v/>
      </c>
      <c r="I56" s="593" t="n"/>
      <c r="J56" s="600" t="n"/>
      <c r="K56" s="1578" t="inlineStr">
        <is>
          <t>rate =</t>
        </is>
      </c>
      <c r="L56" s="2020" t="n">
        <v>0</v>
      </c>
      <c r="M56" s="1598" t="inlineStr">
        <is>
          <t xml:space="preserve"> 1:1 "Entry"</t>
        </is>
      </c>
      <c r="O56" s="1113" t="inlineStr">
        <is>
          <t>Gyp Yield Calculator</t>
        </is>
      </c>
      <c r="P56" s="1120" t="inlineStr">
        <is>
          <t>Factor = 13.00</t>
        </is>
      </c>
      <c r="W56" s="1034">
        <f>X56/$W$50</f>
        <v/>
      </c>
      <c r="X56" s="594" t="n">
        <v>16</v>
      </c>
    </row>
    <row r="57" ht="16.2" customFormat="1" customHeight="1" s="585" thickBot="1">
      <c r="A57" s="628" t="inlineStr">
        <is>
          <t>Moisture Test</t>
        </is>
      </c>
      <c r="B57" s="774" t="n"/>
      <c r="C57" s="1944" t="n">
        <v>35</v>
      </c>
      <c r="D57" s="1977" t="n"/>
      <c r="E57" s="1962">
        <f>ROUNDUP(B57*C57,0)</f>
        <v/>
      </c>
      <c r="F57" s="600" t="n"/>
      <c r="G57" s="1409" t="inlineStr">
        <is>
          <t xml:space="preserve">Total Man Hours </t>
        </is>
      </c>
      <c r="H57" s="1410">
        <f>((A46*B46)+(A47*B47)+(A48*B48)+(A49*B49)+(A45*B45))</f>
        <v/>
      </c>
      <c r="I57" s="1443">
        <f>A46</f>
        <v/>
      </c>
      <c r="J57" s="2168" t="inlineStr">
        <is>
          <t>crew size</t>
        </is>
      </c>
      <c r="K57" s="1580" t="inlineStr">
        <is>
          <t>+ fringes =</t>
        </is>
      </c>
      <c r="L57" s="2022" t="n">
        <v>0</v>
      </c>
      <c r="M57" s="1599" t="inlineStr">
        <is>
          <t xml:space="preserve">Half Wage </t>
        </is>
      </c>
      <c r="O57" s="585" t="n">
        <v>1.4</v>
      </c>
      <c r="P57" s="585">
        <f>160+280</f>
        <v/>
      </c>
      <c r="Q57" s="1121" t="n">
        <v>33.75</v>
      </c>
      <c r="R57" s="2262">
        <f>P57/Q57</f>
        <v/>
      </c>
      <c r="S57" s="594" t="n">
        <v>1.4</v>
      </c>
      <c r="T57" s="1122" t="n">
        <v>35.5</v>
      </c>
      <c r="U57" s="2262">
        <f>P57/T57</f>
        <v/>
      </c>
      <c r="V57" s="594" t="n">
        <v>1.4</v>
      </c>
      <c r="W57" s="1034">
        <f>X57/$W$50</f>
        <v/>
      </c>
      <c r="X57" s="594" t="n">
        <v>18</v>
      </c>
    </row>
    <row r="58" customFormat="1" s="585">
      <c r="A58" s="628" t="inlineStr">
        <is>
          <t>Tooling &amp; Consumables</t>
        </is>
      </c>
      <c r="B58" s="774">
        <f>B43</f>
        <v/>
      </c>
      <c r="C58" s="1944" t="n">
        <v>0.04</v>
      </c>
      <c r="D58" s="1977" t="n"/>
      <c r="E58" s="1962">
        <f>ROUNDUP(B58*C58,0)</f>
        <v/>
      </c>
      <c r="F58" s="1422" t="inlineStr">
        <is>
          <t>(staples, sprayer, tarp, etc.)</t>
        </is>
      </c>
      <c r="G58" s="1048" t="inlineStr">
        <is>
          <t xml:space="preserve">Total Days </t>
        </is>
      </c>
      <c r="H58" s="1389">
        <f>H57/IF($F$43="8 hour days",8,10)/I57</f>
        <v/>
      </c>
      <c r="I58" s="1404">
        <f>H58/G55</f>
        <v/>
      </c>
      <c r="J58" s="959" t="inlineStr">
        <is>
          <t>Avg days per mob</t>
        </is>
      </c>
      <c r="K58" s="864" t="inlineStr">
        <is>
          <t xml:space="preserve">        Foreman *min. $32 Cement Mason</t>
        </is>
      </c>
      <c r="L58" s="2023" t="n"/>
      <c r="O58" s="585" t="n">
        <v>1.8</v>
      </c>
      <c r="P58" s="585">
        <f>160+360</f>
        <v/>
      </c>
      <c r="Q58" s="1118" t="n">
        <v>40</v>
      </c>
      <c r="R58" s="2263">
        <f>P58/Q58</f>
        <v/>
      </c>
      <c r="S58" s="594" t="n">
        <v>1.8</v>
      </c>
      <c r="T58" s="1034" t="n">
        <v>42</v>
      </c>
      <c r="U58" s="2264">
        <f>P58/T58</f>
        <v/>
      </c>
      <c r="V58" s="594" t="n">
        <v>1.8</v>
      </c>
      <c r="W58" s="1034">
        <f>X58/$W$50</f>
        <v/>
      </c>
      <c r="X58" s="594" t="n">
        <v>20</v>
      </c>
    </row>
    <row r="59" ht="16.2" customFormat="1" customHeight="1" s="585" thickBot="1">
      <c r="A59" s="628" t="n"/>
      <c r="B59" s="774" t="n"/>
      <c r="C59" s="1944" t="n"/>
      <c r="D59" s="1977" t="n"/>
      <c r="E59" s="1962">
        <f>ROUNDUP(B59*C59,0)</f>
        <v/>
      </c>
      <c r="F59" s="787" t="n"/>
      <c r="G59" s="1405" t="n"/>
      <c r="H59" s="1406" t="n"/>
      <c r="I59" s="1407" t="n"/>
      <c r="J59" s="2265" t="n"/>
      <c r="K59" s="1583" t="inlineStr">
        <is>
          <t xml:space="preserve">        (Entry *min. $23 Cement Mason)</t>
        </is>
      </c>
      <c r="L59" s="2024" t="n"/>
      <c r="Q59" s="1119" t="inlineStr">
        <is>
          <t>40 sf @ 3/4"</t>
        </is>
      </c>
      <c r="R59" s="2266">
        <f>R58-R57</f>
        <v/>
      </c>
      <c r="S59" s="590" t="inlineStr">
        <is>
          <t>diff</t>
        </is>
      </c>
      <c r="U59" s="2266">
        <f>U58-U57</f>
        <v/>
      </c>
      <c r="V59" s="590" t="inlineStr">
        <is>
          <t>diff</t>
        </is>
      </c>
      <c r="W59" s="1034">
        <f>X59/$W$50</f>
        <v/>
      </c>
      <c r="X59" s="594" t="n">
        <v>22</v>
      </c>
    </row>
    <row r="60" ht="16.2" customFormat="1" customHeight="1" s="585" thickBot="1">
      <c r="A60" s="628" t="n"/>
      <c r="B60" s="774" t="n"/>
      <c r="C60" s="1944" t="n"/>
      <c r="D60" s="1977" t="n"/>
      <c r="E60" s="1962">
        <f>ROUNDUP(B60*C60,0)</f>
        <v/>
      </c>
      <c r="F60" s="600" t="n"/>
      <c r="G60" s="1438" t="inlineStr">
        <is>
          <t>Total Days w/Travel</t>
        </is>
      </c>
      <c r="H60" s="1439">
        <f>H61/IF($F$43="8 hour days",8,10)/I57</f>
        <v/>
      </c>
      <c r="I60" s="1404">
        <f>H60/G55</f>
        <v/>
      </c>
      <c r="J60" s="959" t="inlineStr">
        <is>
          <t>Days per mob(WITH travel)</t>
        </is>
      </c>
      <c r="K60" s="1587" t="inlineStr">
        <is>
          <t xml:space="preserve">                           ** Painter **                      </t>
        </is>
      </c>
      <c r="L60" s="1588" t="n"/>
      <c r="W60" s="1034">
        <f>X60/$W$50</f>
        <v/>
      </c>
      <c r="X60" s="594" t="n">
        <v>24</v>
      </c>
    </row>
    <row r="61" ht="16.2" customFormat="1" customHeight="1" s="585" thickBot="1">
      <c r="A61" s="1565" t="inlineStr">
        <is>
          <t>Tooling and Consumables Total</t>
        </is>
      </c>
      <c r="B61" s="1566" t="n"/>
      <c r="C61" s="2028" t="n"/>
      <c r="D61" s="2028" t="n"/>
      <c r="E61" s="2029">
        <f>SUM(E57:E60)</f>
        <v/>
      </c>
      <c r="F61" s="600" t="n"/>
      <c r="G61" s="1537" t="inlineStr">
        <is>
          <t>Hours WITH travel</t>
        </is>
      </c>
      <c r="H61" s="1536">
        <f>((A46*B46)+(A47*B47)+(A48*B48)+(A49*B49)+(A45*B45)+(A51*B51))</f>
        <v/>
      </c>
      <c r="I61" s="793" t="n"/>
      <c r="J61" s="834" t="n"/>
      <c r="K61" s="1576" t="inlineStr">
        <is>
          <t>Prevailing Wage Rate:</t>
        </is>
      </c>
      <c r="L61" s="2018">
        <f>SUM(L62:L63)</f>
        <v/>
      </c>
      <c r="M61" s="2026">
        <f>IF((L61/2)&lt;23,23,(L61/2))</f>
        <v/>
      </c>
      <c r="W61" s="1034">
        <f>X61/$W$50</f>
        <v/>
      </c>
      <c r="X61" s="594" t="n">
        <v>26</v>
      </c>
    </row>
    <row r="62" customFormat="1" s="585">
      <c r="A62" s="600" t="n"/>
      <c r="B62" s="1877" t="n"/>
      <c r="C62" s="1944" t="n"/>
      <c r="D62" s="1944" t="n"/>
      <c r="E62" s="1944" t="n"/>
      <c r="F62" s="600" t="n"/>
      <c r="G62" s="600" t="n"/>
      <c r="H62" s="600" t="n"/>
      <c r="I62" s="2267">
        <f>B43/G55</f>
        <v/>
      </c>
      <c r="J62" s="1645" t="inlineStr">
        <is>
          <t>SF /mob (approx.-avg.)</t>
        </is>
      </c>
      <c r="K62" s="1578" t="inlineStr">
        <is>
          <t>rate =</t>
        </is>
      </c>
      <c r="L62" s="2020" t="n">
        <v>0</v>
      </c>
      <c r="M62" s="1596" t="inlineStr">
        <is>
          <t xml:space="preserve"> 1:1 "Entry"</t>
        </is>
      </c>
      <c r="W62" s="1034">
        <f>X62/$W$50</f>
        <v/>
      </c>
      <c r="X62" s="594" t="n">
        <v>28</v>
      </c>
    </row>
    <row r="63" ht="16.2" customFormat="1" customHeight="1" s="585" thickBot="1">
      <c r="A63" s="621" t="inlineStr">
        <is>
          <t>TRAVEL</t>
        </is>
      </c>
      <c r="B63" s="622" t="inlineStr">
        <is>
          <t>Quantity</t>
        </is>
      </c>
      <c r="C63" s="778" t="inlineStr">
        <is>
          <t>Cost</t>
        </is>
      </c>
      <c r="D63" s="1047" t="n"/>
      <c r="E63" s="2261" t="inlineStr">
        <is>
          <t>Totals</t>
        </is>
      </c>
      <c r="F63" s="600" t="n"/>
      <c r="G63" s="600" t="n"/>
      <c r="H63" s="780" t="n"/>
      <c r="K63" s="1580" t="inlineStr">
        <is>
          <t>+ fringes =</t>
        </is>
      </c>
      <c r="L63" s="2022" t="n">
        <v>0</v>
      </c>
      <c r="M63" s="1597" t="inlineStr">
        <is>
          <t xml:space="preserve">Half Wage </t>
        </is>
      </c>
      <c r="O63" s="1113" t="inlineStr">
        <is>
          <t>PSI option… pending add</t>
        </is>
      </c>
      <c r="Q63" s="1046" t="inlineStr">
        <is>
          <t>Sand Mix</t>
        </is>
      </c>
      <c r="R63" s="1046" t="inlineStr">
        <is>
          <t>Gyp Yield Soft+Corr</t>
        </is>
      </c>
      <c r="S63" s="1046" t="inlineStr">
        <is>
          <t>Gyp Yield Hard</t>
        </is>
      </c>
    </row>
    <row r="64" customFormat="1" s="585">
      <c r="A64" s="628" t="inlineStr">
        <is>
          <t>Travel - Lodging</t>
        </is>
      </c>
      <c r="B64" s="774">
        <f>IF(B5="No",((E52-E51)/C46)/10)</f>
        <v/>
      </c>
      <c r="C64" s="1944" t="n">
        <v>70</v>
      </c>
      <c r="D64" s="1977" t="n"/>
      <c r="E64" s="1962">
        <f>ROUNDUP(B64*C64,0)</f>
        <v/>
      </c>
      <c r="F64" s="600" t="n"/>
      <c r="G64" s="600" t="n"/>
      <c r="H64" s="600" t="n"/>
      <c r="I64" s="774" t="n"/>
      <c r="J64" s="714" t="n"/>
      <c r="K64" s="864" t="inlineStr">
        <is>
          <t xml:space="preserve">               Foreman *min. $32 Painter</t>
        </is>
      </c>
      <c r="L64" s="2023" t="n"/>
      <c r="O64" s="585" t="inlineStr">
        <is>
          <t>2000 psi</t>
        </is>
      </c>
      <c r="P64" s="585" t="n">
        <v>2.1</v>
      </c>
      <c r="Q64" s="585" t="n">
        <v>210</v>
      </c>
    </row>
    <row r="65" ht="16.2" customFormat="1" customHeight="1" s="585" thickBot="1">
      <c r="A65" s="628" t="inlineStr">
        <is>
          <t>Travel - Food</t>
        </is>
      </c>
      <c r="B65" s="774">
        <f>B64</f>
        <v/>
      </c>
      <c r="C65" s="1944" t="n">
        <v>45</v>
      </c>
      <c r="D65" s="1977" t="n"/>
      <c r="E65" s="1962">
        <f>ROUNDUP(B65*C65,0)</f>
        <v/>
      </c>
      <c r="F65" s="795" t="n"/>
      <c r="G65" s="600" t="n"/>
      <c r="H65" s="600" t="n"/>
      <c r="I65" s="782" t="n"/>
      <c r="J65" s="1944" t="n"/>
      <c r="K65" s="1583" t="inlineStr">
        <is>
          <t xml:space="preserve">               (Entry *min. $23 Painter)</t>
        </is>
      </c>
      <c r="L65" s="2024" t="n"/>
      <c r="M65" s="1383" t="n"/>
      <c r="N65" s="1383" t="n"/>
    </row>
    <row r="66" ht="16.2" customFormat="1" customHeight="1" s="585" thickBot="1">
      <c r="A66" s="628" t="n"/>
      <c r="B66" s="774" t="n"/>
      <c r="C66" s="1944" t="n"/>
      <c r="D66" s="1977" t="n"/>
      <c r="E66" s="1962">
        <f>ROUNDUP(B66*C66,0)</f>
        <v/>
      </c>
      <c r="F66" s="600" t="n"/>
      <c r="G66" s="600" t="n"/>
      <c r="H66" s="600" t="n"/>
      <c r="I66" s="774" t="n"/>
      <c r="J66" s="1944" t="n"/>
      <c r="K66" s="1595" t="inlineStr">
        <is>
          <t xml:space="preserve">        "Entry" Laborer for MO "State" Wage ONLY</t>
        </is>
      </c>
      <c r="L66" s="1594" t="n"/>
      <c r="M66" s="590" t="inlineStr">
        <is>
          <t>NOT davis-bacon</t>
        </is>
      </c>
      <c r="N66" s="590" t="n"/>
    </row>
    <row r="67" customFormat="1" s="585">
      <c r="A67" s="1565" t="inlineStr">
        <is>
          <t>Travel Costs Total</t>
        </is>
      </c>
      <c r="B67" s="1566" t="n"/>
      <c r="C67" s="2028" t="n"/>
      <c r="D67" s="2028" t="n"/>
      <c r="E67" s="2029">
        <f>SUM(E64:E66)</f>
        <v/>
      </c>
      <c r="F67" s="600" t="n"/>
      <c r="G67" s="600" t="n"/>
      <c r="H67" s="662" t="n"/>
      <c r="I67" s="793" t="n"/>
      <c r="J67" s="1944" t="n"/>
      <c r="K67" s="600" t="n"/>
      <c r="L67" s="1936" t="n"/>
    </row>
    <row r="68" customFormat="1" s="585">
      <c r="A68" s="600" t="n"/>
      <c r="B68" s="1877" t="n"/>
      <c r="C68" s="1944" t="n"/>
      <c r="D68" s="1944" t="n"/>
      <c r="E68" s="1944" t="n"/>
      <c r="F68" s="600" t="n"/>
      <c r="G68" s="600" t="n"/>
      <c r="H68" s="600" t="n"/>
      <c r="J68" s="714" t="n"/>
      <c r="K68" s="1944" t="n"/>
      <c r="L68" s="1928" t="n"/>
    </row>
    <row r="69" customFormat="1" s="585">
      <c r="A69" s="796" t="inlineStr">
        <is>
          <t>SUB-TOTAL COSTS</t>
        </is>
      </c>
      <c r="B69" s="797" t="n"/>
      <c r="C69" s="2032" t="n"/>
      <c r="D69" s="2032" t="n"/>
      <c r="E69" s="2033">
        <f>ROUNDUP(SUM(E41,E52:E54,E61,E67),0)</f>
        <v/>
      </c>
      <c r="F69" s="2268">
        <f>E69/B43</f>
        <v/>
      </c>
      <c r="G69" s="801" t="inlineStr">
        <is>
          <t>Sub-Total $/SF</t>
        </is>
      </c>
      <c r="H69" s="600" t="n"/>
      <c r="K69" s="714" t="n"/>
      <c r="L69" s="2031" t="n"/>
    </row>
    <row r="70" customFormat="1" s="585">
      <c r="A70" s="600" t="n"/>
      <c r="B70" s="1877" t="n"/>
      <c r="C70" s="1944" t="n"/>
      <c r="D70" s="1944" t="n"/>
      <c r="E70" s="1944" t="n"/>
      <c r="F70" s="600" t="n"/>
      <c r="G70" s="600" t="n"/>
      <c r="H70" s="600" t="n"/>
      <c r="J70" s="1944" t="n"/>
      <c r="K70" s="600" t="n"/>
      <c r="L70" s="1936" t="n"/>
      <c r="M70" s="1936" t="n"/>
      <c r="N70" s="1936" t="n"/>
    </row>
    <row r="71" customFormat="1" s="585">
      <c r="A71" s="621" t="inlineStr">
        <is>
          <t>MARKUP</t>
        </is>
      </c>
      <c r="B71" s="622" t="inlineStr">
        <is>
          <t>%</t>
        </is>
      </c>
      <c r="C71" s="2035" t="n"/>
      <c r="D71" s="1047" t="n"/>
      <c r="E71" s="2019" t="inlineStr">
        <is>
          <t>Totals</t>
        </is>
      </c>
      <c r="F71" s="600" t="n"/>
      <c r="G71" s="2036">
        <f>SUM(E69,E81,E84)</f>
        <v/>
      </c>
      <c r="H71" s="811" t="inlineStr">
        <is>
          <t>Total "Estimated Costs" w/taxes + fees + bond</t>
        </is>
      </c>
      <c r="I71" s="812" t="n"/>
      <c r="J71" s="2037">
        <f>G71/C86</f>
        <v/>
      </c>
      <c r="K71" s="1944" t="n"/>
      <c r="L71" s="1928" t="n"/>
    </row>
    <row r="72" customFormat="1" s="585">
      <c r="A72" s="817" t="inlineStr">
        <is>
          <t>GP (before lines below)</t>
        </is>
      </c>
      <c r="B72" s="122">
        <f>IF(E69&lt;15000,0.45,IF(E69&lt;25000,0.4,IF(E69&lt;50000,0.35,IF(E69&lt;75000,0.33,IF(E69&lt;100000,0.28,IF(E69&lt;150000,0.26,0.24))))))</f>
        <v/>
      </c>
      <c r="C72" s="1944" t="n"/>
      <c r="D72" s="2269" t="n"/>
      <c r="E72" s="2038">
        <f>ROUNDUP(SUM(E69,E79,E82)/(1-B72),0)-ROUNDUP(SUM(E69,E79,E82),0)</f>
        <v/>
      </c>
      <c r="F72" s="600" t="n"/>
      <c r="G72" s="2039">
        <f>((A45*B45)+(A46*B46)+(A47*B47)+(A48*B48)+(A49*B49))+(A51*B51)</f>
        <v/>
      </c>
      <c r="H72" s="815" t="inlineStr">
        <is>
          <t>Man Hour Budget (Raken)</t>
        </is>
      </c>
      <c r="I72" s="815" t="n"/>
      <c r="K72" s="662" t="n"/>
      <c r="L72" s="1928" t="n"/>
    </row>
    <row r="73" customFormat="1" s="585">
      <c r="A73" s="817" t="inlineStr">
        <is>
          <t>Hard Bid Discount</t>
        </is>
      </c>
      <c r="B73" s="2040" t="n"/>
      <c r="C73" s="1944" t="n"/>
      <c r="D73" s="1977" t="n"/>
      <c r="E73" s="1962">
        <f>ROUNDUP(SUM(E69,E72)*B73,0)</f>
        <v/>
      </c>
      <c r="F73" s="600" t="n"/>
      <c r="G73" s="2270">
        <f>G86/H60</f>
        <v/>
      </c>
      <c r="H73" s="1436" t="inlineStr">
        <is>
          <t>GP per Day</t>
        </is>
      </c>
      <c r="I73" s="809">
        <f>F43</f>
        <v/>
      </c>
      <c r="K73" s="1944" t="n"/>
      <c r="L73" s="1928" t="n"/>
    </row>
    <row r="74" customFormat="1" s="585">
      <c r="A74" s="628" t="inlineStr">
        <is>
          <t>Superintendent &amp; PTO</t>
        </is>
      </c>
      <c r="B74" s="819" t="n">
        <v>0.041</v>
      </c>
      <c r="C74" s="2042" t="n"/>
      <c r="D74" s="1977" t="n"/>
      <c r="E74" s="1962">
        <f>ROUNDUP(SUM(E69:E73,E76,E79,E82)*B74,0)</f>
        <v/>
      </c>
      <c r="F74" s="600" t="n"/>
      <c r="G74" s="793" t="inlineStr">
        <is>
          <t>Minimum ^ = $2,500</t>
        </is>
      </c>
      <c r="H74" s="2219">
        <f>G73-2500</f>
        <v/>
      </c>
      <c r="I74" s="590" t="inlineStr">
        <is>
          <t>difference (good/not?)</t>
        </is>
      </c>
      <c r="K74" s="714" t="n"/>
      <c r="L74" s="2031" t="n"/>
    </row>
    <row r="75" customFormat="1" s="585">
      <c r="A75" s="628" t="inlineStr">
        <is>
          <t>Soft Costs</t>
        </is>
      </c>
      <c r="B75" s="819">
        <f>IF(OR(B5="Yes",B5="No"),IF(B5="Yes",0.09,0.1) - IF(E69&gt;334900,0.05,IF(E69&gt;234450,0.035,0)),"error")</f>
        <v/>
      </c>
      <c r="C75" s="2042" t="n"/>
      <c r="D75" s="1977" t="n"/>
      <c r="E75" s="1962">
        <f>(ROUNDUP(SUM(E69:E74,E76,E79,E82)*B75,0))+0</f>
        <v/>
      </c>
      <c r="F75" s="600" t="n"/>
      <c r="G75" s="600" t="n"/>
      <c r="H75" s="1877" t="n"/>
      <c r="J75" s="2043" t="n"/>
      <c r="K75" s="714" t="n"/>
      <c r="L75" s="2031" t="n"/>
    </row>
    <row r="76" customFormat="1" s="585">
      <c r="A76" s="820" t="inlineStr">
        <is>
          <t>Contingency</t>
        </is>
      </c>
      <c r="B76" s="1575" t="inlineStr">
        <is>
          <t>-- ?? --&gt;</t>
        </is>
      </c>
      <c r="C76" s="2044" t="n"/>
      <c r="D76" s="2044" t="n"/>
      <c r="E76" s="2045" t="n">
        <v>0</v>
      </c>
      <c r="F76" s="600" t="n"/>
      <c r="K76" s="714" t="n"/>
      <c r="L76" s="2031" t="n"/>
    </row>
    <row r="77" customFormat="1" s="585">
      <c r="A77" s="600" t="n"/>
      <c r="B77" s="1877" t="n"/>
      <c r="C77" s="1944" t="n"/>
      <c r="D77" s="1944" t="n"/>
      <c r="E77" s="1944" t="n"/>
      <c r="F77" s="600" t="n"/>
    </row>
    <row r="78" customFormat="1" s="585">
      <c r="A78" s="621" t="inlineStr">
        <is>
          <t>TAXES &amp; FEES</t>
        </is>
      </c>
      <c r="B78" s="622" t="inlineStr">
        <is>
          <t>%</t>
        </is>
      </c>
      <c r="C78" s="778" t="n"/>
      <c r="D78" s="1047" t="n"/>
      <c r="E78" s="2019" t="inlineStr">
        <is>
          <t>Totals</t>
        </is>
      </c>
      <c r="F78" s="600" t="n"/>
      <c r="J78" s="2046">
        <f>(J81-J79-J80)</f>
        <v/>
      </c>
      <c r="K78" s="590" t="n"/>
    </row>
    <row r="79" customFormat="1" s="585">
      <c r="A79" s="628" t="inlineStr">
        <is>
          <t>Sales Tax</t>
        </is>
      </c>
      <c r="B79" s="2047">
        <f>IF($B$8="no",0,0.09475)</f>
        <v/>
      </c>
      <c r="C79" s="2042" t="n"/>
      <c r="D79" s="2269" t="n"/>
      <c r="E79" s="1962">
        <f>ROUNDUP(SUM(E41)*B79,0)</f>
        <v/>
      </c>
      <c r="F79" s="600" t="n"/>
      <c r="J79" s="2046" t="n"/>
      <c r="K79" s="585" t="inlineStr">
        <is>
          <t>sales tax (enter rounded)</t>
        </is>
      </c>
    </row>
    <row r="80" customFormat="1" s="585">
      <c r="A80" s="804" t="inlineStr">
        <is>
          <t>Kansas Remodel Tax</t>
        </is>
      </c>
      <c r="B80" s="2048">
        <f>IF(D8="yes",0.1,0)</f>
        <v/>
      </c>
      <c r="C80" s="1944" t="n"/>
      <c r="D80" s="1977" t="n"/>
      <c r="E80" s="1962">
        <f>ROUNDUP(SUM(E52:E54,E61,E67,E72:E76,E82)*B80,0)</f>
        <v/>
      </c>
      <c r="F80" s="758">
        <f>IF(D8="yes","*10% is placeholder. Adjust to actual if project awarded"," ")</f>
        <v/>
      </c>
      <c r="J80" s="2049" t="n"/>
      <c r="K80" s="784" t="inlineStr">
        <is>
          <t>ks remodel (enter rounded)</t>
        </is>
      </c>
    </row>
    <row r="81" customFormat="1" s="585">
      <c r="A81" s="1565" t="inlineStr">
        <is>
          <t>Total Taxes</t>
        </is>
      </c>
      <c r="B81" s="1566" t="n"/>
      <c r="C81" s="2028" t="n"/>
      <c r="D81" s="2028" t="n"/>
      <c r="E81" s="2029">
        <f>SUM(E79:E80)</f>
        <v/>
      </c>
      <c r="F81" s="758" t="n"/>
      <c r="J81" s="2046">
        <f>E87</f>
        <v/>
      </c>
      <c r="K81" s="590" t="inlineStr">
        <is>
          <t>total</t>
        </is>
      </c>
    </row>
    <row r="82" customFormat="1" s="585">
      <c r="A82" s="628" t="inlineStr">
        <is>
          <t>Fees + Textura + ?</t>
        </is>
      </c>
      <c r="B82" s="2047" t="n"/>
      <c r="C82" s="1944" t="n"/>
      <c r="D82" s="1977" t="n"/>
      <c r="E82" s="1962">
        <f>ROUNDUP(B82*D82,0)</f>
        <v/>
      </c>
      <c r="F82" s="600" t="n"/>
    </row>
    <row r="83" customFormat="1" s="585">
      <c r="A83" s="628" t="inlineStr">
        <is>
          <t>Bond</t>
        </is>
      </c>
      <c r="B83" s="819" t="n">
        <v>0</v>
      </c>
      <c r="C83" s="1944" t="n"/>
      <c r="D83" s="2269" t="n"/>
      <c r="E83" s="2271">
        <f>ROUNDUP(SUM(E69,E72,E73,E74:E76,E79,E80:E82)*B83,0)</f>
        <v/>
      </c>
      <c r="F83" s="600" t="n"/>
      <c r="G83" s="1615">
        <f>I83/E87</f>
        <v/>
      </c>
      <c r="H83" s="1614" t="inlineStr">
        <is>
          <t>% of Total Markup$</t>
        </is>
      </c>
      <c r="I83" s="2272">
        <f>SUM(E72:E76,E81,E84)</f>
        <v/>
      </c>
      <c r="J83" s="699" t="inlineStr">
        <is>
          <t>Sum: Markup+Taxes+Fees</t>
        </is>
      </c>
    </row>
    <row r="84" customFormat="1" s="585">
      <c r="A84" s="1565" t="inlineStr">
        <is>
          <t>Total Fees + Bond</t>
        </is>
      </c>
      <c r="B84" s="1566" t="n"/>
      <c r="C84" s="2028" t="n"/>
      <c r="D84" s="2028" t="n"/>
      <c r="E84" s="2029">
        <f>ROUNDUP(SUM(E82:E83),0)</f>
        <v/>
      </c>
      <c r="F84" s="600" t="n"/>
      <c r="G84" s="600" t="n"/>
    </row>
    <row r="85" customFormat="1" s="585">
      <c r="A85" s="600" t="n"/>
      <c r="B85" s="821" t="n"/>
      <c r="C85" s="1944" t="n"/>
      <c r="D85" s="1944" t="n"/>
      <c r="E85" s="1944" t="n"/>
      <c r="F85" s="600" t="n"/>
      <c r="G85" s="759" t="inlineStr">
        <is>
          <t>Mark Up + Conting.</t>
        </is>
      </c>
      <c r="H85" s="822" t="inlineStr">
        <is>
          <t>GP / MH</t>
        </is>
      </c>
      <c r="I85" s="1618" t="inlineStr">
        <is>
          <t>MarkUp + Soft Costs</t>
        </is>
      </c>
      <c r="J85" s="823" t="n"/>
    </row>
    <row r="86" ht="16.2" customFormat="1" customHeight="1" s="585" thickBot="1">
      <c r="A86" s="600" t="n"/>
      <c r="B86" s="825" t="inlineStr">
        <is>
          <t>Square Footage:</t>
        </is>
      </c>
      <c r="C86" s="2273">
        <f>B43</f>
        <v/>
      </c>
      <c r="D86" s="2506">
        <f>B16</f>
        <v/>
      </c>
      <c r="E86" s="1944" t="n"/>
      <c r="F86" s="705" t="inlineStr">
        <is>
          <t>Less Sales Tax</t>
        </is>
      </c>
      <c r="G86" s="2054">
        <f>SUM(E72,,E73,E76)</f>
        <v/>
      </c>
      <c r="H86" s="2055">
        <f>G86/G72</f>
        <v/>
      </c>
      <c r="I86" s="2056">
        <f>SUM(E72:E76)</f>
        <v/>
      </c>
      <c r="K86" s="1051" t="n"/>
      <c r="L86" s="1051" t="n"/>
      <c r="M86" s="1051" t="n"/>
      <c r="N86" s="1051" t="n"/>
      <c r="O86" s="1051" t="n"/>
    </row>
    <row r="87" ht="16.2" customFormat="1" customHeight="1" s="585" thickBot="1">
      <c r="A87" s="829" t="inlineStr">
        <is>
          <t>TOTAL</t>
        </is>
      </c>
      <c r="B87" s="830" t="n"/>
      <c r="C87" s="2057">
        <f>E87/C86</f>
        <v/>
      </c>
      <c r="D87" s="2057" t="n"/>
      <c r="E87" s="2058">
        <f>SUM(E69,E72:E76,E81,E84)</f>
        <v/>
      </c>
      <c r="F87" s="1944">
        <f>E87-(E79+E80)</f>
        <v/>
      </c>
      <c r="G87" s="2275">
        <f>G86/(E87)</f>
        <v/>
      </c>
      <c r="H87" s="2055">
        <f>C46</f>
        <v/>
      </c>
      <c r="I87" s="2060">
        <f>I86/E87</f>
        <v/>
      </c>
      <c r="J87" s="1625" t="inlineStr">
        <is>
          <t>30% = Gyp Goal</t>
        </is>
      </c>
    </row>
    <row r="88" customFormat="1" s="585">
      <c r="A88" s="834" t="n"/>
      <c r="B88" s="600" t="inlineStr">
        <is>
          <t xml:space="preserve"> </t>
        </is>
      </c>
      <c r="C88" s="1944">
        <f>E88/C86</f>
        <v/>
      </c>
      <c r="D88" s="1944" t="n"/>
      <c r="E88" s="1944">
        <f>E87-E80</f>
        <v/>
      </c>
      <c r="F88" s="753" t="inlineStr">
        <is>
          <t>(less ks remodel tax)</t>
        </is>
      </c>
      <c r="G88" s="1876" t="n"/>
      <c r="H88" s="1621" t="inlineStr">
        <is>
          <t>LaborRate from Above</t>
        </is>
      </c>
      <c r="I88" s="590" t="n"/>
      <c r="J88" s="1632" t="inlineStr">
        <is>
          <t>(epx: 42% &amp; pol: 45%)</t>
        </is>
      </c>
    </row>
    <row r="89" customFormat="1" s="585">
      <c r="A89" s="834" t="n"/>
      <c r="B89" s="2276" t="n"/>
      <c r="C89" s="2507">
        <f>E89/C86</f>
        <v/>
      </c>
      <c r="D89" s="2507" t="n"/>
      <c r="E89" s="2507">
        <f>E87-'Gyp (USG 1-8")'!E87</f>
        <v/>
      </c>
      <c r="F89" s="1715" t="inlineStr">
        <is>
          <t>GrassWorx SC 190 == Diff from USG 1/8"</t>
        </is>
      </c>
      <c r="H89" s="1391" t="inlineStr">
        <is>
          <t>* This rate is different than epoxy &amp; polish</t>
        </is>
      </c>
      <c r="I89" s="1391" t="n"/>
      <c r="P89" s="600" t="n"/>
    </row>
    <row r="90" customFormat="1" s="585">
      <c r="A90" s="834" t="n"/>
      <c r="B90" s="2276" t="n"/>
      <c r="C90" s="2017" t="n"/>
      <c r="D90" s="2017" t="n"/>
      <c r="E90" s="2017" t="n"/>
      <c r="F90" s="753" t="n"/>
      <c r="H90" s="1629" t="inlineStr">
        <is>
          <t xml:space="preserve"> to account for longer project lead times.</t>
        </is>
      </c>
      <c r="I90" s="1629" t="n"/>
      <c r="P90" s="600" t="n"/>
    </row>
    <row r="91" customFormat="1" s="585">
      <c r="A91" s="633" t="n"/>
      <c r="B91" s="2223" t="n"/>
      <c r="C91" s="2253" t="n"/>
      <c r="D91" s="2253" t="n"/>
      <c r="E91" s="2253" t="n"/>
      <c r="F91" s="1877" t="n"/>
    </row>
    <row r="92" customFormat="1" s="585">
      <c r="A92" s="633" t="n"/>
      <c r="B92" s="2223" t="n"/>
      <c r="C92" s="2253" t="n"/>
      <c r="D92" s="2253" t="n"/>
      <c r="E92" s="2253" t="n"/>
      <c r="F92" s="1877" t="n"/>
    </row>
    <row r="93" customFormat="1" s="585">
      <c r="A93" s="633" t="n"/>
      <c r="B93" s="2223" t="n"/>
      <c r="C93" s="2253" t="n"/>
      <c r="D93" s="2253" t="n"/>
      <c r="E93" s="2253" t="n"/>
      <c r="F93" s="1877" t="n"/>
    </row>
    <row r="94" customFormat="1" s="585">
      <c r="B94" s="883" t="n"/>
      <c r="C94" s="1876" t="n"/>
      <c r="D94" s="1876" t="n"/>
      <c r="E94" s="883" t="n"/>
      <c r="F94" s="1876" t="n"/>
      <c r="G94" s="883" t="n"/>
      <c r="H94" s="1876" t="n"/>
      <c r="I94" s="883" t="n"/>
      <c r="J94" s="1876" t="n"/>
    </row>
    <row r="95" customFormat="1" s="585"/>
    <row r="96" customFormat="1" s="585"/>
    <row r="97" customFormat="1" s="585"/>
    <row r="98" customFormat="1" s="585"/>
    <row r="99" customFormat="1" s="585">
      <c r="E99" s="590" t="n"/>
    </row>
    <row r="100" customFormat="1" s="585"/>
    <row r="101" customFormat="1" s="585"/>
    <row r="102" customFormat="1" s="585"/>
    <row r="103" customFormat="1" s="585">
      <c r="J103" s="2193" t="n"/>
    </row>
    <row r="104" customFormat="1" s="585"/>
    <row r="105" customFormat="1" s="585">
      <c r="A105" s="839" t="n"/>
    </row>
    <row r="106" customFormat="1" s="585">
      <c r="A106" s="840" t="n"/>
      <c r="H106" s="2194" t="n"/>
    </row>
    <row r="107" customFormat="1" s="585">
      <c r="A107" s="842" t="n"/>
      <c r="H107" s="843" t="n"/>
    </row>
    <row r="108" customFormat="1" s="585">
      <c r="A108" s="844" t="n"/>
      <c r="H108" s="2194" t="n"/>
    </row>
    <row r="109" customFormat="1" s="585">
      <c r="A109" s="845" t="n"/>
    </row>
    <row r="110" customFormat="1" s="585">
      <c r="A110" s="846" t="n"/>
    </row>
    <row r="111" customFormat="1" s="585">
      <c r="A111" s="847" t="n"/>
      <c r="J111" s="2193" t="n"/>
      <c r="O111" s="848" t="n"/>
      <c r="P111" s="2014" t="n"/>
    </row>
    <row r="112" customFormat="1" s="585">
      <c r="A112" s="849" t="n"/>
      <c r="J112" s="2193" t="n"/>
      <c r="O112" s="848" t="n"/>
      <c r="P112" s="2014" t="n"/>
    </row>
    <row r="113">
      <c r="J113" s="2280" t="n"/>
      <c r="O113" s="247" t="n"/>
      <c r="P113" s="2281" t="n"/>
    </row>
    <row r="114">
      <c r="J114" s="2280" t="n"/>
      <c r="O114" s="247" t="n"/>
      <c r="P114" s="2281" t="n"/>
    </row>
    <row r="115" ht="16.05" customHeight="1">
      <c r="J115" s="2280" t="n"/>
      <c r="O115" s="247" t="n"/>
      <c r="P115" s="2281" t="n"/>
    </row>
    <row r="116">
      <c r="J116" s="2280" t="n"/>
      <c r="O116" s="247" t="n"/>
      <c r="P116" s="2281" t="n"/>
    </row>
    <row r="117">
      <c r="J117" s="2280" t="n"/>
      <c r="O117" s="247" t="n"/>
      <c r="P117" s="2281" t="n"/>
    </row>
    <row r="118">
      <c r="J118" s="2280" t="n"/>
      <c r="O118" s="247" t="n"/>
      <c r="P118" s="2281" t="n"/>
    </row>
    <row r="119">
      <c r="J119" s="2280" t="n"/>
      <c r="O119" s="247" t="n"/>
      <c r="P119" s="2281" t="n"/>
    </row>
    <row r="120">
      <c r="J120" s="2280" t="n"/>
      <c r="O120" s="247" t="n"/>
      <c r="P120" s="2281" t="n"/>
    </row>
    <row r="121">
      <c r="J121" s="2280" t="n"/>
      <c r="O121" s="247" t="n"/>
      <c r="P121" s="2281" t="n"/>
    </row>
    <row r="122">
      <c r="J122" s="2280" t="n"/>
      <c r="O122" s="247" t="n"/>
      <c r="P122" s="2281" t="n"/>
    </row>
    <row r="123">
      <c r="J123" s="2280" t="n"/>
      <c r="O123" s="247" t="n"/>
      <c r="P123" s="2281" t="n"/>
    </row>
    <row r="124">
      <c r="J124" s="2280" t="n"/>
      <c r="O124" s="247" t="n"/>
      <c r="P124" s="2281" t="n"/>
    </row>
    <row r="125">
      <c r="J125" s="2280" t="n"/>
      <c r="O125" s="247" t="n"/>
      <c r="P125" s="2281" t="n"/>
    </row>
    <row r="126">
      <c r="J126" s="2280" t="n"/>
      <c r="O126" s="247" t="n"/>
      <c r="P126" s="2281" t="n"/>
    </row>
    <row r="127">
      <c r="J127" s="2280" t="n"/>
      <c r="O127" s="247" t="n"/>
      <c r="P127" s="2281" t="n"/>
    </row>
    <row r="128">
      <c r="J128" s="2280" t="n"/>
      <c r="O128" s="247" t="n"/>
      <c r="P128" s="2281" t="n"/>
    </row>
    <row r="129">
      <c r="J129" s="2280" t="n"/>
      <c r="O129" s="247" t="n"/>
      <c r="P129" s="2281" t="n"/>
    </row>
    <row r="130">
      <c r="J130" s="2280" t="n"/>
      <c r="O130" s="247" t="n"/>
      <c r="P130" s="2281" t="n"/>
    </row>
    <row r="131">
      <c r="A131" s="2282" t="n"/>
      <c r="B131" s="2282" t="n"/>
      <c r="J131" s="2280" t="n"/>
      <c r="O131" s="247" t="n"/>
      <c r="P131" s="2281" t="n"/>
    </row>
    <row r="132">
      <c r="A132" s="2282" t="n"/>
      <c r="B132" s="2282" t="n"/>
      <c r="J132" s="2280" t="n"/>
      <c r="O132" s="247" t="n"/>
      <c r="P132" s="2281" t="n"/>
    </row>
    <row r="133">
      <c r="A133" s="2282" t="n"/>
      <c r="B133" s="2282" t="n"/>
      <c r="J133" s="2280" t="n"/>
      <c r="O133" s="247" t="n"/>
      <c r="P133" s="2281" t="n"/>
    </row>
    <row r="134">
      <c r="A134" s="2283" t="n"/>
      <c r="B134" s="2283" t="n"/>
      <c r="J134" s="2280" t="n"/>
      <c r="O134" s="247" t="n"/>
      <c r="P134" s="2281" t="n"/>
    </row>
    <row r="135">
      <c r="J135" s="2280" t="n"/>
      <c r="O135" s="247" t="n"/>
      <c r="P135" s="2281" t="n"/>
    </row>
    <row r="136">
      <c r="A136" s="2145" t="n"/>
      <c r="B136" s="2145" t="n"/>
      <c r="J136" s="2280" t="n"/>
      <c r="O136" s="247" t="n"/>
      <c r="P136" s="2281" t="n"/>
    </row>
    <row r="137">
      <c r="A137" s="2282" t="n"/>
      <c r="B137" s="2282" t="n"/>
      <c r="J137" s="2280" t="n"/>
      <c r="O137" s="247" t="n"/>
      <c r="P137" s="2281" t="n"/>
    </row>
    <row r="138">
      <c r="A138" s="2282" t="n"/>
      <c r="B138" s="2282" t="n"/>
      <c r="J138" s="2280" t="n"/>
      <c r="O138" s="247" t="n"/>
      <c r="P138" s="2281" t="n"/>
    </row>
    <row r="139">
      <c r="A139" s="2282" t="n"/>
      <c r="B139" s="2282" t="n"/>
      <c r="J139" s="2280" t="n"/>
      <c r="O139" s="247" t="n"/>
      <c r="P139" s="2281" t="n"/>
    </row>
    <row r="140">
      <c r="A140" s="2283" t="n"/>
      <c r="B140" s="2283" t="n"/>
    </row>
    <row r="148">
      <c r="A148" s="98" t="n"/>
    </row>
    <row r="160">
      <c r="F160" s="1" t="n"/>
    </row>
    <row r="161">
      <c r="F161" s="1" t="n"/>
    </row>
    <row r="162">
      <c r="F162" s="1" t="n"/>
    </row>
    <row r="163">
      <c r="F163" s="1892" t="n"/>
    </row>
    <row r="164">
      <c r="F164" s="1" t="n"/>
    </row>
    <row r="165">
      <c r="F165" s="1" t="n"/>
    </row>
    <row r="166">
      <c r="A166" s="1" t="n"/>
      <c r="B166" s="1" t="n"/>
      <c r="C166" s="2284" t="n"/>
      <c r="D166" s="2284" t="n"/>
      <c r="E166" s="2282" t="n"/>
      <c r="Q166" s="1892" t="n"/>
    </row>
    <row r="167">
      <c r="A167" s="53" t="n"/>
      <c r="B167" s="53" t="n"/>
      <c r="C167" s="53" t="n"/>
      <c r="D167" s="53" t="n"/>
      <c r="E167" s="53" t="n"/>
      <c r="F167" s="1916" t="n"/>
      <c r="G167" s="1916" t="n"/>
      <c r="H167" s="1916" t="n"/>
      <c r="I167" s="1916" t="n"/>
      <c r="J167" s="1916" t="n"/>
      <c r="K167" s="1916" t="n"/>
      <c r="L167" s="1916" t="n"/>
      <c r="M167" s="1916" t="n"/>
      <c r="N167" s="1916" t="n"/>
      <c r="O167" s="53" t="n"/>
      <c r="P167" s="53" t="n"/>
      <c r="Q167" s="53" t="n"/>
      <c r="R167" s="53" t="n"/>
      <c r="S167" s="53" t="n"/>
    </row>
    <row r="168">
      <c r="A168" s="53" t="n"/>
      <c r="B168" s="53" t="n"/>
      <c r="C168" s="53" t="n"/>
      <c r="D168" s="53" t="n"/>
      <c r="E168" s="53" t="n"/>
      <c r="F168" s="53" t="n"/>
      <c r="G168" s="53" t="n"/>
      <c r="H168" s="1916" t="n"/>
      <c r="I168" s="1916" t="n"/>
      <c r="J168" s="1916" t="n"/>
      <c r="K168" s="1916" t="n"/>
      <c r="L168" s="1916" t="n"/>
      <c r="M168" s="1916" t="n"/>
      <c r="N168" s="1916" t="n"/>
      <c r="O168" s="53" t="n"/>
      <c r="P168" s="53" t="n"/>
      <c r="Q168" s="53" t="n"/>
      <c r="R168" s="53" t="n"/>
      <c r="S168" s="2145" t="n"/>
    </row>
    <row r="169">
      <c r="A169" s="53" t="n"/>
      <c r="B169" s="2155" t="n"/>
      <c r="C169" s="2145" t="n"/>
      <c r="D169" s="2145" t="n"/>
      <c r="E169" s="2145" t="n"/>
      <c r="F169" s="2285" t="n"/>
      <c r="G169" s="53" t="n"/>
      <c r="H169" s="1916" t="n"/>
      <c r="I169" s="1916" t="n"/>
      <c r="J169" s="1916" t="n"/>
      <c r="K169" s="1916" t="n"/>
      <c r="L169" s="1916" t="n"/>
      <c r="M169" s="1916" t="n"/>
      <c r="N169" s="1916" t="n"/>
      <c r="O169" s="53" t="n"/>
      <c r="P169" s="53" t="n"/>
      <c r="Q169" s="2145" t="n"/>
      <c r="R169" s="2145" t="n"/>
      <c r="S169" s="2145" t="n"/>
    </row>
    <row r="170">
      <c r="A170" s="53" t="n"/>
      <c r="B170" s="53" t="n"/>
      <c r="C170" s="2145" t="n"/>
      <c r="D170" s="2145" t="n"/>
      <c r="E170" s="2145" t="n"/>
      <c r="F170" s="53" t="n"/>
      <c r="G170" s="53" t="n"/>
      <c r="H170" s="1916" t="n"/>
      <c r="I170" s="1916" t="n"/>
      <c r="J170" s="1916" t="n"/>
      <c r="K170" s="1916" t="n"/>
      <c r="L170" s="1916" t="n"/>
      <c r="M170" s="1916" t="n"/>
      <c r="N170" s="1916" t="n"/>
      <c r="O170" s="53" t="n"/>
      <c r="P170" s="53" t="n"/>
      <c r="Q170" s="2145" t="n"/>
      <c r="R170" s="2285" t="n"/>
      <c r="S170" s="2145" t="n"/>
    </row>
    <row r="171" customFormat="1" s="1916">
      <c r="A171" s="53" t="n"/>
      <c r="B171" s="53" t="n"/>
      <c r="C171" s="2145" t="n"/>
      <c r="D171" s="2145" t="n"/>
      <c r="E171" s="2145" t="n"/>
      <c r="F171" s="53" t="n"/>
      <c r="G171" s="53" t="n"/>
      <c r="O171" s="53" t="n"/>
      <c r="P171" s="53" t="n"/>
      <c r="Q171" s="2145" t="n"/>
      <c r="R171" s="2285" t="n"/>
      <c r="S171" s="2145" t="n"/>
    </row>
    <row r="172" customFormat="1" s="1916">
      <c r="A172" s="53" t="n"/>
      <c r="B172" s="53" t="n"/>
      <c r="C172" s="2145" t="n"/>
      <c r="D172" s="2145" t="n"/>
      <c r="E172" s="2145" t="n"/>
      <c r="F172" s="53" t="n"/>
      <c r="G172" s="53" t="n"/>
      <c r="O172" s="53" t="n"/>
      <c r="P172" s="2145" t="n"/>
      <c r="Q172" s="2149" t="n"/>
      <c r="R172" s="53" t="n"/>
      <c r="S172" s="53" t="n"/>
      <c r="T172" s="53" t="n"/>
      <c r="U172" s="53" t="n"/>
      <c r="V172" s="53" t="n"/>
    </row>
    <row r="173" customFormat="1" s="1916">
      <c r="A173" s="53" t="n"/>
      <c r="B173" s="53" t="n"/>
      <c r="C173" s="2145" t="n"/>
      <c r="D173" s="2145" t="n"/>
      <c r="E173" s="2145" t="n"/>
      <c r="F173" s="53" t="n"/>
      <c r="G173" s="53" t="n"/>
      <c r="O173" s="53" t="n"/>
      <c r="P173" s="53" t="n"/>
      <c r="Q173" s="2149" t="n"/>
      <c r="R173" s="53" t="n"/>
      <c r="S173" s="53" t="n"/>
      <c r="T173" s="2145" t="n"/>
      <c r="U173" s="2145" t="n"/>
      <c r="V173" s="53" t="n"/>
    </row>
    <row r="174" customFormat="1" s="1916">
      <c r="A174" s="53" t="n"/>
      <c r="B174" s="53" t="n"/>
      <c r="C174" s="2145" t="n"/>
      <c r="D174" s="2145" t="n"/>
      <c r="E174" s="2145" t="n"/>
      <c r="F174" s="53" t="n"/>
      <c r="G174" s="53" t="n"/>
      <c r="O174" s="53" t="n"/>
      <c r="P174" s="53" t="n"/>
      <c r="Q174" s="2149" t="n"/>
      <c r="R174" s="53" t="n"/>
      <c r="S174" s="53" t="n"/>
      <c r="T174" s="2145" t="n"/>
      <c r="U174" s="2145" t="n"/>
      <c r="V174" s="53" t="n"/>
    </row>
    <row r="175" customFormat="1" s="1916">
      <c r="A175" s="53" t="n"/>
      <c r="B175" s="53" t="n"/>
      <c r="C175" s="2145" t="n"/>
      <c r="D175" s="2145" t="n"/>
      <c r="E175" s="2145" t="n"/>
      <c r="F175" s="53" t="n"/>
      <c r="G175" s="53" t="n"/>
      <c r="O175" s="53" t="n"/>
      <c r="P175" s="53" t="n"/>
      <c r="Q175" s="2149" t="n"/>
      <c r="R175" s="53" t="n"/>
      <c r="S175" s="53" t="n"/>
      <c r="T175" s="2145" t="n"/>
      <c r="U175" s="2145" t="n"/>
      <c r="V175" s="53" t="n"/>
    </row>
    <row r="176" customFormat="1" s="1916">
      <c r="A176" s="53" t="n"/>
      <c r="B176" s="53" t="n"/>
      <c r="C176" s="2145" t="n"/>
      <c r="D176" s="2145" t="n"/>
      <c r="E176" s="2145" t="n"/>
      <c r="F176" s="53" t="n"/>
      <c r="G176" s="53" t="n"/>
      <c r="O176" s="53" t="n"/>
      <c r="P176" s="53" t="n"/>
      <c r="Q176" s="2149" t="n"/>
      <c r="R176" s="53" t="n"/>
      <c r="S176" s="53" t="n"/>
      <c r="T176" s="2145" t="n"/>
      <c r="U176" s="2145" t="n"/>
      <c r="V176" s="53" t="n"/>
    </row>
    <row r="177" customFormat="1" s="1916">
      <c r="A177" s="53" t="n"/>
      <c r="B177" s="53" t="n"/>
      <c r="C177" s="2145" t="n"/>
      <c r="D177" s="2145" t="n"/>
      <c r="E177" s="2145" t="n"/>
      <c r="F177" s="53" t="n"/>
      <c r="G177" s="53" t="n"/>
      <c r="O177" s="53" t="n"/>
      <c r="P177" s="53" t="n"/>
      <c r="Q177" s="2149" t="n"/>
      <c r="R177" s="53" t="n"/>
      <c r="S177" s="53" t="n"/>
      <c r="T177" s="53" t="n"/>
      <c r="U177" s="53" t="n"/>
      <c r="V177" s="53" t="n"/>
    </row>
    <row r="178" customFormat="1" s="1916">
      <c r="A178" s="53" t="n"/>
      <c r="B178" s="53" t="n"/>
      <c r="C178" s="2145" t="n"/>
      <c r="D178" s="2145" t="n"/>
      <c r="E178" s="2145" t="n"/>
      <c r="F178" s="53" t="n"/>
      <c r="G178" s="53" t="n"/>
      <c r="O178" s="53" t="n"/>
      <c r="P178" s="53" t="n"/>
      <c r="Q178" s="2149" t="n"/>
      <c r="R178" s="53" t="n"/>
      <c r="S178" s="53" t="n"/>
      <c r="T178" s="53" t="n"/>
      <c r="U178" s="53" t="n"/>
      <c r="V178" s="53" t="n"/>
    </row>
    <row r="179" customFormat="1" s="1916">
      <c r="A179" s="53" t="n"/>
      <c r="B179" s="53" t="n"/>
      <c r="C179" s="2145" t="n"/>
      <c r="D179" s="2145" t="n"/>
      <c r="E179" s="2145" t="n"/>
      <c r="F179" s="53" t="n"/>
      <c r="G179" s="53" t="n"/>
      <c r="T179" s="53" t="n"/>
      <c r="U179" s="53" t="n"/>
      <c r="V179" s="53" t="n"/>
    </row>
    <row r="180" customFormat="1" s="1916">
      <c r="A180" s="53" t="n"/>
      <c r="B180" s="53" t="n"/>
      <c r="C180" s="2145" t="n"/>
      <c r="D180" s="2145" t="n"/>
      <c r="E180" s="2145" t="n"/>
      <c r="F180" s="53" t="n"/>
      <c r="G180" s="53" t="n"/>
      <c r="T180" s="53" t="n"/>
      <c r="U180" s="53" t="n"/>
      <c r="V180" s="53" t="n"/>
    </row>
    <row r="181" customFormat="1" s="1916">
      <c r="A181" s="53" t="n"/>
      <c r="B181" s="53" t="n"/>
      <c r="C181" s="2145" t="n"/>
      <c r="D181" s="2145" t="n"/>
      <c r="E181" s="2145" t="n"/>
      <c r="F181" s="2285" t="n"/>
      <c r="G181" s="53" t="n"/>
      <c r="T181" s="53" t="n"/>
      <c r="U181" s="53" t="n"/>
      <c r="V181" s="53" t="n"/>
    </row>
    <row r="182" customFormat="1" s="1916">
      <c r="A182" s="53" t="n"/>
      <c r="B182" s="53" t="n"/>
      <c r="C182" s="2145" t="n"/>
      <c r="D182" s="2145" t="n"/>
      <c r="E182" s="2145" t="n"/>
      <c r="F182" s="53" t="n"/>
      <c r="G182" s="53" t="n"/>
      <c r="T182" s="53" t="n"/>
      <c r="U182" s="53" t="n"/>
      <c r="V182" s="53" t="n"/>
    </row>
    <row r="183" customFormat="1" s="1916">
      <c r="A183" s="53" t="n"/>
      <c r="B183" s="53" t="n"/>
      <c r="C183" s="2145" t="n"/>
      <c r="D183" s="2145" t="n"/>
      <c r="E183" s="2145" t="n"/>
      <c r="F183" s="53" t="n"/>
      <c r="G183" s="53" t="n"/>
      <c r="T183" s="53" t="n"/>
      <c r="U183" s="53" t="n"/>
      <c r="V183" s="53" t="n"/>
    </row>
    <row r="184" customFormat="1" s="1916">
      <c r="A184" s="53" t="n"/>
      <c r="B184" s="53" t="n"/>
      <c r="C184" s="2145" t="n"/>
      <c r="D184" s="2145" t="n"/>
      <c r="E184" s="2145" t="n"/>
      <c r="F184" s="53" t="n"/>
      <c r="G184" s="53" t="n"/>
    </row>
    <row r="185" customFormat="1" s="1916">
      <c r="A185" s="53" t="n"/>
      <c r="B185" s="53" t="n"/>
      <c r="C185" s="2145" t="n"/>
      <c r="D185" s="2145" t="n"/>
      <c r="E185" s="2145" t="n"/>
      <c r="F185" s="53" t="n"/>
      <c r="G185" s="53" t="n"/>
    </row>
    <row r="186" customFormat="1" s="1916">
      <c r="A186" s="103" t="n"/>
      <c r="B186" s="103" t="n"/>
      <c r="C186" s="2147" t="n"/>
      <c r="D186" s="2147" t="n"/>
      <c r="E186" s="2147" t="n"/>
      <c r="F186" s="53" t="n"/>
      <c r="G186" s="53" t="n"/>
    </row>
    <row r="187" customFormat="1" s="1916">
      <c r="A187" s="103" t="n"/>
      <c r="B187" s="105" t="n"/>
      <c r="C187" s="2147" t="n"/>
      <c r="D187" s="2147" t="n"/>
      <c r="E187" s="2147" t="n"/>
      <c r="F187" s="53" t="n"/>
      <c r="G187" s="53" t="n"/>
    </row>
    <row r="188" customFormat="1" s="1916">
      <c r="A188" s="103" t="n"/>
      <c r="B188" s="103" t="n"/>
      <c r="C188" s="2147" t="n"/>
      <c r="D188" s="2147" t="n"/>
      <c r="E188" s="2147" t="n"/>
      <c r="F188" s="53" t="n"/>
      <c r="G188" s="53" t="n"/>
    </row>
    <row r="189" customFormat="1" s="1916">
      <c r="A189" s="103" t="n"/>
      <c r="B189" s="105" t="n"/>
      <c r="C189" s="2147" t="n"/>
      <c r="D189" s="2147" t="n"/>
      <c r="E189" s="2147" t="n"/>
      <c r="F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</row>
    <row r="190" customFormat="1" s="1916">
      <c r="A190" s="53" t="n"/>
      <c r="B190" s="53" t="n"/>
      <c r="C190" s="2145" t="n"/>
      <c r="D190" s="2145" t="n"/>
      <c r="E190" s="2145" t="n"/>
      <c r="F190" s="53" t="n"/>
      <c r="H190" s="53" t="n"/>
      <c r="I190" s="53" t="n"/>
      <c r="J190" s="53" t="n"/>
      <c r="K190" s="106" t="n"/>
      <c r="L190" s="106" t="n"/>
      <c r="M190" s="106" t="n"/>
      <c r="N190" s="106" t="n"/>
      <c r="O190" s="106" t="n"/>
    </row>
    <row r="191" customFormat="1" s="1916">
      <c r="A191" s="3" t="n"/>
      <c r="B191" s="2285" t="n"/>
      <c r="C191" s="3" t="n"/>
      <c r="D191" s="3" t="n"/>
      <c r="E191" s="2285" t="n"/>
      <c r="F191" s="107" t="n"/>
      <c r="H191" s="53" t="n"/>
      <c r="I191" s="540" t="n"/>
      <c r="J191" s="53" t="n"/>
      <c r="K191" s="106" t="n"/>
      <c r="L191" s="106" t="n"/>
      <c r="M191" s="106" t="n"/>
      <c r="N191" s="106" t="n"/>
      <c r="O191" s="106" t="n"/>
    </row>
    <row r="192" customFormat="1" s="1916">
      <c r="A192" s="53" t="n"/>
      <c r="B192" s="53" t="n"/>
      <c r="C192" s="53" t="n"/>
      <c r="D192" s="53" t="n"/>
      <c r="E192" s="53" t="n"/>
      <c r="F192" s="107" t="n"/>
      <c r="H192" s="53" t="n"/>
      <c r="I192" s="53" t="n"/>
      <c r="J192" s="53" t="n"/>
      <c r="K192" s="2145" t="n"/>
      <c r="L192" s="2145" t="n"/>
      <c r="M192" s="2145" t="n"/>
      <c r="N192" s="2145" t="n"/>
      <c r="O192" s="53" t="n"/>
    </row>
    <row r="193" customFormat="1" s="1916">
      <c r="A193" s="53" t="n"/>
      <c r="B193" s="53" t="n"/>
      <c r="C193" s="53" t="n"/>
      <c r="D193" s="53" t="n"/>
      <c r="E193" s="106" t="n"/>
      <c r="F193" s="106" t="n"/>
      <c r="H193" s="53" t="n"/>
      <c r="I193" s="93" t="n"/>
      <c r="J193" s="2145" t="n"/>
      <c r="K193" s="2145" t="n"/>
      <c r="L193" s="2145" t="n"/>
      <c r="M193" s="2145" t="n"/>
      <c r="N193" s="2145" t="n"/>
      <c r="O193" s="106" t="n"/>
    </row>
    <row r="194" customFormat="1" s="1916">
      <c r="A194" s="53" t="n"/>
      <c r="B194" s="53" t="n"/>
      <c r="C194" s="53" t="n"/>
      <c r="D194" s="53" t="n"/>
      <c r="E194" s="53" t="n"/>
      <c r="F194" s="53" t="n"/>
      <c r="H194" s="53" t="n"/>
      <c r="I194" s="93" t="n"/>
      <c r="J194" s="2145" t="n"/>
      <c r="K194" s="2145" t="n"/>
      <c r="L194" s="2145" t="n"/>
      <c r="M194" s="2145" t="n"/>
      <c r="N194" s="2145" t="n"/>
      <c r="O194" s="53" t="n"/>
    </row>
    <row r="195" customFormat="1" s="1916">
      <c r="A195" s="53" t="n"/>
      <c r="B195" s="53" t="n"/>
      <c r="C195" s="53" t="n"/>
      <c r="D195" s="53" t="n"/>
      <c r="E195" s="106" t="n"/>
      <c r="F195" s="106" t="n"/>
      <c r="H195" s="53" t="n"/>
      <c r="I195" s="93" t="n"/>
      <c r="J195" s="2145" t="n"/>
      <c r="K195" s="2145" t="n"/>
      <c r="L195" s="2145" t="n"/>
      <c r="M195" s="2145" t="n"/>
      <c r="N195" s="2145" t="n"/>
      <c r="O195" s="106" t="n"/>
    </row>
    <row r="196" customFormat="1" s="1916">
      <c r="A196" s="53" t="n"/>
      <c r="B196" s="53" t="n"/>
      <c r="C196" s="53" t="n"/>
      <c r="D196" s="53" t="n"/>
      <c r="E196" s="2286" t="n"/>
      <c r="F196" s="2286" t="n"/>
      <c r="G196" s="53" t="n"/>
      <c r="H196" s="103" t="n"/>
      <c r="I196" s="103" t="n"/>
      <c r="J196" s="2147" t="n"/>
      <c r="K196" s="2147" t="n"/>
      <c r="L196" s="2147" t="n"/>
      <c r="M196" s="2145" t="n"/>
      <c r="N196" s="2145" t="n"/>
      <c r="O196" s="106" t="n"/>
    </row>
    <row r="197" customFormat="1" s="1916">
      <c r="A197" s="53" t="n"/>
      <c r="B197" s="53" t="n"/>
      <c r="C197" s="2145" t="n"/>
      <c r="D197" s="2145" t="n"/>
      <c r="E197" s="2145" t="n"/>
      <c r="F197" s="2145" t="n"/>
      <c r="G197" s="53" t="n"/>
      <c r="H197" s="53" t="n"/>
      <c r="I197" s="53" t="n"/>
    </row>
    <row r="198" customFormat="1" s="1916">
      <c r="A198" s="53" t="n"/>
      <c r="B198" s="53" t="n"/>
      <c r="C198" s="53" t="n"/>
      <c r="D198" s="53" t="n"/>
      <c r="E198" s="2145" t="n"/>
      <c r="F198" s="53" t="n"/>
      <c r="G198" s="53" t="n"/>
      <c r="H198" s="110" t="n"/>
      <c r="I198" s="53" t="n"/>
      <c r="J198" s="53" t="n"/>
      <c r="K198" s="2145" t="n"/>
      <c r="L198" s="2145" t="n"/>
      <c r="M198" s="2145" t="n"/>
      <c r="N198" s="2145" t="n"/>
    </row>
    <row r="199" customFormat="1" s="1916">
      <c r="A199" s="53" t="n"/>
      <c r="B199" s="93" t="n"/>
      <c r="C199" s="2145" t="n"/>
      <c r="D199" s="2145" t="n"/>
      <c r="E199" s="2145" t="n"/>
      <c r="F199" s="53" t="n"/>
      <c r="G199" s="53" t="n"/>
      <c r="H199" s="2285" t="n"/>
      <c r="I199" s="93" t="n"/>
      <c r="J199" s="2145" t="n"/>
      <c r="K199" s="2145" t="n"/>
      <c r="L199" s="2145" t="n"/>
      <c r="M199" s="2145" t="n"/>
      <c r="N199" s="2145" t="n"/>
    </row>
    <row r="200" customFormat="1" s="1916">
      <c r="A200" s="53" t="n"/>
      <c r="B200" s="93" t="n"/>
      <c r="C200" s="2145" t="n"/>
      <c r="D200" s="2145" t="n"/>
      <c r="E200" s="2145" t="n"/>
      <c r="F200" s="53" t="n"/>
      <c r="G200" s="53" t="n"/>
      <c r="H200" s="53" t="n"/>
      <c r="I200" s="93" t="n"/>
      <c r="J200" s="2145" t="n"/>
      <c r="K200" s="2145" t="n"/>
      <c r="L200" s="2145" t="n"/>
      <c r="M200" s="2145" t="n"/>
      <c r="N200" s="2145" t="n"/>
    </row>
    <row r="201" customFormat="1" s="1916">
      <c r="A201" s="53" t="n"/>
      <c r="B201" s="93" t="n"/>
      <c r="C201" s="2145" t="n"/>
      <c r="D201" s="2145" t="n"/>
      <c r="E201" s="2145" t="n"/>
      <c r="F201" s="53" t="n"/>
      <c r="G201" s="53" t="n"/>
      <c r="H201" s="53" t="n"/>
      <c r="I201" s="93" t="n"/>
      <c r="J201" s="2145" t="n"/>
      <c r="K201" s="2145" t="n"/>
      <c r="L201" s="2145" t="n"/>
      <c r="M201" s="2145" t="n"/>
      <c r="N201" s="2145" t="n"/>
    </row>
    <row r="202" customFormat="1" s="1916">
      <c r="A202" s="53" t="n"/>
      <c r="B202" s="93" t="n"/>
      <c r="C202" s="2145" t="n"/>
      <c r="D202" s="2145" t="n"/>
      <c r="E202" s="2145" t="n"/>
      <c r="F202" s="111" t="n"/>
      <c r="G202" s="53" t="n"/>
      <c r="H202" s="53" t="n"/>
      <c r="I202" s="93" t="n"/>
      <c r="J202" s="2145" t="n"/>
      <c r="K202" s="2145" t="n"/>
      <c r="L202" s="2145" t="n"/>
      <c r="M202" s="2145" t="n"/>
      <c r="N202" s="2145" t="n"/>
    </row>
    <row r="203" customFormat="1" s="1916">
      <c r="A203" s="53" t="n"/>
      <c r="B203" s="93" t="n"/>
      <c r="C203" s="2145" t="n"/>
      <c r="D203" s="2145" t="n"/>
      <c r="E203" s="2145" t="n"/>
      <c r="F203" s="111" t="n"/>
      <c r="G203" s="53" t="n"/>
      <c r="H203" s="53" t="n"/>
      <c r="I203" s="93" t="n"/>
      <c r="J203" s="2145" t="n"/>
      <c r="K203" s="2145" t="n"/>
      <c r="L203" s="2145" t="n"/>
      <c r="M203" s="2145" t="n"/>
      <c r="N203" s="2145" t="n"/>
    </row>
    <row r="204" customFormat="1" s="1916">
      <c r="A204" s="53" t="n"/>
      <c r="B204" s="93" t="n"/>
      <c r="C204" s="2145" t="n"/>
      <c r="D204" s="2145" t="n"/>
      <c r="E204" s="2145" t="n"/>
      <c r="F204" s="53" t="n"/>
      <c r="G204" s="53" t="n"/>
      <c r="H204" s="53" t="n"/>
      <c r="I204" s="93" t="n"/>
      <c r="J204" s="2145" t="n"/>
      <c r="K204" s="2145" t="n"/>
      <c r="L204" s="2145" t="n"/>
      <c r="M204" s="2145" t="n"/>
      <c r="N204" s="2145" t="n"/>
    </row>
    <row r="205" customFormat="1" s="1916">
      <c r="A205" s="53" t="n"/>
      <c r="B205" s="93" t="n"/>
      <c r="C205" s="2145" t="n"/>
      <c r="D205" s="2145" t="n"/>
      <c r="E205" s="2145" t="n"/>
      <c r="F205" s="53" t="n"/>
      <c r="G205" s="53" t="n"/>
      <c r="H205" s="53" t="n"/>
      <c r="I205" s="93" t="n"/>
      <c r="J205" s="2145" t="n"/>
      <c r="K205" s="2145" t="n"/>
      <c r="L205" s="2145" t="n"/>
      <c r="M205" s="2145" t="n"/>
      <c r="N205" s="2145" t="n"/>
    </row>
    <row r="206" customFormat="1" s="1916">
      <c r="A206" s="103" t="n"/>
      <c r="B206" s="103" t="n"/>
      <c r="C206" s="2147" t="n"/>
      <c r="D206" s="2147" t="n"/>
      <c r="E206" s="2147" t="n"/>
      <c r="F206" s="53" t="n"/>
      <c r="G206" s="53" t="n"/>
      <c r="H206" s="103" t="n"/>
      <c r="I206" s="103" t="n"/>
      <c r="J206" s="2147" t="n"/>
      <c r="K206" s="2147" t="n"/>
      <c r="L206" s="2147" t="n"/>
      <c r="M206" s="2147" t="n"/>
      <c r="N206" s="2147" t="n"/>
    </row>
    <row r="207" customFormat="1" s="1916">
      <c r="A207" s="53" t="n"/>
      <c r="B207" s="53" t="n"/>
      <c r="C207" s="2145" t="n"/>
      <c r="D207" s="2145" t="n"/>
      <c r="E207" s="2145" t="n"/>
      <c r="F207" s="53" t="n"/>
      <c r="G207" s="53" t="n"/>
    </row>
    <row r="208" customFormat="1" s="1916">
      <c r="A208" s="53" t="n"/>
      <c r="B208" s="53" t="n"/>
      <c r="C208" s="2145" t="n"/>
      <c r="D208" s="2145" t="n"/>
      <c r="E208" s="2147" t="n"/>
      <c r="F208" s="53" t="n"/>
      <c r="G208" s="53" t="n"/>
    </row>
    <row r="209" customFormat="1" s="1916">
      <c r="A209" s="53" t="n"/>
      <c r="B209" s="53" t="n"/>
      <c r="C209" s="2145" t="n"/>
      <c r="D209" s="2145" t="n"/>
      <c r="E209" s="2145" t="n"/>
      <c r="F209" s="53" t="n"/>
      <c r="G209" s="53" t="n"/>
    </row>
    <row r="210" customFormat="1" s="1916">
      <c r="A210" s="53" t="n"/>
      <c r="B210" s="53" t="n"/>
      <c r="C210" s="2145" t="n"/>
      <c r="D210" s="2145" t="n"/>
      <c r="E210" s="2145" t="n"/>
      <c r="F210" s="53" t="n"/>
      <c r="G210" s="53" t="n"/>
    </row>
    <row r="211" customFormat="1" s="1916">
      <c r="A211" s="53" t="n"/>
      <c r="B211" s="112" t="n"/>
      <c r="C211" s="2145" t="n"/>
      <c r="D211" s="2145" t="n"/>
      <c r="E211" s="2145" t="n"/>
      <c r="F211" s="53" t="n"/>
      <c r="G211" s="53" t="n"/>
    </row>
    <row r="212" customFormat="1" s="1916">
      <c r="A212" s="53" t="n"/>
      <c r="B212" s="112" t="n"/>
      <c r="C212" s="2145" t="n"/>
      <c r="D212" s="2145" t="n"/>
      <c r="E212" s="2145" t="n"/>
      <c r="F212" s="53" t="n"/>
      <c r="G212" s="53" t="n"/>
    </row>
    <row r="213" customFormat="1" s="1916">
      <c r="A213" s="53" t="n"/>
      <c r="B213" s="113" t="n"/>
      <c r="C213" s="2145" t="n"/>
      <c r="D213" s="2145" t="n"/>
      <c r="E213" s="2145" t="n"/>
      <c r="F213" s="53" t="n"/>
      <c r="G213" s="53" t="n"/>
    </row>
    <row r="214" customFormat="1" s="1916">
      <c r="A214" s="53" t="n"/>
      <c r="B214" s="113" t="n"/>
      <c r="C214" s="2145" t="n"/>
      <c r="D214" s="2145" t="n"/>
      <c r="E214" s="2145" t="n"/>
      <c r="F214" s="53" t="n"/>
      <c r="G214" s="53" t="n"/>
    </row>
    <row r="215" customFormat="1" s="1916">
      <c r="A215" s="53" t="n"/>
      <c r="B215" s="113" t="n"/>
      <c r="C215" s="2145" t="n"/>
      <c r="D215" s="2145" t="n"/>
      <c r="E215" s="2145" t="n"/>
      <c r="F215" s="53" t="n"/>
      <c r="G215" s="53" t="n"/>
    </row>
    <row r="216" customFormat="1" s="1916">
      <c r="A216" s="53" t="n"/>
      <c r="B216" s="113" t="n"/>
      <c r="C216" s="2145" t="n"/>
      <c r="D216" s="2145" t="n"/>
      <c r="E216" s="2145" t="n"/>
      <c r="F216" s="53" t="n"/>
      <c r="G216" s="53" t="n"/>
    </row>
    <row r="217" customFormat="1" s="1916">
      <c r="A217" s="53" t="n"/>
      <c r="B217" s="112" t="n"/>
      <c r="C217" s="2145" t="n"/>
      <c r="D217" s="2145" t="n"/>
      <c r="E217" s="2145" t="n"/>
      <c r="F217" s="53" t="n"/>
      <c r="G217" s="53" t="n"/>
    </row>
    <row r="218" customFormat="1" s="1916">
      <c r="A218" s="53" t="n"/>
      <c r="B218" s="113" t="n"/>
      <c r="C218" s="2145" t="n"/>
      <c r="D218" s="2145" t="n"/>
      <c r="E218" s="2149" t="n"/>
      <c r="F218" s="53" t="n"/>
      <c r="G218" s="53" t="n"/>
      <c r="Q218" s="53" t="n"/>
    </row>
    <row r="219" customFormat="1" s="1916">
      <c r="A219" s="53" t="n"/>
      <c r="B219" s="113" t="n"/>
      <c r="C219" s="2145" t="n"/>
      <c r="D219" s="2145" t="n"/>
      <c r="E219" s="2145" t="n"/>
      <c r="F219" s="53" t="n"/>
      <c r="G219" s="53" t="n"/>
      <c r="H219" s="53" t="n"/>
      <c r="J219" s="2154" t="n"/>
      <c r="Q219" s="53" t="n"/>
    </row>
    <row r="220" customFormat="1" s="1916">
      <c r="A220" s="53" t="n"/>
      <c r="B220" s="53" t="n"/>
      <c r="C220" s="2145" t="n"/>
      <c r="D220" s="2145" t="n"/>
      <c r="E220" s="2145" t="n"/>
      <c r="F220" s="2145" t="n"/>
      <c r="G220" s="2145" t="n"/>
      <c r="Q220" s="53" t="n"/>
    </row>
    <row r="221" customFormat="1" s="1916">
      <c r="A221" s="53" t="n"/>
      <c r="B221" s="53" t="n"/>
      <c r="C221" s="2145" t="n"/>
      <c r="D221" s="2145" t="n"/>
      <c r="E221" s="2145" t="n"/>
      <c r="G221" s="540" t="n"/>
      <c r="Q221" s="53" t="n"/>
    </row>
    <row r="222" customFormat="1" s="1916">
      <c r="E222" s="2145" t="n"/>
      <c r="O222" s="53" t="n"/>
      <c r="P222" s="53" t="n"/>
      <c r="Q222" s="53" t="n"/>
      <c r="R222" s="53" t="n"/>
      <c r="S222" s="53" t="n"/>
    </row>
    <row r="223" customFormat="1" s="1916">
      <c r="O223" s="53" t="n"/>
      <c r="P223" s="53" t="n"/>
      <c r="Q223" s="53" t="n"/>
      <c r="R223" s="53" t="n"/>
      <c r="S223" s="53" t="n"/>
    </row>
    <row r="224" customFormat="1" s="1916">
      <c r="O224" s="53" t="n"/>
      <c r="P224" s="53" t="n"/>
      <c r="Q224" s="53" t="n"/>
      <c r="R224" s="53" t="n"/>
      <c r="S224" s="53" t="n"/>
    </row>
    <row r="225" customFormat="1" s="1916">
      <c r="A225" s="53" t="n"/>
      <c r="B225" s="53" t="n"/>
      <c r="C225" s="53" t="n"/>
      <c r="D225" s="53" t="n"/>
      <c r="E225" s="53" t="n"/>
      <c r="O225" s="53" t="n"/>
      <c r="P225" s="53" t="n"/>
      <c r="Q225" s="53" t="n"/>
      <c r="R225" s="53" t="n"/>
      <c r="S225" s="53" t="n"/>
    </row>
    <row r="226" customFormat="1" s="1916">
      <c r="A226" s="53" t="n"/>
      <c r="B226" s="53" t="n"/>
      <c r="C226" s="53" t="n"/>
      <c r="D226" s="53" t="n"/>
      <c r="E226" s="53" t="n"/>
      <c r="F226" s="53" t="n"/>
      <c r="G226" s="53" t="n"/>
      <c r="O226" s="53" t="n"/>
      <c r="P226" s="53" t="n"/>
      <c r="Q226" s="53" t="n"/>
      <c r="R226" s="53" t="n"/>
      <c r="S226" s="2145" t="n"/>
    </row>
    <row r="227" customFormat="1" s="1916">
      <c r="A227" s="53" t="n"/>
      <c r="B227" s="2155" t="n"/>
      <c r="C227" s="2145" t="n"/>
      <c r="D227" s="2145" t="n"/>
      <c r="E227" s="2145" t="n"/>
      <c r="F227" s="2285" t="n"/>
      <c r="G227" s="53" t="n"/>
      <c r="O227" s="53" t="n"/>
      <c r="P227" s="53" t="n"/>
      <c r="Q227" s="2145" t="n"/>
      <c r="R227" s="2145" t="n"/>
      <c r="S227" s="2145" t="n"/>
      <c r="T227" s="53" t="n"/>
      <c r="U227" s="53" t="n"/>
    </row>
    <row r="228" customFormat="1" s="1916">
      <c r="A228" s="53" t="n"/>
      <c r="B228" s="53" t="n"/>
      <c r="C228" s="2145" t="n"/>
      <c r="D228" s="2145" t="n"/>
      <c r="E228" s="2145" t="n"/>
      <c r="F228" s="53" t="n"/>
      <c r="G228" s="53" t="n"/>
      <c r="O228" s="53" t="n"/>
      <c r="P228" s="53" t="n"/>
      <c r="Q228" s="2145" t="n"/>
      <c r="R228" s="2285" t="n"/>
      <c r="S228" s="2145" t="n"/>
      <c r="T228" s="53" t="n"/>
      <c r="U228" s="53" t="n"/>
    </row>
    <row r="229" customFormat="1" s="1916">
      <c r="A229" s="53" t="n"/>
      <c r="B229" s="53" t="n"/>
      <c r="C229" s="2145" t="n"/>
      <c r="D229" s="2145" t="n"/>
      <c r="E229" s="2145" t="n"/>
      <c r="F229" s="53" t="n"/>
      <c r="G229" s="53" t="n"/>
      <c r="O229" s="53" t="n"/>
      <c r="P229" s="53" t="n"/>
      <c r="Q229" s="2145" t="n"/>
      <c r="R229" s="2285" t="n"/>
      <c r="S229" s="2145" t="n"/>
      <c r="T229" s="53" t="n"/>
      <c r="U229" s="53" t="n"/>
    </row>
    <row r="230" customFormat="1" s="1916">
      <c r="A230" s="53" t="n"/>
      <c r="B230" s="53" t="n"/>
      <c r="C230" s="2145" t="n"/>
      <c r="D230" s="2145" t="n"/>
      <c r="E230" s="2145" t="n"/>
      <c r="F230" s="53" t="n"/>
      <c r="G230" s="53" t="n"/>
      <c r="O230" s="53" t="n"/>
      <c r="P230" s="2145" t="n"/>
      <c r="Q230" s="2149" t="n"/>
      <c r="R230" s="53" t="n"/>
      <c r="S230" s="53" t="n"/>
      <c r="T230" s="53" t="n"/>
      <c r="U230" s="53" t="n"/>
      <c r="V230" s="53" t="n"/>
    </row>
    <row r="231" customFormat="1" s="1916">
      <c r="A231" s="53" t="n"/>
      <c r="B231" s="53" t="n"/>
      <c r="C231" s="2145" t="n"/>
      <c r="D231" s="2145" t="n"/>
      <c r="E231" s="2145" t="n"/>
      <c r="F231" s="53" t="n"/>
      <c r="G231" s="53" t="n"/>
      <c r="O231" s="53" t="n"/>
      <c r="P231" s="53" t="n"/>
      <c r="Q231" s="2149" t="n"/>
      <c r="R231" s="53" t="n"/>
      <c r="S231" s="53" t="n"/>
      <c r="T231" s="2145" t="n"/>
      <c r="U231" s="2145" t="n"/>
      <c r="V231" s="53" t="n"/>
    </row>
    <row r="232" customFormat="1" s="1916">
      <c r="A232" s="53" t="n"/>
      <c r="B232" s="53" t="n"/>
      <c r="C232" s="2145" t="n"/>
      <c r="D232" s="2145" t="n"/>
      <c r="E232" s="2145" t="n"/>
      <c r="F232" s="53" t="n"/>
      <c r="G232" s="53" t="n"/>
      <c r="O232" s="53" t="n"/>
      <c r="P232" s="53" t="n"/>
      <c r="Q232" s="2149" t="n"/>
      <c r="R232" s="53" t="n"/>
      <c r="S232" s="53" t="n"/>
      <c r="T232" s="2145" t="n"/>
      <c r="U232" s="2145" t="n"/>
      <c r="V232" s="53" t="n"/>
    </row>
    <row r="233" customFormat="1" s="1916">
      <c r="A233" s="53" t="n"/>
      <c r="B233" s="53" t="n"/>
      <c r="C233" s="2145" t="n"/>
      <c r="D233" s="2145" t="n"/>
      <c r="E233" s="2145" t="n"/>
      <c r="F233" s="53" t="n"/>
      <c r="G233" s="53" t="n"/>
      <c r="O233" s="53" t="n"/>
      <c r="P233" s="53" t="n"/>
      <c r="Q233" s="2149" t="n"/>
      <c r="R233" s="53" t="n"/>
      <c r="S233" s="53" t="n"/>
      <c r="T233" s="2145" t="n"/>
      <c r="U233" s="2145" t="n"/>
      <c r="V233" s="53" t="n"/>
    </row>
    <row r="234" customFormat="1" s="1916">
      <c r="A234" s="53" t="n"/>
      <c r="B234" s="53" t="n"/>
      <c r="C234" s="2145" t="n"/>
      <c r="D234" s="2145" t="n"/>
      <c r="E234" s="2145" t="n"/>
      <c r="F234" s="53" t="n"/>
      <c r="G234" s="53" t="n"/>
      <c r="O234" s="53" t="n"/>
      <c r="P234" s="53" t="n"/>
      <c r="Q234" s="2149" t="n"/>
      <c r="R234" s="53" t="n"/>
      <c r="S234" s="53" t="n"/>
      <c r="T234" s="2145" t="n"/>
      <c r="U234" s="2145" t="n"/>
      <c r="V234" s="53" t="n"/>
    </row>
    <row r="235" customFormat="1" s="1916">
      <c r="A235" s="53" t="n"/>
      <c r="B235" s="53" t="n"/>
      <c r="C235" s="2145" t="n"/>
      <c r="D235" s="2145" t="n"/>
      <c r="E235" s="2145" t="n"/>
      <c r="F235" s="53" t="n"/>
      <c r="G235" s="53" t="n"/>
      <c r="O235" s="53" t="n"/>
      <c r="P235" s="53" t="n"/>
      <c r="Q235" s="2149" t="n"/>
      <c r="R235" s="53" t="n"/>
      <c r="S235" s="53" t="n"/>
      <c r="T235" s="53" t="n"/>
      <c r="U235" s="53" t="n"/>
      <c r="V235" s="53" t="n"/>
    </row>
    <row r="236" customFormat="1" s="1916">
      <c r="A236" s="53" t="n"/>
      <c r="B236" s="53" t="n"/>
      <c r="C236" s="2145" t="n"/>
      <c r="D236" s="2145" t="n"/>
      <c r="E236" s="2145" t="n"/>
      <c r="F236" s="53" t="n"/>
      <c r="G236" s="53" t="n"/>
      <c r="O236" s="53" t="n"/>
      <c r="P236" s="53" t="n"/>
      <c r="Q236" s="2149" t="n"/>
      <c r="R236" s="53" t="n"/>
      <c r="S236" s="53" t="n"/>
      <c r="T236" s="53" t="n"/>
      <c r="U236" s="53" t="n"/>
      <c r="V236" s="53" t="n"/>
    </row>
    <row r="237" customFormat="1" s="1916">
      <c r="A237" s="53" t="n"/>
      <c r="B237" s="53" t="n"/>
      <c r="C237" s="2145" t="n"/>
      <c r="D237" s="2145" t="n"/>
      <c r="E237" s="2145" t="n"/>
      <c r="F237" s="53" t="n"/>
      <c r="G237" s="53" t="n"/>
      <c r="T237" s="53" t="n"/>
      <c r="U237" s="53" t="n"/>
      <c r="V237" s="53" t="n"/>
    </row>
    <row r="238" customFormat="1" s="1916">
      <c r="A238" s="53" t="n"/>
      <c r="B238" s="53" t="n"/>
      <c r="C238" s="2145" t="n"/>
      <c r="D238" s="2145" t="n"/>
      <c r="E238" s="2145" t="n"/>
      <c r="F238" s="53" t="n"/>
      <c r="G238" s="53" t="n"/>
      <c r="T238" s="53" t="n"/>
      <c r="U238" s="53" t="n"/>
      <c r="V238" s="53" t="n"/>
    </row>
    <row r="239" customFormat="1" s="1916">
      <c r="A239" s="53" t="n"/>
      <c r="B239" s="53" t="n"/>
      <c r="C239" s="2145" t="n"/>
      <c r="D239" s="2145" t="n"/>
      <c r="E239" s="2145" t="n"/>
      <c r="F239" s="2285" t="n"/>
      <c r="G239" s="53" t="n"/>
      <c r="T239" s="53" t="n"/>
      <c r="U239" s="53" t="n"/>
      <c r="V239" s="53" t="n"/>
    </row>
    <row r="240" customFormat="1" s="1916">
      <c r="A240" s="53" t="n"/>
      <c r="B240" s="53" t="n"/>
      <c r="C240" s="2145" t="n"/>
      <c r="D240" s="2145" t="n"/>
      <c r="E240" s="2145" t="n"/>
      <c r="F240" s="53" t="n"/>
      <c r="G240" s="53" t="n"/>
      <c r="T240" s="53" t="n"/>
      <c r="U240" s="53" t="n"/>
      <c r="V240" s="53" t="n"/>
    </row>
    <row r="241" customFormat="1" s="1916">
      <c r="A241" s="53" t="n"/>
      <c r="B241" s="53" t="n"/>
      <c r="C241" s="2145" t="n"/>
      <c r="D241" s="2145" t="n"/>
      <c r="E241" s="2145" t="n"/>
      <c r="F241" s="53" t="n"/>
      <c r="G241" s="53" t="n"/>
      <c r="T241" s="53" t="n"/>
      <c r="U241" s="53" t="n"/>
      <c r="V241" s="53" t="n"/>
    </row>
    <row r="242" customFormat="1" s="1916">
      <c r="A242" s="53" t="n"/>
      <c r="B242" s="53" t="n"/>
      <c r="C242" s="2145" t="n"/>
      <c r="D242" s="2145" t="n"/>
      <c r="E242" s="2145" t="n"/>
      <c r="F242" s="53" t="n"/>
      <c r="G242" s="53" t="n"/>
    </row>
    <row r="243" customFormat="1" s="1916">
      <c r="A243" s="53" t="n"/>
      <c r="B243" s="53" t="n"/>
      <c r="C243" s="2145" t="n"/>
      <c r="D243" s="2145" t="n"/>
      <c r="E243" s="2145" t="n"/>
      <c r="F243" s="53" t="n"/>
      <c r="G243" s="53" t="n"/>
    </row>
    <row r="244" customFormat="1" s="1916">
      <c r="A244" s="103" t="n"/>
      <c r="B244" s="103" t="n"/>
      <c r="C244" s="2147" t="n"/>
      <c r="D244" s="2147" t="n"/>
      <c r="E244" s="2147" t="n"/>
      <c r="F244" s="53" t="n"/>
      <c r="G244" s="53" t="n"/>
    </row>
    <row r="245" customFormat="1" s="1916">
      <c r="A245" s="103" t="n"/>
      <c r="B245" s="105" t="n"/>
      <c r="C245" s="2147" t="n"/>
      <c r="D245" s="2147" t="n"/>
      <c r="E245" s="2147" t="n"/>
      <c r="F245" s="53" t="n"/>
      <c r="G245" s="53" t="n"/>
    </row>
    <row r="246" customFormat="1" s="1916">
      <c r="A246" s="103" t="n"/>
      <c r="B246" s="103" t="n"/>
      <c r="C246" s="2147" t="n"/>
      <c r="D246" s="2147" t="n"/>
      <c r="E246" s="2147" t="n"/>
      <c r="F246" s="53" t="n"/>
      <c r="G246" s="53" t="n"/>
    </row>
    <row r="247" customFormat="1" s="1916">
      <c r="A247" s="103" t="n"/>
      <c r="B247" s="105" t="n"/>
      <c r="C247" s="2147" t="n"/>
      <c r="D247" s="2147" t="n"/>
      <c r="E247" s="2147" t="n"/>
      <c r="F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</row>
    <row r="248" customFormat="1" s="1916">
      <c r="A248" s="53" t="n"/>
      <c r="B248" s="53" t="n"/>
      <c r="C248" s="2145" t="n"/>
      <c r="D248" s="2145" t="n"/>
      <c r="E248" s="2145" t="n"/>
      <c r="F248" s="53" t="n"/>
      <c r="H248" s="53" t="n"/>
      <c r="I248" s="53" t="n"/>
      <c r="J248" s="53" t="n"/>
      <c r="K248" s="106" t="n"/>
      <c r="L248" s="106" t="n"/>
      <c r="M248" s="106" t="n"/>
      <c r="N248" s="106" t="n"/>
      <c r="O248" s="106" t="n"/>
    </row>
    <row r="249" customFormat="1" s="1916">
      <c r="A249" s="3" t="n"/>
      <c r="B249" s="2285" t="n"/>
      <c r="C249" s="3" t="n"/>
      <c r="D249" s="3" t="n"/>
      <c r="E249" s="2285" t="n"/>
      <c r="F249" s="107" t="n"/>
      <c r="H249" s="53" t="n"/>
      <c r="I249" s="540" t="n"/>
      <c r="J249" s="53" t="n"/>
      <c r="K249" s="106" t="n"/>
      <c r="L249" s="106" t="n"/>
      <c r="M249" s="106" t="n"/>
      <c r="N249" s="106" t="n"/>
      <c r="O249" s="106" t="n"/>
    </row>
    <row r="250" customFormat="1" s="1916">
      <c r="A250" s="53" t="n"/>
      <c r="B250" s="53" t="n"/>
      <c r="C250" s="53" t="n"/>
      <c r="D250" s="53" t="n"/>
      <c r="E250" s="53" t="n"/>
      <c r="F250" s="107" t="n"/>
      <c r="H250" s="53" t="n"/>
      <c r="I250" s="53" t="n"/>
      <c r="J250" s="53" t="n"/>
      <c r="K250" s="2145" t="n"/>
      <c r="L250" s="2145" t="n"/>
      <c r="M250" s="2145" t="n"/>
      <c r="N250" s="2145" t="n"/>
      <c r="O250" s="53" t="n"/>
    </row>
    <row r="251" customFormat="1" s="1916">
      <c r="A251" s="53" t="n"/>
      <c r="B251" s="53" t="n"/>
      <c r="C251" s="53" t="n"/>
      <c r="D251" s="53" t="n"/>
      <c r="E251" s="106" t="n"/>
      <c r="F251" s="106" t="n"/>
      <c r="H251" s="53" t="n"/>
      <c r="I251" s="93" t="n"/>
      <c r="J251" s="2145" t="n"/>
      <c r="K251" s="2145" t="n"/>
      <c r="L251" s="2145" t="n"/>
      <c r="M251" s="2145" t="n"/>
      <c r="N251" s="2145" t="n"/>
      <c r="O251" s="106" t="n"/>
    </row>
    <row r="252" customFormat="1" s="1916">
      <c r="A252" s="53" t="n"/>
      <c r="B252" s="53" t="n"/>
      <c r="C252" s="53" t="n"/>
      <c r="D252" s="53" t="n"/>
      <c r="E252" s="53" t="n"/>
      <c r="F252" s="53" t="n"/>
      <c r="H252" s="53" t="n"/>
      <c r="I252" s="93" t="n"/>
      <c r="J252" s="2145" t="n"/>
      <c r="K252" s="2145" t="n"/>
      <c r="L252" s="2145" t="n"/>
      <c r="M252" s="2145" t="n"/>
      <c r="N252" s="2145" t="n"/>
      <c r="O252" s="53" t="n"/>
    </row>
    <row r="253" customFormat="1" s="1916">
      <c r="A253" s="53" t="n"/>
      <c r="B253" s="53" t="n"/>
      <c r="C253" s="53" t="n"/>
      <c r="D253" s="53" t="n"/>
      <c r="E253" s="106" t="n"/>
      <c r="F253" s="106" t="n"/>
      <c r="H253" s="53" t="n"/>
      <c r="I253" s="93" t="n"/>
      <c r="J253" s="2145" t="n"/>
      <c r="K253" s="2145" t="n"/>
      <c r="L253" s="2145" t="n"/>
      <c r="M253" s="2145" t="n"/>
      <c r="N253" s="2145" t="n"/>
      <c r="O253" s="106" t="n"/>
    </row>
    <row r="254" customFormat="1" s="1916">
      <c r="A254" s="53" t="n"/>
      <c r="B254" s="53" t="n"/>
      <c r="C254" s="53" t="n"/>
      <c r="D254" s="53" t="n"/>
      <c r="E254" s="2286" t="n"/>
      <c r="F254" s="2286" t="n"/>
      <c r="G254" s="53" t="n"/>
      <c r="H254" s="103" t="n"/>
      <c r="I254" s="103" t="n"/>
      <c r="J254" s="2147" t="n"/>
      <c r="K254" s="2147" t="n"/>
      <c r="L254" s="2147" t="n"/>
      <c r="M254" s="2145" t="n"/>
      <c r="N254" s="2145" t="n"/>
      <c r="O254" s="106" t="n"/>
    </row>
    <row r="255" customFormat="1" s="1916">
      <c r="A255" s="53" t="n"/>
      <c r="B255" s="53" t="n"/>
      <c r="C255" s="2145" t="n"/>
      <c r="D255" s="2145" t="n"/>
      <c r="E255" s="2145" t="n"/>
      <c r="F255" s="2145" t="n"/>
      <c r="G255" s="53" t="n"/>
      <c r="H255" s="53" t="n"/>
      <c r="I255" s="53" t="n"/>
    </row>
    <row r="256" customFormat="1" s="1916">
      <c r="A256" s="53" t="n"/>
      <c r="B256" s="53" t="n"/>
      <c r="C256" s="53" t="n"/>
      <c r="D256" s="53" t="n"/>
      <c r="E256" s="2145" t="n"/>
      <c r="F256" s="53" t="n"/>
      <c r="G256" s="53" t="n"/>
      <c r="H256" s="110" t="n"/>
      <c r="I256" s="53" t="n"/>
      <c r="J256" s="53" t="n"/>
      <c r="K256" s="2145" t="n"/>
      <c r="L256" s="2145" t="n"/>
      <c r="M256" s="2145" t="n"/>
      <c r="N256" s="2145" t="n"/>
    </row>
    <row r="257" customFormat="1" s="1916">
      <c r="A257" s="53" t="n"/>
      <c r="B257" s="93" t="n"/>
      <c r="C257" s="2145" t="n"/>
      <c r="D257" s="2145" t="n"/>
      <c r="E257" s="2145" t="n"/>
      <c r="F257" s="53" t="n"/>
      <c r="G257" s="53" t="n"/>
      <c r="H257" s="2285" t="n"/>
      <c r="I257" s="93" t="n"/>
      <c r="J257" s="2145" t="n"/>
      <c r="K257" s="2145" t="n"/>
      <c r="L257" s="2145" t="n"/>
      <c r="M257" s="2145" t="n"/>
      <c r="N257" s="2145" t="n"/>
    </row>
    <row r="258" customFormat="1" s="1916">
      <c r="A258" s="53" t="n"/>
      <c r="B258" s="93" t="n"/>
      <c r="C258" s="2145" t="n"/>
      <c r="D258" s="2145" t="n"/>
      <c r="E258" s="2145" t="n"/>
      <c r="F258" s="53" t="n"/>
      <c r="G258" s="53" t="n"/>
      <c r="H258" s="53" t="n"/>
      <c r="I258" s="93" t="n"/>
      <c r="J258" s="2145" t="n"/>
      <c r="K258" s="2145" t="n"/>
      <c r="L258" s="2145" t="n"/>
      <c r="M258" s="2145" t="n"/>
      <c r="N258" s="2145" t="n"/>
    </row>
    <row r="259" customFormat="1" s="1916">
      <c r="A259" s="53" t="n"/>
      <c r="B259" s="93" t="n"/>
      <c r="C259" s="2145" t="n"/>
      <c r="D259" s="2145" t="n"/>
      <c r="E259" s="2145" t="n"/>
      <c r="F259" s="53" t="n"/>
      <c r="G259" s="53" t="n"/>
      <c r="H259" s="53" t="n"/>
      <c r="I259" s="93" t="n"/>
      <c r="J259" s="2145" t="n"/>
      <c r="K259" s="2145" t="n"/>
      <c r="L259" s="2145" t="n"/>
      <c r="M259" s="2145" t="n"/>
      <c r="N259" s="2145" t="n"/>
    </row>
    <row r="260" customFormat="1" s="1916">
      <c r="A260" s="53" t="n"/>
      <c r="B260" s="93" t="n"/>
      <c r="C260" s="2145" t="n"/>
      <c r="D260" s="2145" t="n"/>
      <c r="E260" s="2145" t="n"/>
      <c r="F260" s="111" t="n"/>
      <c r="G260" s="53" t="n"/>
      <c r="H260" s="53" t="n"/>
      <c r="I260" s="93" t="n"/>
      <c r="J260" s="2145" t="n"/>
      <c r="K260" s="2145" t="n"/>
      <c r="L260" s="2145" t="n"/>
      <c r="M260" s="2145" t="n"/>
      <c r="N260" s="2145" t="n"/>
    </row>
    <row r="261" customFormat="1" s="1916">
      <c r="A261" s="53" t="n"/>
      <c r="B261" s="93" t="n"/>
      <c r="C261" s="2145" t="n"/>
      <c r="D261" s="2145" t="n"/>
      <c r="E261" s="2145" t="n"/>
      <c r="F261" s="111" t="n"/>
      <c r="G261" s="53" t="n"/>
      <c r="H261" s="53" t="n"/>
      <c r="I261" s="93" t="n"/>
      <c r="J261" s="2145" t="n"/>
      <c r="K261" s="2145" t="n"/>
      <c r="L261" s="2145" t="n"/>
      <c r="M261" s="2145" t="n"/>
      <c r="N261" s="2145" t="n"/>
    </row>
    <row r="262" customFormat="1" s="1916">
      <c r="A262" s="53" t="n"/>
      <c r="B262" s="93" t="n"/>
      <c r="C262" s="2145" t="n"/>
      <c r="D262" s="2145" t="n"/>
      <c r="E262" s="2145" t="n"/>
      <c r="F262" s="53" t="n"/>
      <c r="G262" s="53" t="n"/>
      <c r="H262" s="53" t="n"/>
      <c r="I262" s="93" t="n"/>
      <c r="J262" s="2145" t="n"/>
      <c r="K262" s="2145" t="n"/>
      <c r="L262" s="2145" t="n"/>
      <c r="M262" s="2145" t="n"/>
      <c r="N262" s="2145" t="n"/>
    </row>
    <row r="263" customFormat="1" s="1916">
      <c r="A263" s="53" t="n"/>
      <c r="B263" s="93" t="n"/>
      <c r="C263" s="2145" t="n"/>
      <c r="D263" s="2145" t="n"/>
      <c r="E263" s="2145" t="n"/>
      <c r="F263" s="53" t="n"/>
      <c r="G263" s="53" t="n"/>
      <c r="H263" s="53" t="n"/>
      <c r="I263" s="93" t="n"/>
      <c r="J263" s="2145" t="n"/>
      <c r="K263" s="2145" t="n"/>
      <c r="L263" s="2145" t="n"/>
      <c r="M263" s="2145" t="n"/>
      <c r="N263" s="2145" t="n"/>
    </row>
    <row r="264" customFormat="1" s="1916">
      <c r="A264" s="103" t="n"/>
      <c r="B264" s="103" t="n"/>
      <c r="C264" s="2147" t="n"/>
      <c r="D264" s="2147" t="n"/>
      <c r="E264" s="2147" t="n"/>
      <c r="F264" s="53" t="n"/>
      <c r="G264" s="53" t="n"/>
      <c r="H264" s="103" t="n"/>
      <c r="I264" s="103" t="n"/>
      <c r="J264" s="2147" t="n"/>
      <c r="K264" s="2147" t="n"/>
      <c r="L264" s="2147" t="n"/>
      <c r="M264" s="2147" t="n"/>
      <c r="N264" s="2147" t="n"/>
    </row>
    <row r="265" customFormat="1" s="1916">
      <c r="A265" s="53" t="n"/>
      <c r="B265" s="53" t="n"/>
      <c r="C265" s="2145" t="n"/>
      <c r="D265" s="2145" t="n"/>
      <c r="E265" s="2145" t="n"/>
      <c r="F265" s="53" t="n"/>
      <c r="G265" s="53" t="n"/>
    </row>
    <row r="266" customFormat="1" s="1916">
      <c r="A266" s="53" t="n"/>
      <c r="B266" s="53" t="n"/>
      <c r="C266" s="2145" t="n"/>
      <c r="D266" s="2145" t="n"/>
      <c r="E266" s="2147" t="n"/>
      <c r="F266" s="53" t="n"/>
      <c r="G266" s="53" t="n"/>
    </row>
    <row r="267" customFormat="1" s="1916">
      <c r="A267" s="53" t="n"/>
      <c r="B267" s="53" t="n"/>
      <c r="C267" s="2145" t="n"/>
      <c r="D267" s="2145" t="n"/>
      <c r="E267" s="2145" t="n"/>
      <c r="F267" s="53" t="n"/>
      <c r="G267" s="53" t="n"/>
    </row>
    <row r="268" customFormat="1" s="1916">
      <c r="A268" s="53" t="n"/>
      <c r="B268" s="53" t="n"/>
      <c r="C268" s="2145" t="n"/>
      <c r="D268" s="2145" t="n"/>
      <c r="E268" s="2145" t="n"/>
      <c r="F268" s="53" t="n"/>
      <c r="G268" s="53" t="n"/>
    </row>
    <row r="269" customFormat="1" s="1916">
      <c r="A269" s="53" t="n"/>
      <c r="B269" s="112" t="n"/>
      <c r="C269" s="2145" t="n"/>
      <c r="D269" s="2145" t="n"/>
      <c r="E269" s="2145" t="n"/>
      <c r="F269" s="53" t="n"/>
      <c r="G269" s="53" t="n"/>
    </row>
    <row r="270" customFormat="1" s="1916">
      <c r="A270" s="53" t="n"/>
      <c r="B270" s="112" t="n"/>
      <c r="C270" s="2145" t="n"/>
      <c r="D270" s="2145" t="n"/>
      <c r="E270" s="2145" t="n"/>
      <c r="F270" s="53" t="n"/>
      <c r="G270" s="53" t="n"/>
    </row>
    <row r="271" customFormat="1" s="1916">
      <c r="A271" s="53" t="n"/>
      <c r="B271" s="113" t="n"/>
      <c r="C271" s="2145" t="n"/>
      <c r="D271" s="2145" t="n"/>
      <c r="E271" s="2145" t="n"/>
      <c r="F271" s="53" t="n"/>
      <c r="G271" s="53" t="n"/>
    </row>
    <row r="272" customFormat="1" s="1916">
      <c r="A272" s="53" t="n"/>
      <c r="B272" s="113" t="n"/>
      <c r="C272" s="2145" t="n"/>
      <c r="D272" s="2145" t="n"/>
      <c r="E272" s="2145" t="n"/>
      <c r="F272" s="53" t="n"/>
      <c r="G272" s="53" t="n"/>
    </row>
    <row r="273" customFormat="1" s="1916">
      <c r="A273" s="53" t="n"/>
      <c r="B273" s="113" t="n"/>
      <c r="C273" s="2145" t="n"/>
      <c r="D273" s="2145" t="n"/>
      <c r="E273" s="2145" t="n"/>
      <c r="F273" s="53" t="n"/>
      <c r="G273" s="53" t="n"/>
    </row>
    <row r="274" customFormat="1" s="1916">
      <c r="A274" s="53" t="n"/>
      <c r="B274" s="113" t="n"/>
      <c r="C274" s="2145" t="n"/>
      <c r="D274" s="2145" t="n"/>
      <c r="E274" s="2145" t="n"/>
      <c r="F274" s="53" t="n"/>
      <c r="G274" s="53" t="n"/>
    </row>
    <row r="275" customFormat="1" s="1916">
      <c r="A275" s="53" t="n"/>
      <c r="B275" s="112" t="n"/>
      <c r="C275" s="2145" t="n"/>
      <c r="D275" s="2145" t="n"/>
      <c r="E275" s="2145" t="n"/>
      <c r="F275" s="53" t="n"/>
      <c r="G275" s="53" t="n"/>
    </row>
    <row r="276" customFormat="1" s="1916">
      <c r="A276" s="53" t="n"/>
      <c r="B276" s="112" t="n"/>
      <c r="C276" s="2145" t="n"/>
      <c r="D276" s="2145" t="n"/>
      <c r="E276" s="2145" t="n"/>
      <c r="F276" s="53" t="n"/>
      <c r="G276" s="53" t="n"/>
    </row>
    <row r="277" customFormat="1" s="1916">
      <c r="A277" s="53" t="n"/>
      <c r="B277" s="112" t="n"/>
      <c r="C277" s="2145" t="n"/>
      <c r="D277" s="2145" t="n"/>
      <c r="E277" s="2149" t="n"/>
      <c r="F277" s="53" t="n"/>
      <c r="G277" s="53" t="n"/>
      <c r="Q277" s="53" t="n"/>
    </row>
    <row r="278" customFormat="1" s="1916">
      <c r="A278" s="53" t="n"/>
      <c r="B278" s="113" t="n"/>
      <c r="C278" s="2145" t="n"/>
      <c r="D278" s="2145" t="n"/>
      <c r="E278" s="2145" t="n"/>
      <c r="F278" s="53" t="n"/>
      <c r="G278" s="53" t="n"/>
      <c r="H278" s="53" t="n"/>
      <c r="J278" s="2154" t="n"/>
      <c r="Q278" s="53" t="n"/>
    </row>
    <row r="279" customFormat="1" s="1916">
      <c r="A279" s="53" t="n"/>
      <c r="B279" s="53" t="n"/>
      <c r="C279" s="2145" t="n"/>
      <c r="D279" s="2145" t="n"/>
      <c r="E279" s="2145" t="n"/>
      <c r="F279" s="2145" t="n"/>
      <c r="G279" s="2145" t="n"/>
      <c r="Q279" s="53" t="n"/>
    </row>
    <row r="280" customFormat="1" s="1916">
      <c r="A280" s="53" t="n"/>
      <c r="B280" s="53" t="n"/>
      <c r="C280" s="2145" t="n"/>
      <c r="D280" s="2145" t="n"/>
      <c r="E280" s="2145" t="n"/>
      <c r="G280" s="540" t="n"/>
      <c r="Q280" s="53" t="n"/>
    </row>
    <row r="281" customFormat="1" s="1916">
      <c r="E281" s="2145" t="n"/>
    </row>
    <row r="282" customFormat="1" s="1916">
      <c r="A282" s="115" t="n"/>
    </row>
    <row r="283" customFormat="1" s="1916"/>
    <row r="284" customFormat="1" s="1916">
      <c r="A284" s="53" t="n"/>
      <c r="B284" s="53" t="n"/>
      <c r="C284" s="53" t="n"/>
      <c r="D284" s="53" t="n"/>
      <c r="E284" s="53" t="n"/>
      <c r="O284" s="53" t="n"/>
      <c r="P284" s="53" t="n"/>
      <c r="Q284" s="53" t="n"/>
      <c r="R284" s="53" t="n"/>
      <c r="S284" s="53" t="n"/>
    </row>
    <row r="285" customFormat="1" s="1916">
      <c r="A285" s="53" t="n"/>
      <c r="B285" s="53" t="n"/>
      <c r="C285" s="53" t="n"/>
      <c r="D285" s="53" t="n"/>
      <c r="E285" s="53" t="n"/>
      <c r="F285" s="53" t="n"/>
      <c r="G285" s="53" t="n"/>
      <c r="O285" s="53" t="n"/>
      <c r="P285" s="53" t="n"/>
      <c r="Q285" s="53" t="n"/>
      <c r="R285" s="53" t="n"/>
      <c r="S285" s="2145" t="n"/>
    </row>
    <row r="286" customFormat="1" s="1916">
      <c r="A286" s="53" t="n"/>
      <c r="B286" s="2155" t="n"/>
      <c r="C286" s="2145" t="n"/>
      <c r="D286" s="2145" t="n"/>
      <c r="E286" s="2145" t="n"/>
      <c r="F286" s="2285" t="n"/>
      <c r="G286" s="53" t="n"/>
      <c r="O286" s="53" t="n"/>
      <c r="P286" s="53" t="n"/>
      <c r="Q286" s="2145" t="n"/>
      <c r="R286" s="2145" t="n"/>
      <c r="S286" s="2145" t="n"/>
    </row>
    <row r="287" customFormat="1" s="1916">
      <c r="A287" s="53" t="n"/>
      <c r="B287" s="53" t="n"/>
      <c r="C287" s="2145" t="n"/>
      <c r="D287" s="2145" t="n"/>
      <c r="E287" s="2145" t="n"/>
      <c r="F287" s="53" t="n"/>
      <c r="G287" s="53" t="n"/>
      <c r="O287" s="53" t="n"/>
      <c r="P287" s="53" t="n"/>
      <c r="Q287" s="2145" t="n"/>
      <c r="R287" s="2285" t="n"/>
      <c r="S287" s="2145" t="n"/>
    </row>
    <row r="288" customFormat="1" s="1916">
      <c r="A288" s="53" t="n"/>
      <c r="B288" s="53" t="n"/>
      <c r="C288" s="2145" t="n"/>
      <c r="D288" s="2145" t="n"/>
      <c r="E288" s="2145" t="n"/>
      <c r="F288" s="53" t="n"/>
      <c r="G288" s="53" t="n"/>
      <c r="O288" s="53" t="n"/>
      <c r="P288" s="53" t="n"/>
      <c r="Q288" s="2145" t="n"/>
      <c r="R288" s="2285" t="n"/>
      <c r="S288" s="2145" t="n"/>
    </row>
    <row r="289" customFormat="1" s="1916">
      <c r="A289" s="53" t="n"/>
      <c r="B289" s="53" t="n"/>
      <c r="C289" s="2145" t="n"/>
      <c r="D289" s="2145" t="n"/>
      <c r="E289" s="2145" t="n"/>
      <c r="F289" s="53" t="n"/>
      <c r="G289" s="53" t="n"/>
      <c r="O289" s="53" t="n"/>
      <c r="P289" s="2145" t="n"/>
      <c r="Q289" s="2149" t="n"/>
      <c r="R289" s="53" t="n"/>
      <c r="S289" s="53" t="n"/>
      <c r="T289" s="53" t="n"/>
      <c r="U289" s="53" t="n"/>
      <c r="V289" s="53" t="n"/>
    </row>
    <row r="290" customFormat="1" s="1916">
      <c r="A290" s="53" t="n"/>
      <c r="B290" s="53" t="n"/>
      <c r="C290" s="2145" t="n"/>
      <c r="D290" s="2145" t="n"/>
      <c r="E290" s="2145" t="n"/>
      <c r="F290" s="53" t="n"/>
      <c r="G290" s="53" t="n"/>
      <c r="O290" s="53" t="n"/>
      <c r="P290" s="53" t="n"/>
      <c r="Q290" s="2149" t="n"/>
      <c r="R290" s="53" t="n"/>
      <c r="S290" s="53" t="n"/>
      <c r="T290" s="2145" t="n"/>
      <c r="U290" s="2145" t="n"/>
      <c r="V290" s="53" t="n"/>
    </row>
    <row r="291" customFormat="1" s="1916">
      <c r="A291" s="53" t="n"/>
      <c r="B291" s="53" t="n"/>
      <c r="C291" s="2145" t="n"/>
      <c r="D291" s="2145" t="n"/>
      <c r="E291" s="2145" t="n"/>
      <c r="F291" s="53" t="n"/>
      <c r="G291" s="53" t="n"/>
      <c r="O291" s="53" t="n"/>
      <c r="P291" s="53" t="n"/>
      <c r="Q291" s="2149" t="n"/>
      <c r="R291" s="53" t="n"/>
      <c r="S291" s="53" t="n"/>
      <c r="T291" s="2145" t="n"/>
      <c r="U291" s="2145" t="n"/>
      <c r="V291" s="53" t="n"/>
    </row>
    <row r="292" customFormat="1" s="1916">
      <c r="A292" s="53" t="n"/>
      <c r="B292" s="53" t="n"/>
      <c r="C292" s="2145" t="n"/>
      <c r="D292" s="2145" t="n"/>
      <c r="E292" s="2145" t="n"/>
      <c r="F292" s="53" t="n"/>
      <c r="G292" s="53" t="n"/>
      <c r="O292" s="53" t="n"/>
      <c r="P292" s="53" t="n"/>
      <c r="Q292" s="2149" t="n"/>
      <c r="R292" s="53" t="n"/>
      <c r="S292" s="53" t="n"/>
      <c r="T292" s="2145" t="n"/>
      <c r="U292" s="2145" t="n"/>
      <c r="V292" s="53" t="n"/>
    </row>
    <row r="293" customFormat="1" s="1916">
      <c r="A293" s="53" t="n"/>
      <c r="B293" s="53" t="n"/>
      <c r="C293" s="2145" t="n"/>
      <c r="D293" s="2145" t="n"/>
      <c r="E293" s="2145" t="n"/>
      <c r="F293" s="53" t="n"/>
      <c r="G293" s="53" t="n"/>
      <c r="O293" s="53" t="n"/>
      <c r="P293" s="53" t="n"/>
      <c r="Q293" s="2149" t="n"/>
      <c r="R293" s="53" t="n"/>
      <c r="S293" s="53" t="n"/>
      <c r="T293" s="2145" t="n"/>
      <c r="U293" s="2145" t="n"/>
      <c r="V293" s="53" t="n"/>
    </row>
    <row r="294" customFormat="1" s="1916">
      <c r="A294" s="53" t="n"/>
      <c r="B294" s="53" t="n"/>
      <c r="C294" s="2145" t="n"/>
      <c r="D294" s="2145" t="n"/>
      <c r="E294" s="2145" t="n"/>
      <c r="F294" s="53" t="n"/>
      <c r="G294" s="53" t="n"/>
      <c r="O294" s="53" t="n"/>
      <c r="P294" s="53" t="n"/>
      <c r="Q294" s="2149" t="n"/>
      <c r="R294" s="53" t="n"/>
      <c r="S294" s="53" t="n"/>
      <c r="T294" s="53" t="n"/>
      <c r="U294" s="53" t="n"/>
      <c r="V294" s="53" t="n"/>
    </row>
    <row r="295" customFormat="1" s="1916">
      <c r="A295" s="53" t="n"/>
      <c r="B295" s="53" t="n"/>
      <c r="C295" s="2145" t="n"/>
      <c r="D295" s="2145" t="n"/>
      <c r="E295" s="2145" t="n"/>
      <c r="F295" s="53" t="n"/>
      <c r="G295" s="53" t="n"/>
      <c r="O295" s="53" t="n"/>
      <c r="P295" s="53" t="n"/>
      <c r="Q295" s="2149" t="n"/>
      <c r="R295" s="53" t="n"/>
      <c r="S295" s="53" t="n"/>
      <c r="T295" s="53" t="n"/>
      <c r="U295" s="53" t="n"/>
      <c r="V295" s="53" t="n"/>
    </row>
    <row r="296" customFormat="1" s="1916">
      <c r="A296" s="53" t="n"/>
      <c r="B296" s="53" t="n"/>
      <c r="C296" s="2145" t="n"/>
      <c r="D296" s="2145" t="n"/>
      <c r="E296" s="2145" t="n"/>
      <c r="F296" s="53" t="n"/>
      <c r="G296" s="53" t="n"/>
      <c r="T296" s="53" t="n"/>
      <c r="U296" s="53" t="n"/>
      <c r="V296" s="53" t="n"/>
    </row>
    <row r="297" customFormat="1" s="1916">
      <c r="A297" s="53" t="n"/>
      <c r="B297" s="53" t="n"/>
      <c r="C297" s="2145" t="n"/>
      <c r="D297" s="2145" t="n"/>
      <c r="E297" s="2145" t="n"/>
      <c r="F297" s="53" t="n"/>
      <c r="G297" s="53" t="n"/>
      <c r="T297" s="53" t="n"/>
      <c r="U297" s="53" t="n"/>
      <c r="V297" s="53" t="n"/>
    </row>
    <row r="298" customFormat="1" s="1916">
      <c r="A298" s="53" t="n"/>
      <c r="B298" s="53" t="n"/>
      <c r="C298" s="2145" t="n"/>
      <c r="D298" s="2145" t="n"/>
      <c r="E298" s="2145" t="n"/>
      <c r="F298" s="2285" t="n"/>
      <c r="G298" s="53" t="n"/>
      <c r="T298" s="53" t="n"/>
      <c r="U298" s="53" t="n"/>
      <c r="V298" s="53" t="n"/>
    </row>
    <row r="299" customFormat="1" s="1916">
      <c r="A299" s="53" t="n"/>
      <c r="B299" s="53" t="n"/>
      <c r="C299" s="2145" t="n"/>
      <c r="D299" s="2145" t="n"/>
      <c r="E299" s="2145" t="n"/>
      <c r="F299" s="53" t="n"/>
      <c r="G299" s="53" t="n"/>
      <c r="T299" s="53" t="n"/>
      <c r="U299" s="53" t="n"/>
      <c r="V299" s="53" t="n"/>
    </row>
    <row r="300" customFormat="1" s="1916">
      <c r="A300" s="53" t="n"/>
      <c r="B300" s="53" t="n"/>
      <c r="C300" s="2145" t="n"/>
      <c r="D300" s="2145" t="n"/>
      <c r="E300" s="2145" t="n"/>
      <c r="F300" s="53" t="n"/>
      <c r="G300" s="53" t="n"/>
      <c r="T300" s="53" t="n"/>
      <c r="U300" s="53" t="n"/>
      <c r="V300" s="53" t="n"/>
    </row>
    <row r="301" customFormat="1" s="1916">
      <c r="A301" s="53" t="n"/>
      <c r="B301" s="53" t="n"/>
      <c r="C301" s="2145" t="n"/>
      <c r="D301" s="2145" t="n"/>
      <c r="E301" s="2145" t="n"/>
      <c r="F301" s="53" t="n"/>
      <c r="G301" s="53" t="n"/>
    </row>
    <row r="302" customFormat="1" s="1916">
      <c r="A302" s="53" t="n"/>
      <c r="B302" s="53" t="n"/>
      <c r="C302" s="2145" t="n"/>
      <c r="D302" s="2145" t="n"/>
      <c r="E302" s="2145" t="n"/>
      <c r="F302" s="53" t="n"/>
      <c r="G302" s="53" t="n"/>
    </row>
    <row r="303" customFormat="1" s="1916">
      <c r="A303" s="103" t="n"/>
      <c r="B303" s="103" t="n"/>
      <c r="C303" s="2147" t="n"/>
      <c r="D303" s="2147" t="n"/>
      <c r="E303" s="2147" t="n"/>
      <c r="F303" s="53" t="n"/>
      <c r="G303" s="53" t="n"/>
    </row>
    <row r="304" customFormat="1" s="1916">
      <c r="A304" s="103" t="n"/>
      <c r="B304" s="105" t="n"/>
      <c r="C304" s="2147" t="n"/>
      <c r="D304" s="2147" t="n"/>
      <c r="E304" s="2147" t="n"/>
      <c r="F304" s="53" t="n"/>
      <c r="G304" s="53" t="n"/>
    </row>
    <row r="305" customFormat="1" s="1916">
      <c r="A305" s="103" t="n"/>
      <c r="B305" s="103" t="n"/>
      <c r="C305" s="2147" t="n"/>
      <c r="D305" s="2147" t="n"/>
      <c r="E305" s="2147" t="n"/>
      <c r="F305" s="53" t="n"/>
      <c r="G305" s="53" t="n"/>
    </row>
    <row r="306" customFormat="1" s="1916">
      <c r="A306" s="103" t="n"/>
      <c r="B306" s="105" t="n"/>
      <c r="C306" s="2147" t="n"/>
      <c r="D306" s="2147" t="n"/>
      <c r="E306" s="2147" t="n"/>
      <c r="F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</row>
    <row r="307" customFormat="1" s="1916">
      <c r="A307" s="53" t="n"/>
      <c r="B307" s="53" t="n"/>
      <c r="C307" s="2145" t="n"/>
      <c r="D307" s="2145" t="n"/>
      <c r="E307" s="2145" t="n"/>
      <c r="F307" s="53" t="n"/>
      <c r="H307" s="53" t="n"/>
      <c r="I307" s="53" t="n"/>
      <c r="J307" s="53" t="n"/>
      <c r="K307" s="106" t="n"/>
      <c r="L307" s="106" t="n"/>
      <c r="M307" s="106" t="n"/>
      <c r="N307" s="106" t="n"/>
      <c r="O307" s="106" t="n"/>
    </row>
    <row r="308" customFormat="1" s="1916">
      <c r="A308" s="3" t="n"/>
      <c r="B308" s="2285" t="n"/>
      <c r="C308" s="3" t="n"/>
      <c r="D308" s="3" t="n"/>
      <c r="E308" s="2285" t="n"/>
      <c r="F308" s="107" t="n"/>
      <c r="H308" s="53" t="n"/>
      <c r="I308" s="540" t="n"/>
      <c r="J308" s="53" t="n"/>
      <c r="K308" s="106" t="n"/>
      <c r="L308" s="106" t="n"/>
      <c r="M308" s="106" t="n"/>
      <c r="N308" s="106" t="n"/>
      <c r="O308" s="106" t="n"/>
    </row>
    <row r="309" customFormat="1" s="1916">
      <c r="A309" s="53" t="n"/>
      <c r="B309" s="53" t="n"/>
      <c r="C309" s="53" t="n"/>
      <c r="D309" s="53" t="n"/>
      <c r="E309" s="53" t="n"/>
      <c r="F309" s="107" t="n"/>
      <c r="H309" s="53" t="n"/>
      <c r="I309" s="53" t="n"/>
      <c r="J309" s="53" t="n"/>
      <c r="K309" s="2145" t="n"/>
      <c r="L309" s="2145" t="n"/>
      <c r="M309" s="2145" t="n"/>
      <c r="N309" s="2145" t="n"/>
      <c r="O309" s="53" t="n"/>
    </row>
    <row r="310" customFormat="1" s="1916">
      <c r="A310" s="53" t="n"/>
      <c r="B310" s="53" t="n"/>
      <c r="C310" s="53" t="n"/>
      <c r="D310" s="53" t="n"/>
      <c r="E310" s="106" t="n"/>
      <c r="F310" s="106" t="n"/>
      <c r="H310" s="53" t="n"/>
      <c r="I310" s="93" t="n"/>
      <c r="J310" s="2145" t="n"/>
      <c r="K310" s="2145" t="n"/>
      <c r="L310" s="2145" t="n"/>
      <c r="M310" s="2145" t="n"/>
      <c r="N310" s="2145" t="n"/>
      <c r="O310" s="106" t="n"/>
    </row>
    <row r="311" customFormat="1" s="1916">
      <c r="A311" s="53" t="n"/>
      <c r="B311" s="53" t="n"/>
      <c r="C311" s="53" t="n"/>
      <c r="D311" s="53" t="n"/>
      <c r="E311" s="53" t="n"/>
      <c r="F311" s="53" t="n"/>
      <c r="H311" s="53" t="n"/>
      <c r="I311" s="93" t="n"/>
      <c r="J311" s="2145" t="n"/>
      <c r="K311" s="2145" t="n"/>
      <c r="L311" s="2145" t="n"/>
      <c r="M311" s="2145" t="n"/>
      <c r="N311" s="2145" t="n"/>
      <c r="O311" s="53" t="n"/>
    </row>
    <row r="312" customFormat="1" s="1916">
      <c r="A312" s="53" t="n"/>
      <c r="B312" s="53" t="n"/>
      <c r="C312" s="53" t="n"/>
      <c r="D312" s="53" t="n"/>
      <c r="E312" s="106" t="n"/>
      <c r="F312" s="106" t="n"/>
      <c r="H312" s="53" t="n"/>
      <c r="I312" s="93" t="n"/>
      <c r="J312" s="2145" t="n"/>
      <c r="K312" s="2145" t="n"/>
      <c r="L312" s="2145" t="n"/>
      <c r="M312" s="2145" t="n"/>
      <c r="N312" s="2145" t="n"/>
      <c r="O312" s="106" t="n"/>
    </row>
    <row r="313" customFormat="1" s="1916">
      <c r="A313" s="53" t="n"/>
      <c r="B313" s="53" t="n"/>
      <c r="C313" s="53" t="n"/>
      <c r="D313" s="53" t="n"/>
      <c r="E313" s="2286" t="n"/>
      <c r="F313" s="2286" t="n"/>
      <c r="G313" s="53" t="n"/>
      <c r="H313" s="103" t="n"/>
      <c r="I313" s="103" t="n"/>
      <c r="J313" s="2147" t="n"/>
      <c r="K313" s="2147" t="n"/>
      <c r="L313" s="2147" t="n"/>
      <c r="M313" s="2145" t="n"/>
      <c r="N313" s="2145" t="n"/>
      <c r="O313" s="106" t="n"/>
    </row>
    <row r="314" customFormat="1" s="1916">
      <c r="A314" s="53" t="n"/>
      <c r="B314" s="53" t="n"/>
      <c r="C314" s="2145" t="n"/>
      <c r="D314" s="2145" t="n"/>
      <c r="E314" s="2145" t="n"/>
      <c r="F314" s="2145" t="n"/>
      <c r="G314" s="53" t="n"/>
      <c r="H314" s="53" t="n"/>
      <c r="I314" s="53" t="n"/>
    </row>
    <row r="315" customFormat="1" s="1916">
      <c r="A315" s="53" t="n"/>
      <c r="B315" s="53" t="n"/>
      <c r="C315" s="53" t="n"/>
      <c r="D315" s="53" t="n"/>
      <c r="E315" s="2145" t="n"/>
      <c r="F315" s="53" t="n"/>
      <c r="G315" s="53" t="n"/>
      <c r="H315" s="110" t="n"/>
      <c r="I315" s="53" t="n"/>
      <c r="J315" s="53" t="n"/>
      <c r="K315" s="2145" t="n"/>
      <c r="L315" s="2145" t="n"/>
      <c r="M315" s="2145" t="n"/>
      <c r="N315" s="2145" t="n"/>
    </row>
    <row r="316" customFormat="1" s="1916">
      <c r="A316" s="53" t="n"/>
      <c r="B316" s="93" t="n"/>
      <c r="C316" s="2145" t="n"/>
      <c r="D316" s="2145" t="n"/>
      <c r="E316" s="2145" t="n"/>
      <c r="F316" s="53" t="n"/>
      <c r="G316" s="53" t="n"/>
      <c r="H316" s="2285" t="n"/>
      <c r="I316" s="93" t="n"/>
      <c r="J316" s="2145" t="n"/>
      <c r="K316" s="2145" t="n"/>
      <c r="L316" s="2145" t="n"/>
      <c r="M316" s="2145" t="n"/>
      <c r="N316" s="2145" t="n"/>
    </row>
    <row r="317" customFormat="1" s="1916">
      <c r="A317" s="53" t="n"/>
      <c r="B317" s="93" t="n"/>
      <c r="C317" s="2145" t="n"/>
      <c r="D317" s="2145" t="n"/>
      <c r="E317" s="2145" t="n"/>
      <c r="F317" s="53" t="n"/>
      <c r="G317" s="53" t="n"/>
      <c r="H317" s="53" t="n"/>
      <c r="I317" s="93" t="n"/>
      <c r="J317" s="2145" t="n"/>
      <c r="K317" s="2145" t="n"/>
      <c r="L317" s="2145" t="n"/>
      <c r="M317" s="2145" t="n"/>
      <c r="N317" s="2145" t="n"/>
    </row>
    <row r="318" customFormat="1" s="1916">
      <c r="A318" s="53" t="n"/>
      <c r="B318" s="93" t="n"/>
      <c r="C318" s="2145" t="n"/>
      <c r="D318" s="2145" t="n"/>
      <c r="E318" s="2145" t="n"/>
      <c r="F318" s="53" t="n"/>
      <c r="G318" s="53" t="n"/>
      <c r="H318" s="53" t="n"/>
      <c r="I318" s="93" t="n"/>
      <c r="J318" s="2145" t="n"/>
      <c r="K318" s="2145" t="n"/>
      <c r="L318" s="2145" t="n"/>
      <c r="M318" s="2145" t="n"/>
      <c r="N318" s="2145" t="n"/>
    </row>
    <row r="319" customFormat="1" s="1916">
      <c r="A319" s="53" t="n"/>
      <c r="B319" s="93" t="n"/>
      <c r="C319" s="2145" t="n"/>
      <c r="D319" s="2145" t="n"/>
      <c r="E319" s="2145" t="n"/>
      <c r="F319" s="111" t="n"/>
      <c r="G319" s="53" t="n"/>
      <c r="H319" s="53" t="n"/>
      <c r="I319" s="93" t="n"/>
      <c r="J319" s="2145" t="n"/>
      <c r="K319" s="2145" t="n"/>
      <c r="L319" s="2145" t="n"/>
      <c r="M319" s="2145" t="n"/>
      <c r="N319" s="2145" t="n"/>
    </row>
    <row r="320" customFormat="1" s="1916">
      <c r="A320" s="53" t="n"/>
      <c r="B320" s="93" t="n"/>
      <c r="C320" s="2145" t="n"/>
      <c r="D320" s="2145" t="n"/>
      <c r="E320" s="2145" t="n"/>
      <c r="F320" s="111" t="n"/>
      <c r="G320" s="53" t="n"/>
      <c r="H320" s="53" t="n"/>
      <c r="I320" s="93" t="n"/>
      <c r="J320" s="2145" t="n"/>
      <c r="K320" s="2145" t="n"/>
      <c r="L320" s="2145" t="n"/>
      <c r="M320" s="2145" t="n"/>
      <c r="N320" s="2145" t="n"/>
    </row>
    <row r="321" customFormat="1" s="1916">
      <c r="A321" s="53" t="n"/>
      <c r="B321" s="93" t="n"/>
      <c r="C321" s="2145" t="n"/>
      <c r="D321" s="2145" t="n"/>
      <c r="E321" s="2145" t="n"/>
      <c r="F321" s="53" t="n"/>
      <c r="G321" s="53" t="n"/>
      <c r="H321" s="53" t="n"/>
      <c r="I321" s="93" t="n"/>
      <c r="J321" s="2145" t="n"/>
      <c r="K321" s="2145" t="n"/>
      <c r="L321" s="2145" t="n"/>
      <c r="M321" s="2145" t="n"/>
      <c r="N321" s="2145" t="n"/>
    </row>
    <row r="322" customFormat="1" s="1916">
      <c r="A322" s="53" t="n"/>
      <c r="B322" s="93" t="n"/>
      <c r="C322" s="2145" t="n"/>
      <c r="D322" s="2145" t="n"/>
      <c r="E322" s="2145" t="n"/>
      <c r="F322" s="53" t="n"/>
      <c r="G322" s="53" t="n"/>
      <c r="H322" s="53" t="n"/>
      <c r="I322" s="93" t="n"/>
      <c r="J322" s="2145" t="n"/>
      <c r="K322" s="2145" t="n"/>
      <c r="L322" s="2145" t="n"/>
      <c r="M322" s="2145" t="n"/>
      <c r="N322" s="2145" t="n"/>
    </row>
    <row r="323" customFormat="1" s="1916">
      <c r="A323" s="103" t="n"/>
      <c r="B323" s="103" t="n"/>
      <c r="C323" s="2147" t="n"/>
      <c r="D323" s="2147" t="n"/>
      <c r="E323" s="2147" t="n"/>
      <c r="F323" s="53" t="n"/>
      <c r="G323" s="53" t="n"/>
      <c r="H323" s="103" t="n"/>
      <c r="I323" s="103" t="n"/>
      <c r="J323" s="2147" t="n"/>
      <c r="K323" s="2147" t="n"/>
      <c r="L323" s="2147" t="n"/>
      <c r="M323" s="2147" t="n"/>
      <c r="N323" s="2147" t="n"/>
    </row>
    <row r="324" customFormat="1" s="1916">
      <c r="A324" s="53" t="n"/>
      <c r="B324" s="53" t="n"/>
      <c r="C324" s="2145" t="n"/>
      <c r="D324" s="2145" t="n"/>
      <c r="E324" s="2145" t="n"/>
      <c r="F324" s="53" t="n"/>
      <c r="G324" s="53" t="n"/>
    </row>
    <row r="325" customFormat="1" s="1916">
      <c r="A325" s="53" t="n"/>
      <c r="B325" s="53" t="n"/>
      <c r="C325" s="2145" t="n"/>
      <c r="D325" s="2145" t="n"/>
      <c r="E325" s="2147" t="n"/>
      <c r="F325" s="53" t="n"/>
      <c r="G325" s="53" t="n"/>
    </row>
    <row r="326" customFormat="1" s="1916">
      <c r="A326" s="53" t="n"/>
      <c r="B326" s="53" t="n"/>
      <c r="C326" s="2145" t="n"/>
      <c r="D326" s="2145" t="n"/>
      <c r="E326" s="2145" t="n"/>
      <c r="F326" s="53" t="n"/>
      <c r="G326" s="53" t="n"/>
    </row>
    <row r="327" customFormat="1" s="1916">
      <c r="A327" s="53" t="n"/>
      <c r="B327" s="53" t="n"/>
      <c r="C327" s="2145" t="n"/>
      <c r="D327" s="2145" t="n"/>
      <c r="E327" s="2145" t="n"/>
      <c r="F327" s="53" t="n"/>
      <c r="G327" s="53" t="n"/>
    </row>
    <row r="328" customFormat="1" s="1916">
      <c r="A328" s="53" t="n"/>
      <c r="B328" s="112" t="n"/>
      <c r="C328" s="2145" t="n"/>
      <c r="D328" s="2145" t="n"/>
      <c r="E328" s="2145" t="n"/>
      <c r="F328" s="53" t="n"/>
      <c r="G328" s="53" t="n"/>
    </row>
    <row r="329" customFormat="1" s="1916">
      <c r="A329" s="53" t="n"/>
      <c r="B329" s="112" t="n"/>
      <c r="C329" s="2145" t="n"/>
      <c r="D329" s="2145" t="n"/>
      <c r="E329" s="2145" t="n"/>
      <c r="F329" s="53" t="n"/>
      <c r="G329" s="53" t="n"/>
    </row>
    <row r="330" customFormat="1" s="1916">
      <c r="A330" s="53" t="n"/>
      <c r="B330" s="113" t="n"/>
      <c r="C330" s="2145" t="n"/>
      <c r="D330" s="2145" t="n"/>
      <c r="E330" s="2145" t="n"/>
      <c r="F330" s="53" t="n"/>
      <c r="G330" s="53" t="n"/>
    </row>
    <row r="331" customFormat="1" s="1916">
      <c r="A331" s="53" t="n"/>
      <c r="B331" s="113" t="n"/>
      <c r="C331" s="2145" t="n"/>
      <c r="D331" s="2145" t="n"/>
      <c r="E331" s="2145" t="n"/>
      <c r="F331" s="53" t="n"/>
      <c r="G331" s="53" t="n"/>
    </row>
    <row r="332" customFormat="1" s="1916">
      <c r="A332" s="53" t="n"/>
      <c r="B332" s="113" t="n"/>
      <c r="C332" s="2145" t="n"/>
      <c r="D332" s="2145" t="n"/>
      <c r="E332" s="2145" t="n"/>
      <c r="F332" s="53" t="n"/>
      <c r="G332" s="53" t="n"/>
    </row>
    <row r="333" customFormat="1" s="1916">
      <c r="A333" s="53" t="n"/>
      <c r="B333" s="113" t="n"/>
      <c r="C333" s="2145" t="n"/>
      <c r="D333" s="2145" t="n"/>
      <c r="E333" s="2145" t="n"/>
      <c r="F333" s="53" t="n"/>
      <c r="G333" s="53" t="n"/>
    </row>
    <row r="334" customFormat="1" s="1916">
      <c r="A334" s="53" t="n"/>
      <c r="B334" s="112" t="n"/>
      <c r="C334" s="2145" t="n"/>
      <c r="D334" s="2145" t="n"/>
      <c r="E334" s="2145" t="n"/>
      <c r="F334" s="53" t="n"/>
      <c r="G334" s="53" t="n"/>
    </row>
    <row r="335" customFormat="1" s="1916">
      <c r="A335" s="53" t="n"/>
      <c r="B335" s="112" t="n"/>
      <c r="C335" s="2145" t="n"/>
      <c r="D335" s="2145" t="n"/>
      <c r="E335" s="2145" t="n"/>
      <c r="F335" s="53" t="n"/>
      <c r="G335" s="53" t="n"/>
    </row>
    <row r="336" customFormat="1" s="1916">
      <c r="A336" s="53" t="n"/>
      <c r="B336" s="112" t="n"/>
      <c r="C336" s="2145" t="n"/>
      <c r="D336" s="2145" t="n"/>
      <c r="E336" s="2149" t="n"/>
      <c r="F336" s="53" t="n"/>
      <c r="G336" s="53" t="n"/>
      <c r="Q336" s="53" t="n"/>
    </row>
    <row r="337" customFormat="1" s="1916">
      <c r="A337" s="53" t="n"/>
      <c r="B337" s="113" t="n"/>
      <c r="C337" s="2145" t="n"/>
      <c r="D337" s="2145" t="n"/>
      <c r="E337" s="2145" t="n"/>
      <c r="F337" s="53" t="n"/>
      <c r="G337" s="53" t="n"/>
      <c r="H337" s="53" t="n"/>
      <c r="J337" s="2154" t="n"/>
      <c r="Q337" s="53" t="n"/>
    </row>
    <row r="338" customFormat="1" s="1916">
      <c r="A338" s="53" t="n"/>
      <c r="B338" s="53" t="n"/>
      <c r="C338" s="2145" t="n"/>
      <c r="D338" s="2145" t="n"/>
      <c r="E338" s="2145" t="n"/>
      <c r="F338" s="2145" t="n"/>
      <c r="G338" s="2145" t="n"/>
      <c r="Q338" s="53" t="n"/>
    </row>
    <row r="339" customFormat="1" s="1916">
      <c r="A339" s="53" t="n"/>
      <c r="B339" s="53" t="n"/>
      <c r="C339" s="2145" t="n"/>
      <c r="D339" s="2145" t="n"/>
      <c r="E339" s="2145" t="n"/>
      <c r="G339" s="540" t="n"/>
      <c r="Q339" s="53" t="n"/>
    </row>
    <row r="340" customFormat="1" s="1916">
      <c r="A340" s="115" t="n"/>
      <c r="E340" s="2145" t="n"/>
    </row>
    <row r="341" customFormat="1" s="1916"/>
    <row r="342" customFormat="1" s="1916">
      <c r="A342" s="116" t="n"/>
    </row>
    <row r="343" customFormat="1" s="1916">
      <c r="A343" s="53" t="n"/>
      <c r="B343" s="53" t="n"/>
      <c r="C343" s="53" t="n"/>
      <c r="D343" s="53" t="n"/>
      <c r="E343" s="53" t="n"/>
      <c r="O343" s="53" t="n"/>
      <c r="P343" s="53" t="n"/>
      <c r="Q343" s="53" t="n"/>
      <c r="R343" s="53" t="n"/>
      <c r="S343" s="53" t="n"/>
    </row>
    <row r="344" customFormat="1" s="1916">
      <c r="A344" s="53" t="n"/>
      <c r="B344" s="53" t="n"/>
      <c r="C344" s="53" t="n"/>
      <c r="D344" s="53" t="n"/>
      <c r="E344" s="53" t="n"/>
      <c r="F344" s="53" t="n"/>
      <c r="G344" s="53" t="n"/>
      <c r="O344" s="53" t="n"/>
      <c r="P344" s="53" t="n"/>
      <c r="Q344" s="53" t="n"/>
      <c r="R344" s="53" t="n"/>
      <c r="S344" s="2145" t="n"/>
    </row>
    <row r="345" customFormat="1" s="1916">
      <c r="A345" s="53" t="n"/>
      <c r="B345" s="2155" t="n"/>
      <c r="C345" s="2145" t="n"/>
      <c r="D345" s="2145" t="n"/>
      <c r="E345" s="2145" t="n"/>
      <c r="F345" s="2285" t="n"/>
      <c r="G345" s="53" t="n"/>
      <c r="O345" s="53" t="n"/>
      <c r="P345" s="53" t="n"/>
      <c r="Q345" s="2145" t="n"/>
      <c r="R345" s="2145" t="n"/>
      <c r="S345" s="2145" t="n"/>
    </row>
    <row r="346" customFormat="1" s="1916">
      <c r="A346" s="53" t="n"/>
      <c r="B346" s="53" t="n"/>
      <c r="C346" s="2145" t="n"/>
      <c r="D346" s="2145" t="n"/>
      <c r="E346" s="2145" t="n"/>
      <c r="F346" s="53" t="n"/>
      <c r="G346" s="53" t="n"/>
      <c r="O346" s="53" t="n"/>
      <c r="P346" s="53" t="n"/>
      <c r="Q346" s="2145" t="n"/>
      <c r="R346" s="2285" t="n"/>
      <c r="S346" s="2145" t="n"/>
    </row>
    <row r="347" customFormat="1" s="1916">
      <c r="A347" s="53" t="n"/>
      <c r="B347" s="53" t="n"/>
      <c r="C347" s="2145" t="n"/>
      <c r="D347" s="2145" t="n"/>
      <c r="E347" s="2145" t="n"/>
      <c r="F347" s="53" t="n"/>
      <c r="G347" s="53" t="n"/>
      <c r="O347" s="53" t="n"/>
      <c r="P347" s="53" t="n"/>
      <c r="Q347" s="2145" t="n"/>
      <c r="R347" s="2285" t="n"/>
      <c r="S347" s="2145" t="n"/>
    </row>
    <row r="348" customFormat="1" s="1916">
      <c r="A348" s="53" t="n"/>
      <c r="B348" s="53" t="n"/>
      <c r="C348" s="2145" t="n"/>
      <c r="D348" s="2145" t="n"/>
      <c r="E348" s="2145" t="n"/>
      <c r="F348" s="53" t="n"/>
      <c r="G348" s="53" t="n"/>
      <c r="O348" s="53" t="n"/>
      <c r="P348" s="2145" t="n"/>
      <c r="Q348" s="2149" t="n"/>
      <c r="R348" s="53" t="n"/>
      <c r="S348" s="53" t="n"/>
      <c r="T348" s="53" t="n"/>
      <c r="U348" s="53" t="n"/>
      <c r="V348" s="53" t="n"/>
    </row>
    <row r="349" customFormat="1" s="1916">
      <c r="A349" s="53" t="n"/>
      <c r="B349" s="53" t="n"/>
      <c r="C349" s="2145" t="n"/>
      <c r="D349" s="2145" t="n"/>
      <c r="E349" s="2145" t="n"/>
      <c r="F349" s="53" t="n"/>
      <c r="G349" s="53" t="n"/>
      <c r="O349" s="53" t="n"/>
      <c r="P349" s="53" t="n"/>
      <c r="Q349" s="2149" t="n"/>
      <c r="R349" s="53" t="n"/>
      <c r="S349" s="53" t="n"/>
      <c r="T349" s="2145" t="n"/>
      <c r="U349" s="2145" t="n"/>
      <c r="V349" s="53" t="n"/>
    </row>
    <row r="350" customFormat="1" s="1916">
      <c r="A350" s="53" t="n"/>
      <c r="B350" s="53" t="n"/>
      <c r="C350" s="2145" t="n"/>
      <c r="D350" s="2145" t="n"/>
      <c r="E350" s="2145" t="n"/>
      <c r="F350" s="53" t="n"/>
      <c r="G350" s="53" t="n"/>
      <c r="O350" s="53" t="n"/>
      <c r="P350" s="53" t="n"/>
      <c r="Q350" s="2149" t="n"/>
      <c r="R350" s="53" t="n"/>
      <c r="S350" s="53" t="n"/>
      <c r="T350" s="2145" t="n"/>
      <c r="U350" s="2145" t="n"/>
      <c r="V350" s="53" t="n"/>
    </row>
    <row r="351" customFormat="1" s="1916">
      <c r="A351" s="53" t="n"/>
      <c r="B351" s="53" t="n"/>
      <c r="C351" s="2145" t="n"/>
      <c r="D351" s="2145" t="n"/>
      <c r="E351" s="2145" t="n"/>
      <c r="F351" s="53" t="n"/>
      <c r="G351" s="53" t="n"/>
      <c r="O351" s="53" t="n"/>
      <c r="P351" s="53" t="n"/>
      <c r="Q351" s="2149" t="n"/>
      <c r="R351" s="53" t="n"/>
      <c r="S351" s="53" t="n"/>
      <c r="T351" s="2145" t="n"/>
      <c r="U351" s="2145" t="n"/>
      <c r="V351" s="53" t="n"/>
    </row>
    <row r="352" customFormat="1" s="1916">
      <c r="A352" s="53" t="n"/>
      <c r="B352" s="53" t="n"/>
      <c r="C352" s="2145" t="n"/>
      <c r="D352" s="2145" t="n"/>
      <c r="E352" s="2145" t="n"/>
      <c r="F352" s="53" t="n"/>
      <c r="G352" s="53" t="n"/>
      <c r="O352" s="53" t="n"/>
      <c r="P352" s="53" t="n"/>
      <c r="Q352" s="2149" t="n"/>
      <c r="R352" s="53" t="n"/>
      <c r="S352" s="53" t="n"/>
      <c r="T352" s="2145" t="n"/>
      <c r="U352" s="2145" t="n"/>
      <c r="V352" s="53" t="n"/>
    </row>
    <row r="353" customFormat="1" s="1916">
      <c r="A353" s="53" t="n"/>
      <c r="B353" s="53" t="n"/>
      <c r="C353" s="2145" t="n"/>
      <c r="D353" s="2145" t="n"/>
      <c r="E353" s="2145" t="n"/>
      <c r="F353" s="53" t="n"/>
      <c r="G353" s="53" t="n"/>
      <c r="O353" s="53" t="n"/>
      <c r="P353" s="53" t="n"/>
      <c r="Q353" s="2149" t="n"/>
      <c r="R353" s="53" t="n"/>
      <c r="S353" s="53" t="n"/>
      <c r="T353" s="53" t="n"/>
      <c r="U353" s="53" t="n"/>
      <c r="V353" s="53" t="n"/>
    </row>
    <row r="354" customFormat="1" s="1916">
      <c r="A354" s="53" t="n"/>
      <c r="B354" s="53" t="n"/>
      <c r="C354" s="2145" t="n"/>
      <c r="D354" s="2145" t="n"/>
      <c r="E354" s="2145" t="n"/>
      <c r="F354" s="53" t="n"/>
      <c r="G354" s="53" t="n"/>
      <c r="O354" s="53" t="n"/>
      <c r="P354" s="53" t="n"/>
      <c r="Q354" s="2149" t="n"/>
      <c r="R354" s="53" t="n"/>
      <c r="S354" s="53" t="n"/>
      <c r="T354" s="53" t="n"/>
      <c r="U354" s="53" t="n"/>
      <c r="V354" s="53" t="n"/>
    </row>
    <row r="355" customFormat="1" s="1916">
      <c r="A355" s="53" t="n"/>
      <c r="B355" s="53" t="n"/>
      <c r="C355" s="2145" t="n"/>
      <c r="D355" s="2145" t="n"/>
      <c r="E355" s="2145" t="n"/>
      <c r="F355" s="53" t="n"/>
      <c r="G355" s="53" t="n"/>
      <c r="T355" s="53" t="n"/>
      <c r="U355" s="53" t="n"/>
      <c r="V355" s="53" t="n"/>
    </row>
    <row r="356" customFormat="1" s="1916">
      <c r="A356" s="53" t="n"/>
      <c r="B356" s="53" t="n"/>
      <c r="C356" s="2145" t="n"/>
      <c r="D356" s="2145" t="n"/>
      <c r="E356" s="2145" t="n"/>
      <c r="F356" s="53" t="n"/>
      <c r="G356" s="53" t="n"/>
      <c r="T356" s="53" t="n"/>
      <c r="U356" s="53" t="n"/>
      <c r="V356" s="53" t="n"/>
    </row>
    <row r="357" customFormat="1" s="1916">
      <c r="A357" s="53" t="n"/>
      <c r="B357" s="53" t="n"/>
      <c r="C357" s="2145" t="n"/>
      <c r="D357" s="2145" t="n"/>
      <c r="E357" s="2145" t="n"/>
      <c r="F357" s="2285" t="n"/>
      <c r="G357" s="53" t="n"/>
      <c r="T357" s="53" t="n"/>
      <c r="U357" s="53" t="n"/>
      <c r="V357" s="53" t="n"/>
    </row>
    <row r="358" customFormat="1" s="1916">
      <c r="A358" s="53" t="n"/>
      <c r="B358" s="53" t="n"/>
      <c r="C358" s="2145" t="n"/>
      <c r="D358" s="2145" t="n"/>
      <c r="E358" s="2145" t="n"/>
      <c r="F358" s="53" t="n"/>
      <c r="G358" s="53" t="n"/>
      <c r="T358" s="53" t="n"/>
      <c r="U358" s="53" t="n"/>
      <c r="V358" s="53" t="n"/>
    </row>
    <row r="359" customFormat="1" s="1916">
      <c r="A359" s="53" t="n"/>
      <c r="B359" s="53" t="n"/>
      <c r="C359" s="2145" t="n"/>
      <c r="D359" s="2145" t="n"/>
      <c r="E359" s="2145" t="n"/>
      <c r="F359" s="53" t="n"/>
      <c r="G359" s="53" t="n"/>
      <c r="T359" s="53" t="n"/>
      <c r="U359" s="53" t="n"/>
      <c r="V359" s="53" t="n"/>
    </row>
    <row r="360" customFormat="1" s="1916">
      <c r="A360" s="53" t="n"/>
      <c r="B360" s="53" t="n"/>
      <c r="C360" s="2145" t="n"/>
      <c r="D360" s="2145" t="n"/>
      <c r="E360" s="2145" t="n"/>
      <c r="F360" s="53" t="n"/>
      <c r="G360" s="53" t="n"/>
    </row>
    <row r="361" customFormat="1" s="1916">
      <c r="A361" s="53" t="n"/>
      <c r="B361" s="53" t="n"/>
      <c r="C361" s="2145" t="n"/>
      <c r="D361" s="2145" t="n"/>
      <c r="E361" s="2145" t="n"/>
      <c r="F361" s="53" t="n"/>
      <c r="G361" s="53" t="n"/>
    </row>
    <row r="362" customFormat="1" s="1916">
      <c r="A362" s="103" t="n"/>
      <c r="B362" s="103" t="n"/>
      <c r="C362" s="2147" t="n"/>
      <c r="D362" s="2147" t="n"/>
      <c r="E362" s="2147" t="n"/>
      <c r="F362" s="53" t="n"/>
      <c r="G362" s="53" t="n"/>
    </row>
    <row r="363" customFormat="1" s="1916">
      <c r="A363" s="103" t="n"/>
      <c r="B363" s="105" t="n"/>
      <c r="C363" s="2147" t="n"/>
      <c r="D363" s="2147" t="n"/>
      <c r="E363" s="2147" t="n"/>
      <c r="F363" s="53" t="n"/>
      <c r="G363" s="53" t="n"/>
    </row>
    <row r="364" customFormat="1" s="1916">
      <c r="A364" s="103" t="n"/>
      <c r="B364" s="103" t="n"/>
      <c r="C364" s="2147" t="n"/>
      <c r="D364" s="2147" t="n"/>
      <c r="E364" s="2147" t="n"/>
      <c r="F364" s="53" t="n"/>
      <c r="G364" s="53" t="n"/>
    </row>
    <row r="365" customFormat="1" s="1916">
      <c r="A365" s="103" t="n"/>
      <c r="B365" s="105" t="n"/>
      <c r="C365" s="2147" t="n"/>
      <c r="D365" s="2147" t="n"/>
      <c r="E365" s="2147" t="n"/>
      <c r="F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</row>
    <row r="366" customFormat="1" s="1916">
      <c r="A366" s="53" t="n"/>
      <c r="B366" s="53" t="n"/>
      <c r="C366" s="2145" t="n"/>
      <c r="D366" s="2145" t="n"/>
      <c r="E366" s="2145" t="n"/>
      <c r="F366" s="53" t="n"/>
      <c r="H366" s="53" t="n"/>
      <c r="I366" s="53" t="n"/>
      <c r="J366" s="53" t="n"/>
      <c r="K366" s="106" t="n"/>
      <c r="L366" s="106" t="n"/>
      <c r="M366" s="106" t="n"/>
      <c r="N366" s="106" t="n"/>
      <c r="O366" s="106" t="n"/>
    </row>
    <row r="367" customFormat="1" s="1916">
      <c r="A367" s="3" t="n"/>
      <c r="B367" s="2285" t="n"/>
      <c r="C367" s="3" t="n"/>
      <c r="D367" s="3" t="n"/>
      <c r="E367" s="2285" t="n"/>
      <c r="F367" s="107" t="n"/>
      <c r="H367" s="53" t="n"/>
      <c r="I367" s="540" t="n"/>
      <c r="J367" s="53" t="n"/>
      <c r="K367" s="106" t="n"/>
      <c r="L367" s="106" t="n"/>
      <c r="M367" s="106" t="n"/>
      <c r="N367" s="106" t="n"/>
      <c r="O367" s="106" t="n"/>
    </row>
    <row r="368" customFormat="1" s="1916">
      <c r="A368" s="53" t="n"/>
      <c r="B368" s="53" t="n"/>
      <c r="C368" s="53" t="n"/>
      <c r="D368" s="53" t="n"/>
      <c r="E368" s="53" t="n"/>
      <c r="F368" s="107" t="n"/>
      <c r="H368" s="53" t="n"/>
      <c r="I368" s="53" t="n"/>
      <c r="J368" s="53" t="n"/>
      <c r="K368" s="2145" t="n"/>
      <c r="L368" s="2145" t="n"/>
      <c r="M368" s="2145" t="n"/>
      <c r="N368" s="2145" t="n"/>
      <c r="O368" s="53" t="n"/>
    </row>
    <row r="369" customFormat="1" s="1916">
      <c r="A369" s="53" t="n"/>
      <c r="B369" s="53" t="n"/>
      <c r="C369" s="53" t="n"/>
      <c r="D369" s="53" t="n"/>
      <c r="E369" s="106" t="n"/>
      <c r="F369" s="106" t="n"/>
      <c r="H369" s="53" t="n"/>
      <c r="I369" s="93" t="n"/>
      <c r="J369" s="2145" t="n"/>
      <c r="K369" s="2145" t="n"/>
      <c r="L369" s="2145" t="n"/>
      <c r="M369" s="2145" t="n"/>
      <c r="N369" s="2145" t="n"/>
      <c r="O369" s="106" t="n"/>
    </row>
    <row r="370" customFormat="1" s="1916">
      <c r="A370" s="53" t="n"/>
      <c r="B370" s="53" t="n"/>
      <c r="C370" s="53" t="n"/>
      <c r="D370" s="53" t="n"/>
      <c r="E370" s="53" t="n"/>
      <c r="F370" s="53" t="n"/>
      <c r="H370" s="53" t="n"/>
      <c r="I370" s="93" t="n"/>
      <c r="J370" s="2145" t="n"/>
      <c r="K370" s="2145" t="n"/>
      <c r="L370" s="2145" t="n"/>
      <c r="M370" s="2145" t="n"/>
      <c r="N370" s="2145" t="n"/>
      <c r="O370" s="53" t="n"/>
    </row>
    <row r="371" customFormat="1" s="1916">
      <c r="A371" s="53" t="n"/>
      <c r="B371" s="53" t="n"/>
      <c r="C371" s="53" t="n"/>
      <c r="D371" s="53" t="n"/>
      <c r="E371" s="106" t="n"/>
      <c r="F371" s="106" t="n"/>
      <c r="H371" s="53" t="n"/>
      <c r="I371" s="93" t="n"/>
      <c r="J371" s="2145" t="n"/>
      <c r="K371" s="2145" t="n"/>
      <c r="L371" s="2145" t="n"/>
      <c r="M371" s="2145" t="n"/>
      <c r="N371" s="2145" t="n"/>
      <c r="O371" s="106" t="n"/>
    </row>
    <row r="372" customFormat="1" s="1916">
      <c r="A372" s="53" t="n"/>
      <c r="B372" s="53" t="n"/>
      <c r="C372" s="53" t="n"/>
      <c r="D372" s="53" t="n"/>
      <c r="E372" s="2286" t="n"/>
      <c r="F372" s="2286" t="n"/>
      <c r="G372" s="53" t="n"/>
      <c r="H372" s="103" t="n"/>
      <c r="I372" s="103" t="n"/>
      <c r="J372" s="2147" t="n"/>
      <c r="K372" s="2147" t="n"/>
      <c r="L372" s="2147" t="n"/>
      <c r="M372" s="2145" t="n"/>
      <c r="N372" s="2145" t="n"/>
      <c r="O372" s="106" t="n"/>
    </row>
    <row r="373" customFormat="1" s="1916">
      <c r="A373" s="53" t="n"/>
      <c r="B373" s="53" t="n"/>
      <c r="C373" s="2145" t="n"/>
      <c r="D373" s="2145" t="n"/>
      <c r="E373" s="2145" t="n"/>
      <c r="F373" s="2145" t="n"/>
      <c r="G373" s="53" t="n"/>
      <c r="H373" s="53" t="n"/>
      <c r="I373" s="53" t="n"/>
    </row>
    <row r="374" customFormat="1" s="1916">
      <c r="A374" s="53" t="n"/>
      <c r="B374" s="53" t="n"/>
      <c r="C374" s="53" t="n"/>
      <c r="D374" s="53" t="n"/>
      <c r="E374" s="2145" t="n"/>
      <c r="F374" s="53" t="n"/>
      <c r="G374" s="53" t="n"/>
      <c r="H374" s="110" t="n"/>
      <c r="I374" s="53" t="n"/>
      <c r="J374" s="53" t="n"/>
      <c r="K374" s="2145" t="n"/>
      <c r="L374" s="2145" t="n"/>
      <c r="M374" s="2145" t="n"/>
      <c r="N374" s="2145" t="n"/>
    </row>
    <row r="375" customFormat="1" s="1916">
      <c r="A375" s="53" t="n"/>
      <c r="B375" s="93" t="n"/>
      <c r="C375" s="2145" t="n"/>
      <c r="D375" s="2145" t="n"/>
      <c r="E375" s="2145" t="n"/>
      <c r="F375" s="53" t="n"/>
      <c r="G375" s="53" t="n"/>
      <c r="H375" s="2285" t="n"/>
      <c r="I375" s="93" t="n"/>
      <c r="J375" s="2145" t="n"/>
      <c r="K375" s="2145" t="n"/>
      <c r="L375" s="2145" t="n"/>
      <c r="M375" s="2145" t="n"/>
      <c r="N375" s="2145" t="n"/>
    </row>
    <row r="376" customFormat="1" s="1916">
      <c r="A376" s="53" t="n"/>
      <c r="B376" s="93" t="n"/>
      <c r="C376" s="2145" t="n"/>
      <c r="D376" s="2145" t="n"/>
      <c r="E376" s="2145" t="n"/>
      <c r="F376" s="53" t="n"/>
      <c r="G376" s="53" t="n"/>
      <c r="H376" s="53" t="n"/>
      <c r="I376" s="93" t="n"/>
      <c r="J376" s="2145" t="n"/>
      <c r="K376" s="2145" t="n"/>
      <c r="L376" s="2145" t="n"/>
      <c r="M376" s="2145" t="n"/>
      <c r="N376" s="2145" t="n"/>
    </row>
    <row r="377" customFormat="1" s="1916">
      <c r="A377" s="53" t="n"/>
      <c r="B377" s="93" t="n"/>
      <c r="C377" s="2145" t="n"/>
      <c r="D377" s="2145" t="n"/>
      <c r="E377" s="2145" t="n"/>
      <c r="F377" s="53" t="n"/>
      <c r="G377" s="53" t="n"/>
      <c r="H377" s="53" t="n"/>
      <c r="I377" s="93" t="n"/>
      <c r="J377" s="2145" t="n"/>
      <c r="K377" s="2145" t="n"/>
      <c r="L377" s="2145" t="n"/>
      <c r="M377" s="2145" t="n"/>
      <c r="N377" s="2145" t="n"/>
    </row>
    <row r="378" customFormat="1" s="1916">
      <c r="A378" s="53" t="n"/>
      <c r="B378" s="93" t="n"/>
      <c r="C378" s="2145" t="n"/>
      <c r="D378" s="2145" t="n"/>
      <c r="E378" s="2145" t="n"/>
      <c r="F378" s="111" t="n"/>
      <c r="G378" s="53" t="n"/>
      <c r="H378" s="53" t="n"/>
      <c r="I378" s="93" t="n"/>
      <c r="J378" s="2145" t="n"/>
      <c r="K378" s="2145" t="n"/>
      <c r="L378" s="2145" t="n"/>
      <c r="M378" s="2145" t="n"/>
      <c r="N378" s="2145" t="n"/>
    </row>
    <row r="379" customFormat="1" s="1916">
      <c r="A379" s="53" t="n"/>
      <c r="B379" s="93" t="n"/>
      <c r="C379" s="2145" t="n"/>
      <c r="D379" s="2145" t="n"/>
      <c r="E379" s="2145" t="n"/>
      <c r="F379" s="53" t="n"/>
      <c r="G379" s="53" t="n"/>
      <c r="H379" s="53" t="n"/>
      <c r="I379" s="93" t="n"/>
      <c r="J379" s="2145" t="n"/>
      <c r="K379" s="2145" t="n"/>
      <c r="L379" s="2145" t="n"/>
      <c r="M379" s="2145" t="n"/>
      <c r="N379" s="2145" t="n"/>
    </row>
    <row r="380" customFormat="1" s="1916">
      <c r="A380" s="53" t="n"/>
      <c r="B380" s="93" t="n"/>
      <c r="C380" s="2145" t="n"/>
      <c r="D380" s="2145" t="n"/>
      <c r="E380" s="2145" t="n"/>
      <c r="F380" s="53" t="n"/>
      <c r="G380" s="53" t="n"/>
      <c r="H380" s="53" t="n"/>
      <c r="I380" s="93" t="n"/>
      <c r="J380" s="2145" t="n"/>
      <c r="K380" s="2145" t="n"/>
      <c r="L380" s="2145" t="n"/>
      <c r="M380" s="2145" t="n"/>
      <c r="N380" s="2145" t="n"/>
    </row>
    <row r="381" customFormat="1" s="1916">
      <c r="A381" s="53" t="n"/>
      <c r="B381" s="93" t="n"/>
      <c r="C381" s="2145" t="n"/>
      <c r="D381" s="2145" t="n"/>
      <c r="E381" s="2145" t="n"/>
      <c r="F381" s="53" t="n"/>
      <c r="G381" s="53" t="n"/>
      <c r="H381" s="53" t="n"/>
      <c r="I381" s="93" t="n"/>
      <c r="J381" s="2145" t="n"/>
      <c r="K381" s="2145" t="n"/>
      <c r="L381" s="2145" t="n"/>
      <c r="M381" s="2145" t="n"/>
      <c r="N381" s="2145" t="n"/>
    </row>
    <row r="382" customFormat="1" s="1916">
      <c r="A382" s="103" t="n"/>
      <c r="B382" s="103" t="n"/>
      <c r="C382" s="2147" t="n"/>
      <c r="D382" s="2147" t="n"/>
      <c r="E382" s="2147" t="n"/>
      <c r="F382" s="53" t="n"/>
      <c r="G382" s="53" t="n"/>
      <c r="H382" s="103" t="n"/>
      <c r="I382" s="103" t="n"/>
      <c r="J382" s="2147" t="n"/>
      <c r="K382" s="2147" t="n"/>
      <c r="L382" s="2147" t="n"/>
      <c r="M382" s="2147" t="n"/>
      <c r="N382" s="2147" t="n"/>
    </row>
    <row r="383" customFormat="1" s="1916">
      <c r="A383" s="53" t="n"/>
      <c r="B383" s="53" t="n"/>
      <c r="C383" s="2145" t="n"/>
      <c r="D383" s="2145" t="n"/>
      <c r="E383" s="2145" t="n"/>
      <c r="F383" s="53" t="n"/>
      <c r="G383" s="53" t="n"/>
    </row>
    <row r="384" customFormat="1" s="1916">
      <c r="A384" s="53" t="n"/>
      <c r="B384" s="53" t="n"/>
      <c r="C384" s="2145" t="n"/>
      <c r="D384" s="2145" t="n"/>
      <c r="E384" s="2147" t="n"/>
      <c r="F384" s="53" t="n"/>
      <c r="G384" s="53" t="n"/>
    </row>
    <row r="385" customFormat="1" s="1916">
      <c r="A385" s="53" t="n"/>
      <c r="B385" s="53" t="n"/>
      <c r="C385" s="2145" t="n"/>
      <c r="D385" s="2145" t="n"/>
      <c r="E385" s="2145" t="n"/>
      <c r="F385" s="53" t="n"/>
      <c r="G385" s="53" t="n"/>
    </row>
    <row r="386" customFormat="1" s="1916">
      <c r="A386" s="53" t="n"/>
      <c r="B386" s="53" t="n"/>
      <c r="C386" s="2145" t="n"/>
      <c r="D386" s="2145" t="n"/>
      <c r="E386" s="2145" t="n"/>
      <c r="F386" s="53" t="n"/>
      <c r="G386" s="53" t="n"/>
    </row>
    <row r="387" customFormat="1" s="1916">
      <c r="A387" s="53" t="n"/>
      <c r="B387" s="112" t="n"/>
      <c r="C387" s="2145" t="n"/>
      <c r="D387" s="2145" t="n"/>
      <c r="E387" s="2145" t="n"/>
      <c r="F387" s="53" t="n"/>
      <c r="G387" s="53" t="n"/>
    </row>
    <row r="388" customFormat="1" s="1916">
      <c r="A388" s="53" t="n"/>
      <c r="B388" s="112" t="n"/>
      <c r="C388" s="2145" t="n"/>
      <c r="D388" s="2145" t="n"/>
      <c r="E388" s="2145" t="n"/>
      <c r="F388" s="53" t="n"/>
      <c r="G388" s="53" t="n"/>
    </row>
    <row r="389" customFormat="1" s="1916">
      <c r="A389" s="53" t="n"/>
      <c r="B389" s="113" t="n"/>
      <c r="C389" s="2145" t="n"/>
      <c r="D389" s="2145" t="n"/>
      <c r="E389" s="2145" t="n"/>
      <c r="F389" s="53" t="n"/>
      <c r="G389" s="53" t="n"/>
    </row>
    <row r="390" customFormat="1" s="1916">
      <c r="A390" s="53" t="n"/>
      <c r="B390" s="113" t="n"/>
      <c r="C390" s="2145" t="n"/>
      <c r="D390" s="2145" t="n"/>
      <c r="E390" s="2145" t="n"/>
      <c r="F390" s="53" t="n"/>
      <c r="G390" s="53" t="n"/>
    </row>
    <row r="391" customFormat="1" s="1916">
      <c r="A391" s="53" t="n"/>
      <c r="B391" s="113" t="n"/>
      <c r="C391" s="2145" t="n"/>
      <c r="D391" s="2145" t="n"/>
      <c r="E391" s="2145" t="n"/>
      <c r="F391" s="53" t="n"/>
      <c r="G391" s="53" t="n"/>
    </row>
    <row r="392" customFormat="1" s="1916">
      <c r="A392" s="53" t="n"/>
      <c r="B392" s="113" t="n"/>
      <c r="C392" s="2145" t="n"/>
      <c r="D392" s="2145" t="n"/>
      <c r="E392" s="2145" t="n"/>
      <c r="F392" s="53" t="n"/>
      <c r="G392" s="53" t="n"/>
    </row>
    <row r="393" customFormat="1" s="1916">
      <c r="A393" s="53" t="n"/>
      <c r="B393" s="112" t="n"/>
      <c r="C393" s="2145" t="n"/>
      <c r="D393" s="2145" t="n"/>
      <c r="E393" s="2145" t="n"/>
      <c r="F393" s="53" t="n"/>
      <c r="G393" s="53" t="n"/>
    </row>
    <row r="394" customFormat="1" s="1916">
      <c r="A394" s="53" t="n"/>
      <c r="B394" s="112" t="n"/>
      <c r="C394" s="2145" t="n"/>
      <c r="D394" s="2145" t="n"/>
      <c r="E394" s="2145" t="n"/>
      <c r="F394" s="53" t="n"/>
      <c r="G394" s="53" t="n"/>
    </row>
    <row r="395" customFormat="1" s="1916">
      <c r="A395" s="53" t="n"/>
      <c r="B395" s="112" t="n"/>
      <c r="C395" s="2145" t="n"/>
      <c r="D395" s="2145" t="n"/>
      <c r="E395" s="2149" t="n"/>
      <c r="F395" s="53" t="n"/>
      <c r="G395" s="53" t="n"/>
      <c r="Q395" s="53" t="n"/>
    </row>
    <row r="396" customFormat="1" s="1916">
      <c r="A396" s="53" t="n"/>
      <c r="B396" s="113" t="n"/>
      <c r="C396" s="2145" t="n"/>
      <c r="D396" s="2145" t="n"/>
      <c r="E396" s="2145" t="n"/>
      <c r="F396" s="53" t="n"/>
      <c r="G396" s="53" t="n"/>
      <c r="H396" s="53" t="n"/>
      <c r="J396" s="2154" t="n"/>
      <c r="Q396" s="53" t="n"/>
    </row>
    <row r="397" customFormat="1" s="1916">
      <c r="A397" s="53" t="n"/>
      <c r="B397" s="53" t="n"/>
      <c r="C397" s="2145" t="n"/>
      <c r="D397" s="2145" t="n"/>
      <c r="E397" s="2145" t="n"/>
      <c r="F397" s="2145" t="n"/>
      <c r="G397" s="2145" t="n"/>
      <c r="Q397" s="53" t="n"/>
    </row>
    <row r="398" customFormat="1" s="1916">
      <c r="A398" s="53" t="n"/>
      <c r="B398" s="53" t="n"/>
      <c r="C398" s="2145" t="n"/>
      <c r="D398" s="2145" t="n"/>
      <c r="E398" s="2145" t="n"/>
      <c r="G398" s="540" t="n"/>
      <c r="Q398" s="53" t="n"/>
    </row>
    <row r="399" customFormat="1" s="1916">
      <c r="E399" s="2145" t="n"/>
    </row>
    <row r="400" customFormat="1" s="1916">
      <c r="A400" s="115" t="n"/>
    </row>
    <row r="401" customFormat="1" s="1916"/>
    <row r="402" customFormat="1" s="1916">
      <c r="A402" s="53" t="n"/>
      <c r="B402" s="53" t="n"/>
      <c r="C402" s="53" t="n"/>
      <c r="D402" s="53" t="n"/>
      <c r="E402" s="53" t="n"/>
      <c r="O402" s="53" t="n"/>
      <c r="P402" s="53" t="n"/>
      <c r="Q402" s="53" t="n"/>
      <c r="R402" s="53" t="n"/>
      <c r="S402" s="53" t="n"/>
    </row>
    <row r="403" customFormat="1" s="1916">
      <c r="A403" s="53" t="n"/>
      <c r="B403" s="53" t="n"/>
      <c r="C403" s="53" t="n"/>
      <c r="D403" s="53" t="n"/>
      <c r="E403" s="53" t="n"/>
      <c r="F403" s="53" t="n"/>
      <c r="G403" s="53" t="n"/>
      <c r="O403" s="53" t="n"/>
      <c r="P403" s="53" t="n"/>
      <c r="Q403" s="53" t="n"/>
      <c r="R403" s="53" t="n"/>
      <c r="S403" s="2145" t="n"/>
    </row>
    <row r="404" customFormat="1" s="1916">
      <c r="A404" s="53" t="n"/>
      <c r="B404" s="2155" t="n"/>
      <c r="C404" s="2145" t="n"/>
      <c r="D404" s="2145" t="n"/>
      <c r="E404" s="2145" t="n"/>
      <c r="F404" s="2285" t="n"/>
      <c r="G404" s="53" t="n"/>
      <c r="O404" s="53" t="n"/>
      <c r="P404" s="53" t="n"/>
      <c r="Q404" s="2145" t="n"/>
      <c r="R404" s="2145" t="n"/>
      <c r="S404" s="2145" t="n"/>
    </row>
    <row r="405" customFormat="1" s="1916">
      <c r="A405" s="53" t="n"/>
      <c r="B405" s="53" t="n"/>
      <c r="C405" s="2145" t="n"/>
      <c r="D405" s="2145" t="n"/>
      <c r="E405" s="2145" t="n"/>
      <c r="F405" s="53" t="n"/>
      <c r="G405" s="53" t="n"/>
      <c r="O405" s="53" t="n"/>
      <c r="P405" s="53" t="n"/>
      <c r="Q405" s="2145" t="n"/>
      <c r="R405" s="2285" t="n"/>
      <c r="S405" s="2145" t="n"/>
    </row>
    <row r="406" customFormat="1" s="1916">
      <c r="A406" s="53" t="n"/>
      <c r="B406" s="53" t="n"/>
      <c r="C406" s="2145" t="n"/>
      <c r="D406" s="2145" t="n"/>
      <c r="E406" s="2145" t="n"/>
      <c r="F406" s="53" t="n"/>
      <c r="G406" s="53" t="n"/>
      <c r="O406" s="53" t="n"/>
      <c r="P406" s="53" t="n"/>
      <c r="Q406" s="2145" t="n"/>
      <c r="R406" s="2285" t="n"/>
      <c r="S406" s="2145" t="n"/>
    </row>
    <row r="407" customFormat="1" s="1916">
      <c r="A407" s="53" t="n"/>
      <c r="B407" s="53" t="n"/>
      <c r="C407" s="2145" t="n"/>
      <c r="D407" s="2145" t="n"/>
      <c r="E407" s="2145" t="n"/>
      <c r="F407" s="53" t="n"/>
      <c r="G407" s="53" t="n"/>
      <c r="O407" s="53" t="n"/>
      <c r="P407" s="2145" t="n"/>
      <c r="Q407" s="2149" t="n"/>
      <c r="R407" s="53" t="n"/>
      <c r="S407" s="53" t="n"/>
      <c r="T407" s="53" t="n"/>
      <c r="U407" s="53" t="n"/>
      <c r="V407" s="53" t="n"/>
    </row>
    <row r="408" customFormat="1" s="1916">
      <c r="A408" s="53" t="n"/>
      <c r="B408" s="53" t="n"/>
      <c r="C408" s="2145" t="n"/>
      <c r="D408" s="2145" t="n"/>
      <c r="E408" s="2145" t="n"/>
      <c r="F408" s="53" t="n"/>
      <c r="G408" s="53" t="n"/>
      <c r="O408" s="53" t="n"/>
      <c r="P408" s="53" t="n"/>
      <c r="Q408" s="2149" t="n"/>
      <c r="R408" s="53" t="n"/>
      <c r="S408" s="53" t="n"/>
      <c r="T408" s="2145" t="n"/>
      <c r="U408" s="2145" t="n"/>
      <c r="V408" s="53" t="n"/>
    </row>
    <row r="409" customFormat="1" s="1916">
      <c r="A409" s="53" t="n"/>
      <c r="B409" s="53" t="n"/>
      <c r="C409" s="2145" t="n"/>
      <c r="D409" s="2145" t="n"/>
      <c r="E409" s="2145" t="n"/>
      <c r="F409" s="53" t="n"/>
      <c r="G409" s="53" t="n"/>
      <c r="O409" s="53" t="n"/>
      <c r="P409" s="53" t="n"/>
      <c r="Q409" s="2149" t="n"/>
      <c r="R409" s="53" t="n"/>
      <c r="S409" s="53" t="n"/>
      <c r="T409" s="2145" t="n"/>
      <c r="U409" s="2145" t="n"/>
      <c r="V409" s="53" t="n"/>
    </row>
    <row r="410" customFormat="1" s="1916">
      <c r="A410" s="53" t="n"/>
      <c r="B410" s="53" t="n"/>
      <c r="C410" s="2145" t="n"/>
      <c r="D410" s="2145" t="n"/>
      <c r="E410" s="2145" t="n"/>
      <c r="F410" s="53" t="n"/>
      <c r="G410" s="53" t="n"/>
      <c r="O410" s="53" t="n"/>
      <c r="P410" s="53" t="n"/>
      <c r="Q410" s="2149" t="n"/>
      <c r="R410" s="53" t="n"/>
      <c r="S410" s="53" t="n"/>
      <c r="T410" s="2145" t="n"/>
      <c r="U410" s="2145" t="n"/>
      <c r="V410" s="53" t="n"/>
    </row>
    <row r="411" customFormat="1" s="1916">
      <c r="A411" s="53" t="n"/>
      <c r="B411" s="53" t="n"/>
      <c r="C411" s="2145" t="n"/>
      <c r="D411" s="2145" t="n"/>
      <c r="E411" s="2145" t="n"/>
      <c r="F411" s="53" t="n"/>
      <c r="G411" s="53" t="n"/>
      <c r="O411" s="53" t="n"/>
      <c r="P411" s="53" t="n"/>
      <c r="Q411" s="2149" t="n"/>
      <c r="R411" s="53" t="n"/>
      <c r="S411" s="53" t="n"/>
      <c r="T411" s="2145" t="n"/>
      <c r="U411" s="2145" t="n"/>
      <c r="V411" s="53" t="n"/>
    </row>
    <row r="412" customFormat="1" s="1916">
      <c r="A412" s="53" t="n"/>
      <c r="B412" s="53" t="n"/>
      <c r="C412" s="2145" t="n"/>
      <c r="D412" s="2145" t="n"/>
      <c r="E412" s="2145" t="n"/>
      <c r="F412" s="53" t="n"/>
      <c r="G412" s="53" t="n"/>
      <c r="O412" s="53" t="n"/>
      <c r="P412" s="53" t="n"/>
      <c r="Q412" s="2149" t="n"/>
      <c r="R412" s="53" t="n"/>
      <c r="S412" s="53" t="n"/>
      <c r="T412" s="53" t="n"/>
      <c r="U412" s="53" t="n"/>
      <c r="V412" s="53" t="n"/>
    </row>
    <row r="413" customFormat="1" s="1916">
      <c r="A413" s="53" t="n"/>
      <c r="B413" s="53" t="n"/>
      <c r="C413" s="2145" t="n"/>
      <c r="D413" s="2145" t="n"/>
      <c r="E413" s="2145" t="n"/>
      <c r="F413" s="53" t="n"/>
      <c r="G413" s="53" t="n"/>
      <c r="O413" s="53" t="n"/>
      <c r="P413" s="53" t="n"/>
      <c r="Q413" s="2149" t="n"/>
      <c r="R413" s="53" t="n"/>
      <c r="S413" s="53" t="n"/>
      <c r="T413" s="53" t="n"/>
      <c r="U413" s="53" t="n"/>
      <c r="V413" s="53" t="n"/>
    </row>
    <row r="414" customFormat="1" s="1916">
      <c r="A414" s="53" t="n"/>
      <c r="B414" s="53" t="n"/>
      <c r="C414" s="2145" t="n"/>
      <c r="D414" s="2145" t="n"/>
      <c r="E414" s="2145" t="n"/>
      <c r="F414" s="53" t="n"/>
      <c r="G414" s="53" t="n"/>
      <c r="T414" s="53" t="n"/>
      <c r="U414" s="53" t="n"/>
      <c r="V414" s="53" t="n"/>
    </row>
    <row r="415" customFormat="1" s="1916">
      <c r="A415" s="53" t="n"/>
      <c r="B415" s="53" t="n"/>
      <c r="C415" s="2145" t="n"/>
      <c r="D415" s="2145" t="n"/>
      <c r="E415" s="2145" t="n"/>
      <c r="F415" s="53" t="n"/>
      <c r="G415" s="53" t="n"/>
      <c r="T415" s="53" t="n"/>
      <c r="U415" s="53" t="n"/>
      <c r="V415" s="53" t="n"/>
    </row>
    <row r="416" customFormat="1" s="1916">
      <c r="A416" s="53" t="n"/>
      <c r="B416" s="53" t="n"/>
      <c r="C416" s="2145" t="n"/>
      <c r="D416" s="2145" t="n"/>
      <c r="E416" s="2145" t="n"/>
      <c r="F416" s="2285" t="n"/>
      <c r="G416" s="53" t="n"/>
      <c r="T416" s="53" t="n"/>
      <c r="U416" s="53" t="n"/>
      <c r="V416" s="53" t="n"/>
    </row>
    <row r="417" customFormat="1" s="1916">
      <c r="A417" s="53" t="n"/>
      <c r="B417" s="53" t="n"/>
      <c r="C417" s="2145" t="n"/>
      <c r="D417" s="2145" t="n"/>
      <c r="E417" s="2145" t="n"/>
      <c r="F417" s="53" t="n"/>
      <c r="G417" s="53" t="n"/>
      <c r="T417" s="53" t="n"/>
      <c r="U417" s="53" t="n"/>
      <c r="V417" s="53" t="n"/>
    </row>
    <row r="418" customFormat="1" s="1916">
      <c r="A418" s="53" t="n"/>
      <c r="B418" s="53" t="n"/>
      <c r="C418" s="2145" t="n"/>
      <c r="D418" s="2145" t="n"/>
      <c r="E418" s="2145" t="n"/>
      <c r="F418" s="53" t="n"/>
      <c r="G418" s="53" t="n"/>
      <c r="T418" s="53" t="n"/>
      <c r="U418" s="53" t="n"/>
      <c r="V418" s="53" t="n"/>
    </row>
    <row r="419" customFormat="1" s="1916">
      <c r="A419" s="53" t="n"/>
      <c r="B419" s="53" t="n"/>
      <c r="C419" s="2145" t="n"/>
      <c r="D419" s="2145" t="n"/>
      <c r="E419" s="2145" t="n"/>
      <c r="F419" s="53" t="n"/>
      <c r="G419" s="53" t="n"/>
    </row>
    <row r="420" customFormat="1" s="1916">
      <c r="A420" s="53" t="n"/>
      <c r="B420" s="53" t="n"/>
      <c r="C420" s="2145" t="n"/>
      <c r="D420" s="2145" t="n"/>
      <c r="E420" s="2145" t="n"/>
      <c r="F420" s="53" t="n"/>
      <c r="G420" s="53" t="n"/>
    </row>
    <row r="421" customFormat="1" s="1916">
      <c r="A421" s="103" t="n"/>
      <c r="B421" s="103" t="n"/>
      <c r="C421" s="2147" t="n"/>
      <c r="D421" s="2147" t="n"/>
      <c r="E421" s="2147" t="n"/>
      <c r="F421" s="53" t="n"/>
      <c r="G421" s="53" t="n"/>
    </row>
    <row r="422" customFormat="1" s="1916">
      <c r="A422" s="103" t="n"/>
      <c r="B422" s="105" t="n"/>
      <c r="C422" s="2147" t="n"/>
      <c r="D422" s="2147" t="n"/>
      <c r="E422" s="2147" t="n"/>
      <c r="F422" s="53" t="n"/>
      <c r="G422" s="53" t="n"/>
    </row>
    <row r="423" customFormat="1" s="1916">
      <c r="A423" s="103" t="n"/>
      <c r="B423" s="103" t="n"/>
      <c r="C423" s="2147" t="n"/>
      <c r="D423" s="2147" t="n"/>
      <c r="E423" s="2147" t="n"/>
      <c r="F423" s="53" t="n"/>
      <c r="G423" s="53" t="n"/>
    </row>
    <row r="424" customFormat="1" s="1916">
      <c r="A424" s="103" t="n"/>
      <c r="B424" s="105" t="n"/>
      <c r="C424" s="2147" t="n"/>
      <c r="D424" s="2147" t="n"/>
      <c r="E424" s="2147" t="n"/>
      <c r="F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</row>
    <row r="425" customFormat="1" s="1916">
      <c r="A425" s="53" t="n"/>
      <c r="B425" s="53" t="n"/>
      <c r="C425" s="2145" t="n"/>
      <c r="D425" s="2145" t="n"/>
      <c r="E425" s="2145" t="n"/>
      <c r="F425" s="53" t="n"/>
      <c r="H425" s="53" t="n"/>
      <c r="I425" s="53" t="n"/>
      <c r="J425" s="53" t="n"/>
      <c r="K425" s="106" t="n"/>
      <c r="L425" s="106" t="n"/>
      <c r="M425" s="106" t="n"/>
      <c r="N425" s="106" t="n"/>
      <c r="O425" s="106" t="n"/>
    </row>
    <row r="426" customFormat="1" s="1916">
      <c r="A426" s="3" t="n"/>
      <c r="B426" s="2285" t="n"/>
      <c r="C426" s="3" t="n"/>
      <c r="D426" s="3" t="n"/>
      <c r="E426" s="2285" t="n"/>
      <c r="F426" s="107" t="n"/>
      <c r="H426" s="53" t="n"/>
      <c r="I426" s="540" t="n"/>
      <c r="J426" s="53" t="n"/>
      <c r="K426" s="106" t="n"/>
      <c r="L426" s="106" t="n"/>
      <c r="M426" s="106" t="n"/>
      <c r="N426" s="106" t="n"/>
      <c r="O426" s="106" t="n"/>
    </row>
    <row r="427" customFormat="1" s="1916">
      <c r="A427" s="53" t="n"/>
      <c r="B427" s="53" t="n"/>
      <c r="C427" s="53" t="n"/>
      <c r="D427" s="53" t="n"/>
      <c r="E427" s="53" t="n"/>
      <c r="F427" s="107" t="n"/>
      <c r="H427" s="53" t="n"/>
      <c r="I427" s="53" t="n"/>
      <c r="J427" s="53" t="n"/>
      <c r="K427" s="2145" t="n"/>
      <c r="L427" s="2145" t="n"/>
      <c r="M427" s="2145" t="n"/>
      <c r="N427" s="2145" t="n"/>
      <c r="O427" s="53" t="n"/>
    </row>
    <row r="428" customFormat="1" s="1916">
      <c r="A428" s="53" t="n"/>
      <c r="B428" s="53" t="n"/>
      <c r="C428" s="53" t="n"/>
      <c r="D428" s="53" t="n"/>
      <c r="E428" s="106" t="n"/>
      <c r="F428" s="106" t="n"/>
      <c r="H428" s="53" t="n"/>
      <c r="I428" s="93" t="n"/>
      <c r="J428" s="2145" t="n"/>
      <c r="K428" s="2145" t="n"/>
      <c r="L428" s="2145" t="n"/>
      <c r="M428" s="2145" t="n"/>
      <c r="N428" s="2145" t="n"/>
      <c r="O428" s="106" t="n"/>
    </row>
    <row r="429" customFormat="1" s="1916">
      <c r="A429" s="53" t="n"/>
      <c r="B429" s="53" t="n"/>
      <c r="C429" s="53" t="n"/>
      <c r="D429" s="53" t="n"/>
      <c r="E429" s="53" t="n"/>
      <c r="F429" s="53" t="n"/>
      <c r="H429" s="53" t="n"/>
      <c r="I429" s="93" t="n"/>
      <c r="J429" s="2145" t="n"/>
      <c r="K429" s="2145" t="n"/>
      <c r="L429" s="2145" t="n"/>
      <c r="M429" s="2145" t="n"/>
      <c r="N429" s="2145" t="n"/>
      <c r="O429" s="53" t="n"/>
    </row>
    <row r="430" customFormat="1" s="1916">
      <c r="A430" s="53" t="n"/>
      <c r="B430" s="53" t="n"/>
      <c r="C430" s="53" t="n"/>
      <c r="D430" s="53" t="n"/>
      <c r="E430" s="106" t="n"/>
      <c r="F430" s="106" t="n"/>
      <c r="H430" s="53" t="n"/>
      <c r="I430" s="93" t="n"/>
      <c r="J430" s="2145" t="n"/>
      <c r="K430" s="2145" t="n"/>
      <c r="L430" s="2145" t="n"/>
      <c r="M430" s="2145" t="n"/>
      <c r="N430" s="2145" t="n"/>
      <c r="O430" s="106" t="n"/>
    </row>
    <row r="431" customFormat="1" s="1916">
      <c r="A431" s="53" t="n"/>
      <c r="B431" s="53" t="n"/>
      <c r="C431" s="53" t="n"/>
      <c r="D431" s="53" t="n"/>
      <c r="E431" s="2286" t="n"/>
      <c r="F431" s="2286" t="n"/>
      <c r="G431" s="53" t="n"/>
      <c r="H431" s="103" t="n"/>
      <c r="I431" s="103" t="n"/>
      <c r="J431" s="2147" t="n"/>
      <c r="K431" s="2147" t="n"/>
      <c r="L431" s="2147" t="n"/>
      <c r="M431" s="2145" t="n"/>
      <c r="N431" s="2145" t="n"/>
      <c r="O431" s="106" t="n"/>
    </row>
    <row r="432" customFormat="1" s="1916">
      <c r="A432" s="53" t="n"/>
      <c r="B432" s="53" t="n"/>
      <c r="C432" s="2145" t="n"/>
      <c r="D432" s="2145" t="n"/>
      <c r="E432" s="2145" t="n"/>
      <c r="F432" s="2145" t="n"/>
      <c r="G432" s="53" t="n"/>
      <c r="H432" s="53" t="n"/>
      <c r="I432" s="53" t="n"/>
    </row>
    <row r="433" customFormat="1" s="1916">
      <c r="A433" s="53" t="n"/>
      <c r="B433" s="53" t="n"/>
      <c r="C433" s="53" t="n"/>
      <c r="D433" s="53" t="n"/>
      <c r="E433" s="2145" t="n"/>
      <c r="F433" s="53" t="n"/>
      <c r="G433" s="53" t="n"/>
      <c r="H433" s="110" t="n"/>
      <c r="I433" s="53" t="n"/>
      <c r="J433" s="53" t="n"/>
      <c r="K433" s="2145" t="n"/>
      <c r="L433" s="2145" t="n"/>
      <c r="M433" s="2145" t="n"/>
      <c r="N433" s="2145" t="n"/>
    </row>
    <row r="434" customFormat="1" s="1916">
      <c r="A434" s="53" t="n"/>
      <c r="B434" s="93" t="n"/>
      <c r="C434" s="2145" t="n"/>
      <c r="D434" s="2145" t="n"/>
      <c r="E434" s="2145" t="n"/>
      <c r="F434" s="53" t="n"/>
      <c r="G434" s="53" t="n"/>
      <c r="H434" s="2285" t="n"/>
      <c r="I434" s="93" t="n"/>
      <c r="J434" s="2145" t="n"/>
      <c r="K434" s="2145" t="n"/>
      <c r="L434" s="2145" t="n"/>
      <c r="M434" s="2145" t="n"/>
      <c r="N434" s="2145" t="n"/>
    </row>
    <row r="435" customFormat="1" s="1916">
      <c r="A435" s="53" t="n"/>
      <c r="B435" s="93" t="n"/>
      <c r="C435" s="2145" t="n"/>
      <c r="D435" s="2145" t="n"/>
      <c r="E435" s="2145" t="n"/>
      <c r="F435" s="53" t="n"/>
      <c r="G435" s="53" t="n"/>
      <c r="H435" s="53" t="n"/>
      <c r="I435" s="93" t="n"/>
      <c r="J435" s="2145" t="n"/>
      <c r="K435" s="2145" t="n"/>
      <c r="L435" s="2145" t="n"/>
      <c r="M435" s="2145" t="n"/>
      <c r="N435" s="2145" t="n"/>
    </row>
    <row r="436" customFormat="1" s="1916">
      <c r="A436" s="53" t="n"/>
      <c r="B436" s="93" t="n"/>
      <c r="C436" s="2145" t="n"/>
      <c r="D436" s="2145" t="n"/>
      <c r="E436" s="2145" t="n"/>
      <c r="F436" s="53" t="n"/>
      <c r="G436" s="53" t="n"/>
      <c r="H436" s="53" t="n"/>
      <c r="I436" s="93" t="n"/>
      <c r="J436" s="2145" t="n"/>
      <c r="K436" s="2145" t="n"/>
      <c r="L436" s="2145" t="n"/>
      <c r="M436" s="2145" t="n"/>
      <c r="N436" s="2145" t="n"/>
    </row>
    <row r="437" customFormat="1" s="1916">
      <c r="A437" s="53" t="n"/>
      <c r="B437" s="93" t="n"/>
      <c r="C437" s="2145" t="n"/>
      <c r="D437" s="2145" t="n"/>
      <c r="E437" s="2145" t="n"/>
      <c r="F437" s="111" t="n"/>
      <c r="G437" s="53" t="n"/>
      <c r="H437" s="53" t="n"/>
      <c r="I437" s="93" t="n"/>
      <c r="J437" s="2145" t="n"/>
      <c r="K437" s="2145" t="n"/>
      <c r="L437" s="2145" t="n"/>
      <c r="M437" s="2145" t="n"/>
      <c r="N437" s="2145" t="n"/>
    </row>
    <row r="438" customFormat="1" s="1916">
      <c r="A438" s="53" t="n"/>
      <c r="B438" s="93" t="n"/>
      <c r="C438" s="2145" t="n"/>
      <c r="D438" s="2145" t="n"/>
      <c r="E438" s="2145" t="n"/>
      <c r="F438" s="53" t="n"/>
      <c r="G438" s="53" t="n"/>
      <c r="H438" s="53" t="n"/>
      <c r="I438" s="93" t="n"/>
      <c r="J438" s="2145" t="n"/>
      <c r="K438" s="2145" t="n"/>
      <c r="L438" s="2145" t="n"/>
      <c r="M438" s="2145" t="n"/>
      <c r="N438" s="2145" t="n"/>
    </row>
    <row r="439" customFormat="1" s="1916">
      <c r="A439" s="53" t="n"/>
      <c r="B439" s="93" t="n"/>
      <c r="C439" s="2145" t="n"/>
      <c r="D439" s="2145" t="n"/>
      <c r="E439" s="2145" t="n"/>
      <c r="F439" s="53" t="n"/>
      <c r="G439" s="53" t="n"/>
      <c r="H439" s="53" t="n"/>
      <c r="I439" s="93" t="n"/>
      <c r="J439" s="2145" t="n"/>
      <c r="K439" s="2145" t="n"/>
      <c r="L439" s="2145" t="n"/>
      <c r="M439" s="2145" t="n"/>
      <c r="N439" s="2145" t="n"/>
    </row>
    <row r="440" customFormat="1" s="1916">
      <c r="A440" s="53" t="n"/>
      <c r="B440" s="93" t="n"/>
      <c r="C440" s="2145" t="n"/>
      <c r="D440" s="2145" t="n"/>
      <c r="E440" s="2145" t="n"/>
      <c r="F440" s="53" t="n"/>
      <c r="G440" s="53" t="n"/>
      <c r="H440" s="53" t="n"/>
      <c r="I440" s="93" t="n"/>
      <c r="J440" s="2145" t="n"/>
      <c r="K440" s="2145" t="n"/>
      <c r="L440" s="2145" t="n"/>
      <c r="M440" s="2145" t="n"/>
      <c r="N440" s="2145" t="n"/>
    </row>
    <row r="441" customFormat="1" s="1916">
      <c r="A441" s="103" t="n"/>
      <c r="B441" s="103" t="n"/>
      <c r="C441" s="2147" t="n"/>
      <c r="D441" s="2147" t="n"/>
      <c r="E441" s="2147" t="n"/>
      <c r="F441" s="53" t="n"/>
      <c r="G441" s="53" t="n"/>
      <c r="H441" s="103" t="n"/>
      <c r="I441" s="103" t="n"/>
      <c r="J441" s="2147" t="n"/>
      <c r="K441" s="2147" t="n"/>
      <c r="L441" s="2147" t="n"/>
      <c r="M441" s="2147" t="n"/>
      <c r="N441" s="2147" t="n"/>
    </row>
    <row r="442" customFormat="1" s="1916">
      <c r="A442" s="53" t="n"/>
      <c r="B442" s="53" t="n"/>
      <c r="C442" s="2145" t="n"/>
      <c r="D442" s="2145" t="n"/>
      <c r="E442" s="2145" t="n"/>
      <c r="F442" s="53" t="n"/>
      <c r="G442" s="53" t="n"/>
    </row>
    <row r="443" customFormat="1" s="1916">
      <c r="A443" s="53" t="n"/>
      <c r="B443" s="53" t="n"/>
      <c r="C443" s="2145" t="n"/>
      <c r="D443" s="2145" t="n"/>
      <c r="E443" s="2147" t="n"/>
      <c r="F443" s="53" t="n"/>
      <c r="G443" s="53" t="n"/>
    </row>
    <row r="444" customFormat="1" s="1916">
      <c r="A444" s="53" t="n"/>
      <c r="B444" s="53" t="n"/>
      <c r="C444" s="2145" t="n"/>
      <c r="D444" s="2145" t="n"/>
      <c r="E444" s="2145" t="n"/>
      <c r="F444" s="53" t="n"/>
      <c r="G444" s="53" t="n"/>
    </row>
    <row r="445" customFormat="1" s="1916">
      <c r="A445" s="53" t="n"/>
      <c r="B445" s="53" t="n"/>
      <c r="C445" s="2145" t="n"/>
      <c r="D445" s="2145" t="n"/>
      <c r="E445" s="2145" t="n"/>
      <c r="F445" s="53" t="n"/>
      <c r="G445" s="53" t="n"/>
    </row>
    <row r="446" customFormat="1" s="1916">
      <c r="A446" s="53" t="n"/>
      <c r="B446" s="112" t="n"/>
      <c r="C446" s="2145" t="n"/>
      <c r="D446" s="2145" t="n"/>
      <c r="E446" s="2145" t="n"/>
      <c r="F446" s="53" t="n"/>
      <c r="G446" s="53" t="n"/>
    </row>
    <row r="447" customFormat="1" s="1916">
      <c r="A447" s="53" t="n"/>
      <c r="B447" s="112" t="n"/>
      <c r="C447" s="2145" t="n"/>
      <c r="D447" s="2145" t="n"/>
      <c r="E447" s="2145" t="n"/>
      <c r="F447" s="53" t="n"/>
      <c r="G447" s="53" t="n"/>
    </row>
    <row r="448" customFormat="1" s="1916">
      <c r="A448" s="53" t="n"/>
      <c r="B448" s="113" t="n"/>
      <c r="C448" s="2145" t="n"/>
      <c r="D448" s="2145" t="n"/>
      <c r="E448" s="2145" t="n"/>
      <c r="F448" s="53" t="n"/>
      <c r="G448" s="53" t="n"/>
    </row>
    <row r="449" customFormat="1" s="1916">
      <c r="A449" s="53" t="n"/>
      <c r="B449" s="113" t="n"/>
      <c r="C449" s="2145" t="n"/>
      <c r="D449" s="2145" t="n"/>
      <c r="E449" s="2145" t="n"/>
      <c r="F449" s="53" t="n"/>
      <c r="G449" s="53" t="n"/>
    </row>
    <row r="450" customFormat="1" s="1916">
      <c r="A450" s="53" t="n"/>
      <c r="B450" s="113" t="n"/>
      <c r="C450" s="2145" t="n"/>
      <c r="D450" s="2145" t="n"/>
      <c r="E450" s="2145" t="n"/>
      <c r="F450" s="53" t="n"/>
      <c r="G450" s="53" t="n"/>
    </row>
    <row r="451" customFormat="1" s="1916">
      <c r="A451" s="53" t="n"/>
      <c r="B451" s="113" t="n"/>
      <c r="C451" s="2145" t="n"/>
      <c r="D451" s="2145" t="n"/>
      <c r="E451" s="2145" t="n"/>
      <c r="F451" s="53" t="n"/>
      <c r="G451" s="53" t="n"/>
    </row>
    <row r="452" customFormat="1" s="1916">
      <c r="A452" s="53" t="n"/>
      <c r="B452" s="112" t="n"/>
      <c r="C452" s="2145" t="n"/>
      <c r="D452" s="2145" t="n"/>
      <c r="E452" s="2145" t="n"/>
      <c r="F452" s="53" t="n"/>
      <c r="G452" s="53" t="n"/>
    </row>
    <row r="453" customFormat="1" s="1916">
      <c r="A453" s="53" t="n"/>
      <c r="B453" s="112" t="n"/>
      <c r="C453" s="2145" t="n"/>
      <c r="D453" s="2145" t="n"/>
      <c r="E453" s="2145" t="n"/>
      <c r="F453" s="53" t="n"/>
      <c r="G453" s="53" t="n"/>
    </row>
    <row r="454" customFormat="1" s="1916">
      <c r="A454" s="53" t="n"/>
      <c r="B454" s="112" t="n"/>
      <c r="C454" s="2145" t="n"/>
      <c r="D454" s="2145" t="n"/>
      <c r="E454" s="2149" t="n"/>
      <c r="F454" s="53" t="n"/>
      <c r="G454" s="53" t="n"/>
      <c r="Q454" s="53" t="n"/>
    </row>
    <row r="455" customFormat="1" s="1916">
      <c r="A455" s="53" t="n"/>
      <c r="B455" s="113" t="n"/>
      <c r="C455" s="2145" t="n"/>
      <c r="D455" s="2145" t="n"/>
      <c r="E455" s="2145" t="n"/>
      <c r="F455" s="53" t="n"/>
      <c r="G455" s="53" t="n"/>
      <c r="H455" s="53" t="n"/>
      <c r="J455" s="2154" t="n"/>
      <c r="Q455" s="53" t="n"/>
    </row>
    <row r="456" customFormat="1" s="1916">
      <c r="A456" s="53" t="n"/>
      <c r="B456" s="53" t="n"/>
      <c r="C456" s="2145" t="n"/>
      <c r="D456" s="2145" t="n"/>
      <c r="E456" s="2145" t="n"/>
      <c r="F456" s="2145" t="n"/>
      <c r="G456" s="2145" t="n"/>
      <c r="Q456" s="53" t="n"/>
    </row>
    <row r="457" customFormat="1" s="1916">
      <c r="A457" s="53" t="n"/>
      <c r="B457" s="53" t="n"/>
      <c r="C457" s="2145" t="n"/>
      <c r="D457" s="2145" t="n"/>
      <c r="E457" s="2145" t="n"/>
      <c r="G457" s="540" t="n"/>
      <c r="Q457" s="53" t="n"/>
    </row>
    <row r="458" customFormat="1" s="1916">
      <c r="E458" s="2145" t="n"/>
    </row>
    <row r="459" customFormat="1" s="1916"/>
    <row r="460" customFormat="1" s="1916"/>
    <row r="461" customFormat="1" s="1916">
      <c r="A461" s="53" t="n"/>
      <c r="B461" s="53" t="n"/>
      <c r="C461" s="53" t="n"/>
      <c r="D461" s="53" t="n"/>
      <c r="E461" s="53" t="n"/>
      <c r="O461" s="53" t="n"/>
      <c r="P461" s="53" t="n"/>
      <c r="Q461" s="53" t="n"/>
      <c r="R461" s="53" t="n"/>
      <c r="S461" s="53" t="n"/>
    </row>
    <row r="462" customFormat="1" s="1916">
      <c r="A462" s="53" t="n"/>
      <c r="B462" s="53" t="n"/>
      <c r="C462" s="53" t="n"/>
      <c r="D462" s="53" t="n"/>
      <c r="E462" s="53" t="n"/>
      <c r="F462" s="53" t="n"/>
      <c r="G462" s="53" t="n"/>
      <c r="O462" s="53" t="n"/>
      <c r="P462" s="53" t="n"/>
      <c r="Q462" s="53" t="n"/>
      <c r="R462" s="53" t="n"/>
      <c r="S462" s="2145" t="n"/>
    </row>
    <row r="463" customFormat="1" s="1916">
      <c r="A463" s="53" t="n"/>
      <c r="B463" s="2155" t="n"/>
      <c r="C463" s="2145" t="n"/>
      <c r="D463" s="2145" t="n"/>
      <c r="E463" s="2145" t="n"/>
      <c r="F463" s="2285" t="n"/>
      <c r="G463" s="53" t="n"/>
      <c r="O463" s="53" t="n"/>
      <c r="P463" s="53" t="n"/>
      <c r="Q463" s="2145" t="n"/>
      <c r="R463" s="2145" t="n"/>
      <c r="S463" s="2145" t="n"/>
    </row>
    <row r="464" customFormat="1" s="1916">
      <c r="A464" s="53" t="n"/>
      <c r="B464" s="53" t="n"/>
      <c r="C464" s="2145" t="n"/>
      <c r="D464" s="2145" t="n"/>
      <c r="E464" s="2145" t="n"/>
      <c r="F464" s="53" t="n"/>
      <c r="G464" s="53" t="n"/>
      <c r="O464" s="53" t="n"/>
      <c r="P464" s="53" t="n"/>
      <c r="Q464" s="2145" t="n"/>
      <c r="R464" s="2285" t="n"/>
      <c r="S464" s="2145" t="n"/>
    </row>
    <row r="465" customFormat="1" s="1916">
      <c r="A465" s="53" t="n"/>
      <c r="B465" s="53" t="n"/>
      <c r="C465" s="2145" t="n"/>
      <c r="D465" s="2145" t="n"/>
      <c r="E465" s="2145" t="n"/>
      <c r="F465" s="53" t="n"/>
      <c r="G465" s="53" t="n"/>
      <c r="O465" s="53" t="n"/>
      <c r="P465" s="53" t="n"/>
      <c r="Q465" s="2145" t="n"/>
      <c r="R465" s="2285" t="n"/>
      <c r="S465" s="2145" t="n"/>
    </row>
    <row r="466" customFormat="1" s="1916">
      <c r="A466" s="53" t="n"/>
      <c r="B466" s="53" t="n"/>
      <c r="C466" s="2145" t="n"/>
      <c r="D466" s="2145" t="n"/>
      <c r="E466" s="2145" t="n"/>
      <c r="F466" s="53" t="n"/>
      <c r="G466" s="53" t="n"/>
      <c r="O466" s="53" t="n"/>
      <c r="P466" s="2145" t="n"/>
      <c r="Q466" s="2149" t="n"/>
      <c r="R466" s="53" t="n"/>
      <c r="S466" s="53" t="n"/>
      <c r="T466" s="53" t="n"/>
      <c r="U466" s="53" t="n"/>
      <c r="V466" s="53" t="n"/>
    </row>
    <row r="467" customFormat="1" s="1916">
      <c r="A467" s="53" t="n"/>
      <c r="B467" s="53" t="n"/>
      <c r="C467" s="2145" t="n"/>
      <c r="D467" s="2145" t="n"/>
      <c r="E467" s="2145" t="n"/>
      <c r="F467" s="53" t="n"/>
      <c r="G467" s="53" t="n"/>
      <c r="O467" s="53" t="n"/>
      <c r="P467" s="53" t="n"/>
      <c r="Q467" s="2149" t="n"/>
      <c r="R467" s="53" t="n"/>
      <c r="S467" s="53" t="n"/>
      <c r="T467" s="2145" t="n"/>
      <c r="U467" s="2145" t="n"/>
      <c r="V467" s="53" t="n"/>
    </row>
    <row r="468" customFormat="1" s="1916">
      <c r="A468" s="53" t="n"/>
      <c r="B468" s="53" t="n"/>
      <c r="C468" s="2145" t="n"/>
      <c r="D468" s="2145" t="n"/>
      <c r="E468" s="2145" t="n"/>
      <c r="F468" s="53" t="n"/>
      <c r="G468" s="53" t="n"/>
      <c r="O468" s="53" t="n"/>
      <c r="P468" s="53" t="n"/>
      <c r="Q468" s="2149" t="n"/>
      <c r="R468" s="53" t="n"/>
      <c r="S468" s="53" t="n"/>
      <c r="T468" s="2145" t="n"/>
      <c r="U468" s="2145" t="n"/>
      <c r="V468" s="53" t="n"/>
    </row>
    <row r="469" customFormat="1" s="1916">
      <c r="A469" s="53" t="n"/>
      <c r="B469" s="53" t="n"/>
      <c r="C469" s="2145" t="n"/>
      <c r="D469" s="2145" t="n"/>
      <c r="E469" s="2145" t="n"/>
      <c r="F469" s="53" t="n"/>
      <c r="G469" s="53" t="n"/>
      <c r="O469" s="53" t="n"/>
      <c r="P469" s="53" t="n"/>
      <c r="Q469" s="2149" t="n"/>
      <c r="R469" s="53" t="n"/>
      <c r="S469" s="53" t="n"/>
      <c r="T469" s="2145" t="n"/>
      <c r="U469" s="2145" t="n"/>
      <c r="V469" s="53" t="n"/>
    </row>
    <row r="470" customFormat="1" s="1916">
      <c r="A470" s="53" t="n"/>
      <c r="B470" s="53" t="n"/>
      <c r="C470" s="2145" t="n"/>
      <c r="D470" s="2145" t="n"/>
      <c r="E470" s="2145" t="n"/>
      <c r="F470" s="53" t="n"/>
      <c r="G470" s="53" t="n"/>
      <c r="O470" s="53" t="n"/>
      <c r="P470" s="53" t="n"/>
      <c r="Q470" s="2149" t="n"/>
      <c r="R470" s="53" t="n"/>
      <c r="S470" s="53" t="n"/>
      <c r="T470" s="2145" t="n"/>
      <c r="U470" s="2145" t="n"/>
      <c r="V470" s="53" t="n"/>
    </row>
    <row r="471" customFormat="1" s="1916">
      <c r="A471" s="53" t="n"/>
      <c r="B471" s="53" t="n"/>
      <c r="C471" s="2145" t="n"/>
      <c r="D471" s="2145" t="n"/>
      <c r="E471" s="2145" t="n"/>
      <c r="F471" s="53" t="n"/>
      <c r="G471" s="53" t="n"/>
      <c r="O471" s="53" t="n"/>
      <c r="P471" s="53" t="n"/>
      <c r="Q471" s="2149" t="n"/>
      <c r="R471" s="53" t="n"/>
      <c r="S471" s="53" t="n"/>
      <c r="T471" s="53" t="n"/>
      <c r="U471" s="53" t="n"/>
      <c r="V471" s="53" t="n"/>
    </row>
    <row r="472" customFormat="1" s="1916">
      <c r="A472" s="53" t="n"/>
      <c r="B472" s="53" t="n"/>
      <c r="C472" s="2145" t="n"/>
      <c r="D472" s="2145" t="n"/>
      <c r="E472" s="2145" t="n"/>
      <c r="F472" s="53" t="n"/>
      <c r="G472" s="53" t="n"/>
      <c r="O472" s="53" t="n"/>
      <c r="P472" s="53" t="n"/>
      <c r="Q472" s="2149" t="n"/>
      <c r="R472" s="53" t="n"/>
      <c r="S472" s="53" t="n"/>
      <c r="T472" s="53" t="n"/>
      <c r="U472" s="53" t="n"/>
      <c r="V472" s="53" t="n"/>
    </row>
    <row r="473" customFormat="1" s="1916">
      <c r="A473" s="53" t="n"/>
      <c r="B473" s="53" t="n"/>
      <c r="C473" s="2145" t="n"/>
      <c r="D473" s="2145" t="n"/>
      <c r="E473" s="2145" t="n"/>
      <c r="F473" s="53" t="n"/>
      <c r="G473" s="53" t="n"/>
      <c r="T473" s="53" t="n"/>
      <c r="U473" s="53" t="n"/>
      <c r="V473" s="53" t="n"/>
    </row>
    <row r="474" customFormat="1" s="1916">
      <c r="A474" s="53" t="n"/>
      <c r="B474" s="53" t="n"/>
      <c r="C474" s="2145" t="n"/>
      <c r="D474" s="2145" t="n"/>
      <c r="E474" s="2145" t="n"/>
      <c r="F474" s="53" t="n"/>
      <c r="G474" s="53" t="n"/>
      <c r="T474" s="53" t="n"/>
      <c r="U474" s="53" t="n"/>
      <c r="V474" s="53" t="n"/>
    </row>
    <row r="475" customFormat="1" s="1916">
      <c r="A475" s="53" t="n"/>
      <c r="B475" s="53" t="n"/>
      <c r="C475" s="2145" t="n"/>
      <c r="D475" s="2145" t="n"/>
      <c r="E475" s="2145" t="n"/>
      <c r="F475" s="2285" t="n"/>
      <c r="G475" s="53" t="n"/>
      <c r="T475" s="53" t="n"/>
      <c r="U475" s="53" t="n"/>
      <c r="V475" s="53" t="n"/>
    </row>
    <row r="476" customFormat="1" s="1916">
      <c r="A476" s="53" t="n"/>
      <c r="B476" s="53" t="n"/>
      <c r="C476" s="2145" t="n"/>
      <c r="D476" s="2145" t="n"/>
      <c r="E476" s="2145" t="n"/>
      <c r="F476" s="53" t="n"/>
      <c r="G476" s="53" t="n"/>
      <c r="T476" s="53" t="n"/>
      <c r="U476" s="53" t="n"/>
      <c r="V476" s="53" t="n"/>
    </row>
    <row r="477" customFormat="1" s="1916">
      <c r="A477" s="53" t="n"/>
      <c r="B477" s="53" t="n"/>
      <c r="C477" s="2145" t="n"/>
      <c r="D477" s="2145" t="n"/>
      <c r="E477" s="2145" t="n"/>
      <c r="F477" s="53" t="n"/>
      <c r="G477" s="53" t="n"/>
      <c r="T477" s="53" t="n"/>
      <c r="U477" s="53" t="n"/>
      <c r="V477" s="53" t="n"/>
    </row>
    <row r="478" customFormat="1" s="1916">
      <c r="A478" s="53" t="n"/>
      <c r="B478" s="53" t="n"/>
      <c r="C478" s="2145" t="n"/>
      <c r="D478" s="2145" t="n"/>
      <c r="E478" s="2145" t="n"/>
      <c r="F478" s="53" t="n"/>
      <c r="G478" s="53" t="n"/>
    </row>
    <row r="479" customFormat="1" s="1916">
      <c r="A479" s="53" t="n"/>
      <c r="B479" s="53" t="n"/>
      <c r="C479" s="2145" t="n"/>
      <c r="D479" s="2145" t="n"/>
      <c r="E479" s="2145" t="n"/>
      <c r="F479" s="53" t="n"/>
      <c r="G479" s="53" t="n"/>
    </row>
    <row r="480" customFormat="1" s="1916">
      <c r="A480" s="103" t="n"/>
      <c r="B480" s="103" t="n"/>
      <c r="C480" s="2147" t="n"/>
      <c r="D480" s="2147" t="n"/>
      <c r="E480" s="2147" t="n"/>
      <c r="F480" s="53" t="n"/>
      <c r="G480" s="53" t="n"/>
    </row>
    <row r="481" customFormat="1" s="1916">
      <c r="A481" s="103" t="n"/>
      <c r="B481" s="105" t="n"/>
      <c r="C481" s="2147" t="n"/>
      <c r="D481" s="2147" t="n"/>
      <c r="E481" s="2147" t="n"/>
      <c r="F481" s="53" t="n"/>
      <c r="G481" s="53" t="n"/>
    </row>
    <row r="482" customFormat="1" s="1916">
      <c r="A482" s="103" t="n"/>
      <c r="B482" s="103" t="n"/>
      <c r="C482" s="2147" t="n"/>
      <c r="D482" s="2147" t="n"/>
      <c r="E482" s="2147" t="n"/>
      <c r="F482" s="53" t="n"/>
      <c r="G482" s="53" t="n"/>
    </row>
    <row r="483" customFormat="1" s="1916">
      <c r="A483" s="103" t="n"/>
      <c r="B483" s="105" t="n"/>
      <c r="C483" s="2147" t="n"/>
      <c r="D483" s="2147" t="n"/>
      <c r="E483" s="2147" t="n"/>
      <c r="F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</row>
    <row r="484" customFormat="1" s="1916">
      <c r="A484" s="53" t="n"/>
      <c r="B484" s="53" t="n"/>
      <c r="C484" s="2145" t="n"/>
      <c r="D484" s="2145" t="n"/>
      <c r="E484" s="2145" t="n"/>
      <c r="F484" s="53" t="n"/>
      <c r="H484" s="53" t="n"/>
      <c r="I484" s="53" t="n"/>
      <c r="J484" s="53" t="n"/>
      <c r="K484" s="106" t="n"/>
      <c r="L484" s="106" t="n"/>
      <c r="M484" s="106" t="n"/>
      <c r="N484" s="106" t="n"/>
      <c r="O484" s="106" t="n"/>
    </row>
    <row r="485" customFormat="1" s="1916">
      <c r="A485" s="3" t="n"/>
      <c r="B485" s="2285" t="n"/>
      <c r="C485" s="3" t="n"/>
      <c r="D485" s="3" t="n"/>
      <c r="E485" s="2285" t="n"/>
      <c r="F485" s="107" t="n"/>
      <c r="H485" s="53" t="n"/>
      <c r="I485" s="540" t="n"/>
      <c r="J485" s="53" t="n"/>
      <c r="K485" s="106" t="n"/>
      <c r="L485" s="106" t="n"/>
      <c r="M485" s="106" t="n"/>
      <c r="N485" s="106" t="n"/>
      <c r="O485" s="106" t="n"/>
    </row>
    <row r="486" customFormat="1" s="1916">
      <c r="A486" s="53" t="n"/>
      <c r="B486" s="53" t="n"/>
      <c r="C486" s="53" t="n"/>
      <c r="D486" s="53" t="n"/>
      <c r="E486" s="53" t="n"/>
      <c r="F486" s="107" t="n"/>
      <c r="H486" s="53" t="n"/>
      <c r="I486" s="53" t="n"/>
      <c r="J486" s="53" t="n"/>
      <c r="K486" s="2145" t="n"/>
      <c r="L486" s="2145" t="n"/>
      <c r="M486" s="2145" t="n"/>
      <c r="N486" s="2145" t="n"/>
      <c r="O486" s="53" t="n"/>
    </row>
    <row r="487" customFormat="1" s="1916">
      <c r="A487" s="53" t="n"/>
      <c r="B487" s="53" t="n"/>
      <c r="C487" s="53" t="n"/>
      <c r="D487" s="53" t="n"/>
      <c r="E487" s="106" t="n"/>
      <c r="F487" s="106" t="n"/>
      <c r="H487" s="53" t="n"/>
      <c r="I487" s="93" t="n"/>
      <c r="J487" s="2145" t="n"/>
      <c r="K487" s="2145" t="n"/>
      <c r="L487" s="2145" t="n"/>
      <c r="M487" s="2145" t="n"/>
      <c r="N487" s="2145" t="n"/>
      <c r="O487" s="106" t="n"/>
    </row>
    <row r="488" customFormat="1" s="1916">
      <c r="A488" s="53" t="n"/>
      <c r="B488" s="53" t="n"/>
      <c r="C488" s="53" t="n"/>
      <c r="D488" s="53" t="n"/>
      <c r="E488" s="53" t="n"/>
      <c r="F488" s="53" t="n"/>
      <c r="H488" s="53" t="n"/>
      <c r="I488" s="93" t="n"/>
      <c r="J488" s="2145" t="n"/>
      <c r="K488" s="2145" t="n"/>
      <c r="L488" s="2145" t="n"/>
      <c r="M488" s="2145" t="n"/>
      <c r="N488" s="2145" t="n"/>
      <c r="O488" s="53" t="n"/>
    </row>
    <row r="489" customFormat="1" s="1916">
      <c r="A489" s="53" t="n"/>
      <c r="B489" s="53" t="n"/>
      <c r="C489" s="53" t="n"/>
      <c r="D489" s="53" t="n"/>
      <c r="E489" s="106" t="n"/>
      <c r="F489" s="106" t="n"/>
      <c r="H489" s="53" t="n"/>
      <c r="I489" s="93" t="n"/>
      <c r="J489" s="2145" t="n"/>
      <c r="K489" s="2145" t="n"/>
      <c r="L489" s="2145" t="n"/>
      <c r="M489" s="2145" t="n"/>
      <c r="N489" s="2145" t="n"/>
      <c r="O489" s="106" t="n"/>
    </row>
    <row r="490" customFormat="1" s="1916">
      <c r="A490" s="53" t="n"/>
      <c r="B490" s="53" t="n"/>
      <c r="C490" s="53" t="n"/>
      <c r="D490" s="53" t="n"/>
      <c r="E490" s="2286" t="n"/>
      <c r="F490" s="2286" t="n"/>
      <c r="G490" s="53" t="n"/>
      <c r="H490" s="103" t="n"/>
      <c r="I490" s="103" t="n"/>
      <c r="J490" s="2147" t="n"/>
      <c r="K490" s="2147" t="n"/>
      <c r="L490" s="2147" t="n"/>
      <c r="M490" s="2145" t="n"/>
      <c r="N490" s="2145" t="n"/>
      <c r="O490" s="106" t="n"/>
    </row>
    <row r="491" customFormat="1" s="1916">
      <c r="A491" s="53" t="n"/>
      <c r="B491" s="53" t="n"/>
      <c r="C491" s="2145" t="n"/>
      <c r="D491" s="2145" t="n"/>
      <c r="E491" s="2145" t="n"/>
      <c r="F491" s="2145" t="n"/>
      <c r="G491" s="53" t="n"/>
      <c r="H491" s="53" t="n"/>
      <c r="I491" s="53" t="n"/>
    </row>
    <row r="492" customFormat="1" s="1916">
      <c r="A492" s="53" t="n"/>
      <c r="B492" s="53" t="n"/>
      <c r="C492" s="53" t="n"/>
      <c r="D492" s="53" t="n"/>
      <c r="E492" s="2145" t="n"/>
      <c r="F492" s="53" t="n"/>
      <c r="G492" s="53" t="n"/>
      <c r="H492" s="110" t="n"/>
      <c r="I492" s="53" t="n"/>
      <c r="J492" s="53" t="n"/>
      <c r="K492" s="2145" t="n"/>
      <c r="L492" s="2145" t="n"/>
      <c r="M492" s="2145" t="n"/>
      <c r="N492" s="2145" t="n"/>
    </row>
    <row r="493" customFormat="1" s="1916">
      <c r="A493" s="53" t="n"/>
      <c r="B493" s="93" t="n"/>
      <c r="C493" s="2145" t="n"/>
      <c r="D493" s="2145" t="n"/>
      <c r="E493" s="2145" t="n"/>
      <c r="F493" s="53" t="n"/>
      <c r="G493" s="53" t="n"/>
      <c r="H493" s="2285" t="n"/>
      <c r="I493" s="93" t="n"/>
      <c r="J493" s="2145" t="n"/>
      <c r="K493" s="2145" t="n"/>
      <c r="L493" s="2145" t="n"/>
      <c r="M493" s="2145" t="n"/>
      <c r="N493" s="2145" t="n"/>
    </row>
    <row r="494" customFormat="1" s="1916">
      <c r="A494" s="53" t="n"/>
      <c r="B494" s="93" t="n"/>
      <c r="C494" s="2145" t="n"/>
      <c r="D494" s="2145" t="n"/>
      <c r="E494" s="2145" t="n"/>
      <c r="F494" s="53" t="n"/>
      <c r="G494" s="53" t="n"/>
      <c r="H494" s="53" t="n"/>
      <c r="I494" s="93" t="n"/>
      <c r="J494" s="2145" t="n"/>
      <c r="K494" s="2145" t="n"/>
      <c r="L494" s="2145" t="n"/>
      <c r="M494" s="2145" t="n"/>
      <c r="N494" s="2145" t="n"/>
    </row>
    <row r="495" customFormat="1" s="1916">
      <c r="A495" s="53" t="n"/>
      <c r="B495" s="93" t="n"/>
      <c r="C495" s="2145" t="n"/>
      <c r="D495" s="2145" t="n"/>
      <c r="E495" s="2145" t="n"/>
      <c r="F495" s="53" t="n"/>
      <c r="G495" s="53" t="n"/>
      <c r="H495" s="53" t="n"/>
      <c r="I495" s="93" t="n"/>
      <c r="J495" s="2145" t="n"/>
      <c r="K495" s="2145" t="n"/>
      <c r="L495" s="2145" t="n"/>
      <c r="M495" s="2145" t="n"/>
      <c r="N495" s="2145" t="n"/>
    </row>
    <row r="496" customFormat="1" s="1916">
      <c r="A496" s="53" t="n"/>
      <c r="B496" s="93" t="n"/>
      <c r="C496" s="2145" t="n"/>
      <c r="D496" s="2145" t="n"/>
      <c r="E496" s="2145" t="n"/>
      <c r="F496" s="111" t="n"/>
      <c r="G496" s="53" t="n"/>
      <c r="H496" s="53" t="n"/>
      <c r="I496" s="93" t="n"/>
      <c r="J496" s="2145" t="n"/>
      <c r="K496" s="2145" t="n"/>
      <c r="L496" s="2145" t="n"/>
      <c r="M496" s="2145" t="n"/>
      <c r="N496" s="2145" t="n"/>
    </row>
    <row r="497" customFormat="1" s="1916">
      <c r="A497" s="53" t="n"/>
      <c r="B497" s="93" t="n"/>
      <c r="C497" s="2145" t="n"/>
      <c r="D497" s="2145" t="n"/>
      <c r="E497" s="2145" t="n"/>
      <c r="F497" s="111" t="n"/>
      <c r="G497" s="53" t="n"/>
      <c r="H497" s="53" t="n"/>
      <c r="I497" s="93" t="n"/>
      <c r="J497" s="2145" t="n"/>
      <c r="K497" s="2145" t="n"/>
      <c r="L497" s="2145" t="n"/>
      <c r="M497" s="2145" t="n"/>
      <c r="N497" s="2145" t="n"/>
    </row>
    <row r="498" customFormat="1" s="1916">
      <c r="A498" s="53" t="n"/>
      <c r="B498" s="93" t="n"/>
      <c r="C498" s="2145" t="n"/>
      <c r="D498" s="2145" t="n"/>
      <c r="E498" s="2145" t="n"/>
      <c r="F498" s="53" t="n"/>
      <c r="G498" s="53" t="n"/>
      <c r="H498" s="53" t="n"/>
      <c r="I498" s="93" t="n"/>
      <c r="J498" s="2145" t="n"/>
      <c r="K498" s="2145" t="n"/>
      <c r="L498" s="2145" t="n"/>
      <c r="M498" s="2145" t="n"/>
      <c r="N498" s="2145" t="n"/>
    </row>
    <row r="499" customFormat="1" s="1916">
      <c r="A499" s="53" t="n"/>
      <c r="B499" s="93" t="n"/>
      <c r="C499" s="2145" t="n"/>
      <c r="D499" s="2145" t="n"/>
      <c r="E499" s="2145" t="n"/>
      <c r="F499" s="53" t="n"/>
      <c r="G499" s="53" t="n"/>
      <c r="H499" s="53" t="n"/>
      <c r="I499" s="93" t="n"/>
      <c r="J499" s="2145" t="n"/>
      <c r="K499" s="2145" t="n"/>
      <c r="L499" s="2145" t="n"/>
      <c r="M499" s="2145" t="n"/>
      <c r="N499" s="2145" t="n"/>
    </row>
    <row r="500" customFormat="1" s="1916">
      <c r="A500" s="103" t="n"/>
      <c r="B500" s="103" t="n"/>
      <c r="C500" s="2147" t="n"/>
      <c r="D500" s="2147" t="n"/>
      <c r="E500" s="2147" t="n"/>
      <c r="F500" s="53" t="n"/>
      <c r="G500" s="53" t="n"/>
      <c r="H500" s="103" t="n"/>
      <c r="I500" s="103" t="n"/>
      <c r="J500" s="2147" t="n"/>
      <c r="K500" s="2147" t="n"/>
      <c r="L500" s="2147" t="n"/>
      <c r="M500" s="2147" t="n"/>
      <c r="N500" s="2147" t="n"/>
    </row>
    <row r="501" customFormat="1" s="1916">
      <c r="A501" s="53" t="n"/>
      <c r="B501" s="53" t="n"/>
      <c r="C501" s="2145" t="n"/>
      <c r="D501" s="2145" t="n"/>
      <c r="E501" s="2145" t="n"/>
      <c r="F501" s="53" t="n"/>
      <c r="G501" s="53" t="n"/>
    </row>
    <row r="502" customFormat="1" s="1916">
      <c r="A502" s="53" t="n"/>
      <c r="B502" s="53" t="n"/>
      <c r="C502" s="2145" t="n"/>
      <c r="D502" s="2145" t="n"/>
      <c r="E502" s="2147" t="n"/>
      <c r="F502" s="53" t="n"/>
      <c r="G502" s="53" t="n"/>
    </row>
    <row r="503" customFormat="1" s="1916">
      <c r="A503" s="53" t="n"/>
      <c r="B503" s="53" t="n"/>
      <c r="C503" s="2145" t="n"/>
      <c r="D503" s="2145" t="n"/>
      <c r="E503" s="2145" t="n"/>
      <c r="F503" s="53" t="n"/>
      <c r="G503" s="53" t="n"/>
    </row>
    <row r="504" customFormat="1" s="1916">
      <c r="A504" s="53" t="n"/>
      <c r="B504" s="53" t="n"/>
      <c r="C504" s="2145" t="n"/>
      <c r="D504" s="2145" t="n"/>
      <c r="E504" s="2145" t="n"/>
      <c r="F504" s="53" t="n"/>
      <c r="G504" s="53" t="n"/>
    </row>
    <row r="505" customFormat="1" s="1916">
      <c r="A505" s="53" t="n"/>
      <c r="B505" s="112" t="n"/>
      <c r="C505" s="2145" t="n"/>
      <c r="D505" s="2145" t="n"/>
      <c r="E505" s="2145" t="n"/>
      <c r="F505" s="53" t="n"/>
      <c r="G505" s="53" t="n"/>
    </row>
    <row r="506" customFormat="1" s="1916">
      <c r="A506" s="53" t="n"/>
      <c r="B506" s="112" t="n"/>
      <c r="C506" s="2145" t="n"/>
      <c r="D506" s="2145" t="n"/>
      <c r="E506" s="2145" t="n"/>
      <c r="F506" s="53" t="n"/>
      <c r="G506" s="53" t="n"/>
    </row>
    <row r="507" customFormat="1" s="1916">
      <c r="A507" s="53" t="n"/>
      <c r="B507" s="113" t="n"/>
      <c r="C507" s="2145" t="n"/>
      <c r="D507" s="2145" t="n"/>
      <c r="E507" s="2145" t="n"/>
      <c r="F507" s="53" t="n"/>
      <c r="G507" s="53" t="n"/>
    </row>
    <row r="508" customFormat="1" s="1916">
      <c r="A508" s="53" t="n"/>
      <c r="B508" s="113" t="n"/>
      <c r="C508" s="2145" t="n"/>
      <c r="D508" s="2145" t="n"/>
      <c r="E508" s="2145" t="n"/>
      <c r="F508" s="53" t="n"/>
      <c r="G508" s="53" t="n"/>
    </row>
    <row r="509" customFormat="1" s="1916">
      <c r="A509" s="53" t="n"/>
      <c r="B509" s="113" t="n"/>
      <c r="C509" s="2145" t="n"/>
      <c r="D509" s="2145" t="n"/>
      <c r="E509" s="2145" t="n"/>
      <c r="F509" s="53" t="n"/>
      <c r="G509" s="53" t="n"/>
    </row>
    <row r="510" customFormat="1" s="1916">
      <c r="A510" s="53" t="n"/>
      <c r="B510" s="113" t="n"/>
      <c r="C510" s="2145" t="n"/>
      <c r="D510" s="2145" t="n"/>
      <c r="E510" s="2145" t="n"/>
      <c r="F510" s="53" t="n"/>
      <c r="G510" s="53" t="n"/>
    </row>
    <row r="511" customFormat="1" s="1916">
      <c r="A511" s="53" t="n"/>
      <c r="B511" s="112" t="n"/>
      <c r="C511" s="2145" t="n"/>
      <c r="D511" s="2145" t="n"/>
      <c r="E511" s="2145" t="n"/>
      <c r="F511" s="53" t="n"/>
      <c r="G511" s="53" t="n"/>
    </row>
    <row r="512" customFormat="1" s="1916">
      <c r="A512" s="53" t="n"/>
      <c r="B512" s="112" t="n"/>
      <c r="C512" s="2145" t="n"/>
      <c r="D512" s="2145" t="n"/>
      <c r="E512" s="2145" t="n"/>
      <c r="F512" s="53" t="n"/>
      <c r="G512" s="53" t="n"/>
    </row>
    <row r="513" customFormat="1" s="1916">
      <c r="A513" s="53" t="n"/>
      <c r="B513" s="112" t="n"/>
      <c r="C513" s="2145" t="n"/>
      <c r="D513" s="2145" t="n"/>
      <c r="E513" s="2149" t="n"/>
      <c r="F513" s="53" t="n"/>
      <c r="G513" s="53" t="n"/>
      <c r="Q513" s="53" t="n"/>
    </row>
    <row r="514" customFormat="1" s="1916">
      <c r="A514" s="53" t="n"/>
      <c r="B514" s="113" t="n"/>
      <c r="C514" s="2145" t="n"/>
      <c r="D514" s="2145" t="n"/>
      <c r="E514" s="2145" t="n"/>
      <c r="F514" s="53" t="n"/>
      <c r="G514" s="53" t="n"/>
      <c r="H514" s="53" t="n"/>
      <c r="J514" s="2154" t="n"/>
      <c r="Q514" s="53" t="n"/>
    </row>
    <row r="515" customFormat="1" s="1916">
      <c r="A515" s="53" t="n"/>
      <c r="B515" s="53" t="n"/>
      <c r="C515" s="2145" t="n"/>
      <c r="D515" s="2145" t="n"/>
      <c r="E515" s="2145" t="n"/>
      <c r="F515" s="2145" t="n"/>
      <c r="G515" s="2145" t="n"/>
      <c r="Q515" s="53" t="n"/>
    </row>
    <row r="516" customFormat="1" s="1916">
      <c r="A516" s="53" t="n"/>
      <c r="B516" s="53" t="n"/>
      <c r="C516" s="2145" t="n"/>
      <c r="D516" s="2145" t="n"/>
      <c r="E516" s="2145" t="n"/>
      <c r="G516" s="540" t="n"/>
      <c r="Q516" s="53" t="n"/>
    </row>
    <row r="517" customFormat="1" s="1916">
      <c r="E517" s="2145" t="n"/>
    </row>
    <row r="518" customFormat="1" s="1916"/>
    <row r="519" customFormat="1" s="1916"/>
    <row r="520" customFormat="1" s="1916">
      <c r="A520" s="53" t="n"/>
      <c r="B520" s="53" t="n"/>
      <c r="C520" s="53" t="n"/>
      <c r="D520" s="53" t="n"/>
      <c r="E520" s="53" t="n"/>
      <c r="O520" s="53" t="n"/>
      <c r="P520" s="53" t="n"/>
      <c r="Q520" s="53" t="n"/>
      <c r="R520" s="53" t="n"/>
      <c r="S520" s="53" t="n"/>
    </row>
    <row r="521" customFormat="1" s="1916">
      <c r="A521" s="53" t="n"/>
      <c r="B521" s="53" t="n"/>
      <c r="C521" s="53" t="n"/>
      <c r="D521" s="53" t="n"/>
      <c r="E521" s="53" t="n"/>
      <c r="F521" s="53" t="n"/>
      <c r="G521" s="53" t="n"/>
      <c r="O521" s="53" t="n"/>
      <c r="P521" s="53" t="n"/>
      <c r="Q521" s="53" t="n"/>
      <c r="R521" s="53" t="n"/>
      <c r="S521" s="2145" t="n"/>
    </row>
    <row r="522" customFormat="1" s="1916">
      <c r="A522" s="53" t="n"/>
      <c r="B522" s="2155" t="n"/>
      <c r="C522" s="2145" t="n"/>
      <c r="D522" s="2145" t="n"/>
      <c r="E522" s="2145" t="n"/>
      <c r="F522" s="2285" t="n"/>
      <c r="G522" s="53" t="n"/>
      <c r="O522" s="53" t="n"/>
      <c r="P522" s="53" t="n"/>
      <c r="Q522" s="2145" t="n"/>
      <c r="R522" s="2145" t="n"/>
      <c r="S522" s="2145" t="n"/>
    </row>
    <row r="523" customFormat="1" s="1916">
      <c r="A523" s="53" t="n"/>
      <c r="B523" s="53" t="n"/>
      <c r="C523" s="2145" t="n"/>
      <c r="D523" s="2145" t="n"/>
      <c r="E523" s="2145" t="n"/>
      <c r="F523" s="53" t="n"/>
      <c r="G523" s="53" t="n"/>
      <c r="O523" s="53" t="n"/>
      <c r="P523" s="53" t="n"/>
      <c r="Q523" s="2145" t="n"/>
      <c r="R523" s="2285" t="n"/>
      <c r="S523" s="2145" t="n"/>
    </row>
    <row r="524" customFormat="1" s="1916">
      <c r="A524" s="53" t="n"/>
      <c r="B524" s="53" t="n"/>
      <c r="C524" s="2145" t="n"/>
      <c r="D524" s="2145" t="n"/>
      <c r="E524" s="2145" t="n"/>
      <c r="F524" s="53" t="n"/>
      <c r="G524" s="53" t="n"/>
      <c r="O524" s="53" t="n"/>
      <c r="P524" s="53" t="n"/>
      <c r="Q524" s="2145" t="n"/>
      <c r="R524" s="2285" t="n"/>
      <c r="S524" s="2145" t="n"/>
    </row>
    <row r="525" customFormat="1" s="1916">
      <c r="A525" s="53" t="n"/>
      <c r="B525" s="53" t="n"/>
      <c r="C525" s="2145" t="n"/>
      <c r="D525" s="2145" t="n"/>
      <c r="E525" s="2145" t="n"/>
      <c r="F525" s="53" t="n"/>
      <c r="G525" s="53" t="n"/>
      <c r="O525" s="53" t="n"/>
      <c r="P525" s="2145" t="n"/>
      <c r="Q525" s="2149" t="n"/>
      <c r="R525" s="53" t="n"/>
      <c r="S525" s="53" t="n"/>
      <c r="T525" s="53" t="n"/>
      <c r="U525" s="53" t="n"/>
      <c r="V525" s="53" t="n"/>
    </row>
    <row r="526" customFormat="1" s="1916">
      <c r="A526" s="53" t="n"/>
      <c r="B526" s="53" t="n"/>
      <c r="C526" s="2145" t="n"/>
      <c r="D526" s="2145" t="n"/>
      <c r="E526" s="2145" t="n"/>
      <c r="F526" s="53" t="n"/>
      <c r="G526" s="53" t="n"/>
      <c r="O526" s="53" t="n"/>
      <c r="P526" s="53" t="n"/>
      <c r="Q526" s="2149" t="n"/>
      <c r="R526" s="53" t="n"/>
      <c r="S526" s="53" t="n"/>
      <c r="T526" s="2145" t="n"/>
      <c r="U526" s="2145" t="n"/>
      <c r="V526" s="53" t="n"/>
    </row>
    <row r="527" customFormat="1" s="1916">
      <c r="A527" s="53" t="n"/>
      <c r="B527" s="53" t="n"/>
      <c r="C527" s="2145" t="n"/>
      <c r="D527" s="2145" t="n"/>
      <c r="E527" s="2145" t="n"/>
      <c r="F527" s="53" t="n"/>
      <c r="G527" s="53" t="n"/>
      <c r="O527" s="53" t="n"/>
      <c r="P527" s="53" t="n"/>
      <c r="Q527" s="2149" t="n"/>
      <c r="R527" s="53" t="n"/>
      <c r="S527" s="53" t="n"/>
      <c r="T527" s="2145" t="n"/>
      <c r="U527" s="2145" t="n"/>
      <c r="V527" s="53" t="n"/>
    </row>
    <row r="528" customFormat="1" s="1916">
      <c r="A528" s="53" t="n"/>
      <c r="B528" s="53" t="n"/>
      <c r="C528" s="2145" t="n"/>
      <c r="D528" s="2145" t="n"/>
      <c r="E528" s="2145" t="n"/>
      <c r="F528" s="53" t="n"/>
      <c r="G528" s="53" t="n"/>
      <c r="O528" s="53" t="n"/>
      <c r="P528" s="53" t="n"/>
      <c r="Q528" s="2149" t="n"/>
      <c r="R528" s="53" t="n"/>
      <c r="S528" s="53" t="n"/>
      <c r="T528" s="2145" t="n"/>
      <c r="U528" s="2145" t="n"/>
      <c r="V528" s="53" t="n"/>
    </row>
    <row r="529" customFormat="1" s="1916">
      <c r="A529" s="53" t="n"/>
      <c r="B529" s="53" t="n"/>
      <c r="C529" s="2145" t="n"/>
      <c r="D529" s="2145" t="n"/>
      <c r="E529" s="2145" t="n"/>
      <c r="F529" s="53" t="n"/>
      <c r="G529" s="53" t="n"/>
      <c r="O529" s="53" t="n"/>
      <c r="P529" s="53" t="n"/>
      <c r="Q529" s="2149" t="n"/>
      <c r="R529" s="53" t="n"/>
      <c r="S529" s="53" t="n"/>
      <c r="T529" s="2145" t="n"/>
      <c r="U529" s="2145" t="n"/>
      <c r="V529" s="53" t="n"/>
    </row>
    <row r="530" customFormat="1" s="1916">
      <c r="A530" s="53" t="n"/>
      <c r="B530" s="53" t="n"/>
      <c r="C530" s="2145" t="n"/>
      <c r="D530" s="2145" t="n"/>
      <c r="E530" s="2145" t="n"/>
      <c r="F530" s="53" t="n"/>
      <c r="G530" s="53" t="n"/>
      <c r="O530" s="53" t="n"/>
      <c r="P530" s="53" t="n"/>
      <c r="Q530" s="2149" t="n"/>
      <c r="R530" s="53" t="n"/>
      <c r="S530" s="53" t="n"/>
      <c r="T530" s="53" t="n"/>
      <c r="U530" s="53" t="n"/>
      <c r="V530" s="53" t="n"/>
    </row>
    <row r="531" customFormat="1" s="1916">
      <c r="A531" s="53" t="n"/>
      <c r="B531" s="53" t="n"/>
      <c r="C531" s="2145" t="n"/>
      <c r="D531" s="2145" t="n"/>
      <c r="E531" s="2145" t="n"/>
      <c r="F531" s="53" t="n"/>
      <c r="G531" s="53" t="n"/>
      <c r="O531" s="53" t="n"/>
      <c r="P531" s="53" t="n"/>
      <c r="Q531" s="2149" t="n"/>
      <c r="R531" s="53" t="n"/>
      <c r="S531" s="53" t="n"/>
      <c r="T531" s="53" t="n"/>
      <c r="U531" s="53" t="n"/>
      <c r="V531" s="53" t="n"/>
    </row>
    <row r="532" customFormat="1" s="1916">
      <c r="A532" s="53" t="n"/>
      <c r="B532" s="53" t="n"/>
      <c r="C532" s="2145" t="n"/>
      <c r="D532" s="2145" t="n"/>
      <c r="E532" s="2145" t="n"/>
      <c r="F532" s="53" t="n"/>
      <c r="G532" s="53" t="n"/>
      <c r="T532" s="53" t="n"/>
      <c r="U532" s="53" t="n"/>
      <c r="V532" s="53" t="n"/>
    </row>
    <row r="533" customFormat="1" s="1916">
      <c r="A533" s="53" t="n"/>
      <c r="B533" s="53" t="n"/>
      <c r="C533" s="2145" t="n"/>
      <c r="D533" s="2145" t="n"/>
      <c r="E533" s="2145" t="n"/>
      <c r="F533" s="53" t="n"/>
      <c r="G533" s="53" t="n"/>
      <c r="T533" s="53" t="n"/>
      <c r="U533" s="53" t="n"/>
      <c r="V533" s="53" t="n"/>
    </row>
    <row r="534" customFormat="1" s="1916">
      <c r="A534" s="53" t="n"/>
      <c r="B534" s="53" t="n"/>
      <c r="C534" s="2145" t="n"/>
      <c r="D534" s="2145" t="n"/>
      <c r="E534" s="2145" t="n"/>
      <c r="F534" s="2285" t="n"/>
      <c r="G534" s="53" t="n"/>
      <c r="T534" s="53" t="n"/>
      <c r="U534" s="53" t="n"/>
      <c r="V534" s="53" t="n"/>
    </row>
    <row r="535" customFormat="1" s="1916">
      <c r="A535" s="53" t="n"/>
      <c r="B535" s="53" t="n"/>
      <c r="C535" s="2145" t="n"/>
      <c r="D535" s="2145" t="n"/>
      <c r="E535" s="2145" t="n"/>
      <c r="F535" s="53" t="n"/>
      <c r="G535" s="53" t="n"/>
      <c r="T535" s="53" t="n"/>
      <c r="U535" s="53" t="n"/>
      <c r="V535" s="53" t="n"/>
    </row>
    <row r="536" customFormat="1" s="1916">
      <c r="A536" s="53" t="n"/>
      <c r="B536" s="53" t="n"/>
      <c r="C536" s="2145" t="n"/>
      <c r="D536" s="2145" t="n"/>
      <c r="E536" s="2145" t="n"/>
      <c r="F536" s="53" t="n"/>
      <c r="G536" s="53" t="n"/>
      <c r="T536" s="53" t="n"/>
      <c r="U536" s="53" t="n"/>
      <c r="V536" s="53" t="n"/>
    </row>
    <row r="537" customFormat="1" s="1916">
      <c r="A537" s="53" t="n"/>
      <c r="B537" s="53" t="n"/>
      <c r="C537" s="2145" t="n"/>
      <c r="D537" s="2145" t="n"/>
      <c r="E537" s="2145" t="n"/>
      <c r="F537" s="53" t="n"/>
      <c r="G537" s="53" t="n"/>
    </row>
    <row r="538" customFormat="1" s="1916">
      <c r="A538" s="53" t="n"/>
      <c r="B538" s="53" t="n"/>
      <c r="C538" s="2145" t="n"/>
      <c r="D538" s="2145" t="n"/>
      <c r="E538" s="2145" t="n"/>
      <c r="F538" s="53" t="n"/>
      <c r="G538" s="53" t="n"/>
    </row>
    <row r="539" customFormat="1" s="1916">
      <c r="A539" s="103" t="n"/>
      <c r="B539" s="103" t="n"/>
      <c r="C539" s="2147" t="n"/>
      <c r="D539" s="2147" t="n"/>
      <c r="E539" s="2147" t="n"/>
      <c r="F539" s="53" t="n"/>
      <c r="G539" s="53" t="n"/>
    </row>
    <row r="540" customFormat="1" s="1916">
      <c r="A540" s="103" t="n"/>
      <c r="B540" s="105" t="n"/>
      <c r="C540" s="2147" t="n"/>
      <c r="D540" s="2147" t="n"/>
      <c r="E540" s="2147" t="n"/>
      <c r="F540" s="53" t="n"/>
      <c r="G540" s="53" t="n"/>
    </row>
    <row r="541" customFormat="1" s="1916">
      <c r="A541" s="103" t="n"/>
      <c r="B541" s="103" t="n"/>
      <c r="C541" s="2147" t="n"/>
      <c r="D541" s="2147" t="n"/>
      <c r="E541" s="2147" t="n"/>
      <c r="F541" s="53" t="n"/>
      <c r="G541" s="53" t="n"/>
    </row>
    <row r="542" customFormat="1" s="1916">
      <c r="A542" s="103" t="n"/>
      <c r="B542" s="105" t="n"/>
      <c r="C542" s="2147" t="n"/>
      <c r="D542" s="2147" t="n"/>
      <c r="E542" s="2147" t="n"/>
      <c r="F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</row>
    <row r="543" customFormat="1" s="1916">
      <c r="A543" s="53" t="n"/>
      <c r="B543" s="53" t="n"/>
      <c r="C543" s="2145" t="n"/>
      <c r="D543" s="2145" t="n"/>
      <c r="E543" s="2145" t="n"/>
      <c r="F543" s="53" t="n"/>
      <c r="H543" s="53" t="n"/>
      <c r="I543" s="53" t="n"/>
      <c r="J543" s="53" t="n"/>
      <c r="K543" s="106" t="n"/>
      <c r="L543" s="106" t="n"/>
      <c r="M543" s="106" t="n"/>
      <c r="N543" s="106" t="n"/>
      <c r="O543" s="106" t="n"/>
    </row>
    <row r="544" customFormat="1" s="1916">
      <c r="A544" s="3" t="n"/>
      <c r="B544" s="2285" t="n"/>
      <c r="C544" s="3" t="n"/>
      <c r="D544" s="3" t="n"/>
      <c r="E544" s="2285" t="n"/>
      <c r="F544" s="107" t="n"/>
      <c r="H544" s="53" t="n"/>
      <c r="I544" s="540" t="n"/>
      <c r="J544" s="53" t="n"/>
      <c r="K544" s="106" t="n"/>
      <c r="L544" s="106" t="n"/>
      <c r="M544" s="106" t="n"/>
      <c r="N544" s="106" t="n"/>
      <c r="O544" s="106" t="n"/>
    </row>
    <row r="545" customFormat="1" s="1916">
      <c r="A545" s="53" t="n"/>
      <c r="B545" s="53" t="n"/>
      <c r="C545" s="53" t="n"/>
      <c r="D545" s="53" t="n"/>
      <c r="E545" s="53" t="n"/>
      <c r="F545" s="107" t="n"/>
      <c r="H545" s="53" t="n"/>
      <c r="I545" s="53" t="n"/>
      <c r="J545" s="53" t="n"/>
      <c r="K545" s="2145" t="n"/>
      <c r="L545" s="2145" t="n"/>
      <c r="M545" s="2145" t="n"/>
      <c r="N545" s="2145" t="n"/>
      <c r="O545" s="53" t="n"/>
    </row>
    <row r="546" customFormat="1" s="1916">
      <c r="A546" s="53" t="n"/>
      <c r="B546" s="53" t="n"/>
      <c r="C546" s="53" t="n"/>
      <c r="D546" s="53" t="n"/>
      <c r="E546" s="106" t="n"/>
      <c r="F546" s="106" t="n"/>
      <c r="H546" s="53" t="n"/>
      <c r="I546" s="93" t="n"/>
      <c r="J546" s="2145" t="n"/>
      <c r="K546" s="2145" t="n"/>
      <c r="L546" s="2145" t="n"/>
      <c r="M546" s="2145" t="n"/>
      <c r="N546" s="2145" t="n"/>
      <c r="O546" s="106" t="n"/>
    </row>
    <row r="547" customFormat="1" s="1916">
      <c r="A547" s="53" t="n"/>
      <c r="B547" s="53" t="n"/>
      <c r="C547" s="53" t="n"/>
      <c r="D547" s="53" t="n"/>
      <c r="E547" s="53" t="n"/>
      <c r="F547" s="53" t="n"/>
      <c r="H547" s="53" t="n"/>
      <c r="I547" s="93" t="n"/>
      <c r="J547" s="2145" t="n"/>
      <c r="K547" s="2145" t="n"/>
      <c r="L547" s="2145" t="n"/>
      <c r="M547" s="2145" t="n"/>
      <c r="N547" s="2145" t="n"/>
      <c r="O547" s="53" t="n"/>
    </row>
    <row r="548" customFormat="1" s="1916">
      <c r="A548" s="53" t="n"/>
      <c r="B548" s="53" t="n"/>
      <c r="C548" s="53" t="n"/>
      <c r="D548" s="53" t="n"/>
      <c r="E548" s="106" t="n"/>
      <c r="F548" s="106" t="n"/>
      <c r="H548" s="53" t="n"/>
      <c r="I548" s="93" t="n"/>
      <c r="J548" s="2145" t="n"/>
      <c r="K548" s="2145" t="n"/>
      <c r="L548" s="2145" t="n"/>
      <c r="M548" s="2145" t="n"/>
      <c r="N548" s="2145" t="n"/>
      <c r="O548" s="106" t="n"/>
    </row>
    <row r="549" customFormat="1" s="1916">
      <c r="A549" s="53" t="n"/>
      <c r="B549" s="53" t="n"/>
      <c r="C549" s="53" t="n"/>
      <c r="D549" s="53" t="n"/>
      <c r="E549" s="2286" t="n"/>
      <c r="F549" s="2286" t="n"/>
      <c r="G549" s="53" t="n"/>
      <c r="H549" s="103" t="n"/>
      <c r="I549" s="103" t="n"/>
      <c r="J549" s="2147" t="n"/>
      <c r="K549" s="2147" t="n"/>
      <c r="L549" s="2147" t="n"/>
      <c r="M549" s="2145" t="n"/>
      <c r="N549" s="2145" t="n"/>
      <c r="O549" s="106" t="n"/>
    </row>
    <row r="550" customFormat="1" s="1916">
      <c r="A550" s="53" t="n"/>
      <c r="B550" s="53" t="n"/>
      <c r="C550" s="2145" t="n"/>
      <c r="D550" s="2145" t="n"/>
      <c r="E550" s="2145" t="n"/>
      <c r="F550" s="2145" t="n"/>
      <c r="G550" s="53" t="n"/>
      <c r="H550" s="53" t="n"/>
      <c r="I550" s="53" t="n"/>
    </row>
    <row r="551" customFormat="1" s="1916">
      <c r="A551" s="53" t="n"/>
      <c r="B551" s="53" t="n"/>
      <c r="C551" s="53" t="n"/>
      <c r="D551" s="53" t="n"/>
      <c r="E551" s="2145" t="n"/>
      <c r="F551" s="53" t="n"/>
      <c r="G551" s="53" t="n"/>
      <c r="H551" s="110" t="n"/>
      <c r="I551" s="53" t="n"/>
      <c r="J551" s="53" t="n"/>
      <c r="K551" s="2145" t="n"/>
      <c r="L551" s="2145" t="n"/>
      <c r="M551" s="2145" t="n"/>
      <c r="N551" s="2145" t="n"/>
    </row>
    <row r="552" customFormat="1" s="1916">
      <c r="A552" s="53" t="n"/>
      <c r="B552" s="93" t="n"/>
      <c r="C552" s="2145" t="n"/>
      <c r="D552" s="2145" t="n"/>
      <c r="E552" s="2145" t="n"/>
      <c r="F552" s="53" t="n"/>
      <c r="G552" s="53" t="n"/>
      <c r="H552" s="2285" t="n"/>
      <c r="I552" s="93" t="n"/>
      <c r="J552" s="2145" t="n"/>
      <c r="K552" s="2145" t="n"/>
      <c r="L552" s="2145" t="n"/>
      <c r="M552" s="2145" t="n"/>
      <c r="N552" s="2145" t="n"/>
    </row>
    <row r="553" customFormat="1" s="1916">
      <c r="A553" s="53" t="n"/>
      <c r="B553" s="93" t="n"/>
      <c r="C553" s="2145" t="n"/>
      <c r="D553" s="2145" t="n"/>
      <c r="E553" s="2145" t="n"/>
      <c r="F553" s="53" t="n"/>
      <c r="G553" s="53" t="n"/>
      <c r="H553" s="53" t="n"/>
      <c r="I553" s="93" t="n"/>
      <c r="J553" s="2145" t="n"/>
      <c r="K553" s="2145" t="n"/>
      <c r="L553" s="2145" t="n"/>
      <c r="M553" s="2145" t="n"/>
      <c r="N553" s="2145" t="n"/>
    </row>
    <row r="554" customFormat="1" s="1916">
      <c r="A554" s="53" t="n"/>
      <c r="B554" s="93" t="n"/>
      <c r="C554" s="2145" t="n"/>
      <c r="D554" s="2145" t="n"/>
      <c r="E554" s="2145" t="n"/>
      <c r="F554" s="53" t="n"/>
      <c r="G554" s="53" t="n"/>
      <c r="H554" s="53" t="n"/>
      <c r="I554" s="93" t="n"/>
      <c r="J554" s="2145" t="n"/>
      <c r="K554" s="2145" t="n"/>
      <c r="L554" s="2145" t="n"/>
      <c r="M554" s="2145" t="n"/>
      <c r="N554" s="2145" t="n"/>
    </row>
    <row r="555" customFormat="1" s="1916">
      <c r="A555" s="53" t="n"/>
      <c r="B555" s="93" t="n"/>
      <c r="C555" s="2145" t="n"/>
      <c r="D555" s="2145" t="n"/>
      <c r="E555" s="2145" t="n"/>
      <c r="F555" s="111" t="n"/>
      <c r="G555" s="53" t="n"/>
      <c r="H555" s="53" t="n"/>
      <c r="I555" s="93" t="n"/>
      <c r="J555" s="2145" t="n"/>
      <c r="K555" s="2145" t="n"/>
      <c r="L555" s="2145" t="n"/>
      <c r="M555" s="2145" t="n"/>
      <c r="N555" s="2145" t="n"/>
    </row>
    <row r="556" customFormat="1" s="1916">
      <c r="A556" s="53" t="n"/>
      <c r="B556" s="93" t="n"/>
      <c r="C556" s="2145" t="n"/>
      <c r="D556" s="2145" t="n"/>
      <c r="E556" s="2145" t="n"/>
      <c r="F556" s="111" t="n"/>
      <c r="G556" s="53" t="n"/>
      <c r="H556" s="53" t="n"/>
      <c r="I556" s="93" t="n"/>
      <c r="J556" s="2145" t="n"/>
      <c r="K556" s="2145" t="n"/>
      <c r="L556" s="2145" t="n"/>
      <c r="M556" s="2145" t="n"/>
      <c r="N556" s="2145" t="n"/>
    </row>
    <row r="557" customFormat="1" s="1916">
      <c r="A557" s="53" t="n"/>
      <c r="B557" s="93" t="n"/>
      <c r="C557" s="2145" t="n"/>
      <c r="D557" s="2145" t="n"/>
      <c r="E557" s="2145" t="n"/>
      <c r="F557" s="53" t="n"/>
      <c r="G557" s="53" t="n"/>
      <c r="H557" s="53" t="n"/>
      <c r="I557" s="93" t="n"/>
      <c r="J557" s="2145" t="n"/>
      <c r="K557" s="2145" t="n"/>
      <c r="L557" s="2145" t="n"/>
      <c r="M557" s="2145" t="n"/>
      <c r="N557" s="2145" t="n"/>
    </row>
    <row r="558" customFormat="1" s="1916">
      <c r="A558" s="53" t="n"/>
      <c r="B558" s="93" t="n"/>
      <c r="C558" s="2145" t="n"/>
      <c r="D558" s="2145" t="n"/>
      <c r="E558" s="2145" t="n"/>
      <c r="F558" s="53" t="n"/>
      <c r="G558" s="53" t="n"/>
      <c r="H558" s="53" t="n"/>
      <c r="I558" s="93" t="n"/>
      <c r="J558" s="2145" t="n"/>
      <c r="K558" s="2145" t="n"/>
      <c r="L558" s="2145" t="n"/>
      <c r="M558" s="2145" t="n"/>
      <c r="N558" s="2145" t="n"/>
    </row>
    <row r="559" customFormat="1" s="1916">
      <c r="A559" s="103" t="n"/>
      <c r="B559" s="103" t="n"/>
      <c r="C559" s="2147" t="n"/>
      <c r="D559" s="2147" t="n"/>
      <c r="E559" s="2147" t="n"/>
      <c r="F559" s="53" t="n"/>
      <c r="G559" s="53" t="n"/>
      <c r="H559" s="103" t="n"/>
      <c r="I559" s="103" t="n"/>
      <c r="J559" s="2147" t="n"/>
      <c r="K559" s="2147" t="n"/>
      <c r="L559" s="2147" t="n"/>
      <c r="M559" s="2147" t="n"/>
      <c r="N559" s="2147" t="n"/>
    </row>
    <row r="560" customFormat="1" s="1916">
      <c r="A560" s="53" t="n"/>
      <c r="B560" s="53" t="n"/>
      <c r="C560" s="2145" t="n"/>
      <c r="D560" s="2145" t="n"/>
      <c r="E560" s="2145" t="n"/>
      <c r="F560" s="53" t="n"/>
      <c r="G560" s="53" t="n"/>
    </row>
    <row r="561" customFormat="1" s="1916">
      <c r="A561" s="53" t="n"/>
      <c r="B561" s="53" t="n"/>
      <c r="C561" s="2145" t="n"/>
      <c r="D561" s="2145" t="n"/>
      <c r="E561" s="2147" t="n"/>
      <c r="F561" s="53" t="n"/>
      <c r="G561" s="53" t="n"/>
    </row>
    <row r="562" customFormat="1" s="1916">
      <c r="A562" s="53" t="n"/>
      <c r="B562" s="53" t="n"/>
      <c r="C562" s="2145" t="n"/>
      <c r="D562" s="2145" t="n"/>
      <c r="E562" s="2145" t="n"/>
      <c r="F562" s="53" t="n"/>
      <c r="G562" s="53" t="n"/>
    </row>
    <row r="563" customFormat="1" s="1916">
      <c r="A563" s="53" t="n"/>
      <c r="B563" s="53" t="n"/>
      <c r="C563" s="2145" t="n"/>
      <c r="D563" s="2145" t="n"/>
      <c r="E563" s="2145" t="n"/>
      <c r="F563" s="53" t="n"/>
      <c r="G563" s="53" t="n"/>
    </row>
    <row r="564" customFormat="1" s="1916">
      <c r="A564" s="53" t="n"/>
      <c r="B564" s="112" t="n"/>
      <c r="C564" s="2145" t="n"/>
      <c r="D564" s="2145" t="n"/>
      <c r="E564" s="2145" t="n"/>
      <c r="F564" s="53" t="n"/>
      <c r="G564" s="53" t="n"/>
    </row>
    <row r="565" customFormat="1" s="1916">
      <c r="A565" s="53" t="n"/>
      <c r="B565" s="112" t="n"/>
      <c r="C565" s="2145" t="n"/>
      <c r="D565" s="2145" t="n"/>
      <c r="E565" s="2145" t="n"/>
      <c r="F565" s="53" t="n"/>
      <c r="G565" s="53" t="n"/>
    </row>
    <row r="566" customFormat="1" s="1916">
      <c r="A566" s="53" t="n"/>
      <c r="B566" s="113" t="n"/>
      <c r="C566" s="2145" t="n"/>
      <c r="D566" s="2145" t="n"/>
      <c r="E566" s="2145" t="n"/>
      <c r="F566" s="53" t="n"/>
      <c r="G566" s="53" t="n"/>
    </row>
    <row r="567" customFormat="1" s="1916">
      <c r="A567" s="53" t="n"/>
      <c r="B567" s="113" t="n"/>
      <c r="C567" s="2145" t="n"/>
      <c r="D567" s="2145" t="n"/>
      <c r="E567" s="2145" t="n"/>
      <c r="F567" s="53" t="n"/>
      <c r="G567" s="53" t="n"/>
    </row>
    <row r="568" customFormat="1" s="1916">
      <c r="A568" s="53" t="n"/>
      <c r="B568" s="113" t="n"/>
      <c r="C568" s="2145" t="n"/>
      <c r="D568" s="2145" t="n"/>
      <c r="E568" s="2145" t="n"/>
      <c r="F568" s="53" t="n"/>
      <c r="G568" s="53" t="n"/>
    </row>
    <row r="569" customFormat="1" s="1916">
      <c r="A569" s="53" t="n"/>
      <c r="B569" s="113" t="n"/>
      <c r="C569" s="2145" t="n"/>
      <c r="D569" s="2145" t="n"/>
      <c r="E569" s="2145" t="n"/>
      <c r="F569" s="53" t="n"/>
      <c r="G569" s="53" t="n"/>
    </row>
    <row r="570" customFormat="1" s="1916">
      <c r="A570" s="53" t="n"/>
      <c r="B570" s="112" t="n"/>
      <c r="C570" s="2145" t="n"/>
      <c r="D570" s="2145" t="n"/>
      <c r="E570" s="2145" t="n"/>
      <c r="F570" s="53" t="n"/>
      <c r="G570" s="53" t="n"/>
    </row>
    <row r="571" customFormat="1" s="1916">
      <c r="A571" s="53" t="n"/>
      <c r="B571" s="112" t="n"/>
      <c r="C571" s="2145" t="n"/>
      <c r="D571" s="2145" t="n"/>
      <c r="E571" s="2145" t="n"/>
      <c r="F571" s="53" t="n"/>
      <c r="G571" s="53" t="n"/>
    </row>
    <row r="572" customFormat="1" s="1916">
      <c r="A572" s="53" t="n"/>
      <c r="B572" s="112" t="n"/>
      <c r="C572" s="2145" t="n"/>
      <c r="D572" s="2145" t="n"/>
      <c r="E572" s="2149" t="n"/>
      <c r="F572" s="53" t="n"/>
      <c r="G572" s="53" t="n"/>
      <c r="Q572" s="53" t="n"/>
    </row>
    <row r="573" customFormat="1" s="1916">
      <c r="A573" s="53" t="n"/>
      <c r="B573" s="113" t="n"/>
      <c r="C573" s="2145" t="n"/>
      <c r="D573" s="2145" t="n"/>
      <c r="E573" s="2145" t="n"/>
      <c r="F573" s="53" t="n"/>
      <c r="G573" s="53" t="n"/>
      <c r="H573" s="53" t="n"/>
      <c r="J573" s="2154" t="n"/>
      <c r="Q573" s="53" t="n"/>
    </row>
    <row r="574" customFormat="1" s="1916">
      <c r="A574" s="53" t="n"/>
      <c r="B574" s="53" t="n"/>
      <c r="C574" s="2145" t="n"/>
      <c r="D574" s="2145" t="n"/>
      <c r="E574" s="2145" t="n"/>
      <c r="F574" s="2145" t="n"/>
      <c r="G574" s="2145" t="n"/>
      <c r="Q574" s="53" t="n"/>
    </row>
    <row r="575" customFormat="1" s="1916">
      <c r="A575" s="53" t="n"/>
      <c r="B575" s="53" t="n"/>
      <c r="C575" s="2145" t="n"/>
      <c r="D575" s="2145" t="n"/>
      <c r="E575" s="2145" t="n"/>
      <c r="G575" s="540" t="n"/>
      <c r="Q575" s="53" t="n"/>
    </row>
    <row r="576" customFormat="1" s="1916">
      <c r="E576" s="2145" t="n"/>
    </row>
    <row r="577" customFormat="1" s="1916"/>
    <row r="578" customFormat="1" s="1916"/>
    <row r="579" customFormat="1" s="1916"/>
    <row r="580" customFormat="1" s="1916"/>
    <row r="581" customFormat="1" s="1916"/>
    <row r="582" customFormat="1" s="1916"/>
    <row r="583" customFormat="1" s="1916"/>
    <row r="584">
      <c r="T584" s="1916" t="n"/>
      <c r="U584" s="1916" t="n"/>
      <c r="V584" s="1916" t="n"/>
      <c r="W584" s="191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5">
    <mergeCell ref="G43:G44"/>
    <mergeCell ref="H8:I8"/>
    <mergeCell ref="H47:I47"/>
    <mergeCell ref="J8:K8"/>
    <mergeCell ref="F8:G8"/>
  </mergeCells>
  <conditionalFormatting sqref="A80">
    <cfRule type="expression" priority="4" dxfId="4">
      <formula>$D$8="yes"</formula>
    </cfRule>
  </conditionalFormatting>
  <conditionalFormatting sqref="A80:B80">
    <cfRule type="expression" priority="1" dxfId="4">
      <formula>$D$6="yes"</formula>
    </cfRule>
  </conditionalFormatting>
  <conditionalFormatting sqref="D7">
    <cfRule type="cellIs" priority="7" operator="equal" dxfId="2">
      <formula>"Yes"</formula>
    </cfRule>
  </conditionalFormatting>
  <conditionalFormatting sqref="D8">
    <cfRule type="containsText" priority="13" operator="containsText" dxfId="10" text="Yes">
      <formula>NOT(ISERROR(SEARCH("Yes",D8)))</formula>
    </cfRule>
  </conditionalFormatting>
  <conditionalFormatting sqref="E43">
    <cfRule type="cellIs" priority="6" operator="equal" dxfId="9" stopIfTrue="1">
      <formula>"PW"</formula>
    </cfRule>
  </conditionalFormatting>
  <conditionalFormatting sqref="E80">
    <cfRule type="expression" priority="5" dxfId="4">
      <formula>$D$6="yes"</formula>
    </cfRule>
  </conditionalFormatting>
  <conditionalFormatting sqref="F43">
    <cfRule type="containsText" priority="8" operator="containsText" dxfId="2" text="10 hour days">
      <formula>NOT(ISERROR(SEARCH("10 hour days",F43)))</formula>
    </cfRule>
    <cfRule type="containsText" priority="9" operator="containsText" dxfId="4" text="8 hour days">
      <formula>NOT(ISERROR(SEARCH("8 hour days",F43)))</formula>
    </cfRule>
    <cfRule type="containsText" priority="10" operator="containsText" dxfId="2" text="10 hour days">
      <formula>NOT(ISERROR(SEARCH("10 hour days",F43)))</formula>
    </cfRule>
    <cfRule type="containsText" priority="11" operator="containsText" dxfId="4" text="8 hour days">
      <formula>NOT(ISERROR(SEARCH("8 hour days",F43)))</formula>
    </cfRule>
  </conditionalFormatting>
  <conditionalFormatting sqref="G88">
    <cfRule type="containsText" priority="14" operator="containsText" dxfId="2" text="owner">
      <formula>NOT(ISERROR(SEARCH("owner",G88)))</formula>
    </cfRule>
  </conditionalFormatting>
  <conditionalFormatting sqref="H74">
    <cfRule type="cellIs" priority="2" operator="lessThan" dxfId="2">
      <formula>0</formula>
    </cfRule>
    <cfRule type="cellIs" priority="3" operator="greaterThanOrEqual" dxfId="1">
      <formula>0</formula>
    </cfRule>
  </conditionalFormatting>
  <conditionalFormatting sqref="H39:I39">
    <cfRule type="cellIs" priority="12" operator="notEqual" dxfId="0">
      <formula>FALSE</formula>
    </cfRule>
  </conditionalFormatting>
  <dataValidations disablePrompts="1" count="3">
    <dataValidation sqref="G11 I11 K11" showDropDown="0" showInputMessage="1" showErrorMessage="1" allowBlank="1" type="list">
      <formula1>$P$52:$P$54</formula1>
    </dataValidation>
    <dataValidation sqref="A36" showDropDown="0" showInputMessage="1" showErrorMessage="1" allowBlank="1" type="list">
      <formula1>$O$36:$O$44</formula1>
    </dataValidation>
    <dataValidation sqref="G10 I10 K10" showDropDown="0" showInputMessage="1" showErrorMessage="1" allowBlank="1" type="list">
      <formula1>$W$51:$W$62</formula1>
    </dataValidation>
  </dataValidations>
  <hyperlinks>
    <hyperlink xmlns:r="http://schemas.openxmlformats.org/officeDocument/2006/relationships" ref="A80" r:id="rId1"/>
  </hyperlinks>
  <pageMargins left="0.75" right="0.75" top="0.5" bottom="0.25" header="0.5" footer="0.5"/>
  <pageSetup orientation="portrait" scale="61" horizontalDpi="4294967292" verticalDpi="4294967292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3"/>
  <sheetViews>
    <sheetView topLeftCell="A8" workbookViewId="0">
      <selection activeCell="A25" sqref="A25"/>
    </sheetView>
  </sheetViews>
  <sheetFormatPr baseColWidth="8" defaultColWidth="11.19921875" defaultRowHeight="15.6"/>
  <cols>
    <col width="21.69921875" customWidth="1" min="1" max="1"/>
    <col width="36.5" customWidth="1" min="2" max="2"/>
    <col width="13.796875" customWidth="1" min="3" max="3"/>
    <col width="88.19921875" customWidth="1" min="4" max="4"/>
  </cols>
  <sheetData>
    <row r="1" ht="15" customHeight="1">
      <c r="A1" s="1917" t="inlineStr">
        <is>
          <t>Drawings</t>
        </is>
      </c>
      <c r="B1" s="180" t="n"/>
      <c r="C1" s="180" t="n"/>
      <c r="D1" s="180" t="n"/>
      <c r="Z1" s="387" t="n"/>
    </row>
    <row r="2" ht="13.05" customHeight="1">
      <c r="A2" s="49" t="inlineStr">
        <is>
          <t>Drawing</t>
        </is>
      </c>
      <c r="B2" s="50" t="inlineStr">
        <is>
          <t xml:space="preserve"> Description</t>
        </is>
      </c>
      <c r="C2" s="50" t="inlineStr">
        <is>
          <t>Page #</t>
        </is>
      </c>
      <c r="D2" s="50" t="inlineStr">
        <is>
          <t>Notes</t>
        </is>
      </c>
      <c r="Z2" s="388" t="n"/>
    </row>
    <row r="3">
      <c r="A3" s="58" t="n"/>
      <c r="B3" s="63" t="n"/>
      <c r="C3" s="62" t="n"/>
      <c r="D3" s="61" t="n"/>
      <c r="Z3" s="389" t="n"/>
    </row>
    <row r="4">
      <c r="A4" s="58" t="n"/>
      <c r="B4" s="61" t="n"/>
      <c r="C4" s="62" t="n"/>
      <c r="D4" s="61" t="n"/>
      <c r="Z4" s="390" t="n"/>
    </row>
    <row r="5">
      <c r="A5" s="58" t="n"/>
      <c r="B5" s="61" t="n"/>
      <c r="C5" s="62" t="n"/>
      <c r="D5" s="61" t="n"/>
      <c r="Z5" s="391" t="n"/>
    </row>
    <row r="6">
      <c r="A6" s="58" t="n"/>
      <c r="B6" s="61" t="n"/>
      <c r="C6" s="62" t="n"/>
      <c r="D6" s="61" t="n"/>
      <c r="Z6" s="392" t="n"/>
    </row>
    <row r="7">
      <c r="A7" s="58" t="n"/>
      <c r="B7" s="61" t="n"/>
      <c r="C7" s="62" t="n"/>
      <c r="D7" s="61" t="n"/>
      <c r="Z7" s="448" t="n"/>
    </row>
    <row r="8">
      <c r="A8" s="58" t="n"/>
      <c r="B8" s="61" t="n"/>
      <c r="C8" s="62" t="n"/>
      <c r="D8" s="61" t="n"/>
      <c r="Z8" s="543" t="n"/>
    </row>
    <row r="9">
      <c r="A9" s="58" t="n"/>
      <c r="B9" s="63" t="n"/>
      <c r="C9" s="62" t="n"/>
      <c r="D9" s="61" t="n"/>
    </row>
    <row r="10">
      <c r="A10" s="58" t="n"/>
      <c r="B10" s="61" t="n"/>
      <c r="C10" s="62" t="n"/>
      <c r="D10" s="61" t="n"/>
    </row>
    <row r="11">
      <c r="A11" s="60" t="n"/>
      <c r="B11" s="59" t="n"/>
      <c r="C11" s="60" t="n"/>
      <c r="D11" s="59" t="n"/>
    </row>
    <row r="12" ht="16.05" customHeight="1">
      <c r="A12" s="1917" t="inlineStr">
        <is>
          <t>Specifications</t>
        </is>
      </c>
      <c r="B12" s="180" t="n"/>
      <c r="C12" s="180" t="n"/>
      <c r="D12" s="180" t="n"/>
    </row>
    <row r="13" ht="13.05" customHeight="1">
      <c r="A13" s="49" t="inlineStr">
        <is>
          <t>Section</t>
        </is>
      </c>
      <c r="B13" s="50" t="inlineStr">
        <is>
          <t>Description</t>
        </is>
      </c>
      <c r="C13" s="50" t="inlineStr">
        <is>
          <t>Page #</t>
        </is>
      </c>
      <c r="D13" s="50" t="inlineStr">
        <is>
          <t>Notes</t>
        </is>
      </c>
    </row>
    <row r="14">
      <c r="A14" s="58" t="n"/>
      <c r="B14" s="63" t="n"/>
      <c r="C14" s="62" t="n"/>
      <c r="D14" s="61" t="n"/>
    </row>
    <row r="15">
      <c r="A15" s="58" t="n"/>
      <c r="B15" s="63" t="n"/>
      <c r="C15" s="62" t="n"/>
      <c r="D15" s="61" t="n"/>
    </row>
    <row r="16">
      <c r="A16" s="58" t="n"/>
      <c r="B16" s="63" t="n"/>
      <c r="C16" s="62" t="n"/>
      <c r="D16" s="61" t="n"/>
    </row>
    <row r="17">
      <c r="A17" s="58" t="n"/>
      <c r="B17" s="61" t="n"/>
      <c r="C17" s="62" t="n"/>
      <c r="D17" s="61" t="n"/>
    </row>
    <row r="18">
      <c r="A18" s="58" t="n"/>
      <c r="B18" s="63" t="n"/>
      <c r="C18" s="62" t="n"/>
      <c r="D18" s="61" t="n"/>
    </row>
    <row r="19">
      <c r="A19" s="58" t="n"/>
      <c r="B19" s="61" t="n"/>
      <c r="C19" s="62" t="n"/>
      <c r="D19" s="61" t="n"/>
    </row>
    <row r="20">
      <c r="A20" s="58" t="n"/>
      <c r="B20" s="61" t="n"/>
      <c r="C20" s="62" t="n"/>
      <c r="D20" s="61" t="n"/>
    </row>
    <row r="21">
      <c r="A21" s="60" t="n"/>
      <c r="B21" s="59" t="n"/>
      <c r="C21" s="60" t="n"/>
      <c r="D21" s="59" t="n"/>
    </row>
    <row r="22">
      <c r="A22" s="60" t="n"/>
      <c r="B22" s="59" t="n"/>
      <c r="C22" s="60" t="n"/>
      <c r="D22" s="59" t="n"/>
    </row>
    <row r="23" ht="16.05" customHeight="1">
      <c r="A23" s="1917" t="inlineStr">
        <is>
          <t>Addenda</t>
        </is>
      </c>
      <c r="B23" s="180" t="n"/>
      <c r="C23" s="180" t="n"/>
      <c r="D23" s="180" t="n"/>
    </row>
    <row r="24" ht="13.05" customHeight="1">
      <c r="A24" s="49" t="inlineStr">
        <is>
          <t>#</t>
        </is>
      </c>
      <c r="B24" s="2508" t="inlineStr">
        <is>
          <t>Impact to Scope</t>
        </is>
      </c>
      <c r="C24" s="2350" t="n"/>
      <c r="D24" s="237" t="n"/>
    </row>
    <row r="25">
      <c r="A25" s="58" t="n"/>
      <c r="B25" s="2509" t="n"/>
      <c r="C25" s="2350" t="n"/>
      <c r="D25" s="237" t="n"/>
    </row>
    <row r="26">
      <c r="A26" s="58" t="n"/>
      <c r="B26" s="2509" t="n"/>
      <c r="C26" s="2350" t="n"/>
      <c r="D26" s="237" t="n"/>
    </row>
    <row r="27">
      <c r="A27" s="58" t="n"/>
      <c r="B27" s="2509" t="n"/>
      <c r="C27" s="2350" t="n"/>
      <c r="D27" s="237" t="n"/>
    </row>
    <row r="28">
      <c r="A28" s="58" t="n"/>
      <c r="B28" s="2509" t="n"/>
      <c r="C28" s="2350" t="n"/>
      <c r="D28" s="237" t="n"/>
    </row>
    <row r="29">
      <c r="A29" s="58" t="n"/>
      <c r="B29" s="2509" t="n"/>
      <c r="C29" s="2350" t="n"/>
      <c r="D29" s="237" t="n"/>
    </row>
    <row r="30">
      <c r="A30" s="58" t="n"/>
      <c r="B30" s="2509" t="n"/>
      <c r="C30" s="2350" t="n"/>
      <c r="D30" s="237" t="n"/>
    </row>
    <row r="31">
      <c r="A31" s="58" t="n"/>
      <c r="B31" s="2509" t="n"/>
      <c r="C31" s="2350" t="n"/>
      <c r="D31" s="237" t="n"/>
    </row>
    <row r="32">
      <c r="A32" s="58" t="n"/>
      <c r="B32" s="2509" t="n"/>
      <c r="C32" s="2350" t="n"/>
      <c r="D32" s="237" t="n"/>
    </row>
    <row r="33">
      <c r="A33" s="58" t="n"/>
      <c r="B33" s="2509" t="n"/>
      <c r="C33" s="2350" t="n"/>
      <c r="D33" s="237" t="n"/>
    </row>
    <row r="34">
      <c r="A34" s="58" t="n"/>
      <c r="B34" s="2509" t="n"/>
      <c r="C34" s="2350" t="n"/>
      <c r="D34" s="237" t="n"/>
    </row>
    <row r="35">
      <c r="A35" s="58" t="n"/>
      <c r="B35" s="2509" t="n"/>
      <c r="C35" s="2350" t="n"/>
      <c r="D35" s="237" t="n"/>
    </row>
    <row r="36">
      <c r="A36" s="58" t="n"/>
      <c r="B36" s="2509" t="n"/>
      <c r="C36" s="2350" t="n"/>
      <c r="D36" s="237" t="n"/>
    </row>
    <row r="37">
      <c r="A37" s="58" t="n"/>
      <c r="B37" s="2509" t="n"/>
      <c r="C37" s="2350" t="n"/>
      <c r="D37" s="237" t="n"/>
    </row>
    <row r="38">
      <c r="A38" s="58" t="n"/>
      <c r="B38" s="2509" t="n"/>
      <c r="C38" s="2350" t="n"/>
      <c r="D38" s="237" t="n"/>
    </row>
    <row r="39">
      <c r="A39" s="58" t="n"/>
      <c r="B39" s="2509" t="n"/>
      <c r="C39" s="2350" t="n"/>
      <c r="D39" s="237" t="n"/>
    </row>
    <row r="40">
      <c r="A40" s="58" t="n"/>
      <c r="B40" s="2509" t="n"/>
      <c r="C40" s="2350" t="n"/>
      <c r="D40" s="237" t="n"/>
    </row>
    <row r="41">
      <c r="A41" s="58" t="n"/>
      <c r="B41" s="2509" t="n"/>
      <c r="C41" s="2350" t="n"/>
      <c r="D41" s="237" t="n"/>
    </row>
    <row r="42">
      <c r="A42" s="58" t="n"/>
      <c r="B42" s="2509" t="n"/>
      <c r="C42" s="2350" t="n"/>
      <c r="D42" s="237" t="n"/>
    </row>
    <row r="43">
      <c r="A43" s="58" t="n"/>
      <c r="B43" s="2509" t="n"/>
      <c r="C43" s="2350" t="n"/>
      <c r="D43" s="237" t="n"/>
    </row>
    <row r="44">
      <c r="A44" s="58" t="n"/>
      <c r="B44" s="2509" t="n"/>
      <c r="C44" s="2350" t="n"/>
      <c r="D44" s="237" t="n"/>
    </row>
    <row r="45">
      <c r="A45" s="58" t="n"/>
      <c r="B45" s="2509" t="n"/>
      <c r="C45" s="2350" t="n"/>
      <c r="D45" s="237" t="n"/>
    </row>
    <row r="46">
      <c r="A46" s="58" t="n"/>
      <c r="B46" s="2509" t="n"/>
      <c r="C46" s="2350" t="n"/>
      <c r="D46" s="237" t="n"/>
    </row>
    <row r="47">
      <c r="A47" s="58" t="n"/>
      <c r="B47" s="2509" t="n"/>
      <c r="C47" s="2350" t="n"/>
      <c r="D47" s="237" t="n"/>
    </row>
    <row r="48">
      <c r="A48" s="58" t="n"/>
      <c r="B48" s="2509" t="n"/>
      <c r="C48" s="2350" t="n"/>
      <c r="D48" s="237" t="n"/>
    </row>
    <row r="49">
      <c r="A49" s="58" t="n"/>
      <c r="B49" s="2509" t="n"/>
      <c r="C49" s="2350" t="n"/>
      <c r="D49" s="237" t="n"/>
    </row>
    <row r="50">
      <c r="A50" s="58" t="n"/>
      <c r="B50" s="2509" t="n"/>
      <c r="C50" s="2350" t="n"/>
      <c r="D50" s="237" t="n"/>
    </row>
    <row r="51">
      <c r="A51" s="58" t="n"/>
      <c r="B51" s="2509" t="n"/>
      <c r="C51" s="2350" t="n"/>
      <c r="D51" s="237" t="n"/>
    </row>
    <row r="52">
      <c r="A52" s="58" t="n"/>
      <c r="B52" s="2509" t="n"/>
      <c r="C52" s="2350" t="n"/>
      <c r="D52" s="237" t="n"/>
    </row>
    <row r="53">
      <c r="A53" s="58" t="n"/>
      <c r="B53" s="2509" t="n"/>
      <c r="C53" s="2350" t="n"/>
      <c r="D53" s="237" t="n"/>
    </row>
  </sheetData>
  <mergeCells count="33">
    <mergeCell ref="B42:D42"/>
    <mergeCell ref="A23:D23"/>
    <mergeCell ref="B44:D44"/>
    <mergeCell ref="B53:D53"/>
    <mergeCell ref="B29:D29"/>
    <mergeCell ref="B38:D38"/>
    <mergeCell ref="B34:D34"/>
    <mergeCell ref="B28:D28"/>
    <mergeCell ref="B37:D37"/>
    <mergeCell ref="B49:D49"/>
    <mergeCell ref="B40:D40"/>
    <mergeCell ref="B30:D30"/>
    <mergeCell ref="B24:D24"/>
    <mergeCell ref="B51:D51"/>
    <mergeCell ref="B33:D33"/>
    <mergeCell ref="A1:D1"/>
    <mergeCell ref="B36:D36"/>
    <mergeCell ref="B45:D45"/>
    <mergeCell ref="B41:D41"/>
    <mergeCell ref="B32:D32"/>
    <mergeCell ref="B50:D50"/>
    <mergeCell ref="B35:D35"/>
    <mergeCell ref="B26:D26"/>
    <mergeCell ref="B25:D25"/>
    <mergeCell ref="B47:D47"/>
    <mergeCell ref="B31:D31"/>
    <mergeCell ref="B46:D46"/>
    <mergeCell ref="A12:D12"/>
    <mergeCell ref="B27:D27"/>
    <mergeCell ref="B52:D52"/>
    <mergeCell ref="B43:D43"/>
    <mergeCell ref="B39:D39"/>
    <mergeCell ref="B48:D48"/>
  </mergeCells>
  <pageMargins left="0.75" right="0.75" top="1" bottom="1" header="0.5" footer="0.5"/>
  <pageSetup orientation="portrait" horizontalDpi="4294967292" verticalDpi="429496729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N584"/>
  <sheetViews>
    <sheetView zoomScaleNormal="100" workbookViewId="0">
      <selection activeCell="D12" sqref="D12"/>
    </sheetView>
  </sheetViews>
  <sheetFormatPr baseColWidth="8" defaultColWidth="11" defaultRowHeight="15.6"/>
  <cols>
    <col width="20.296875" customWidth="1" min="1" max="1"/>
    <col width="13.796875" customWidth="1" min="2" max="2"/>
    <col width="13.296875" customWidth="1" min="3" max="4"/>
    <col width="14.296875" customWidth="1" min="5" max="5"/>
    <col width="32.296875" customWidth="1" min="6" max="6"/>
    <col width="18" customWidth="1" min="7" max="7"/>
    <col width="17.796875" customWidth="1" min="8" max="8"/>
    <col width="19.5" customWidth="1" min="9" max="9"/>
    <col width="36.296875" bestFit="1" customWidth="1" min="10" max="10"/>
    <col width="19.296875" customWidth="1" min="11" max="12"/>
    <col width="12.69921875" customWidth="1" min="13" max="13"/>
    <col width="17.69921875" customWidth="1" min="14" max="14"/>
    <col width="16.69921875" customWidth="1" min="15" max="17"/>
    <col width="15.69921875" bestFit="1" customWidth="1" min="18" max="18"/>
    <col width="12" customWidth="1" min="19" max="19"/>
    <col width="13.796875" customWidth="1" min="20" max="22"/>
    <col width="19" bestFit="1" customWidth="1" min="23" max="23"/>
    <col width="2.69921875" customWidth="1" min="24" max="24"/>
    <col width="13.69921875" bestFit="1" customWidth="1" min="25" max="25"/>
    <col width="22.5" bestFit="1" customWidth="1" min="26" max="26"/>
    <col width="3.296875" customWidth="1" min="27" max="27"/>
    <col width="15.69921875" bestFit="1" customWidth="1" min="28" max="28"/>
    <col width="22.5" bestFit="1" customWidth="1" min="29" max="29"/>
    <col width="11.5" bestFit="1" customWidth="1" min="30" max="30"/>
    <col width="21.69921875" bestFit="1" customWidth="1" min="38" max="38"/>
    <col width="19" bestFit="1" customWidth="1" min="41" max="41"/>
    <col width="22.5" bestFit="1" customWidth="1" min="44" max="44"/>
    <col width="22.5" bestFit="1" customWidth="1" min="47" max="47"/>
    <col width="11.69921875" bestFit="1" customWidth="1" min="50" max="50"/>
    <col width="2.296875" customWidth="1" min="51" max="51"/>
    <col width="2.796875" customWidth="1" min="52" max="52"/>
    <col width="11.69921875" bestFit="1" customWidth="1" min="53" max="53"/>
    <col width="3" customWidth="1" min="54" max="54"/>
    <col width="3.296875" customWidth="1" min="55" max="55"/>
    <col width="11.69921875" bestFit="1" customWidth="1" min="56" max="56"/>
    <col width="2.19921875" customWidth="1" min="57" max="58"/>
    <col width="9" bestFit="1" customWidth="1" min="59" max="59"/>
    <col width="14.796875" bestFit="1" customWidth="1" min="60" max="60"/>
    <col width="9" bestFit="1" customWidth="1" min="61" max="61"/>
    <col width="2.796875" customWidth="1" min="62" max="62"/>
    <col width="12.5" bestFit="1" customWidth="1" min="63" max="63"/>
    <col width="7.69921875" bestFit="1" customWidth="1" min="64" max="64"/>
    <col width="3.296875" customWidth="1" min="65" max="65"/>
    <col width="13.69921875" bestFit="1" customWidth="1" min="66" max="66"/>
    <col width="9" bestFit="1" customWidth="1" min="67" max="67"/>
    <col width="3.296875" customWidth="1" min="68" max="68"/>
    <col width="15.69921875" bestFit="1" customWidth="1" min="69" max="69"/>
    <col width="21.69921875" bestFit="1" customWidth="1" min="80" max="80"/>
    <col width="19" bestFit="1" customWidth="1" min="83" max="83"/>
    <col width="22.5" bestFit="1" customWidth="1" min="86" max="86"/>
    <col width="22.5" bestFit="1" customWidth="1" min="89" max="89"/>
    <col width="11.69921875" bestFit="1" customWidth="1" min="92" max="92"/>
    <col width="2.296875" customWidth="1" min="93" max="93"/>
    <col width="2.796875" customWidth="1" min="94" max="94"/>
    <col width="11.69921875" bestFit="1" customWidth="1" min="95" max="95"/>
    <col width="3" customWidth="1" min="96" max="96"/>
    <col width="3.296875" customWidth="1" min="97" max="97"/>
    <col width="11.69921875" bestFit="1" customWidth="1" min="98" max="98"/>
    <col width="2.19921875" customWidth="1" min="99" max="100"/>
    <col width="9" bestFit="1" customWidth="1" min="101" max="101"/>
    <col width="14.796875" bestFit="1" customWidth="1" min="102" max="102"/>
    <col width="9" bestFit="1" customWidth="1" min="103" max="103"/>
    <col width="2.796875" customWidth="1" min="104" max="104"/>
    <col width="12.5" bestFit="1" customWidth="1" min="105" max="105"/>
    <col width="7.69921875" bestFit="1" customWidth="1" min="106" max="106"/>
    <col width="3.296875" customWidth="1" min="107" max="107"/>
    <col width="13.69921875" bestFit="1" customWidth="1" min="108" max="108"/>
    <col width="9" bestFit="1" customWidth="1" min="109" max="109"/>
    <col width="3.296875" customWidth="1" min="110" max="110"/>
    <col width="15.69921875" bestFit="1" customWidth="1" min="111" max="111"/>
  </cols>
  <sheetData>
    <row r="1" customFormat="1" s="585">
      <c r="G1" s="586" t="inlineStr">
        <is>
          <t>Bidding Contacts:</t>
        </is>
      </c>
      <c r="M1" s="584" t="inlineStr">
        <is>
          <t xml:space="preserve">Layout </t>
        </is>
      </c>
      <c r="N1" s="584" t="n"/>
      <c r="O1" s="584" t="n"/>
      <c r="P1" s="584" t="n"/>
      <c r="Q1" s="584" t="n"/>
    </row>
    <row r="2" ht="16.2" customFormat="1" customHeight="1" s="585" thickBot="1">
      <c r="A2" s="584" t="inlineStr">
        <is>
          <t>Project</t>
        </is>
      </c>
      <c r="G2" s="588" t="n"/>
      <c r="J2" s="674" t="inlineStr">
        <is>
          <t>(as of 05/08/24) --&gt;</t>
        </is>
      </c>
      <c r="K2" s="857" t="inlineStr">
        <is>
          <t>Bid Review Schedule:</t>
        </is>
      </c>
      <c r="M2" s="969" t="inlineStr">
        <is>
          <t xml:space="preserve">Floor # </t>
        </is>
      </c>
      <c r="N2" s="969" t="inlineStr">
        <is>
          <t>Total SF per Floor</t>
        </is>
      </c>
      <c r="O2" s="1289" t="inlineStr">
        <is>
          <t xml:space="preserve">SF-Soft Surfaces </t>
        </is>
      </c>
      <c r="P2" s="1290" t="inlineStr">
        <is>
          <t xml:space="preserve">SF-Hard Surfaces </t>
        </is>
      </c>
      <c r="Q2" s="1291" t="inlineStr">
        <is>
          <t>SF-Corridors</t>
        </is>
      </c>
      <c r="R2" s="969" t="inlineStr">
        <is>
          <t>Bags</t>
        </is>
      </c>
      <c r="S2" s="969" t="inlineStr">
        <is>
          <t>Mobilizations</t>
        </is>
      </c>
      <c r="T2" s="969" t="inlineStr">
        <is>
          <t xml:space="preserve">Alt Mobs. </t>
        </is>
      </c>
      <c r="U2" s="969" t="inlineStr">
        <is>
          <t>Days per Area</t>
        </is>
      </c>
      <c r="V2" s="1331" t="inlineStr">
        <is>
          <t>Mat Totals</t>
        </is>
      </c>
      <c r="W2" s="1331" t="inlineStr">
        <is>
          <t>Bag Totals</t>
        </is>
      </c>
    </row>
    <row r="3" customFormat="1" s="585">
      <c r="A3" s="584" t="inlineStr">
        <is>
          <t>Bid Date</t>
        </is>
      </c>
      <c r="B3" s="587" t="n"/>
      <c r="G3" s="588" t="n"/>
      <c r="K3" s="1414" t="inlineStr">
        <is>
          <t>RJ + Isaac ALL up to $300k (for 90 days)</t>
        </is>
      </c>
      <c r="M3" s="1292" t="n"/>
      <c r="N3" s="1393">
        <f>SUM(O3:Q3)</f>
        <v/>
      </c>
      <c r="O3" s="1394" t="n"/>
      <c r="P3" s="1395" t="n"/>
      <c r="Q3" s="1396" t="n"/>
      <c r="R3" s="1337">
        <f>((O3+P3+Q3)/F22)*H33</f>
        <v/>
      </c>
      <c r="S3" s="970" t="n"/>
      <c r="T3" s="633" t="n"/>
    </row>
    <row r="4" customFormat="1" s="585">
      <c r="A4" s="584" t="inlineStr">
        <is>
          <t>Address</t>
        </is>
      </c>
      <c r="G4" s="588" t="n"/>
      <c r="H4" s="593" t="n"/>
      <c r="I4" s="594" t="n"/>
      <c r="J4" s="594" t="n"/>
      <c r="K4" s="1415" t="inlineStr">
        <is>
          <t>after 90d = Isaac… Add RJ OVER $200k for review</t>
        </is>
      </c>
      <c r="M4" s="1292" t="n"/>
      <c r="N4" s="1393">
        <f>SUM(O4:Q4)</f>
        <v/>
      </c>
      <c r="O4" s="1394" t="n"/>
      <c r="P4" s="1395" t="n"/>
      <c r="Q4" s="1396" t="n"/>
      <c r="R4" s="1337">
        <f>((O4+P4+Q4)/F22)*H33</f>
        <v/>
      </c>
      <c r="S4" s="970" t="n"/>
      <c r="T4" s="633" t="n"/>
    </row>
    <row r="5" customFormat="1" s="585">
      <c r="A5" s="1637" t="inlineStr">
        <is>
          <t>Local?</t>
        </is>
      </c>
      <c r="B5" s="585" t="inlineStr">
        <is>
          <t>Yes</t>
        </is>
      </c>
      <c r="C5" s="590" t="inlineStr">
        <is>
          <t>&lt; 70 miles?</t>
        </is>
      </c>
      <c r="D5" s="1412" t="inlineStr">
        <is>
          <t xml:space="preserve">     Look-Up on Google Earth</t>
        </is>
      </c>
      <c r="E5" s="1413" t="n"/>
      <c r="G5" s="588" t="n"/>
      <c r="H5" s="593" t="n"/>
      <c r="I5" s="594" t="n"/>
      <c r="J5" s="594" t="n"/>
      <c r="K5" s="1415" t="inlineStr">
        <is>
          <t>OVER $300k get Kyle + RJ + Isaac for review</t>
        </is>
      </c>
      <c r="M5" s="1292" t="n"/>
      <c r="N5" s="1393">
        <f>SUM(O5:Q5)</f>
        <v/>
      </c>
      <c r="O5" s="1394" t="n"/>
      <c r="P5" s="1395" t="n"/>
      <c r="Q5" s="1396" t="n"/>
      <c r="R5" s="1337">
        <f>((O5+P5+Q5)/F22)*H33</f>
        <v/>
      </c>
      <c r="S5" s="970" t="n"/>
      <c r="T5" s="633" t="n"/>
    </row>
    <row r="6" ht="16.2" customFormat="1" customHeight="1" s="585" thickBot="1">
      <c r="A6" s="584" t="inlineStr">
        <is>
          <t xml:space="preserve">Miles Away </t>
        </is>
      </c>
      <c r="B6" s="840" t="n">
        <v>0</v>
      </c>
      <c r="G6" s="588" t="n"/>
      <c r="H6" s="593" t="n"/>
      <c r="I6" s="594" t="n"/>
      <c r="J6" s="594" t="n"/>
      <c r="M6" s="1292" t="n"/>
      <c r="N6" s="1393">
        <f>SUM(O6:Q6)</f>
        <v/>
      </c>
      <c r="O6" s="1394" t="n"/>
      <c r="P6" s="1395" t="n"/>
      <c r="Q6" s="1396" t="n"/>
      <c r="R6" s="1337">
        <f>((O6+P6+Q6)/F22)*H33</f>
        <v/>
      </c>
      <c r="S6" s="970" t="n"/>
      <c r="T6" s="633" t="n"/>
      <c r="AL6" s="2193" t="n">
        <v>1000</v>
      </c>
      <c r="AM6" s="2193" t="n"/>
      <c r="AN6" s="2193" t="n"/>
      <c r="AO6" s="2193">
        <f>AL6</f>
        <v/>
      </c>
      <c r="AP6" s="2193" t="n"/>
      <c r="AQ6" s="2193" t="n"/>
      <c r="AR6" s="2193">
        <f>AL6+AO6</f>
        <v/>
      </c>
      <c r="AS6" s="2193" t="n"/>
      <c r="AT6" s="2193" t="n"/>
      <c r="AU6" s="2193">
        <f>AR6</f>
        <v/>
      </c>
      <c r="AV6" s="1051">
        <f>IF(AL6&lt;=#REF!,#REF!,IF(AL6&lt;=#REF!,#REF!,IF(AL6&lt;=#REF!,#REF!,IF(AL6&lt;=#REF!,#REF!,IF(AL6&lt;=#REF!,#REF!,IF(AL6&lt;=#REF!,#REF!,IF(AL6&lt;=#REF!,#REF!,0.05)))))))</f>
        <v/>
      </c>
      <c r="AW6" s="2193">
        <f>AV6*AL6</f>
        <v/>
      </c>
      <c r="AX6" s="1051" t="n"/>
      <c r="AY6" s="1051">
        <f>IF(AO6&lt;=#REF!,#REF!,IF(AO6&lt;=#REF!,#REF!,IF(AO6&lt;=#REF!,#REF!,IF(AO6&lt;=#REF!,#REF!,IF(AO6&lt;=#REF!,#REF!,IF(AO6&lt;=#REF!,#REF!,IF(AO6&lt;=#REF!,#REF!,0.05)))))))</f>
        <v/>
      </c>
      <c r="AZ6" s="2193">
        <f>AY6*AO6</f>
        <v/>
      </c>
      <c r="BA6" s="1051" t="n"/>
      <c r="BB6" s="1051">
        <f>IF(AR6&lt;=#REF!,#REF!,IF(AR6&lt;=#REF!,#REF!,IF(AR6&lt;=#REF!,#REF!,IF(AR6&lt;=#REF!,#REF!,IF(AR6&lt;=#REF!,#REF!,IF(AR6&lt;=#REF!,#REF!,IF(AR6&lt;=#REF!,#REF!,0.05)))))))</f>
        <v/>
      </c>
      <c r="BC6" s="2193">
        <f>BB6*SUM(AZ6,AW6,AR6)</f>
        <v/>
      </c>
      <c r="BD6" s="1051" t="n"/>
      <c r="BE6" s="2194">
        <f>IF(AU6&lt;=#REF!,#REF!,IF(AU6&lt;=#REF!,#REF!,IF(AU6&lt;=#REF!,#REF!,IF(AU6&lt;=#REF!,#REF!,IF(AU6&lt;=#REF!,#REF!,IF(AU6&lt;=#REF!,#REF!,IF(AU6&lt;=#REF!,#REF!,0.05)))))))</f>
        <v/>
      </c>
      <c r="BF6" s="2193">
        <f>BE6*AU6</f>
        <v/>
      </c>
      <c r="BH6" s="1932">
        <f>0.07*SUM(AR6,AW6,AZ6,BC6,BF6)</f>
        <v/>
      </c>
      <c r="BJ6" s="1932">
        <f>SUM(BH6,BF6,BC6,AZ6,AW6,AR6)</f>
        <v/>
      </c>
      <c r="BK6" s="1933">
        <f>SUM(BF6,BC6,AZ6,AW6)</f>
        <v/>
      </c>
      <c r="BL6" s="1051">
        <f>BK6/BJ6</f>
        <v/>
      </c>
      <c r="BO6" s="1051" t="n">
        <v>0.1</v>
      </c>
      <c r="BP6" s="2193" t="n">
        <v>5000</v>
      </c>
      <c r="BR6" s="1051" t="n">
        <v>0.35</v>
      </c>
      <c r="BS6" s="2193" t="n">
        <v>2000</v>
      </c>
      <c r="BT6" s="2193" t="n"/>
      <c r="BU6" s="1051" t="n">
        <v>0.28</v>
      </c>
      <c r="BV6" s="2193" t="n">
        <v>9000</v>
      </c>
      <c r="BX6" s="2194" t="n">
        <v>0</v>
      </c>
      <c r="BY6" s="2193" t="n">
        <v>9000</v>
      </c>
      <c r="CB6" s="2193" t="n">
        <v>1000</v>
      </c>
      <c r="CC6" s="2193" t="n"/>
      <c r="CD6" s="2193" t="n"/>
      <c r="CE6" s="2193">
        <f>CB6</f>
        <v/>
      </c>
      <c r="CF6" s="2193" t="n"/>
      <c r="CG6" s="2193" t="n"/>
      <c r="CH6" s="2193">
        <f>CB6+CE6</f>
        <v/>
      </c>
      <c r="CI6" s="2193" t="n"/>
      <c r="CJ6" s="2193" t="n"/>
      <c r="CK6" s="2193">
        <f>CH6</f>
        <v/>
      </c>
      <c r="CL6" s="1051">
        <f>IF(CB6&lt;=BP$6,BO$6,IF(CB6&lt;=BP$7,BO$7,IF(CB6&lt;=BP$8,BO$8,IF(CB6&lt;=BP$9,BO$9,IF(CB6&lt;=BP$14,BO$14,IF(CB6&lt;=BP$15,BO$15,IF(CB6&lt;=BP$16,BO$16,0.05)))))))</f>
        <v/>
      </c>
      <c r="CM6" s="2193">
        <f>CL6*CB6</f>
        <v/>
      </c>
      <c r="CN6" s="1051" t="n"/>
      <c r="CO6" s="1051">
        <f>IF(CE6&lt;=BS$6,BR$6,IF(CE6&lt;=BS$7,BR$7,IF(CE6&lt;=BS$8,BR$8,IF(CE6&lt;=BS$9,BR$9,IF(CE6&lt;=BS$14,BR$14,IF(CE6&lt;=BS$15,BR$15,IF(CE6&lt;=BS$16,BR$16,0.05)))))))</f>
        <v/>
      </c>
      <c r="CP6" s="2193">
        <f>CO6*CE6</f>
        <v/>
      </c>
      <c r="CQ6" s="1051" t="n"/>
      <c r="CR6" s="1051">
        <f>IF(CH6&lt;=BV$6,BU$6,IF(CH6&lt;=BV$7,BU$7,IF(CH6&lt;=BV$8,BU$8,IF(CH6&lt;=BV$9,BU$9,IF(CH6&lt;=BV$14,BU$14,IF(CH6&lt;=BV$15,BU$15,IF(CH6&lt;=BV$16,BU$16,0.05)))))))</f>
        <v/>
      </c>
      <c r="CS6" s="2193">
        <f>CR6*SUM(CP6,CM6,CH6)</f>
        <v/>
      </c>
      <c r="CT6" s="1051" t="n"/>
      <c r="CU6" s="2194">
        <f>IF(CK6&lt;=BY$6,BX$6,IF(CK6&lt;=BY$7,BX$7,IF(CK6&lt;=BY$8,BX$8,IF(CK6&lt;=BY$9,BX$9,IF(CK6&lt;=BY$14,BX$14,IF(CK6&lt;=BY$15,BX$15,IF(CK6&lt;=BY$16,BX$16,0.05)))))))</f>
        <v/>
      </c>
      <c r="CV6" s="2193">
        <f>CU6*CK6</f>
        <v/>
      </c>
      <c r="CX6" s="1932">
        <f>0.07*SUM(CH6,CM6,CP6,CS6,CV6)</f>
        <v/>
      </c>
      <c r="CZ6" s="1932">
        <f>SUM(CX6,CV6,CS6,CP6,CM6,CH6)</f>
        <v/>
      </c>
      <c r="DA6" s="1933">
        <f>SUM(CV6,CS6,CP6,CM6)</f>
        <v/>
      </c>
      <c r="DB6" s="1051">
        <f>DA6/CZ6</f>
        <v/>
      </c>
    </row>
    <row r="7" ht="16.2" customFormat="1" customHeight="1" s="585" thickBot="1">
      <c r="A7" s="589" t="inlineStr">
        <is>
          <t>Hard Bid?</t>
        </is>
      </c>
      <c r="B7" s="585" t="inlineStr">
        <is>
          <t>No</t>
        </is>
      </c>
      <c r="C7" s="1010" t="inlineStr">
        <is>
          <t>PrevailingWage?</t>
        </is>
      </c>
      <c r="D7" s="591">
        <f>Epoxy!D5</f>
        <v/>
      </c>
      <c r="E7" s="591" t="n"/>
      <c r="F7" s="974" t="inlineStr">
        <is>
          <t>Total SF:</t>
        </is>
      </c>
      <c r="G7" s="1283">
        <f>G9+I9+K9</f>
        <v/>
      </c>
      <c r="H7" s="593" t="n"/>
      <c r="I7" s="594" t="n"/>
      <c r="J7" s="594" t="n"/>
      <c r="K7" s="594" t="n"/>
      <c r="L7" s="594" t="n"/>
      <c r="M7" s="1292" t="n"/>
      <c r="N7" s="1393">
        <f>SUM(O7:Q7)</f>
        <v/>
      </c>
      <c r="O7" s="1394" t="n"/>
      <c r="P7" s="1395" t="n"/>
      <c r="Q7" s="1396" t="n"/>
      <c r="R7" s="1337">
        <f>((O7+P7+Q7)/F22)*H33</f>
        <v/>
      </c>
      <c r="S7" s="970" t="n"/>
      <c r="AL7" s="2193" t="n">
        <v>2000</v>
      </c>
      <c r="AM7" s="2193" t="n"/>
      <c r="AN7" s="2193" t="n"/>
      <c r="AO7" s="2193">
        <f>AL7</f>
        <v/>
      </c>
      <c r="AP7" s="2193" t="n"/>
      <c r="AQ7" s="2193" t="n"/>
      <c r="AR7" s="2193">
        <f>AL7+AO7</f>
        <v/>
      </c>
      <c r="AS7" s="2193" t="n"/>
      <c r="AT7" s="2193" t="n"/>
      <c r="AU7" s="2193">
        <f>AR7</f>
        <v/>
      </c>
      <c r="AV7" s="1051">
        <f>IF(AL7&lt;=#REF!,#REF!,IF(AL7&lt;=#REF!,#REF!,IF(AL7&lt;=#REF!,#REF!,IF(AL7&lt;=#REF!,#REF!,IF(AL7&lt;=#REF!,#REF!,IF(AL7&lt;=#REF!,#REF!,IF(AL7&lt;=#REF!,#REF!,0.05)))))))</f>
        <v/>
      </c>
      <c r="AW7" s="2193">
        <f>AV7*AL7</f>
        <v/>
      </c>
      <c r="AX7" s="1051" t="n"/>
      <c r="AY7" s="1051">
        <f>IF(AO7&lt;=#REF!,#REF!,IF(AO7&lt;=#REF!,#REF!,IF(AO7&lt;=#REF!,#REF!,IF(AO7&lt;=#REF!,#REF!,IF(AO7&lt;=#REF!,#REF!,IF(AO7&lt;=#REF!,#REF!,IF(AO7&lt;=#REF!,#REF!,0.05)))))))</f>
        <v/>
      </c>
      <c r="AZ7" s="2193">
        <f>AY7*AO7</f>
        <v/>
      </c>
      <c r="BA7" s="1051" t="n"/>
      <c r="BB7" s="1051">
        <f>IF(AR7&lt;=#REF!,#REF!,IF(AR7&lt;=#REF!,#REF!,IF(AR7&lt;=#REF!,#REF!,IF(AR7&lt;=#REF!,#REF!,IF(AR7&lt;=#REF!,#REF!,IF(AR7&lt;=#REF!,#REF!,IF(AR7&lt;=#REF!,#REF!,0.05)))))))</f>
        <v/>
      </c>
      <c r="BC7" s="2193">
        <f>BB7*SUM(AZ7,AW7,AR7)</f>
        <v/>
      </c>
      <c r="BD7" s="1051" t="n"/>
      <c r="BE7" s="2194">
        <f>IF(AU7&lt;=#REF!,#REF!,IF(AU7&lt;=#REF!,#REF!,IF(AU7&lt;=#REF!,#REF!,IF(AU7&lt;=#REF!,#REF!,IF(AU7&lt;=#REF!,#REF!,IF(AU7&lt;=#REF!,#REF!,IF(AU7&lt;=#REF!,#REF!,0.05)))))))</f>
        <v/>
      </c>
      <c r="BF7" s="2193">
        <f>BE7*AU7</f>
        <v/>
      </c>
      <c r="BH7" s="1932">
        <f>0.07*SUM(AR7,AW7,AZ7,BC7,BF7)</f>
        <v/>
      </c>
      <c r="BJ7" s="1932">
        <f>SUM(BH7,BF7,BC7,AZ7,AW7,AR7)</f>
        <v/>
      </c>
      <c r="BK7" s="1933">
        <f>SUM(BF7,BC7,AZ7,AW7)</f>
        <v/>
      </c>
      <c r="BL7" s="1051">
        <f>BK7/BJ7</f>
        <v/>
      </c>
      <c r="BO7" s="1051" t="n">
        <v>0.05</v>
      </c>
      <c r="BP7" s="2193" t="n">
        <v>1000000000</v>
      </c>
      <c r="BR7" s="1051" t="n">
        <v>0.3</v>
      </c>
      <c r="BS7" s="2193" t="n">
        <v>3000</v>
      </c>
      <c r="BT7" s="2193" t="n"/>
      <c r="BU7" s="1051" t="n">
        <v>0.24</v>
      </c>
      <c r="BV7" s="2193" t="n">
        <v>14000</v>
      </c>
      <c r="BX7" s="2194" t="n">
        <v>-0.04</v>
      </c>
      <c r="BY7" s="2193" t="n">
        <v>14000</v>
      </c>
      <c r="CB7" s="2193" t="n">
        <v>2000</v>
      </c>
      <c r="CC7" s="2193" t="n"/>
      <c r="CD7" s="2193" t="n"/>
      <c r="CE7" s="2193">
        <f>CB7</f>
        <v/>
      </c>
      <c r="CF7" s="2193" t="n"/>
      <c r="CG7" s="2193" t="n"/>
      <c r="CH7" s="2193">
        <f>CB7+CE7</f>
        <v/>
      </c>
      <c r="CI7" s="2193" t="n"/>
      <c r="CJ7" s="2193" t="n"/>
      <c r="CK7" s="2193">
        <f>CH7</f>
        <v/>
      </c>
      <c r="CL7" s="1051">
        <f>IF(CB7&lt;=BP$6,BO$6,IF(CB7&lt;=BP$7,BO$7,IF(CB7&lt;=BP$8,BO$8,IF(CB7&lt;=BP$9,BO$9,IF(CB7&lt;=BP$14,BO$14,IF(CB7&lt;=BP$15,BO$15,IF(CB7&lt;=BP$16,BO$16,0.05)))))))</f>
        <v/>
      </c>
      <c r="CM7" s="2193">
        <f>CL7*CB7</f>
        <v/>
      </c>
      <c r="CN7" s="1051" t="n"/>
      <c r="CO7" s="1051">
        <f>IF(CE7&lt;=BS$6,BR$6,IF(CE7&lt;=BS$7,BR$7,IF(CE7&lt;=BS$8,BR$8,IF(CE7&lt;=BS$9,BR$9,IF(CE7&lt;=BS$14,BR$14,IF(CE7&lt;=BS$15,BR$15,IF(CE7&lt;=BS$16,BR$16,0.05)))))))</f>
        <v/>
      </c>
      <c r="CP7" s="2193">
        <f>CO7*CE7</f>
        <v/>
      </c>
      <c r="CQ7" s="1051" t="n"/>
      <c r="CR7" s="1051">
        <f>IF(CH7&lt;=BV$6,BU$6,IF(CH7&lt;=BV$7,BU$7,IF(CH7&lt;=BV$8,BU$8,IF(CH7&lt;=BV$9,BU$9,IF(CH7&lt;=BV$14,BU$14,IF(CH7&lt;=BV$15,BU$15,IF(CH7&lt;=BV$16,BU$16,0.05)))))))</f>
        <v/>
      </c>
      <c r="CS7" s="2193">
        <f>CR7*SUM(CP7,CM7,CH7)</f>
        <v/>
      </c>
      <c r="CT7" s="1051" t="n"/>
      <c r="CU7" s="2194">
        <f>IF(CK7&lt;=BY$6,BX$6,IF(CK7&lt;=BY$7,BX$7,IF(CK7&lt;=BY$8,BX$8,IF(CK7&lt;=BY$9,BX$9,IF(CK7&lt;=BY$14,BX$14,IF(CK7&lt;=BY$15,BX$15,IF(CK7&lt;=BY$16,BX$16,0.05)))))))</f>
        <v/>
      </c>
      <c r="CV7" s="2193">
        <f>CU7*CK7</f>
        <v/>
      </c>
      <c r="CX7" s="1932">
        <f>0.07*SUM(CH7,CM7,CP7,CS7,CV7)</f>
        <v/>
      </c>
      <c r="CZ7" s="1932">
        <f>SUM(CX7,CV7,CS7,CP7,CM7,CH7)</f>
        <v/>
      </c>
      <c r="DA7" s="1933">
        <f>SUM(CV7,CS7,CP7,CM7)</f>
        <v/>
      </c>
      <c r="DB7" s="1051">
        <f>DA7/CZ7</f>
        <v/>
      </c>
    </row>
    <row r="8" ht="16.2" customFormat="1" customHeight="1" s="585" thickBot="1">
      <c r="A8" s="589" t="inlineStr">
        <is>
          <t>Taxable?</t>
        </is>
      </c>
      <c r="B8" s="585" t="inlineStr">
        <is>
          <t>Yes</t>
        </is>
      </c>
      <c r="C8" s="1539" t="inlineStr">
        <is>
          <t>Remodel Tax?</t>
        </is>
      </c>
      <c r="D8" s="591">
        <f>Epoxy!D6</f>
        <v/>
      </c>
      <c r="E8" s="591" t="n"/>
      <c r="F8" s="2195" t="inlineStr">
        <is>
          <t>Unit</t>
        </is>
      </c>
      <c r="G8" s="2126" t="n"/>
      <c r="H8" s="2196" t="inlineStr">
        <is>
          <t>Unit</t>
        </is>
      </c>
      <c r="I8" s="2126" t="n"/>
      <c r="J8" s="2197" t="inlineStr">
        <is>
          <t>Corridor</t>
        </is>
      </c>
      <c r="K8" s="2126" t="n"/>
      <c r="L8" s="1876" t="n"/>
      <c r="M8" s="1292" t="n"/>
      <c r="N8" s="1393">
        <f>SUM(O8:Q8)</f>
        <v/>
      </c>
      <c r="O8" s="1394" t="n"/>
      <c r="P8" s="1395" t="n"/>
      <c r="Q8" s="1396" t="n"/>
      <c r="R8" s="1337">
        <f>((O8+P8+Q8)/F22)*H33</f>
        <v/>
      </c>
      <c r="S8" s="970" t="n"/>
      <c r="AL8" s="2193" t="n">
        <v>3000</v>
      </c>
      <c r="AM8" s="2193" t="n"/>
      <c r="AN8" s="2193" t="n"/>
      <c r="AO8" s="2193">
        <f>AL8</f>
        <v/>
      </c>
      <c r="AP8" s="2193" t="n"/>
      <c r="AQ8" s="2193" t="n"/>
      <c r="AR8" s="2193">
        <f>AL8+AO8</f>
        <v/>
      </c>
      <c r="AS8" s="2193" t="n"/>
      <c r="AT8" s="2193" t="n"/>
      <c r="AU8" s="2193">
        <f>AR8</f>
        <v/>
      </c>
      <c r="AV8" s="1051">
        <f>IF(AL8&lt;=#REF!,#REF!,IF(AL8&lt;=#REF!,#REF!,IF(AL8&lt;=#REF!,#REF!,IF(AL8&lt;=#REF!,#REF!,IF(AL8&lt;=#REF!,#REF!,IF(AL8&lt;=#REF!,#REF!,IF(AL8&lt;=#REF!,#REF!,0.05)))))))</f>
        <v/>
      </c>
      <c r="AW8" s="2193">
        <f>AV8*AL8</f>
        <v/>
      </c>
      <c r="AX8" s="1051" t="n"/>
      <c r="AY8" s="1051">
        <f>IF(AO8&lt;=#REF!,#REF!,IF(AO8&lt;=#REF!,#REF!,IF(AO8&lt;=#REF!,#REF!,IF(AO8&lt;=#REF!,#REF!,IF(AO8&lt;=#REF!,#REF!,IF(AO8&lt;=#REF!,#REF!,IF(AO8&lt;=#REF!,#REF!,0.05)))))))</f>
        <v/>
      </c>
      <c r="AZ8" s="2193">
        <f>AY8*AO8</f>
        <v/>
      </c>
      <c r="BA8" s="1051" t="n"/>
      <c r="BB8" s="1051">
        <f>IF(AR8&lt;=#REF!,#REF!,IF(AR8&lt;=#REF!,#REF!,IF(AR8&lt;=#REF!,#REF!,IF(AR8&lt;=#REF!,#REF!,IF(AR8&lt;=#REF!,#REF!,IF(AR8&lt;=#REF!,#REF!,IF(AR8&lt;=#REF!,#REF!,0.05)))))))</f>
        <v/>
      </c>
      <c r="BC8" s="2193">
        <f>BB8*SUM(AZ8,AW8,AR8)</f>
        <v/>
      </c>
      <c r="BD8" s="1051" t="n"/>
      <c r="BE8" s="2194">
        <f>IF(AU8&lt;=#REF!,#REF!,IF(AU8&lt;=#REF!,#REF!,IF(AU8&lt;=#REF!,#REF!,IF(AU8&lt;=#REF!,#REF!,IF(AU8&lt;=#REF!,#REF!,IF(AU8&lt;=#REF!,#REF!,IF(AU8&lt;=#REF!,#REF!,0.05)))))))</f>
        <v/>
      </c>
      <c r="BF8" s="2193">
        <f>BE8*AU8</f>
        <v/>
      </c>
      <c r="BH8" s="1932">
        <f>0.07*SUM(AR8,AW8,AZ8,BC8,BF8)</f>
        <v/>
      </c>
      <c r="BJ8" s="1932">
        <f>SUM(BH8,BF8,BC8,AZ8,AW8,AR8)</f>
        <v/>
      </c>
      <c r="BK8" s="1933">
        <f>SUM(BF8,BC8,AZ8,AW8)</f>
        <v/>
      </c>
      <c r="BL8" s="1051">
        <f>BK8/BJ8</f>
        <v/>
      </c>
      <c r="BO8" s="1051" t="n">
        <v>0.05</v>
      </c>
      <c r="BP8" s="2193" t="n">
        <v>1000000000</v>
      </c>
      <c r="BR8" s="1051" t="n">
        <v>0.2</v>
      </c>
      <c r="BS8" s="2193" t="n">
        <v>4000</v>
      </c>
      <c r="BT8" s="2193" t="n"/>
      <c r="BU8" s="1051" t="n">
        <v>0.22</v>
      </c>
      <c r="BV8" s="2193" t="n">
        <v>19000</v>
      </c>
      <c r="BX8" s="2194" t="n">
        <v>-0.05</v>
      </c>
      <c r="BY8" s="2193" t="n">
        <v>19000</v>
      </c>
      <c r="CB8" s="2193" t="n">
        <v>3000</v>
      </c>
      <c r="CC8" s="2193" t="n"/>
      <c r="CD8" s="2193" t="n"/>
      <c r="CE8" s="2193">
        <f>CB8</f>
        <v/>
      </c>
      <c r="CF8" s="2193" t="n"/>
      <c r="CG8" s="2193" t="n"/>
      <c r="CH8" s="2193">
        <f>CB8+CE8</f>
        <v/>
      </c>
      <c r="CI8" s="2193" t="n"/>
      <c r="CJ8" s="2193" t="n"/>
      <c r="CK8" s="2193">
        <f>CH8</f>
        <v/>
      </c>
      <c r="CL8" s="1051">
        <f>IF(CB8&lt;=BP$6,BO$6,IF(CB8&lt;=BP$7,BO$7,IF(CB8&lt;=BP$8,BO$8,IF(CB8&lt;=BP$9,BO$9,IF(CB8&lt;=BP$14,BO$14,IF(CB8&lt;=BP$15,BO$15,IF(CB8&lt;=BP$16,BO$16,0.05)))))))</f>
        <v/>
      </c>
      <c r="CM8" s="2193">
        <f>CL8*CB8</f>
        <v/>
      </c>
      <c r="CN8" s="1051" t="n"/>
      <c r="CO8" s="1051">
        <f>IF(CE8&lt;=BS$6,BR$6,IF(CE8&lt;=BS$7,BR$7,IF(CE8&lt;=BS$8,BR$8,IF(CE8&lt;=BS$9,BR$9,IF(CE8&lt;=BS$14,BR$14,IF(CE8&lt;=BS$15,BR$15,IF(CE8&lt;=BS$16,BR$16,0.05)))))))</f>
        <v/>
      </c>
      <c r="CP8" s="2193">
        <f>CO8*CE8</f>
        <v/>
      </c>
      <c r="CQ8" s="1051" t="n"/>
      <c r="CR8" s="1051">
        <f>IF(CH8&lt;=BV$6,BU$6,IF(CH8&lt;=BV$7,BU$7,IF(CH8&lt;=BV$8,BU$8,IF(CH8&lt;=BV$9,BU$9,IF(CH8&lt;=BV$14,BU$14,IF(CH8&lt;=BV$15,BU$15,IF(CH8&lt;=BV$16,BU$16,0.05)))))))</f>
        <v/>
      </c>
      <c r="CS8" s="2193">
        <f>CR8*SUM(CP8,CM8,CH8)</f>
        <v/>
      </c>
      <c r="CT8" s="1051" t="n"/>
      <c r="CU8" s="2194">
        <f>IF(CK8&lt;=BY$6,BX$6,IF(CK8&lt;=BY$7,BX$7,IF(CK8&lt;=BY$8,BX$8,IF(CK8&lt;=BY$9,BX$9,IF(CK8&lt;=BY$14,BX$14,IF(CK8&lt;=BY$15,BX$15,IF(CK8&lt;=BY$16,BX$16,0.05)))))))</f>
        <v/>
      </c>
      <c r="CV8" s="2193">
        <f>CU8*CK8</f>
        <v/>
      </c>
      <c r="CX8" s="1932">
        <f>0.07*SUM(CH8,CM8,CP8,CS8,CV8)</f>
        <v/>
      </c>
      <c r="CZ8" s="1932">
        <f>SUM(CX8,CV8,CS8,CP8,CM8,CH8)</f>
        <v/>
      </c>
      <c r="DA8" s="1933">
        <f>SUM(CV8,CS8,CP8,CM8)</f>
        <v/>
      </c>
      <c r="DB8" s="1051">
        <f>DA8/CZ8</f>
        <v/>
      </c>
    </row>
    <row r="9" customFormat="1" s="585">
      <c r="A9" s="589" t="inlineStr">
        <is>
          <t>Approx Start Date</t>
        </is>
      </c>
      <c r="B9" s="587" t="n"/>
      <c r="C9" s="591" t="n"/>
      <c r="D9" s="591" t="n"/>
      <c r="E9" s="600" t="n"/>
      <c r="F9" s="975" t="inlineStr">
        <is>
          <t xml:space="preserve">SF - Soft Surfaces: </t>
        </is>
      </c>
      <c r="G9" s="1352">
        <f>O28</f>
        <v/>
      </c>
      <c r="H9" s="976" t="inlineStr">
        <is>
          <t>SF - Hard Surfaces:</t>
        </is>
      </c>
      <c r="I9" s="1353">
        <f>P28</f>
        <v/>
      </c>
      <c r="J9" s="977" t="inlineStr">
        <is>
          <t>SF - Corridors:</t>
        </is>
      </c>
      <c r="K9" s="1354">
        <f>Q28</f>
        <v/>
      </c>
      <c r="L9" s="1400" t="n"/>
      <c r="M9" s="1292" t="n"/>
      <c r="N9" s="1393">
        <f>SUM(O9:Q9)</f>
        <v/>
      </c>
      <c r="O9" s="1394" t="n"/>
      <c r="P9" s="1395" t="n"/>
      <c r="Q9" s="1396" t="n"/>
      <c r="R9" s="1337">
        <f>((O9+P9+Q9)/F22)*H33</f>
        <v/>
      </c>
      <c r="S9" s="970" t="n"/>
      <c r="AL9" s="2193" t="n">
        <v>4000</v>
      </c>
      <c r="AM9" s="2193" t="n"/>
      <c r="AN9" s="2193" t="n"/>
      <c r="AO9" s="2193">
        <f>AL9</f>
        <v/>
      </c>
      <c r="AP9" s="2193" t="n"/>
      <c r="AQ9" s="2193" t="n"/>
      <c r="AR9" s="2193">
        <f>AL9+AO9</f>
        <v/>
      </c>
      <c r="AS9" s="2193" t="n"/>
      <c r="AT9" s="2193" t="n"/>
      <c r="AU9" s="2193">
        <f>AR9</f>
        <v/>
      </c>
      <c r="AV9" s="1051">
        <f>IF(AL9&lt;=#REF!,#REF!,IF(AL9&lt;=#REF!,#REF!,IF(AL9&lt;=#REF!,#REF!,IF(AL9&lt;=#REF!,#REF!,IF(AL9&lt;=#REF!,#REF!,IF(AL9&lt;=#REF!,#REF!,IF(AL9&lt;=#REF!,#REF!,0.05)))))))</f>
        <v/>
      </c>
      <c r="AW9" s="2193">
        <f>AV9*AL9</f>
        <v/>
      </c>
      <c r="AX9" s="1051" t="n"/>
      <c r="AY9" s="1051">
        <f>IF(AO9&lt;=#REF!,#REF!,IF(AO9&lt;=#REF!,#REF!,IF(AO9&lt;=#REF!,#REF!,IF(AO9&lt;=#REF!,#REF!,IF(AO9&lt;=#REF!,#REF!,IF(AO9&lt;=#REF!,#REF!,IF(AO9&lt;=#REF!,#REF!,0.05)))))))</f>
        <v/>
      </c>
      <c r="AZ9" s="2193">
        <f>AY9*AO9</f>
        <v/>
      </c>
      <c r="BA9" s="1051" t="n"/>
      <c r="BB9" s="1051">
        <f>IF(AR9&lt;=#REF!,#REF!,IF(AR9&lt;=#REF!,#REF!,IF(AR9&lt;=#REF!,#REF!,IF(AR9&lt;=#REF!,#REF!,IF(AR9&lt;=#REF!,#REF!,IF(AR9&lt;=#REF!,#REF!,IF(AR9&lt;=#REF!,#REF!,0.05)))))))</f>
        <v/>
      </c>
      <c r="BC9" s="2193">
        <f>BB9*SUM(AZ9,AW9,AR9)</f>
        <v/>
      </c>
      <c r="BD9" s="1051" t="n"/>
      <c r="BE9" s="2194">
        <f>IF(AU9&lt;=#REF!,#REF!,IF(AU9&lt;=#REF!,#REF!,IF(AU9&lt;=#REF!,#REF!,IF(AU9&lt;=#REF!,#REF!,IF(AU9&lt;=#REF!,#REF!,IF(AU9&lt;=#REF!,#REF!,IF(AU9&lt;=#REF!,#REF!,0.05)))))))</f>
        <v/>
      </c>
      <c r="BF9" s="2193">
        <f>BE9*AU9</f>
        <v/>
      </c>
      <c r="BH9" s="1932">
        <f>0.07*SUM(AR9,AW9,AZ9,BC9,BF9)</f>
        <v/>
      </c>
      <c r="BJ9" s="1932">
        <f>SUM(BH9,BF9,BC9,AZ9,AW9,AR9)</f>
        <v/>
      </c>
      <c r="BK9" s="1933">
        <f>SUM(BF9,BC9,AZ9,AW9)</f>
        <v/>
      </c>
      <c r="BL9" s="1051">
        <f>BK9/BJ9</f>
        <v/>
      </c>
      <c r="BO9" s="1051" t="n">
        <v>0.05</v>
      </c>
      <c r="BP9" s="2193" t="n">
        <v>1000000000</v>
      </c>
      <c r="BR9" s="1051" t="n">
        <v>0.1</v>
      </c>
      <c r="BS9" s="2193" t="n">
        <v>7000</v>
      </c>
      <c r="BT9" s="2193" t="n"/>
      <c r="BU9" s="1051" t="n">
        <v>0.2</v>
      </c>
      <c r="BV9" s="2193" t="n">
        <v>24000</v>
      </c>
      <c r="BX9" s="2194" t="n">
        <v>-0.05</v>
      </c>
      <c r="BY9" s="2193" t="n">
        <v>34000</v>
      </c>
      <c r="CB9" s="2193" t="n">
        <v>4000</v>
      </c>
      <c r="CC9" s="2193" t="n"/>
      <c r="CD9" s="2193" t="n"/>
      <c r="CE9" s="2193">
        <f>CB9</f>
        <v/>
      </c>
      <c r="CF9" s="2193" t="n"/>
      <c r="CG9" s="2193" t="n"/>
      <c r="CH9" s="2193">
        <f>CB9+CE9</f>
        <v/>
      </c>
      <c r="CI9" s="2193" t="n"/>
      <c r="CJ9" s="2193" t="n"/>
      <c r="CK9" s="2193">
        <f>CH9</f>
        <v/>
      </c>
      <c r="CL9" s="1051">
        <f>IF(CB9&lt;=BP$6,BO$6,IF(CB9&lt;=BP$7,BO$7,IF(CB9&lt;=BP$8,BO$8,IF(CB9&lt;=BP$9,BO$9,IF(CB9&lt;=BP$14,BO$14,IF(CB9&lt;=BP$15,BO$15,IF(CB9&lt;=BP$16,BO$16,0.05)))))))</f>
        <v/>
      </c>
      <c r="CM9" s="2193">
        <f>CL9*CB9</f>
        <v/>
      </c>
      <c r="CN9" s="1051" t="n"/>
      <c r="CO9" s="1051">
        <f>IF(CE9&lt;=BS$6,BR$6,IF(CE9&lt;=BS$7,BR$7,IF(CE9&lt;=BS$8,BR$8,IF(CE9&lt;=BS$9,BR$9,IF(CE9&lt;=BS$14,BR$14,IF(CE9&lt;=BS$15,BR$15,IF(CE9&lt;=BS$16,BR$16,0.05)))))))</f>
        <v/>
      </c>
      <c r="CP9" s="2193">
        <f>CO9*CE9</f>
        <v/>
      </c>
      <c r="CQ9" s="1051" t="n"/>
      <c r="CR9" s="1051">
        <f>IF(CH9&lt;=BV$6,BU$6,IF(CH9&lt;=BV$7,BU$7,IF(CH9&lt;=BV$8,BU$8,IF(CH9&lt;=BV$9,BU$9,IF(CH9&lt;=BV$14,BU$14,IF(CH9&lt;=BV$15,BU$15,IF(CH9&lt;=BV$16,BU$16,0.05)))))))</f>
        <v/>
      </c>
      <c r="CS9" s="2193">
        <f>CR9*SUM(CP9,CM9,CH9)</f>
        <v/>
      </c>
      <c r="CT9" s="1051" t="n"/>
      <c r="CU9" s="2194">
        <f>IF(CK9&lt;=BY$6,BX$6,IF(CK9&lt;=BY$7,BX$7,IF(CK9&lt;=BY$8,BX$8,IF(CK9&lt;=BY$9,BX$9,IF(CK9&lt;=BY$14,BX$14,IF(CK9&lt;=BY$15,BX$15,IF(CK9&lt;=BY$16,BX$16,0.05)))))))</f>
        <v/>
      </c>
      <c r="CV9" s="2193">
        <f>CU9*CK9</f>
        <v/>
      </c>
      <c r="CX9" s="1932">
        <f>0.07*SUM(CH9,CM9,CP9,CS9,CV9)</f>
        <v/>
      </c>
      <c r="CZ9" s="1932">
        <f>SUM(CX9,CV9,CS9,CP9,CM9,CH9)</f>
        <v/>
      </c>
      <c r="DA9" s="1933">
        <f>SUM(CV9,CS9,CP9,CM9)</f>
        <v/>
      </c>
      <c r="DB9" s="1051">
        <f>DA9/CZ9</f>
        <v/>
      </c>
    </row>
    <row r="10" customFormat="1" s="585">
      <c r="A10" s="602" t="inlineStr">
        <is>
          <t>Architect</t>
        </is>
      </c>
      <c r="B10" s="603" t="n"/>
      <c r="C10" s="591" t="n"/>
      <c r="D10" s="591" t="n"/>
      <c r="E10" s="600" t="n"/>
      <c r="F10" s="978" t="inlineStr">
        <is>
          <t xml:space="preserve">Ave Thickness: </t>
        </is>
      </c>
      <c r="G10" s="1158" t="n">
        <v>0.75</v>
      </c>
      <c r="H10" s="979" t="inlineStr">
        <is>
          <t>Ave Thickness:</t>
        </is>
      </c>
      <c r="I10" s="1158" t="n">
        <v>0.75</v>
      </c>
      <c r="J10" s="980" t="inlineStr">
        <is>
          <t>Ave Thickness:</t>
        </is>
      </c>
      <c r="K10" s="1158" t="n">
        <v>0.75</v>
      </c>
      <c r="L10" s="1401" t="n"/>
      <c r="M10" s="1292" t="n"/>
      <c r="N10" s="1393">
        <f>SUM(O10:Q10)</f>
        <v/>
      </c>
      <c r="O10" s="1394" t="n"/>
      <c r="P10" s="1395" t="n"/>
      <c r="Q10" s="1396" t="n"/>
      <c r="R10" s="1337">
        <f>((O10+P10+Q10)/F22)*H33</f>
        <v/>
      </c>
      <c r="S10" s="970" t="n"/>
      <c r="AL10" s="2193" t="n"/>
      <c r="AM10" s="2193" t="n"/>
      <c r="AN10" s="2193" t="n"/>
      <c r="AO10" s="2193" t="n"/>
      <c r="AP10" s="2193" t="n"/>
      <c r="AQ10" s="2193" t="n"/>
      <c r="AR10" s="2193" t="n"/>
      <c r="AS10" s="2193" t="n"/>
      <c r="AT10" s="2193" t="n"/>
      <c r="AU10" s="2193" t="n"/>
      <c r="AV10" s="1051" t="n"/>
      <c r="AW10" s="2193" t="n"/>
      <c r="AX10" s="1051" t="n"/>
      <c r="AY10" s="1051" t="n"/>
      <c r="AZ10" s="2193" t="n"/>
      <c r="BA10" s="1051" t="n"/>
      <c r="BB10" s="1051" t="n"/>
      <c r="BC10" s="2193" t="n"/>
      <c r="BD10" s="1051" t="n"/>
      <c r="BE10" s="2194" t="n"/>
      <c r="BF10" s="2193" t="n"/>
      <c r="BH10" s="1932" t="n"/>
      <c r="BJ10" s="1932" t="n"/>
      <c r="BK10" s="1933" t="n"/>
      <c r="BL10" s="1051" t="n"/>
      <c r="BO10" s="1051" t="n"/>
      <c r="BP10" s="2193" t="n"/>
      <c r="BR10" s="1051" t="n"/>
      <c r="BS10" s="2193" t="n"/>
      <c r="BT10" s="2193" t="n"/>
      <c r="BU10" s="1051" t="n"/>
      <c r="BV10" s="2193" t="n"/>
      <c r="BX10" s="2194" t="n"/>
      <c r="BY10" s="2193" t="n"/>
      <c r="CB10" s="2193" t="n"/>
      <c r="CC10" s="2193" t="n"/>
      <c r="CD10" s="2193" t="n"/>
      <c r="CE10" s="2193" t="n"/>
      <c r="CF10" s="2193" t="n"/>
      <c r="CG10" s="2193" t="n"/>
      <c r="CH10" s="2193" t="n"/>
      <c r="CI10" s="2193" t="n"/>
      <c r="CJ10" s="2193" t="n"/>
      <c r="CK10" s="2193" t="n"/>
      <c r="CL10" s="1051" t="n"/>
      <c r="CM10" s="2193" t="n"/>
      <c r="CN10" s="1051" t="n"/>
      <c r="CO10" s="1051" t="n"/>
      <c r="CP10" s="2193" t="n"/>
      <c r="CQ10" s="1051" t="n"/>
      <c r="CR10" s="1051" t="n"/>
      <c r="CS10" s="2193" t="n"/>
      <c r="CT10" s="1051" t="n"/>
      <c r="CU10" s="2194" t="n"/>
      <c r="CV10" s="2193" t="n"/>
      <c r="CX10" s="1932" t="n"/>
      <c r="CZ10" s="1932" t="n"/>
      <c r="DA10" s="1933" t="n"/>
      <c r="DB10" s="1051" t="n"/>
    </row>
    <row r="11" customFormat="1" s="585">
      <c r="A11" s="602" t="inlineStr">
        <is>
          <t>Drawings Dated</t>
        </is>
      </c>
      <c r="B11" s="587" t="n"/>
      <c r="C11" s="591" t="n"/>
      <c r="D11" s="591" t="n"/>
      <c r="E11" s="600" t="n"/>
      <c r="F11" s="978" t="inlineStr">
        <is>
          <t>Mix Design: (default= 2500psi @1.8)</t>
        </is>
      </c>
      <c r="G11" s="1110" t="n">
        <v>1.8</v>
      </c>
      <c r="H11" s="979" t="inlineStr">
        <is>
          <t xml:space="preserve">Mix Design: </t>
        </is>
      </c>
      <c r="I11" s="1110">
        <f>G11</f>
        <v/>
      </c>
      <c r="J11" s="980" t="inlineStr">
        <is>
          <t xml:space="preserve">Mix Design: </t>
        </is>
      </c>
      <c r="K11" s="1110">
        <f>G11</f>
        <v/>
      </c>
      <c r="L11" s="1876" t="n"/>
      <c r="M11" s="1292" t="n"/>
      <c r="N11" s="1393">
        <f>SUM(O11:Q11)</f>
        <v/>
      </c>
      <c r="O11" s="1394" t="n"/>
      <c r="P11" s="1395" t="n"/>
      <c r="Q11" s="1396" t="n"/>
      <c r="R11" s="1337">
        <f>((O11+P11+Q11)/F22)*H33</f>
        <v/>
      </c>
      <c r="S11" s="970" t="n"/>
      <c r="AL11" s="2193" t="n"/>
      <c r="AM11" s="2193" t="n"/>
      <c r="AN11" s="2193" t="n"/>
      <c r="AO11" s="2193" t="n"/>
      <c r="AP11" s="2193" t="n"/>
      <c r="AQ11" s="2193" t="n"/>
      <c r="AR11" s="2193" t="n"/>
      <c r="AS11" s="2193" t="n"/>
      <c r="AT11" s="2193" t="n"/>
      <c r="AU11" s="2193" t="n"/>
      <c r="AV11" s="1051" t="n"/>
      <c r="AW11" s="2193" t="n"/>
      <c r="AX11" s="1051" t="n"/>
      <c r="AY11" s="1051" t="n"/>
      <c r="AZ11" s="2193" t="n"/>
      <c r="BA11" s="1051" t="n"/>
      <c r="BB11" s="1051" t="n"/>
      <c r="BC11" s="2193" t="n"/>
      <c r="BD11" s="1051" t="n"/>
      <c r="BE11" s="2194" t="n"/>
      <c r="BF11" s="2193" t="n"/>
      <c r="BH11" s="1932" t="n"/>
      <c r="BJ11" s="1932" t="n"/>
      <c r="BK11" s="1933" t="n"/>
      <c r="BL11" s="1051" t="n"/>
      <c r="BO11" s="1051" t="n"/>
      <c r="BP11" s="2193" t="n"/>
      <c r="BR11" s="1051" t="n"/>
      <c r="BS11" s="2193" t="n"/>
      <c r="BT11" s="2193" t="n"/>
      <c r="BU11" s="1051" t="n"/>
      <c r="BV11" s="2193" t="n"/>
      <c r="BX11" s="2194" t="n"/>
      <c r="BY11" s="2193" t="n"/>
      <c r="CB11" s="2193" t="n"/>
      <c r="CC11" s="2193" t="n"/>
      <c r="CD11" s="2193" t="n"/>
      <c r="CE11" s="2193" t="n"/>
      <c r="CF11" s="2193" t="n"/>
      <c r="CG11" s="2193" t="n"/>
      <c r="CH11" s="2193" t="n"/>
      <c r="CI11" s="2193" t="n"/>
      <c r="CJ11" s="2193" t="n"/>
      <c r="CK11" s="2193" t="n"/>
      <c r="CL11" s="1051" t="n"/>
      <c r="CM11" s="2193" t="n"/>
      <c r="CN11" s="1051" t="n"/>
      <c r="CO11" s="1051" t="n"/>
      <c r="CP11" s="2193" t="n"/>
      <c r="CQ11" s="1051" t="n"/>
      <c r="CR11" s="1051" t="n"/>
      <c r="CS11" s="2193" t="n"/>
      <c r="CT11" s="1051" t="n"/>
      <c r="CU11" s="2194" t="n"/>
      <c r="CV11" s="2193" t="n"/>
      <c r="CX11" s="1932" t="n"/>
      <c r="CZ11" s="1932" t="n"/>
      <c r="DA11" s="1933" t="n"/>
      <c r="DB11" s="1051" t="n"/>
    </row>
    <row r="12" customFormat="1" s="585">
      <c r="A12" s="606" t="inlineStr">
        <is>
          <t>New / Reno:</t>
        </is>
      </c>
      <c r="B12" s="603" t="inlineStr">
        <is>
          <t>New</t>
        </is>
      </c>
      <c r="C12" s="591" t="n"/>
      <c r="D12" s="591" t="n"/>
      <c r="E12" s="600" t="n"/>
      <c r="F12" s="978" t="inlineStr">
        <is>
          <t>Yield Per Bag (1/8")</t>
        </is>
      </c>
      <c r="G12" s="981" t="n">
        <v>254.52</v>
      </c>
      <c r="H12" s="979" t="inlineStr">
        <is>
          <t>Yield Per Bag (1/8")</t>
        </is>
      </c>
      <c r="I12" s="982" t="n">
        <v>254.52</v>
      </c>
      <c r="J12" s="980" t="inlineStr">
        <is>
          <t>Yield Per Bag (1/8")</t>
        </is>
      </c>
      <c r="K12" s="983" t="n">
        <v>254.52</v>
      </c>
      <c r="L12" s="1876" t="n"/>
      <c r="M12" s="1292" t="n"/>
      <c r="N12" s="1393">
        <f>SUM(O12:Q12)</f>
        <v/>
      </c>
      <c r="O12" s="1394" t="n"/>
      <c r="P12" s="1395" t="n"/>
      <c r="Q12" s="1396" t="n"/>
      <c r="R12" s="1337">
        <f>((O12+P12+Q12)/F22)*H33</f>
        <v/>
      </c>
      <c r="S12" s="970" t="n"/>
      <c r="AL12" s="2193" t="n"/>
      <c r="AM12" s="2193" t="n"/>
      <c r="AN12" s="2193" t="n"/>
      <c r="AO12" s="2193" t="n"/>
      <c r="AP12" s="2193" t="n"/>
      <c r="AQ12" s="2193" t="n"/>
      <c r="AR12" s="2193" t="n"/>
      <c r="AS12" s="2193" t="n"/>
      <c r="AT12" s="2193" t="n"/>
      <c r="AU12" s="2193" t="n"/>
      <c r="AV12" s="1051" t="n"/>
      <c r="AW12" s="2193" t="n"/>
      <c r="AX12" s="1051" t="n"/>
      <c r="AY12" s="1051" t="n"/>
      <c r="AZ12" s="2193" t="n"/>
      <c r="BA12" s="1051" t="n"/>
      <c r="BB12" s="1051" t="n"/>
      <c r="BC12" s="2193" t="n"/>
      <c r="BD12" s="1051" t="n"/>
      <c r="BE12" s="2194" t="n"/>
      <c r="BF12" s="2193" t="n"/>
      <c r="BH12" s="1932" t="n"/>
      <c r="BJ12" s="1932" t="n"/>
      <c r="BK12" s="1933" t="n"/>
      <c r="BL12" s="1051" t="n"/>
      <c r="BO12" s="1051" t="n"/>
      <c r="BP12" s="2193" t="n"/>
      <c r="BR12" s="1051" t="n"/>
      <c r="BS12" s="2193" t="n"/>
      <c r="BT12" s="2193" t="n"/>
      <c r="BU12" s="1051" t="n"/>
      <c r="BV12" s="2193" t="n"/>
      <c r="BX12" s="2194" t="n"/>
      <c r="BY12" s="2193" t="n"/>
      <c r="CB12" s="2193" t="n"/>
      <c r="CC12" s="2193" t="n"/>
      <c r="CD12" s="2193" t="n"/>
      <c r="CE12" s="2193" t="n"/>
      <c r="CF12" s="2193" t="n"/>
      <c r="CG12" s="2193" t="n"/>
      <c r="CH12" s="2193" t="n"/>
      <c r="CI12" s="2193" t="n"/>
      <c r="CJ12" s="2193" t="n"/>
      <c r="CK12" s="2193" t="n"/>
      <c r="CL12" s="1051" t="n"/>
      <c r="CM12" s="2193" t="n"/>
      <c r="CN12" s="1051" t="n"/>
      <c r="CO12" s="1051" t="n"/>
      <c r="CP12" s="2193" t="n"/>
      <c r="CQ12" s="1051" t="n"/>
      <c r="CR12" s="1051" t="n"/>
      <c r="CS12" s="2193" t="n"/>
      <c r="CT12" s="1051" t="n"/>
      <c r="CU12" s="2194" t="n"/>
      <c r="CV12" s="2193" t="n"/>
      <c r="CX12" s="1932" t="n"/>
      <c r="CZ12" s="1932" t="n"/>
      <c r="DA12" s="1933" t="n"/>
      <c r="DB12" s="1051" t="n"/>
    </row>
    <row r="13" ht="16.2" customFormat="1" customHeight="1" s="585" thickBot="1">
      <c r="A13" s="606" t="inlineStr">
        <is>
          <t>Hallow Plank Subfloor:</t>
        </is>
      </c>
      <c r="B13" s="585" t="inlineStr">
        <is>
          <t>No</t>
        </is>
      </c>
      <c r="C13" s="591" t="n"/>
      <c r="D13" s="591" t="n"/>
      <c r="E13" s="600" t="n"/>
      <c r="F13" s="978" t="inlineStr">
        <is>
          <t xml:space="preserve">Bag Type: </t>
        </is>
      </c>
      <c r="G13" s="2198" t="inlineStr">
        <is>
          <t>FR25</t>
        </is>
      </c>
      <c r="H13" s="2199" t="inlineStr">
        <is>
          <t xml:space="preserve">Bag Type: </t>
        </is>
      </c>
      <c r="I13" s="2200" t="inlineStr">
        <is>
          <t>FR25</t>
        </is>
      </c>
      <c r="J13" s="2201" t="inlineStr">
        <is>
          <t xml:space="preserve">Bag Type: </t>
        </is>
      </c>
      <c r="K13" s="2202" t="inlineStr">
        <is>
          <t>FR25</t>
        </is>
      </c>
      <c r="L13" s="2510" t="n"/>
      <c r="M13" s="1293" t="n"/>
      <c r="N13" s="1393">
        <f>SUM(O13:Q13)</f>
        <v/>
      </c>
      <c r="O13" s="1394" t="n"/>
      <c r="P13" s="1395" t="n"/>
      <c r="Q13" s="1396" t="n"/>
      <c r="R13" s="1337">
        <f>((O13+P13+Q13)/F22)*H33</f>
        <v/>
      </c>
      <c r="S13" s="970" t="n"/>
      <c r="AL13" s="2193" t="n"/>
      <c r="AM13" s="2193" t="n"/>
      <c r="AN13" s="2193" t="n"/>
      <c r="AO13" s="2193" t="n"/>
      <c r="AP13" s="2193" t="n"/>
      <c r="AQ13" s="2193" t="n"/>
      <c r="AR13" s="2193" t="n"/>
      <c r="AS13" s="2193" t="n"/>
      <c r="AT13" s="2193" t="n"/>
      <c r="AU13" s="2193" t="n"/>
      <c r="AV13" s="1051" t="n"/>
      <c r="AW13" s="2193" t="n"/>
      <c r="AX13" s="1051" t="n"/>
      <c r="AY13" s="1051" t="n"/>
      <c r="AZ13" s="2193" t="n"/>
      <c r="BA13" s="1051" t="n"/>
      <c r="BB13" s="1051" t="n"/>
      <c r="BC13" s="2193" t="n"/>
      <c r="BD13" s="1051" t="n"/>
      <c r="BE13" s="2194" t="n"/>
      <c r="BF13" s="2193" t="n"/>
      <c r="BH13" s="1932" t="n"/>
      <c r="BJ13" s="1932" t="n"/>
      <c r="BK13" s="1933" t="n"/>
      <c r="BL13" s="1051" t="n"/>
      <c r="BO13" s="1051" t="n"/>
      <c r="BP13" s="2193" t="n"/>
      <c r="BR13" s="1051" t="n"/>
      <c r="BS13" s="2193" t="n"/>
      <c r="BT13" s="2193" t="n"/>
      <c r="BU13" s="1051" t="n"/>
      <c r="BV13" s="2193" t="n"/>
      <c r="BX13" s="2194" t="n"/>
      <c r="BY13" s="2193" t="n"/>
      <c r="CB13" s="2193" t="n"/>
      <c r="CC13" s="2193" t="n"/>
      <c r="CD13" s="2193" t="n"/>
      <c r="CE13" s="2193" t="n"/>
      <c r="CF13" s="2193" t="n"/>
      <c r="CG13" s="2193" t="n"/>
      <c r="CH13" s="2193" t="n"/>
      <c r="CI13" s="2193" t="n"/>
      <c r="CJ13" s="2193" t="n"/>
      <c r="CK13" s="2193" t="n"/>
      <c r="CL13" s="1051" t="n"/>
      <c r="CM13" s="2193" t="n"/>
      <c r="CN13" s="1051" t="n"/>
      <c r="CO13" s="1051" t="n"/>
      <c r="CP13" s="2193" t="n"/>
      <c r="CQ13" s="1051" t="n"/>
      <c r="CR13" s="1051" t="n"/>
      <c r="CS13" s="2193" t="n"/>
      <c r="CT13" s="1051" t="n"/>
      <c r="CU13" s="2194" t="n"/>
      <c r="CV13" s="2193" t="n"/>
      <c r="CX13" s="1932" t="n"/>
      <c r="CZ13" s="1932" t="n"/>
      <c r="DA13" s="1933" t="n"/>
      <c r="DB13" s="1051" t="n"/>
    </row>
    <row r="14" customFormat="1" s="585">
      <c r="A14" s="606" t="inlineStr">
        <is>
          <t>ISO Strip at All Areas:</t>
        </is>
      </c>
      <c r="B14" s="585" t="inlineStr">
        <is>
          <t>No</t>
        </is>
      </c>
      <c r="C14" s="591" t="n"/>
      <c r="D14" s="591" t="n"/>
      <c r="E14" s="600" t="n"/>
      <c r="F14" s="989" t="inlineStr">
        <is>
          <t xml:space="preserve">Yield at 3/4" </t>
        </is>
      </c>
      <c r="G14" s="862" t="n">
        <v>40</v>
      </c>
      <c r="H14" s="1112" t="inlineStr">
        <is>
          <t>42 more realistic</t>
        </is>
      </c>
      <c r="I14" s="863" t="n"/>
      <c r="K14" s="1934" t="n"/>
      <c r="L14" s="1934" t="n"/>
      <c r="M14" s="1292" t="n"/>
      <c r="N14" s="1393">
        <f>SUM(O14:Q14)</f>
        <v/>
      </c>
      <c r="O14" s="1394" t="n"/>
      <c r="P14" s="1395" t="n"/>
      <c r="Q14" s="1396" t="n"/>
      <c r="R14" s="1337">
        <f>((O14+P14+Q14)/F22)*H33</f>
        <v/>
      </c>
      <c r="S14" s="970" t="n"/>
      <c r="AL14" s="2193" t="n">
        <v>5000</v>
      </c>
      <c r="AM14" s="2193" t="n"/>
      <c r="AN14" s="2193" t="n"/>
      <c r="AO14" s="2193">
        <f>AL14</f>
        <v/>
      </c>
      <c r="AP14" s="2193" t="n"/>
      <c r="AQ14" s="2193" t="n"/>
      <c r="AR14" s="2193">
        <f>AL14+AO14</f>
        <v/>
      </c>
      <c r="AS14" s="2193" t="n"/>
      <c r="AT14" s="2193" t="n"/>
      <c r="AU14" s="2193">
        <f>AR14</f>
        <v/>
      </c>
      <c r="AV14" s="1051">
        <f>IF(AL14&lt;=#REF!,#REF!,IF(AL14&lt;=#REF!,#REF!,IF(AL14&lt;=#REF!,#REF!,IF(AL14&lt;=#REF!,#REF!,IF(AL14&lt;=#REF!,#REF!,IF(AL14&lt;=#REF!,#REF!,IF(AL14&lt;=#REF!,#REF!,0.05)))))))</f>
        <v/>
      </c>
      <c r="AW14" s="2193">
        <f>AV14*AL14</f>
        <v/>
      </c>
      <c r="AX14" s="1051" t="n"/>
      <c r="AY14" s="1051">
        <f>IF(AO14&lt;=#REF!,#REF!,IF(AO14&lt;=#REF!,#REF!,IF(AO14&lt;=#REF!,#REF!,IF(AO14&lt;=#REF!,#REF!,IF(AO14&lt;=#REF!,#REF!,IF(AO14&lt;=#REF!,#REF!,IF(AO14&lt;=#REF!,#REF!,0.05)))))))</f>
        <v/>
      </c>
      <c r="AZ14" s="2193">
        <f>AY14*AO14</f>
        <v/>
      </c>
      <c r="BA14" s="1051" t="n"/>
      <c r="BB14" s="1051">
        <f>IF(AR14&lt;=#REF!,#REF!,IF(AR14&lt;=#REF!,#REF!,IF(AR14&lt;=#REF!,#REF!,IF(AR14&lt;=#REF!,#REF!,IF(AR14&lt;=#REF!,#REF!,IF(AR14&lt;=#REF!,#REF!,IF(AR14&lt;=#REF!,#REF!,0.05)))))))</f>
        <v/>
      </c>
      <c r="BC14" s="2193">
        <f>BB14*SUM(AZ14,AW14,AR14)</f>
        <v/>
      </c>
      <c r="BD14" s="1051" t="n"/>
      <c r="BE14" s="2194">
        <f>IF(AU14&lt;=#REF!,#REF!,IF(AU14&lt;=#REF!,#REF!,IF(AU14&lt;=#REF!,#REF!,IF(AU14&lt;=#REF!,#REF!,IF(AU14&lt;=#REF!,#REF!,IF(AU14&lt;=#REF!,#REF!,IF(AU14&lt;=#REF!,#REF!,0.05)))))))</f>
        <v/>
      </c>
      <c r="BF14" s="2193">
        <f>BE14*AU14</f>
        <v/>
      </c>
      <c r="BH14" s="1932">
        <f>0.07*SUM(AR14,AW14,AZ14,BC14,BF14)</f>
        <v/>
      </c>
      <c r="BJ14" s="1932">
        <f>SUM(BH14,BF14,BC14,AZ14,AW14,AR14)</f>
        <v/>
      </c>
      <c r="BK14" s="1933">
        <f>SUM(BF14,BC14,AZ14,AW14)</f>
        <v/>
      </c>
      <c r="BL14" s="1051">
        <f>BK14/BJ14</f>
        <v/>
      </c>
      <c r="BO14" s="1051" t="n">
        <v>0.05</v>
      </c>
      <c r="BP14" s="2193" t="n">
        <v>1000000000</v>
      </c>
      <c r="BR14" s="1051" t="n">
        <v>0.05</v>
      </c>
      <c r="BS14" s="2193" t="n">
        <v>10000</v>
      </c>
      <c r="BT14" s="2193" t="n"/>
      <c r="BU14" s="1051" t="n">
        <v>0.18</v>
      </c>
      <c r="BV14" s="2193" t="n">
        <v>1000000000</v>
      </c>
      <c r="BX14" s="2194" t="n">
        <v>-0.055</v>
      </c>
      <c r="BY14" s="2193" t="n">
        <v>44000</v>
      </c>
      <c r="CB14" s="2193" t="n">
        <v>5000</v>
      </c>
      <c r="CC14" s="2193" t="n"/>
      <c r="CD14" s="2193" t="n"/>
      <c r="CE14" s="2193">
        <f>CB14</f>
        <v/>
      </c>
      <c r="CF14" s="2193" t="n"/>
      <c r="CG14" s="2193" t="n"/>
      <c r="CH14" s="2193">
        <f>CB14+CE14</f>
        <v/>
      </c>
      <c r="CI14" s="2193" t="n"/>
      <c r="CJ14" s="2193" t="n"/>
      <c r="CK14" s="2193">
        <f>CH14</f>
        <v/>
      </c>
      <c r="CL14" s="1051">
        <f>IF(CB14&lt;=BP$6,BO$6,IF(CB14&lt;=BP$7,BO$7,IF(CB14&lt;=BP$8,BO$8,IF(CB14&lt;=BP$9,BO$9,IF(CB14&lt;=BP$14,BO$14,IF(CB14&lt;=BP$15,BO$15,IF(CB14&lt;=BP$16,BO$16,0.05)))))))</f>
        <v/>
      </c>
      <c r="CM14" s="2193">
        <f>CL14*CB14</f>
        <v/>
      </c>
      <c r="CN14" s="1051" t="n"/>
      <c r="CO14" s="1051">
        <f>IF(CE14&lt;=BS$6,BR$6,IF(CE14&lt;=BS$7,BR$7,IF(CE14&lt;=BS$8,BR$8,IF(CE14&lt;=BS$9,BR$9,IF(CE14&lt;=BS$14,BR$14,IF(CE14&lt;=BS$15,BR$15,IF(CE14&lt;=BS$16,BR$16,0.05)))))))</f>
        <v/>
      </c>
      <c r="CP14" s="2193">
        <f>CO14*CE14</f>
        <v/>
      </c>
      <c r="CQ14" s="1051" t="n"/>
      <c r="CR14" s="1051">
        <f>IF(CH14&lt;=BV$6,BU$6,IF(CH14&lt;=BV$7,BU$7,IF(CH14&lt;=BV$8,BU$8,IF(CH14&lt;=BV$9,BU$9,IF(CH14&lt;=BV$14,BU$14,IF(CH14&lt;=BV$15,BU$15,IF(CH14&lt;=BV$16,BU$16,0.05)))))))</f>
        <v/>
      </c>
      <c r="CS14" s="2193">
        <f>CR14*SUM(CP14,CM14,CH14)</f>
        <v/>
      </c>
      <c r="CT14" s="1051" t="n"/>
      <c r="CU14" s="2194">
        <f>IF(CK14&lt;=BY$6,BX$6,IF(CK14&lt;=BY$7,BX$7,IF(CK14&lt;=BY$8,BX$8,IF(CK14&lt;=BY$9,BX$9,IF(CK14&lt;=BY$14,BX$14,IF(CK14&lt;=BY$15,BX$15,IF(CK14&lt;=BY$16,BX$16,0.05)))))))</f>
        <v/>
      </c>
      <c r="CV14" s="2193">
        <f>CU14*CK14</f>
        <v/>
      </c>
      <c r="CX14" s="1932">
        <f>0.07*SUM(CH14,CM14,CP14,CS14,CV14)</f>
        <v/>
      </c>
      <c r="CZ14" s="1932">
        <f>SUM(CX14,CV14,CS14,CP14,CM14,CH14)</f>
        <v/>
      </c>
      <c r="DA14" s="1933">
        <f>SUM(CV14,CS14,CP14,CM14)</f>
        <v/>
      </c>
      <c r="DB14" s="1051">
        <f>DA14/CZ14</f>
        <v/>
      </c>
    </row>
    <row r="15" customFormat="1" s="585">
      <c r="A15" s="606" t="inlineStr">
        <is>
          <t>Metal Lath Reinfrcmnt:</t>
        </is>
      </c>
      <c r="B15" s="585" t="inlineStr">
        <is>
          <t>No</t>
        </is>
      </c>
      <c r="C15" s="591" t="n"/>
      <c r="D15" s="591" t="n"/>
      <c r="E15" s="591" t="n"/>
      <c r="F15" s="864" t="inlineStr">
        <is>
          <t xml:space="preserve">Yield per 1/8" </t>
        </is>
      </c>
      <c r="G15" s="585">
        <f>G14*6</f>
        <v/>
      </c>
      <c r="I15" s="868" t="n"/>
      <c r="K15" s="1934" t="n"/>
      <c r="L15" s="1934" t="n"/>
      <c r="M15" s="1292" t="n"/>
      <c r="N15" s="1393">
        <f>SUM(O15:Q15)</f>
        <v/>
      </c>
      <c r="O15" s="1394" t="n"/>
      <c r="P15" s="1395" t="n"/>
      <c r="Q15" s="1396" t="n"/>
      <c r="R15" s="1337">
        <f>((O15+P15+Q15)/F22)*H33</f>
        <v/>
      </c>
      <c r="S15" s="970" t="n"/>
      <c r="AL15" s="2193" t="n">
        <v>6000</v>
      </c>
      <c r="AM15" s="2193" t="n"/>
      <c r="AN15" s="2193" t="n"/>
      <c r="AO15" s="2193">
        <f>AL15</f>
        <v/>
      </c>
      <c r="AP15" s="2193" t="n"/>
      <c r="AQ15" s="2193" t="n"/>
      <c r="AR15" s="2193">
        <f>AL15+AO15</f>
        <v/>
      </c>
      <c r="AS15" s="2193" t="n"/>
      <c r="AT15" s="2193" t="n"/>
      <c r="AU15" s="2193">
        <f>AR15</f>
        <v/>
      </c>
      <c r="AV15" s="1051">
        <f>IF(AL15&lt;=#REF!,#REF!,IF(AL15&lt;=#REF!,#REF!,IF(AL15&lt;=#REF!,#REF!,IF(AL15&lt;=#REF!,#REF!,IF(AL15&lt;=#REF!,#REF!,IF(AL15&lt;=#REF!,#REF!,IF(AL15&lt;=#REF!,#REF!,0.05)))))))</f>
        <v/>
      </c>
      <c r="AW15" s="2193">
        <f>AV15*AL15</f>
        <v/>
      </c>
      <c r="AX15" s="1051" t="n"/>
      <c r="AY15" s="1051">
        <f>IF(AO15&lt;=#REF!,#REF!,IF(AO15&lt;=#REF!,#REF!,IF(AO15&lt;=#REF!,#REF!,IF(AO15&lt;=#REF!,#REF!,IF(AO15&lt;=#REF!,#REF!,IF(AO15&lt;=#REF!,#REF!,IF(AO15&lt;=#REF!,#REF!,0.05)))))))</f>
        <v/>
      </c>
      <c r="AZ15" s="2193">
        <f>AY15*AO15</f>
        <v/>
      </c>
      <c r="BA15" s="1051" t="n"/>
      <c r="BB15" s="1051">
        <f>IF(AR15&lt;=#REF!,#REF!,IF(AR15&lt;=#REF!,#REF!,IF(AR15&lt;=#REF!,#REF!,IF(AR15&lt;=#REF!,#REF!,IF(AR15&lt;=#REF!,#REF!,IF(AR15&lt;=#REF!,#REF!,IF(AR15&lt;=#REF!,#REF!,0.05)))))))</f>
        <v/>
      </c>
      <c r="BC15" s="2193">
        <f>BB15*SUM(AZ15,AW15,AR15)</f>
        <v/>
      </c>
      <c r="BD15" s="1051" t="n"/>
      <c r="BE15" s="2194">
        <f>IF(AU15&lt;=#REF!,#REF!,IF(AU15&lt;=#REF!,#REF!,IF(AU15&lt;=#REF!,#REF!,IF(AU15&lt;=#REF!,#REF!,IF(AU15&lt;=#REF!,#REF!,IF(AU15&lt;=#REF!,#REF!,IF(AU15&lt;=#REF!,#REF!,0.05)))))))</f>
        <v/>
      </c>
      <c r="BF15" s="2193">
        <f>BE15*AU15</f>
        <v/>
      </c>
      <c r="BH15" s="1932">
        <f>0.07*SUM(AR15,AW15,AZ15,BC15,BF15)</f>
        <v/>
      </c>
      <c r="BJ15" s="1932">
        <f>SUM(BH15,BF15,BC15,AZ15,AW15,AR15)</f>
        <v/>
      </c>
      <c r="BK15" s="1933">
        <f>SUM(BF15,BC15,AZ15,AW15)</f>
        <v/>
      </c>
      <c r="BL15" s="1051">
        <f>BK15/BJ15</f>
        <v/>
      </c>
      <c r="BO15" s="1051" t="n">
        <v>0.05</v>
      </c>
      <c r="BP15" s="2193" t="n">
        <v>1000000000</v>
      </c>
      <c r="BR15" s="1051" t="n">
        <v>0.03</v>
      </c>
      <c r="BS15" s="2193" t="n">
        <v>1000000000</v>
      </c>
      <c r="BT15" s="2193" t="n"/>
      <c r="BU15" s="1051" t="n">
        <v>0.18</v>
      </c>
      <c r="BV15" s="2193" t="n">
        <v>1000000000</v>
      </c>
      <c r="BX15" s="2194" t="n">
        <v>-0.06</v>
      </c>
      <c r="BY15" s="2193" t="n">
        <v>1000000000</v>
      </c>
      <c r="CB15" s="2193" t="n">
        <v>6000</v>
      </c>
      <c r="CC15" s="2193" t="n"/>
      <c r="CD15" s="2193" t="n"/>
      <c r="CE15" s="2193">
        <f>CB15</f>
        <v/>
      </c>
      <c r="CF15" s="2193" t="n"/>
      <c r="CG15" s="2193" t="n"/>
      <c r="CH15" s="2193">
        <f>CB15+CE15</f>
        <v/>
      </c>
      <c r="CI15" s="2193" t="n"/>
      <c r="CJ15" s="2193" t="n"/>
      <c r="CK15" s="2193">
        <f>CH15</f>
        <v/>
      </c>
      <c r="CL15" s="1051">
        <f>IF(CB15&lt;=BP$6,BO$6,IF(CB15&lt;=BP$7,BO$7,IF(CB15&lt;=BP$8,BO$8,IF(CB15&lt;=BP$9,BO$9,IF(CB15&lt;=BP$14,BO$14,IF(CB15&lt;=BP$15,BO$15,IF(CB15&lt;=BP$16,BO$16,0.05)))))))</f>
        <v/>
      </c>
      <c r="CM15" s="2193">
        <f>CL15*CB15</f>
        <v/>
      </c>
      <c r="CN15" s="1051" t="n"/>
      <c r="CO15" s="1051">
        <f>IF(CE15&lt;=BS$6,BR$6,IF(CE15&lt;=BS$7,BR$7,IF(CE15&lt;=BS$8,BR$8,IF(CE15&lt;=BS$9,BR$9,IF(CE15&lt;=BS$14,BR$14,IF(CE15&lt;=BS$15,BR$15,IF(CE15&lt;=BS$16,BR$16,0.05)))))))</f>
        <v/>
      </c>
      <c r="CP15" s="2193">
        <f>CO15*CE15</f>
        <v/>
      </c>
      <c r="CQ15" s="1051" t="n"/>
      <c r="CR15" s="1051">
        <f>IF(CH15&lt;=BV$6,BU$6,IF(CH15&lt;=BV$7,BU$7,IF(CH15&lt;=BV$8,BU$8,IF(CH15&lt;=BV$9,BU$9,IF(CH15&lt;=BV$14,BU$14,IF(CH15&lt;=BV$15,BU$15,IF(CH15&lt;=BV$16,BU$16,0.05)))))))</f>
        <v/>
      </c>
      <c r="CS15" s="2193">
        <f>CR15*SUM(CP15,CM15,CH15)</f>
        <v/>
      </c>
      <c r="CT15" s="1051" t="n"/>
      <c r="CU15" s="2194">
        <f>IF(CK15&lt;=BY$6,BX$6,IF(CK15&lt;=BY$7,BX$7,IF(CK15&lt;=BY$8,BX$8,IF(CK15&lt;=BY$9,BX$9,IF(CK15&lt;=BY$14,BX$14,IF(CK15&lt;=BY$15,BX$15,IF(CK15&lt;=BY$16,BX$16,0.05)))))))</f>
        <v/>
      </c>
      <c r="CV15" s="2193">
        <f>CU15*CK15</f>
        <v/>
      </c>
      <c r="CX15" s="1932">
        <f>0.07*SUM(CH15,CM15,CP15,CS15,CV15)</f>
        <v/>
      </c>
      <c r="CZ15" s="1932">
        <f>SUM(CX15,CV15,CS15,CP15,CM15,CH15)</f>
        <v/>
      </c>
      <c r="DA15" s="1933">
        <f>SUM(CV15,CS15,CP15,CM15)</f>
        <v/>
      </c>
      <c r="DB15" s="1051">
        <f>DA15/CZ15</f>
        <v/>
      </c>
    </row>
    <row r="16" customFormat="1" s="585">
      <c r="A16" s="608" t="inlineStr">
        <is>
          <t>System-    Gyp:</t>
        </is>
      </c>
      <c r="B16" s="603" t="n"/>
      <c r="C16" s="591" t="n"/>
      <c r="D16" s="591" t="n"/>
      <c r="E16" s="591" t="n"/>
      <c r="F16" s="990" t="inlineStr">
        <is>
          <t>Eights req at Thickness</t>
        </is>
      </c>
      <c r="G16" s="1061" t="n">
        <v>6</v>
      </c>
      <c r="H16" s="991" t="inlineStr">
        <is>
          <t xml:space="preserve">*change this depending on depth, 1"=8… 3/4"=6* </t>
        </is>
      </c>
      <c r="I16" s="868" t="n"/>
      <c r="K16" s="1934" t="n"/>
      <c r="L16" s="1934" t="n"/>
      <c r="M16" s="1292" t="n"/>
      <c r="N16" s="1393">
        <f>SUM(O16:Q16)</f>
        <v/>
      </c>
      <c r="O16" s="1394" t="n"/>
      <c r="P16" s="1395" t="n"/>
      <c r="Q16" s="1396" t="n"/>
      <c r="R16" s="1337">
        <f>((O16+P16+Q16)/F22)*H33</f>
        <v/>
      </c>
      <c r="S16" s="970" t="n"/>
      <c r="AL16" s="2193" t="n">
        <v>7000</v>
      </c>
      <c r="AM16" s="2193" t="n"/>
      <c r="AN16" s="2193" t="n"/>
      <c r="AO16" s="2193">
        <f>AL16</f>
        <v/>
      </c>
      <c r="AP16" s="2193" t="n"/>
      <c r="AQ16" s="2193" t="n"/>
      <c r="AR16" s="2193">
        <f>AL16+AO16</f>
        <v/>
      </c>
      <c r="AS16" s="2193" t="n"/>
      <c r="AT16" s="2193" t="n"/>
      <c r="AU16" s="2193">
        <f>AR16</f>
        <v/>
      </c>
      <c r="AV16" s="1051">
        <f>IF(AL16&lt;=#REF!,#REF!,IF(AL16&lt;=#REF!,#REF!,IF(AL16&lt;=#REF!,#REF!,IF(AL16&lt;=#REF!,#REF!,IF(AL16&lt;=#REF!,#REF!,IF(AL16&lt;=#REF!,#REF!,IF(AL16&lt;=#REF!,#REF!,0.05)))))))</f>
        <v/>
      </c>
      <c r="AW16" s="2193">
        <f>AV16*AL16</f>
        <v/>
      </c>
      <c r="AX16" s="1051" t="n"/>
      <c r="AY16" s="1051">
        <f>IF(AO16&lt;=#REF!,#REF!,IF(AO16&lt;=#REF!,#REF!,IF(AO16&lt;=#REF!,#REF!,IF(AO16&lt;=#REF!,#REF!,IF(AO16&lt;=#REF!,#REF!,IF(AO16&lt;=#REF!,#REF!,IF(AO16&lt;=#REF!,#REF!,0.05)))))))</f>
        <v/>
      </c>
      <c r="AZ16" s="2193">
        <f>AY16*AO16</f>
        <v/>
      </c>
      <c r="BA16" s="1051" t="n"/>
      <c r="BB16" s="1051">
        <f>IF(AR16&lt;=#REF!,#REF!,IF(AR16&lt;=#REF!,#REF!,IF(AR16&lt;=#REF!,#REF!,IF(AR16&lt;=#REF!,#REF!,IF(AR16&lt;=#REF!,#REF!,IF(AR16&lt;=#REF!,#REF!,IF(AR16&lt;=#REF!,#REF!,0.05)))))))</f>
        <v/>
      </c>
      <c r="BC16" s="2193">
        <f>BB16*SUM(AZ16,AW16,AR16)</f>
        <v/>
      </c>
      <c r="BD16" s="1051" t="n"/>
      <c r="BE16" s="2194">
        <f>IF(AU16&lt;=#REF!,#REF!,IF(AU16&lt;=#REF!,#REF!,IF(AU16&lt;=#REF!,#REF!,IF(AU16&lt;=#REF!,#REF!,IF(AU16&lt;=#REF!,#REF!,IF(AU16&lt;=#REF!,#REF!,IF(AU16&lt;=#REF!,#REF!,0.05)))))))</f>
        <v/>
      </c>
      <c r="BF16" s="2193">
        <f>BE16*AU16</f>
        <v/>
      </c>
      <c r="BH16" s="1932">
        <f>0.07*SUM(AR16,AW16,AZ16,BC16,BF16)</f>
        <v/>
      </c>
      <c r="BJ16" s="1932">
        <f>SUM(BH16,BF16,BC16,AZ16,AW16,AR16)</f>
        <v/>
      </c>
      <c r="BK16" s="1933">
        <f>SUM(BF16,BC16,AZ16,AW16)</f>
        <v/>
      </c>
      <c r="BL16" s="1051">
        <f>BK16/BJ16</f>
        <v/>
      </c>
      <c r="BO16" s="1051" t="n">
        <v>0.05</v>
      </c>
      <c r="BP16" s="2193" t="n">
        <v>1000000000</v>
      </c>
      <c r="BR16" s="1051" t="n">
        <v>0.03</v>
      </c>
      <c r="BS16" s="2193" t="n">
        <v>1000000000</v>
      </c>
      <c r="BT16" s="2193" t="n"/>
      <c r="BU16" s="1051" t="n">
        <v>0.18</v>
      </c>
      <c r="BV16" s="2193" t="n">
        <v>1000000000</v>
      </c>
      <c r="BX16" s="2194" t="n">
        <v>0</v>
      </c>
      <c r="BY16" s="2193" t="n">
        <v>1000000000</v>
      </c>
      <c r="CB16" s="2193" t="n">
        <v>7000</v>
      </c>
      <c r="CC16" s="2193" t="n"/>
      <c r="CD16" s="2193" t="n"/>
      <c r="CE16" s="2193">
        <f>CB16</f>
        <v/>
      </c>
      <c r="CF16" s="2193" t="n"/>
      <c r="CG16" s="2193" t="n"/>
      <c r="CH16" s="2193">
        <f>CB16+CE16</f>
        <v/>
      </c>
      <c r="CI16" s="2193" t="n"/>
      <c r="CJ16" s="2193" t="n"/>
      <c r="CK16" s="2193">
        <f>CH16</f>
        <v/>
      </c>
      <c r="CL16" s="1051">
        <f>IF(CB16&lt;=BP$6,BO$6,IF(CB16&lt;=BP$7,BO$7,IF(CB16&lt;=BP$8,BO$8,IF(CB16&lt;=BP$9,BO$9,IF(CB16&lt;=BP$14,BO$14,IF(CB16&lt;=BP$15,BO$15,IF(CB16&lt;=BP$16,BO$16,0.05)))))))</f>
        <v/>
      </c>
      <c r="CM16" s="2193">
        <f>CL16*CB16</f>
        <v/>
      </c>
      <c r="CN16" s="1051" t="n"/>
      <c r="CO16" s="1051">
        <f>IF(CE16&lt;=BS$6,BR$6,IF(CE16&lt;=BS$7,BR$7,IF(CE16&lt;=BS$8,BR$8,IF(CE16&lt;=BS$9,BR$9,IF(CE16&lt;=BS$14,BR$14,IF(CE16&lt;=BS$15,BR$15,IF(CE16&lt;=BS$16,BR$16,0.05)))))))</f>
        <v/>
      </c>
      <c r="CP16" s="2193">
        <f>CO16*CE16</f>
        <v/>
      </c>
      <c r="CQ16" s="1051" t="n"/>
      <c r="CR16" s="1051">
        <f>IF(CH16&lt;=BV$6,BU$6,IF(CH16&lt;=BV$7,BU$7,IF(CH16&lt;=BV$8,BU$8,IF(CH16&lt;=BV$9,BU$9,IF(CH16&lt;=BV$14,BU$14,IF(CH16&lt;=BV$15,BU$15,IF(CH16&lt;=BV$16,BU$16,0.05)))))))</f>
        <v/>
      </c>
      <c r="CS16" s="2193">
        <f>CR16*SUM(CP16,CM16,CH16)</f>
        <v/>
      </c>
      <c r="CT16" s="1051" t="n"/>
      <c r="CU16" s="2194">
        <f>IF(CK16&lt;=BY$6,BX$6,IF(CK16&lt;=BY$7,BX$7,IF(CK16&lt;=BY$8,BX$8,IF(CK16&lt;=BY$9,BX$9,IF(CK16&lt;=BY$14,BX$14,IF(CK16&lt;=BY$15,BX$15,IF(CK16&lt;=BY$16,BX$16,0.05)))))))</f>
        <v/>
      </c>
      <c r="CV16" s="2193">
        <f>CU16*CK16</f>
        <v/>
      </c>
      <c r="CX16" s="1932">
        <f>0.07*SUM(CH16,CM16,CP16,CS16,CV16)</f>
        <v/>
      </c>
      <c r="CZ16" s="1932">
        <f>SUM(CX16,CV16,CS16,CP16,CM16,CH16)</f>
        <v/>
      </c>
      <c r="DA16" s="1933">
        <f>SUM(CV16,CS16,CP16,CM16)</f>
        <v/>
      </c>
      <c r="DB16" s="1051">
        <f>DA16/CZ16</f>
        <v/>
      </c>
    </row>
    <row r="17" ht="16.2" customFormat="1" customHeight="1" s="585" thickBot="1">
      <c r="A17" s="1554" t="inlineStr">
        <is>
          <t>** Formulated **</t>
        </is>
      </c>
      <c r="B17" s="600" t="n"/>
      <c r="C17" s="591" t="n"/>
      <c r="D17" s="591" t="n"/>
      <c r="E17" s="591" t="n"/>
      <c r="F17" s="990" t="inlineStr">
        <is>
          <t xml:space="preserve">Yield/FT </t>
        </is>
      </c>
      <c r="G17" s="585">
        <f>G15/G16</f>
        <v/>
      </c>
      <c r="I17" s="868" t="n"/>
      <c r="K17" s="1934" t="n"/>
      <c r="L17" s="1934" t="n"/>
      <c r="M17" s="1292" t="n"/>
      <c r="N17" s="1393">
        <f>SUM(O17:Q17)</f>
        <v/>
      </c>
      <c r="O17" s="1394" t="n"/>
      <c r="P17" s="1395" t="n"/>
      <c r="Q17" s="1396" t="n"/>
      <c r="R17" s="1337">
        <f>((O17+P17+Q17)/F22)*H33</f>
        <v/>
      </c>
      <c r="S17" s="970" t="n"/>
      <c r="AL17" s="2193" t="n">
        <v>8000</v>
      </c>
      <c r="AM17" s="2193" t="n"/>
      <c r="AN17" s="2193" t="n"/>
      <c r="AO17" s="2193">
        <f>AL17</f>
        <v/>
      </c>
      <c r="AP17" s="2193" t="n"/>
      <c r="AQ17" s="2193" t="n"/>
      <c r="AR17" s="2193">
        <f>AL17+AO17</f>
        <v/>
      </c>
      <c r="AS17" s="2193" t="n"/>
      <c r="AT17" s="2193" t="n"/>
      <c r="AU17" s="2193">
        <f>AR17</f>
        <v/>
      </c>
      <c r="AV17" s="1051">
        <f>IF(AL17&lt;=#REF!,#REF!,IF(AL17&lt;=#REF!,#REF!,IF(AL17&lt;=#REF!,#REF!,IF(AL17&lt;=#REF!,#REF!,IF(AL17&lt;=#REF!,#REF!,IF(AL17&lt;=#REF!,#REF!,IF(AL17&lt;=#REF!,#REF!,0.05)))))))</f>
        <v/>
      </c>
      <c r="AW17" s="2193">
        <f>AV17*AL17</f>
        <v/>
      </c>
      <c r="AX17" s="1051" t="n"/>
      <c r="AY17" s="1051">
        <f>IF(AO17&lt;=#REF!,#REF!,IF(AO17&lt;=#REF!,#REF!,IF(AO17&lt;=#REF!,#REF!,IF(AO17&lt;=#REF!,#REF!,IF(AO17&lt;=#REF!,#REF!,IF(AO17&lt;=#REF!,#REF!,IF(AO17&lt;=#REF!,#REF!,0.05)))))))</f>
        <v/>
      </c>
      <c r="AZ17" s="2193">
        <f>AY17*AO17</f>
        <v/>
      </c>
      <c r="BA17" s="1051" t="n"/>
      <c r="BB17" s="1051">
        <f>IF(AR17&lt;=#REF!,#REF!,IF(AR17&lt;=#REF!,#REF!,IF(AR17&lt;=#REF!,#REF!,IF(AR17&lt;=#REF!,#REF!,IF(AR17&lt;=#REF!,#REF!,IF(AR17&lt;=#REF!,#REF!,IF(AR17&lt;=#REF!,#REF!,0.05)))))))</f>
        <v/>
      </c>
      <c r="BC17" s="2193">
        <f>BB17*SUM(AZ17,AW17,AR17)</f>
        <v/>
      </c>
      <c r="BD17" s="1051" t="n"/>
      <c r="BE17" s="2194">
        <f>IF(AU17&lt;=#REF!,#REF!,IF(AU17&lt;=#REF!,#REF!,IF(AU17&lt;=#REF!,#REF!,IF(AU17&lt;=#REF!,#REF!,IF(AU17&lt;=#REF!,#REF!,IF(AU17&lt;=#REF!,#REF!,IF(AU17&lt;=#REF!,#REF!,0.05)))))))</f>
        <v/>
      </c>
      <c r="BF17" s="2193">
        <f>BE17*AU17</f>
        <v/>
      </c>
      <c r="BH17" s="1932">
        <f>0.07*SUM(AR17,AW17,AZ17,BC17,BF17)</f>
        <v/>
      </c>
      <c r="BJ17" s="1932">
        <f>SUM(BH17,BF17,BC17,AZ17,AW17,AR17)</f>
        <v/>
      </c>
      <c r="BK17" s="1933">
        <f>SUM(BF17,BC17,AZ17,AW17)</f>
        <v/>
      </c>
      <c r="BL17" s="1051">
        <f>BK17/BJ17</f>
        <v/>
      </c>
      <c r="CB17" s="2193" t="n">
        <v>8000</v>
      </c>
      <c r="CC17" s="2193" t="n"/>
      <c r="CD17" s="2193" t="n"/>
      <c r="CE17" s="2193">
        <f>CB17</f>
        <v/>
      </c>
      <c r="CF17" s="2193" t="n"/>
      <c r="CG17" s="2193" t="n"/>
      <c r="CH17" s="2193">
        <f>CB17+CE17</f>
        <v/>
      </c>
      <c r="CI17" s="2193" t="n"/>
      <c r="CJ17" s="2193" t="n"/>
      <c r="CK17" s="2193">
        <f>CH17</f>
        <v/>
      </c>
      <c r="CL17" s="1051">
        <f>IF(CB17&lt;=BP$6,BO$6,IF(CB17&lt;=BP$7,BO$7,IF(CB17&lt;=BP$8,BO$8,IF(CB17&lt;=BP$9,BO$9,IF(CB17&lt;=BP$14,BO$14,IF(CB17&lt;=BP$15,BO$15,IF(CB17&lt;=BP$16,BO$16,0.05)))))))</f>
        <v/>
      </c>
      <c r="CM17" s="2193">
        <f>CL17*CB17</f>
        <v/>
      </c>
      <c r="CN17" s="1051" t="n"/>
      <c r="CO17" s="1051">
        <f>IF(CE17&lt;=BS$6,BR$6,IF(CE17&lt;=BS$7,BR$7,IF(CE17&lt;=BS$8,BR$8,IF(CE17&lt;=BS$9,BR$9,IF(CE17&lt;=BS$14,BR$14,IF(CE17&lt;=BS$15,BR$15,IF(CE17&lt;=BS$16,BR$16,0.05)))))))</f>
        <v/>
      </c>
      <c r="CP17" s="2193">
        <f>CO17*CE17</f>
        <v/>
      </c>
      <c r="CQ17" s="1051" t="n"/>
      <c r="CR17" s="1051">
        <f>IF(CH17&lt;=BV$6,BU$6,IF(CH17&lt;=BV$7,BU$7,IF(CH17&lt;=BV$8,BU$8,IF(CH17&lt;=BV$9,BU$9,IF(CH17&lt;=BV$14,BU$14,IF(CH17&lt;=BV$15,BU$15,IF(CH17&lt;=BV$16,BU$16,0.05)))))))</f>
        <v/>
      </c>
      <c r="CS17" s="2193">
        <f>CR17*SUM(CP17,CM17,CH17)</f>
        <v/>
      </c>
      <c r="CT17" s="1051" t="n"/>
      <c r="CU17" s="2194">
        <f>IF(CK17&lt;=BY$6,BX$6,IF(CK17&lt;=BY$7,BX$7,IF(CK17&lt;=BY$8,BX$8,IF(CK17&lt;=BY$9,BX$9,IF(CK17&lt;=BY$14,BX$14,IF(CK17&lt;=BY$15,BX$15,IF(CK17&lt;=BY$16,BX$16,0.05)))))))</f>
        <v/>
      </c>
      <c r="CV17" s="2193">
        <f>CU17*CK17</f>
        <v/>
      </c>
      <c r="CX17" s="1932">
        <f>0.07*SUM(CH17,CM17,CP17,CS17,CV17)</f>
        <v/>
      </c>
      <c r="CZ17" s="1932">
        <f>SUM(CX17,CV17,CS17,CP17,CM17,CH17)</f>
        <v/>
      </c>
      <c r="DA17" s="1933">
        <f>SUM(CV17,CS17,CP17,CM17)</f>
        <v/>
      </c>
      <c r="DB17" s="1051">
        <f>DA17/CZ17</f>
        <v/>
      </c>
    </row>
    <row r="18" ht="16.2" customFormat="1" customHeight="1" s="585" thickBot="1">
      <c r="A18" s="612" t="inlineStr">
        <is>
          <t>Total Base Bid:</t>
        </is>
      </c>
      <c r="B18" s="1938">
        <f>E87</f>
        <v/>
      </c>
      <c r="C18" s="614" t="n"/>
      <c r="D18" s="614" t="inlineStr">
        <is>
          <t>$ / SF:</t>
        </is>
      </c>
      <c r="E18" s="1938">
        <f>C87</f>
        <v/>
      </c>
      <c r="F18" s="864" t="inlineStr">
        <is>
          <t xml:space="preserve">Gyp Waste </t>
        </is>
      </c>
      <c r="G18" s="1165" t="n">
        <v>0.03</v>
      </c>
      <c r="H18" s="585" t="inlineStr">
        <is>
          <t>*Adjust these if needed</t>
        </is>
      </c>
      <c r="I18" s="868" t="n"/>
      <c r="K18" s="617" t="n"/>
      <c r="L18" s="617" t="n"/>
      <c r="M18" s="1292" t="n"/>
      <c r="N18" s="1393">
        <f>SUM(O18:Q18)</f>
        <v/>
      </c>
      <c r="O18" s="1394" t="n"/>
      <c r="P18" s="1395" t="n"/>
      <c r="Q18" s="1396" t="n"/>
      <c r="R18" s="1337">
        <f>((O18+P18+Q18)/F22)*H33</f>
        <v/>
      </c>
      <c r="S18" s="970" t="n"/>
      <c r="AL18" s="2193" t="n">
        <v>9000</v>
      </c>
      <c r="AM18" s="2193" t="n"/>
      <c r="AN18" s="2193" t="n"/>
      <c r="AO18" s="2193">
        <f>AL18</f>
        <v/>
      </c>
      <c r="AP18" s="2193" t="n"/>
      <c r="AQ18" s="2193" t="n"/>
      <c r="AR18" s="2193">
        <f>AL18+AO18</f>
        <v/>
      </c>
      <c r="AS18" s="2193" t="n"/>
      <c r="AT18" s="2193" t="n"/>
      <c r="AU18" s="2193">
        <f>AR18</f>
        <v/>
      </c>
      <c r="AV18" s="1051">
        <f>IF(AL18&lt;=#REF!,#REF!,IF(AL18&lt;=#REF!,#REF!,IF(AL18&lt;=#REF!,#REF!,IF(AL18&lt;=#REF!,#REF!,IF(AL18&lt;=#REF!,#REF!,IF(AL18&lt;=#REF!,#REF!,IF(AL18&lt;=#REF!,#REF!,0.05)))))))</f>
        <v/>
      </c>
      <c r="AW18" s="2193">
        <f>AV18*AL18</f>
        <v/>
      </c>
      <c r="AX18" s="1051" t="n"/>
      <c r="AY18" s="1051">
        <f>IF(AO18&lt;=#REF!,#REF!,IF(AO18&lt;=#REF!,#REF!,IF(AO18&lt;=#REF!,#REF!,IF(AO18&lt;=#REF!,#REF!,IF(AO18&lt;=#REF!,#REF!,IF(AO18&lt;=#REF!,#REF!,IF(AO18&lt;=#REF!,#REF!,0.05)))))))</f>
        <v/>
      </c>
      <c r="AZ18" s="2193">
        <f>AY18*AO18</f>
        <v/>
      </c>
      <c r="BA18" s="1051" t="n"/>
      <c r="BB18" s="1051">
        <f>IF(AR18&lt;=#REF!,#REF!,IF(AR18&lt;=#REF!,#REF!,IF(AR18&lt;=#REF!,#REF!,IF(AR18&lt;=#REF!,#REF!,IF(AR18&lt;=#REF!,#REF!,IF(AR18&lt;=#REF!,#REF!,IF(AR18&lt;=#REF!,#REF!,0.05)))))))</f>
        <v/>
      </c>
      <c r="BC18" s="2193">
        <f>BB18*SUM(AZ18,AW18,AR18)</f>
        <v/>
      </c>
      <c r="BD18" s="1051" t="n"/>
      <c r="BE18" s="2194">
        <f>IF(AU18&lt;=#REF!,#REF!,IF(AU18&lt;=#REF!,#REF!,IF(AU18&lt;=#REF!,#REF!,IF(AU18&lt;=#REF!,#REF!,IF(AU18&lt;=#REF!,#REF!,IF(AU18&lt;=#REF!,#REF!,IF(AU18&lt;=#REF!,#REF!,0.05)))))))</f>
        <v/>
      </c>
      <c r="BF18" s="2193">
        <f>BE18*AU18</f>
        <v/>
      </c>
      <c r="BH18" s="1932">
        <f>0.07*SUM(AR18,AW18,AZ18,BC18,BF18)</f>
        <v/>
      </c>
      <c r="BJ18" s="1932">
        <f>SUM(BH18,BF18,BC18,AZ18,AW18,AR18)</f>
        <v/>
      </c>
      <c r="BK18" s="1933">
        <f>SUM(BF18,BC18,AZ18,AW18)</f>
        <v/>
      </c>
      <c r="BL18" s="1051">
        <f>BK18/BJ18</f>
        <v/>
      </c>
      <c r="CB18" s="2193" t="n">
        <v>9000</v>
      </c>
      <c r="CC18" s="2193" t="n"/>
      <c r="CD18" s="2193" t="n"/>
      <c r="CE18" s="2193">
        <f>CB18</f>
        <v/>
      </c>
      <c r="CF18" s="2193" t="n"/>
      <c r="CG18" s="2193" t="n"/>
      <c r="CH18" s="2193">
        <f>CB18+CE18</f>
        <v/>
      </c>
      <c r="CI18" s="2193" t="n"/>
      <c r="CJ18" s="2193" t="n"/>
      <c r="CK18" s="2193">
        <f>CH18</f>
        <v/>
      </c>
      <c r="CL18" s="1051">
        <f>IF(CB18&lt;=BP$6,BO$6,IF(CB18&lt;=BP$7,BO$7,IF(CB18&lt;=BP$8,BO$8,IF(CB18&lt;=BP$9,BO$9,IF(CB18&lt;=BP$14,BO$14,IF(CB18&lt;=BP$15,BO$15,IF(CB18&lt;=BP$16,BO$16,0.05)))))))</f>
        <v/>
      </c>
      <c r="CM18" s="2193">
        <f>CL18*CB18</f>
        <v/>
      </c>
      <c r="CN18" s="1051" t="n"/>
      <c r="CO18" s="1051">
        <f>IF(CE18&lt;=BS$6,BR$6,IF(CE18&lt;=BS$7,BR$7,IF(CE18&lt;=BS$8,BR$8,IF(CE18&lt;=BS$9,BR$9,IF(CE18&lt;=BS$14,BR$14,IF(CE18&lt;=BS$15,BR$15,IF(CE18&lt;=BS$16,BR$16,0.05)))))))</f>
        <v/>
      </c>
      <c r="CP18" s="2193">
        <f>CO18*CE18</f>
        <v/>
      </c>
      <c r="CQ18" s="1051" t="n"/>
      <c r="CR18" s="1051">
        <f>IF(CH18&lt;=BV$6,BU$6,IF(CH18&lt;=BV$7,BU$7,IF(CH18&lt;=BV$8,BU$8,IF(CH18&lt;=BV$9,BU$9,IF(CH18&lt;=BV$14,BU$14,IF(CH18&lt;=BV$15,BU$15,IF(CH18&lt;=BV$16,BU$16,0.05)))))))</f>
        <v/>
      </c>
      <c r="CS18" s="2193">
        <f>CR18*SUM(CP18,CM18,CH18)</f>
        <v/>
      </c>
      <c r="CT18" s="1051" t="n"/>
      <c r="CU18" s="2194">
        <f>IF(CK18&lt;=BY$6,BX$6,IF(CK18&lt;=BY$7,BX$7,IF(CK18&lt;=BY$8,BX$8,IF(CK18&lt;=BY$9,BX$9,IF(CK18&lt;=BY$14,BX$14,IF(CK18&lt;=BY$15,BX$15,IF(CK18&lt;=BY$16,BX$16,0.05)))))))</f>
        <v/>
      </c>
      <c r="CV18" s="2193">
        <f>CU18*CK18</f>
        <v/>
      </c>
      <c r="CX18" s="1932">
        <f>0.07*SUM(CH18,CM18,CP18,CS18,CV18)</f>
        <v/>
      </c>
      <c r="CZ18" s="1932">
        <f>SUM(CX18,CV18,CS18,CP18,CM18,CH18)</f>
        <v/>
      </c>
      <c r="DA18" s="1933">
        <f>SUM(CV18,CS18,CP18,CM18)</f>
        <v/>
      </c>
      <c r="DB18" s="1051">
        <f>DA18/CZ18</f>
        <v/>
      </c>
    </row>
    <row r="19" customFormat="1" s="585">
      <c r="A19" s="616" t="inlineStr">
        <is>
          <t xml:space="preserve">MATERIAL - </t>
        </is>
      </c>
      <c r="B19" s="617" t="inlineStr">
        <is>
          <t>Quantity</t>
        </is>
      </c>
      <c r="C19" s="1781" t="inlineStr">
        <is>
          <t>Units</t>
        </is>
      </c>
      <c r="D19" s="617" t="inlineStr">
        <is>
          <t>Cost/Unit</t>
        </is>
      </c>
      <c r="E19" s="992" t="inlineStr">
        <is>
          <t xml:space="preserve">Subtotal </t>
        </is>
      </c>
      <c r="F19" s="585" t="inlineStr">
        <is>
          <t xml:space="preserve">Sand Waste </t>
        </is>
      </c>
      <c r="G19" s="1165" t="n">
        <v>0.1</v>
      </c>
      <c r="H19" s="1877" t="inlineStr">
        <is>
          <t>for large bids</t>
        </is>
      </c>
      <c r="I19" s="993" t="n"/>
      <c r="K19" s="2014" t="n"/>
      <c r="L19" s="2014" t="n"/>
      <c r="M19" s="1292" t="n"/>
      <c r="N19" s="1393">
        <f>SUM(O19:Q19)</f>
        <v/>
      </c>
      <c r="O19" s="1394" t="n"/>
      <c r="P19" s="1395" t="n"/>
      <c r="Q19" s="1396" t="n"/>
      <c r="R19" s="1337">
        <f>((O19+P19+Q19)/F22)*H33</f>
        <v/>
      </c>
      <c r="S19" s="970" t="n"/>
      <c r="AL19" s="2193" t="n">
        <v>10000</v>
      </c>
      <c r="AM19" s="2193" t="n"/>
      <c r="AN19" s="2193" t="n"/>
      <c r="AO19" s="2193">
        <f>AL19</f>
        <v/>
      </c>
      <c r="AP19" s="2193" t="n"/>
      <c r="AQ19" s="2193" t="n"/>
      <c r="AR19" s="2193">
        <f>AL19+AO19</f>
        <v/>
      </c>
      <c r="AS19" s="2193" t="n"/>
      <c r="AT19" s="2193" t="n"/>
      <c r="AU19" s="2193">
        <f>AR19</f>
        <v/>
      </c>
      <c r="AV19" s="1051">
        <f>IF(AL19&lt;=#REF!,#REF!,IF(AL19&lt;=#REF!,#REF!,IF(AL19&lt;=#REF!,#REF!,IF(AL19&lt;=#REF!,#REF!,IF(AL19&lt;=#REF!,#REF!,IF(AL19&lt;=#REF!,#REF!,IF(AL19&lt;=#REF!,#REF!,0.05)))))))</f>
        <v/>
      </c>
      <c r="AW19" s="2193">
        <f>AV19*AL19</f>
        <v/>
      </c>
      <c r="AX19" s="1051" t="n"/>
      <c r="AY19" s="1051">
        <f>IF(AO19&lt;=#REF!,#REF!,IF(AO19&lt;=#REF!,#REF!,IF(AO19&lt;=#REF!,#REF!,IF(AO19&lt;=#REF!,#REF!,IF(AO19&lt;=#REF!,#REF!,IF(AO19&lt;=#REF!,#REF!,IF(AO19&lt;=#REF!,#REF!,0.05)))))))</f>
        <v/>
      </c>
      <c r="AZ19" s="2193">
        <f>AY19*AO19</f>
        <v/>
      </c>
      <c r="BA19" s="1051" t="n"/>
      <c r="BB19" s="1051">
        <f>IF(AR19&lt;=#REF!,#REF!,IF(AR19&lt;=#REF!,#REF!,IF(AR19&lt;=#REF!,#REF!,IF(AR19&lt;=#REF!,#REF!,IF(AR19&lt;=#REF!,#REF!,IF(AR19&lt;=#REF!,#REF!,IF(AR19&lt;=#REF!,#REF!,0.05)))))))</f>
        <v/>
      </c>
      <c r="BC19" s="2193">
        <f>BB19*SUM(AZ19,AW19,AR19)</f>
        <v/>
      </c>
      <c r="BD19" s="1051" t="n"/>
      <c r="BE19" s="2194">
        <f>IF(AU19&lt;=#REF!,#REF!,IF(AU19&lt;=#REF!,#REF!,IF(AU19&lt;=#REF!,#REF!,IF(AU19&lt;=#REF!,#REF!,IF(AU19&lt;=#REF!,#REF!,IF(AU19&lt;=#REF!,#REF!,IF(AU19&lt;=#REF!,#REF!,0.05)))))))</f>
        <v/>
      </c>
      <c r="BF19" s="2193">
        <f>BE19*AU19</f>
        <v/>
      </c>
      <c r="BH19" s="1932">
        <f>0.07*SUM(AR19,AW19,AZ19,BC19,BF19)</f>
        <v/>
      </c>
      <c r="BJ19" s="1932">
        <f>SUM(BH19,BF19,BC19,AZ19,AW19,AR19)</f>
        <v/>
      </c>
      <c r="BK19" s="1933">
        <f>SUM(BF19,BC19,AZ19,AW19)</f>
        <v/>
      </c>
      <c r="BL19" s="1051">
        <f>BK19/BJ19</f>
        <v/>
      </c>
      <c r="CB19" s="2193" t="n">
        <v>10000</v>
      </c>
      <c r="CC19" s="2193" t="n"/>
      <c r="CD19" s="2193" t="n"/>
      <c r="CE19" s="2193">
        <f>CB19</f>
        <v/>
      </c>
      <c r="CF19" s="2193" t="n"/>
      <c r="CG19" s="2193" t="n"/>
      <c r="CH19" s="2193">
        <f>CB19+CE19</f>
        <v/>
      </c>
      <c r="CI19" s="2193" t="n"/>
      <c r="CJ19" s="2193" t="n"/>
      <c r="CK19" s="2193">
        <f>CH19</f>
        <v/>
      </c>
      <c r="CL19" s="1051">
        <f>IF(CB19&lt;=BP$6,BO$6,IF(CB19&lt;=BP$7,BO$7,IF(CB19&lt;=BP$8,BO$8,IF(CB19&lt;=BP$9,BO$9,IF(CB19&lt;=BP$14,BO$14,IF(CB19&lt;=BP$15,BO$15,IF(CB19&lt;=BP$16,BO$16,0.05)))))))</f>
        <v/>
      </c>
      <c r="CM19" s="2193">
        <f>CL19*CB19</f>
        <v/>
      </c>
      <c r="CN19" s="1051" t="n"/>
      <c r="CO19" s="1051">
        <f>IF(CE19&lt;=BS$6,BR$6,IF(CE19&lt;=BS$7,BR$7,IF(CE19&lt;=BS$8,BR$8,IF(CE19&lt;=BS$9,BR$9,IF(CE19&lt;=BS$14,BR$14,IF(CE19&lt;=BS$15,BR$15,IF(CE19&lt;=BS$16,BR$16,0.05)))))))</f>
        <v/>
      </c>
      <c r="CP19" s="2193">
        <f>CO19*CE19</f>
        <v/>
      </c>
      <c r="CQ19" s="1051" t="n"/>
      <c r="CR19" s="1051">
        <f>IF(CH19&lt;=BV$6,BU$6,IF(CH19&lt;=BV$7,BU$7,IF(CH19&lt;=BV$8,BU$8,IF(CH19&lt;=BV$9,BU$9,IF(CH19&lt;=BV$14,BU$14,IF(CH19&lt;=BV$15,BU$15,IF(CH19&lt;=BV$16,BU$16,0.05)))))))</f>
        <v/>
      </c>
      <c r="CS19" s="2193">
        <f>CR19*SUM(CP19,CM19,CH19)</f>
        <v/>
      </c>
      <c r="CT19" s="1051" t="n"/>
      <c r="CU19" s="2194">
        <f>IF(CK19&lt;=BY$6,BX$6,IF(CK19&lt;=BY$7,BX$7,IF(CK19&lt;=BY$8,BX$8,IF(CK19&lt;=BY$9,BX$9,IF(CK19&lt;=BY$14,BX$14,IF(CK19&lt;=BY$15,BX$15,IF(CK19&lt;=BY$16,BX$16,0.05)))))))</f>
        <v/>
      </c>
      <c r="CV19" s="2193">
        <f>CU19*CK19</f>
        <v/>
      </c>
      <c r="CX19" s="1932">
        <f>0.07*SUM(CH19,CM19,CP19,CS19,CV19)</f>
        <v/>
      </c>
      <c r="CZ19" s="1932">
        <f>SUM(CX19,CV19,CS19,CP19,CM19,CH19)</f>
        <v/>
      </c>
      <c r="DA19" s="1933">
        <f>SUM(CV19,CS19,CP19,CM19)</f>
        <v/>
      </c>
      <c r="DB19" s="1051">
        <f>DA19/CZ19</f>
        <v/>
      </c>
    </row>
    <row r="20" ht="16.2" customFormat="1" customHeight="1" s="585" thickBot="1">
      <c r="A20" s="624" t="n"/>
      <c r="B20" s="2096" t="n"/>
      <c r="C20" s="2203" t="n"/>
      <c r="D20" s="1942" t="n"/>
      <c r="E20" s="1943">
        <f>B20*D20</f>
        <v/>
      </c>
      <c r="F20" s="874" t="inlineStr">
        <is>
          <t>Sound Mat Waste</t>
        </is>
      </c>
      <c r="G20" s="1166" t="n">
        <v>0.04</v>
      </c>
      <c r="H20" s="874" t="n"/>
      <c r="I20" s="875" t="n"/>
      <c r="M20" s="1292" t="n"/>
      <c r="N20" s="1393">
        <f>SUM(O20:Q20)</f>
        <v/>
      </c>
      <c r="O20" s="1397" t="n"/>
      <c r="P20" s="1397" t="n"/>
      <c r="Q20" s="1397" t="n"/>
      <c r="R20" s="1337">
        <f>((O20+P20+Q20)/F22)*H33</f>
        <v/>
      </c>
      <c r="S20" s="970" t="n"/>
      <c r="AL20" s="2193" t="n">
        <v>11000</v>
      </c>
      <c r="AM20" s="2193" t="n"/>
      <c r="AN20" s="2193" t="n"/>
      <c r="AO20" s="2193">
        <f>AL20</f>
        <v/>
      </c>
      <c r="AP20" s="2193" t="n"/>
      <c r="AQ20" s="2193" t="n"/>
      <c r="AR20" s="2193">
        <f>AL20+AO20</f>
        <v/>
      </c>
      <c r="AS20" s="2193" t="n"/>
      <c r="AT20" s="2193" t="n"/>
      <c r="AU20" s="2193">
        <f>AR20</f>
        <v/>
      </c>
      <c r="AV20" s="1051">
        <f>IF(AL20&lt;=#REF!,#REF!,IF(AL20&lt;=#REF!,#REF!,IF(AL20&lt;=#REF!,#REF!,IF(AL20&lt;=#REF!,#REF!,IF(AL20&lt;=#REF!,#REF!,IF(AL20&lt;=#REF!,#REF!,IF(AL20&lt;=#REF!,#REF!,0.05)))))))</f>
        <v/>
      </c>
      <c r="AW20" s="2193">
        <f>AV20*AL20</f>
        <v/>
      </c>
      <c r="AX20" s="1051" t="n"/>
      <c r="AY20" s="1051">
        <f>IF(AO20&lt;=#REF!,#REF!,IF(AO20&lt;=#REF!,#REF!,IF(AO20&lt;=#REF!,#REF!,IF(AO20&lt;=#REF!,#REF!,IF(AO20&lt;=#REF!,#REF!,IF(AO20&lt;=#REF!,#REF!,IF(AO20&lt;=#REF!,#REF!,0.05)))))))</f>
        <v/>
      </c>
      <c r="AZ20" s="2193">
        <f>AY20*AO20</f>
        <v/>
      </c>
      <c r="BA20" s="1051" t="n"/>
      <c r="BB20" s="1051">
        <f>IF(AR20&lt;=#REF!,#REF!,IF(AR20&lt;=#REF!,#REF!,IF(AR20&lt;=#REF!,#REF!,IF(AR20&lt;=#REF!,#REF!,IF(AR20&lt;=#REF!,#REF!,IF(AR20&lt;=#REF!,#REF!,IF(AR20&lt;=#REF!,#REF!,0.05)))))))</f>
        <v/>
      </c>
      <c r="BC20" s="2193">
        <f>BB20*SUM(AZ20,AW20,AR20)</f>
        <v/>
      </c>
      <c r="BD20" s="1051" t="n"/>
      <c r="BE20" s="2194">
        <f>IF(AU20&lt;=#REF!,#REF!,IF(AU20&lt;=#REF!,#REF!,IF(AU20&lt;=#REF!,#REF!,IF(AU20&lt;=#REF!,#REF!,IF(AU20&lt;=#REF!,#REF!,IF(AU20&lt;=#REF!,#REF!,IF(AU20&lt;=#REF!,#REF!,0.05)))))))</f>
        <v/>
      </c>
      <c r="BF20" s="2193">
        <f>BE20*AU20</f>
        <v/>
      </c>
      <c r="BH20" s="1932">
        <f>0.07*SUM(AR20,AW20,AZ20,BC20,BF20)</f>
        <v/>
      </c>
      <c r="BJ20" s="1932">
        <f>SUM(BH20,BF20,BC20,AZ20,AW20,AR20)</f>
        <v/>
      </c>
      <c r="BK20" s="1933">
        <f>SUM(BF20,BC20,AZ20,AW20)</f>
        <v/>
      </c>
      <c r="BL20" s="1051">
        <f>BK20/BJ20</f>
        <v/>
      </c>
      <c r="CB20" s="2193" t="n">
        <v>11000</v>
      </c>
      <c r="CC20" s="2193" t="n"/>
      <c r="CD20" s="2193" t="n"/>
      <c r="CE20" s="2193">
        <f>CB20</f>
        <v/>
      </c>
      <c r="CF20" s="2193" t="n"/>
      <c r="CG20" s="2193" t="n"/>
      <c r="CH20" s="2193">
        <f>CB20+CE20</f>
        <v/>
      </c>
      <c r="CI20" s="2193" t="n"/>
      <c r="CJ20" s="2193" t="n"/>
      <c r="CK20" s="2193">
        <f>CH20</f>
        <v/>
      </c>
      <c r="CL20" s="1051">
        <f>IF(CB20&lt;=BP$6,BO$6,IF(CB20&lt;=BP$7,BO$7,IF(CB20&lt;=BP$8,BO$8,IF(CB20&lt;=BP$9,BO$9,IF(CB20&lt;=BP$14,BO$14,IF(CB20&lt;=BP$15,BO$15,IF(CB20&lt;=BP$16,BO$16,0.05)))))))</f>
        <v/>
      </c>
      <c r="CM20" s="2193">
        <f>CL20*CB20</f>
        <v/>
      </c>
      <c r="CN20" s="1051" t="n"/>
      <c r="CO20" s="1051">
        <f>IF(CE20&lt;=BS$6,BR$6,IF(CE20&lt;=BS$7,BR$7,IF(CE20&lt;=BS$8,BR$8,IF(CE20&lt;=BS$9,BR$9,IF(CE20&lt;=BS$14,BR$14,IF(CE20&lt;=BS$15,BR$15,IF(CE20&lt;=BS$16,BR$16,0.05)))))))</f>
        <v/>
      </c>
      <c r="CP20" s="2193">
        <f>CO20*CE20</f>
        <v/>
      </c>
      <c r="CQ20" s="1051" t="n"/>
      <c r="CR20" s="1051">
        <f>IF(CH20&lt;=BV$6,BU$6,IF(CH20&lt;=BV$7,BU$7,IF(CH20&lt;=BV$8,BU$8,IF(CH20&lt;=BV$9,BU$9,IF(CH20&lt;=BV$14,BU$14,IF(CH20&lt;=BV$15,BU$15,IF(CH20&lt;=BV$16,BU$16,0.05)))))))</f>
        <v/>
      </c>
      <c r="CS20" s="2193">
        <f>CR20*SUM(CP20,CM20,CH20)</f>
        <v/>
      </c>
      <c r="CT20" s="1051" t="n"/>
      <c r="CU20" s="2194">
        <f>IF(CK20&lt;=BY$6,BX$6,IF(CK20&lt;=BY$7,BX$7,IF(CK20&lt;=BY$8,BX$8,IF(CK20&lt;=BY$9,BX$9,IF(CK20&lt;=BY$14,BX$14,IF(CK20&lt;=BY$15,BX$15,IF(CK20&lt;=BY$16,BX$16,0.05)))))))</f>
        <v/>
      </c>
      <c r="CV20" s="2193">
        <f>CU20*CK20</f>
        <v/>
      </c>
      <c r="CX20" s="1932">
        <f>0.07*SUM(CH20,CM20,CP20,CS20,CV20)</f>
        <v/>
      </c>
      <c r="CZ20" s="1932">
        <f>SUM(CX20,CV20,CS20,CP20,CM20,CH20)</f>
        <v/>
      </c>
      <c r="DA20" s="1933">
        <f>SUM(CV20,CS20,CP20,CM20)</f>
        <v/>
      </c>
      <c r="DB20" s="1051">
        <f>DA20/CZ20</f>
        <v/>
      </c>
    </row>
    <row r="21" customFormat="1" s="585">
      <c r="A21" s="1560" t="inlineStr">
        <is>
          <t>Formulated</t>
        </is>
      </c>
      <c r="B21" s="2096" t="n"/>
      <c r="C21" s="2203" t="n"/>
      <c r="D21" s="1942" t="n"/>
      <c r="E21" s="1943">
        <f>B21*D21</f>
        <v/>
      </c>
      <c r="M21" s="1292" t="n"/>
      <c r="N21" s="1393">
        <f>SUM(O21:Q21)</f>
        <v/>
      </c>
      <c r="O21" s="1397" t="n"/>
      <c r="P21" s="1397" t="n"/>
      <c r="Q21" s="1397" t="n"/>
      <c r="R21" s="1337">
        <f>((O21+P21+Q21)/F22)*H33</f>
        <v/>
      </c>
      <c r="S21" s="970" t="n"/>
      <c r="AL21" s="2193" t="n">
        <v>12000</v>
      </c>
      <c r="AM21" s="2193" t="n"/>
      <c r="AN21" s="2193" t="n"/>
      <c r="AO21" s="2193">
        <f>AL21</f>
        <v/>
      </c>
      <c r="AP21" s="2193" t="n"/>
      <c r="AQ21" s="2193" t="n"/>
      <c r="AR21" s="2193">
        <f>AL21+AO21</f>
        <v/>
      </c>
      <c r="AS21" s="2193" t="n"/>
      <c r="AT21" s="2193" t="n"/>
      <c r="AU21" s="2193">
        <f>AR21</f>
        <v/>
      </c>
      <c r="AV21" s="1051">
        <f>IF(AL21&lt;=#REF!,#REF!,IF(AL21&lt;=#REF!,#REF!,IF(AL21&lt;=#REF!,#REF!,IF(AL21&lt;=#REF!,#REF!,IF(AL21&lt;=#REF!,#REF!,IF(AL21&lt;=#REF!,#REF!,IF(AL21&lt;=#REF!,#REF!,0.05)))))))</f>
        <v/>
      </c>
      <c r="AW21" s="2193">
        <f>AV21*AL21</f>
        <v/>
      </c>
      <c r="AX21" s="1051" t="n"/>
      <c r="AY21" s="1051">
        <f>IF(AO21&lt;=#REF!,#REF!,IF(AO21&lt;=#REF!,#REF!,IF(AO21&lt;=#REF!,#REF!,IF(AO21&lt;=#REF!,#REF!,IF(AO21&lt;=#REF!,#REF!,IF(AO21&lt;=#REF!,#REF!,IF(AO21&lt;=#REF!,#REF!,0.05)))))))</f>
        <v/>
      </c>
      <c r="AZ21" s="2193">
        <f>AY21*AO21</f>
        <v/>
      </c>
      <c r="BA21" s="1051" t="n"/>
      <c r="BB21" s="1051">
        <f>IF(AR21&lt;=#REF!,#REF!,IF(AR21&lt;=#REF!,#REF!,IF(AR21&lt;=#REF!,#REF!,IF(AR21&lt;=#REF!,#REF!,IF(AR21&lt;=#REF!,#REF!,IF(AR21&lt;=#REF!,#REF!,IF(AR21&lt;=#REF!,#REF!,0.05)))))))</f>
        <v/>
      </c>
      <c r="BC21" s="2193">
        <f>BB21*SUM(AZ21,AW21,AR21)</f>
        <v/>
      </c>
      <c r="BD21" s="1051" t="n"/>
      <c r="BE21" s="2194">
        <f>IF(AU21&lt;=#REF!,#REF!,IF(AU21&lt;=#REF!,#REF!,IF(AU21&lt;=#REF!,#REF!,IF(AU21&lt;=#REF!,#REF!,IF(AU21&lt;=#REF!,#REF!,IF(AU21&lt;=#REF!,#REF!,IF(AU21&lt;=#REF!,#REF!,0.05)))))))</f>
        <v/>
      </c>
      <c r="BF21" s="2193">
        <f>BE21*AU21</f>
        <v/>
      </c>
      <c r="BH21" s="1932">
        <f>0.07*SUM(AR21,AW21,AZ21,BC21,BF21)</f>
        <v/>
      </c>
      <c r="BJ21" s="1932">
        <f>SUM(BH21,BF21,BC21,AZ21,AW21,AR21)</f>
        <v/>
      </c>
      <c r="BK21" s="1933">
        <f>SUM(BF21,BC21,AZ21,AW21)</f>
        <v/>
      </c>
      <c r="BL21" s="1051">
        <f>BK21/BJ21</f>
        <v/>
      </c>
      <c r="CB21" s="2193" t="n">
        <v>12000</v>
      </c>
      <c r="CC21" s="2193" t="n"/>
      <c r="CD21" s="2193" t="n"/>
      <c r="CE21" s="2193">
        <f>CB21</f>
        <v/>
      </c>
      <c r="CF21" s="2193" t="n"/>
      <c r="CG21" s="2193" t="n"/>
      <c r="CH21" s="2193">
        <f>CB21+CE21</f>
        <v/>
      </c>
      <c r="CI21" s="2193" t="n"/>
      <c r="CJ21" s="2193" t="n"/>
      <c r="CK21" s="2193">
        <f>CH21</f>
        <v/>
      </c>
      <c r="CL21" s="1051">
        <f>IF(CB21&lt;=BP$6,BO$6,IF(CB21&lt;=BP$7,BO$7,IF(CB21&lt;=BP$8,BO$8,IF(CB21&lt;=BP$9,BO$9,IF(CB21&lt;=BP$14,BO$14,IF(CB21&lt;=BP$15,BO$15,IF(CB21&lt;=BP$16,BO$16,0.05)))))))</f>
        <v/>
      </c>
      <c r="CM21" s="2193">
        <f>CL21*CB21</f>
        <v/>
      </c>
      <c r="CN21" s="1051" t="n"/>
      <c r="CO21" s="1051">
        <f>IF(CE21&lt;=BS$6,BR$6,IF(CE21&lt;=BS$7,BR$7,IF(CE21&lt;=BS$8,BR$8,IF(CE21&lt;=BS$9,BR$9,IF(CE21&lt;=BS$14,BR$14,IF(CE21&lt;=BS$15,BR$15,IF(CE21&lt;=BS$16,BR$16,0.05)))))))</f>
        <v/>
      </c>
      <c r="CP21" s="2193">
        <f>CO21*CE21</f>
        <v/>
      </c>
      <c r="CQ21" s="1051" t="n"/>
      <c r="CR21" s="1051">
        <f>IF(CH21&lt;=BV$6,BU$6,IF(CH21&lt;=BV$7,BU$7,IF(CH21&lt;=BV$8,BU$8,IF(CH21&lt;=BV$9,BU$9,IF(CH21&lt;=BV$14,BU$14,IF(CH21&lt;=BV$15,BU$15,IF(CH21&lt;=BV$16,BU$16,0.05)))))))</f>
        <v/>
      </c>
      <c r="CS21" s="2193">
        <f>CR21*SUM(CP21,CM21,CH21)</f>
        <v/>
      </c>
      <c r="CT21" s="1051" t="n"/>
      <c r="CU21" s="2194">
        <f>IF(CK21&lt;=BY$6,BX$6,IF(CK21&lt;=BY$7,BX$7,IF(CK21&lt;=BY$8,BX$8,IF(CK21&lt;=BY$9,BX$9,IF(CK21&lt;=BY$14,BX$14,IF(CK21&lt;=BY$15,BX$15,IF(CK21&lt;=BY$16,BX$16,0.05)))))))</f>
        <v/>
      </c>
      <c r="CV21" s="2193">
        <f>CU21*CK21</f>
        <v/>
      </c>
      <c r="CX21" s="1932">
        <f>0.07*SUM(CH21,CM21,CP21,CS21,CV21)</f>
        <v/>
      </c>
      <c r="CZ21" s="1932">
        <f>SUM(CX21,CV21,CS21,CP21,CM21,CH21)</f>
        <v/>
      </c>
      <c r="DA21" s="1933">
        <f>SUM(CV21,CS21,CP21,CM21)</f>
        <v/>
      </c>
      <c r="DB21" s="1051">
        <f>DA21/CZ21</f>
        <v/>
      </c>
    </row>
    <row r="22" customFormat="1" s="585">
      <c r="A22" s="641" t="inlineStr">
        <is>
          <t>MATERIAL - Gypsum Underlayments</t>
        </is>
      </c>
      <c r="B22" s="2204" t="n"/>
      <c r="C22" s="643" t="n"/>
      <c r="D22" s="643" t="n"/>
      <c r="E22" s="2205">
        <f>B22*D22</f>
        <v/>
      </c>
      <c r="F22" s="1284">
        <f>SUM(F23:F25)</f>
        <v/>
      </c>
      <c r="G22" s="887" t="inlineStr">
        <is>
          <t>SF Total</t>
        </is>
      </c>
      <c r="H22" s="837" t="inlineStr">
        <is>
          <t>Ave Gyp Thickness</t>
        </is>
      </c>
      <c r="I22" s="2206" t="inlineStr">
        <is>
          <t>1/8's Req at Thickness</t>
        </is>
      </c>
      <c r="J22" s="822" t="inlineStr">
        <is>
          <t xml:space="preserve">Yield/FT </t>
        </is>
      </c>
      <c r="K22" s="1140" t="inlineStr">
        <is>
          <t>1.8 = 2500 psi</t>
        </is>
      </c>
      <c r="L22" s="1140" t="inlineStr">
        <is>
          <t>1.4 = 3000 psi</t>
        </is>
      </c>
      <c r="N22" s="1393">
        <f>SUM(O22:Q22)</f>
        <v/>
      </c>
      <c r="O22" s="1397" t="n"/>
      <c r="P22" s="1397" t="n"/>
      <c r="Q22" s="1397" t="n"/>
      <c r="R22" s="1337">
        <f>((O22+P22+Q22)/F22)*H33</f>
        <v/>
      </c>
      <c r="S22" s="970" t="n"/>
      <c r="AL22" s="2193" t="n">
        <v>13000</v>
      </c>
      <c r="AM22" s="2193" t="n"/>
      <c r="AN22" s="2193" t="n"/>
      <c r="AO22" s="2193">
        <f>AL22</f>
        <v/>
      </c>
      <c r="AP22" s="2193" t="n"/>
      <c r="AQ22" s="2193" t="n"/>
      <c r="AR22" s="2193">
        <f>AL22+AO22</f>
        <v/>
      </c>
      <c r="AS22" s="2193" t="n"/>
      <c r="AT22" s="2193" t="n"/>
      <c r="AU22" s="2193">
        <f>AR22</f>
        <v/>
      </c>
      <c r="AV22" s="1051">
        <f>IF(AL22&lt;=#REF!,#REF!,IF(AL22&lt;=#REF!,#REF!,IF(AL22&lt;=#REF!,#REF!,IF(AL22&lt;=#REF!,#REF!,IF(AL22&lt;=#REF!,#REF!,IF(AL22&lt;=#REF!,#REF!,IF(AL22&lt;=#REF!,#REF!,0.05)))))))</f>
        <v/>
      </c>
      <c r="AW22" s="2193">
        <f>AV22*AL22</f>
        <v/>
      </c>
      <c r="AX22" s="1051" t="n"/>
      <c r="AY22" s="1051">
        <f>IF(AO22&lt;=#REF!,#REF!,IF(AO22&lt;=#REF!,#REF!,IF(AO22&lt;=#REF!,#REF!,IF(AO22&lt;=#REF!,#REF!,IF(AO22&lt;=#REF!,#REF!,IF(AO22&lt;=#REF!,#REF!,IF(AO22&lt;=#REF!,#REF!,0.05)))))))</f>
        <v/>
      </c>
      <c r="AZ22" s="2193">
        <f>AY22*AO22</f>
        <v/>
      </c>
      <c r="BA22" s="1051" t="n"/>
      <c r="BB22" s="1051">
        <f>IF(AR22&lt;=#REF!,#REF!,IF(AR22&lt;=#REF!,#REF!,IF(AR22&lt;=#REF!,#REF!,IF(AR22&lt;=#REF!,#REF!,IF(AR22&lt;=#REF!,#REF!,IF(AR22&lt;=#REF!,#REF!,IF(AR22&lt;=#REF!,#REF!,0.05)))))))</f>
        <v/>
      </c>
      <c r="BC22" s="2193">
        <f>BB22*SUM(AZ22,AW22,AR22)</f>
        <v/>
      </c>
      <c r="BD22" s="1051" t="n"/>
      <c r="BE22" s="2194">
        <f>IF(AU22&lt;=#REF!,#REF!,IF(AU22&lt;=#REF!,#REF!,IF(AU22&lt;=#REF!,#REF!,IF(AU22&lt;=#REF!,#REF!,IF(AU22&lt;=#REF!,#REF!,IF(AU22&lt;=#REF!,#REF!,IF(AU22&lt;=#REF!,#REF!,0.05)))))))</f>
        <v/>
      </c>
      <c r="BF22" s="2193">
        <f>BE22*AU22</f>
        <v/>
      </c>
      <c r="BH22" s="1932">
        <f>0.07*SUM(AR22,AW22,AZ22,BC22,BF22)</f>
        <v/>
      </c>
      <c r="BJ22" s="1932">
        <f>SUM(BH22,BF22,BC22,AZ22,AW22,AR22)</f>
        <v/>
      </c>
      <c r="BK22" s="1933">
        <f>SUM(BF22,BC22,AZ22,AW22)</f>
        <v/>
      </c>
      <c r="BL22" s="1051">
        <f>BK22/BJ22</f>
        <v/>
      </c>
      <c r="CB22" s="2193" t="n">
        <v>13000</v>
      </c>
      <c r="CC22" s="2193" t="n"/>
      <c r="CD22" s="2193" t="n"/>
      <c r="CE22" s="2193">
        <f>CB22</f>
        <v/>
      </c>
      <c r="CF22" s="2193" t="n"/>
      <c r="CG22" s="2193" t="n"/>
      <c r="CH22" s="2193">
        <f>CB22+CE22</f>
        <v/>
      </c>
      <c r="CI22" s="2193" t="n"/>
      <c r="CJ22" s="2193" t="n"/>
      <c r="CK22" s="2193">
        <f>CH22</f>
        <v/>
      </c>
      <c r="CL22" s="1051">
        <f>IF(CB22&lt;=BP$6,BO$6,IF(CB22&lt;=BP$7,BO$7,IF(CB22&lt;=BP$8,BO$8,IF(CB22&lt;=BP$9,BO$9,IF(CB22&lt;=BP$14,BO$14,IF(CB22&lt;=BP$15,BO$15,IF(CB22&lt;=BP$16,BO$16,0.05)))))))</f>
        <v/>
      </c>
      <c r="CM22" s="2193">
        <f>CL22*CB22</f>
        <v/>
      </c>
      <c r="CN22" s="1051" t="n"/>
      <c r="CO22" s="1051">
        <f>IF(CE22&lt;=BS$6,BR$6,IF(CE22&lt;=BS$7,BR$7,IF(CE22&lt;=BS$8,BR$8,IF(CE22&lt;=BS$9,BR$9,IF(CE22&lt;=BS$14,BR$14,IF(CE22&lt;=BS$15,BR$15,IF(CE22&lt;=BS$16,BR$16,0.05)))))))</f>
        <v/>
      </c>
      <c r="CP22" s="2193">
        <f>CO22*CE22</f>
        <v/>
      </c>
      <c r="CQ22" s="1051" t="n"/>
      <c r="CR22" s="1051">
        <f>IF(CH22&lt;=BV$6,BU$6,IF(CH22&lt;=BV$7,BU$7,IF(CH22&lt;=BV$8,BU$8,IF(CH22&lt;=BV$9,BU$9,IF(CH22&lt;=BV$14,BU$14,IF(CH22&lt;=BV$15,BU$15,IF(CH22&lt;=BV$16,BU$16,0.05)))))))</f>
        <v/>
      </c>
      <c r="CS22" s="2193">
        <f>CR22*SUM(CP22,CM22,CH22)</f>
        <v/>
      </c>
      <c r="CT22" s="1051" t="n"/>
      <c r="CU22" s="2194">
        <f>IF(CK22&lt;=BY$6,BX$6,IF(CK22&lt;=BY$7,BX$7,IF(CK22&lt;=BY$8,BX$8,IF(CK22&lt;=BY$9,BX$9,IF(CK22&lt;=BY$14,BX$14,IF(CK22&lt;=BY$15,BX$15,IF(CK22&lt;=BY$16,BX$16,0.05)))))))</f>
        <v/>
      </c>
      <c r="CV22" s="2193">
        <f>CU22*CK22</f>
        <v/>
      </c>
      <c r="CX22" s="1932">
        <f>0.07*SUM(CH22,CM22,CP22,CS22,CV22)</f>
        <v/>
      </c>
      <c r="CZ22" s="1932">
        <f>SUM(CX22,CV22,CS22,CP22,CM22,CH22)</f>
        <v/>
      </c>
      <c r="DA22" s="1933">
        <f>SUM(CV22,CS22,CP22,CM22)</f>
        <v/>
      </c>
      <c r="DB22" s="1051">
        <f>DA22/CZ22</f>
        <v/>
      </c>
    </row>
    <row r="23" customFormat="1" s="585">
      <c r="A23" s="647" t="inlineStr">
        <is>
          <t>Treadstone FR25 (SSA)</t>
        </is>
      </c>
      <c r="B23" s="2207">
        <f>(F23/J23)*(1+G18)</f>
        <v/>
      </c>
      <c r="C23" s="2179" t="inlineStr">
        <is>
          <t>bags w/ waste</t>
        </is>
      </c>
      <c r="D23" s="2208" t="n">
        <v>14.65</v>
      </c>
      <c r="E23" s="1962">
        <f>B23*D23</f>
        <v/>
      </c>
      <c r="F23" s="2209">
        <f>G9</f>
        <v/>
      </c>
      <c r="G23" s="996" t="inlineStr">
        <is>
          <t>SF - Soft Surfaces</t>
        </is>
      </c>
      <c r="H23" s="2210">
        <f>G10</f>
        <v/>
      </c>
      <c r="I23" s="1147">
        <f>H23*8</f>
        <v/>
      </c>
      <c r="J23" s="1162">
        <f>IF(G11=O52,Q52,IF(G11=O54,Q54))</f>
        <v/>
      </c>
      <c r="K23" s="590" t="n">
        <v>40</v>
      </c>
      <c r="L23" s="585" t="n">
        <v>34</v>
      </c>
      <c r="N23" s="1393">
        <f>SUM(O23:Q23)</f>
        <v/>
      </c>
      <c r="O23" s="1397" t="n"/>
      <c r="P23" s="1397" t="n"/>
      <c r="Q23" s="1397" t="n"/>
      <c r="R23" s="1337">
        <f>((O23+P23+Q23)/F22)*H33</f>
        <v/>
      </c>
      <c r="S23" s="997" t="n"/>
      <c r="AL23" s="2193" t="n">
        <v>14000</v>
      </c>
      <c r="AM23" s="2193" t="n"/>
      <c r="AN23" s="2193" t="n"/>
      <c r="AO23" s="2193">
        <f>AL23</f>
        <v/>
      </c>
      <c r="AP23" s="2193" t="n"/>
      <c r="AQ23" s="2193" t="n"/>
      <c r="AR23" s="2193">
        <f>AL23+AO23</f>
        <v/>
      </c>
      <c r="AS23" s="2193" t="n"/>
      <c r="AT23" s="2193" t="n"/>
      <c r="AU23" s="2193">
        <f>AR23</f>
        <v/>
      </c>
      <c r="AV23" s="1051">
        <f>IF(AL23&lt;=#REF!,#REF!,IF(AL23&lt;=#REF!,#REF!,IF(AL23&lt;=#REF!,#REF!,IF(AL23&lt;=#REF!,#REF!,IF(AL23&lt;=#REF!,#REF!,IF(AL23&lt;=#REF!,#REF!,IF(AL23&lt;=#REF!,#REF!,0.05)))))))</f>
        <v/>
      </c>
      <c r="AW23" s="2193">
        <f>AV23*AL23</f>
        <v/>
      </c>
      <c r="AX23" s="1051" t="n"/>
      <c r="AY23" s="1051">
        <f>IF(AO23&lt;=#REF!,#REF!,IF(AO23&lt;=#REF!,#REF!,IF(AO23&lt;=#REF!,#REF!,IF(AO23&lt;=#REF!,#REF!,IF(AO23&lt;=#REF!,#REF!,IF(AO23&lt;=#REF!,#REF!,IF(AO23&lt;=#REF!,#REF!,0.05)))))))</f>
        <v/>
      </c>
      <c r="AZ23" s="2193">
        <f>AY23*AO23</f>
        <v/>
      </c>
      <c r="BA23" s="1051" t="n"/>
      <c r="BB23" s="1051">
        <f>IF(AR23&lt;=#REF!,#REF!,IF(AR23&lt;=#REF!,#REF!,IF(AR23&lt;=#REF!,#REF!,IF(AR23&lt;=#REF!,#REF!,IF(AR23&lt;=#REF!,#REF!,IF(AR23&lt;=#REF!,#REF!,IF(AR23&lt;=#REF!,#REF!,0.05)))))))</f>
        <v/>
      </c>
      <c r="BC23" s="2193">
        <f>BB23*SUM(AZ23,AW23,AR23)</f>
        <v/>
      </c>
      <c r="BD23" s="1051" t="n"/>
      <c r="BE23" s="2194">
        <f>IF(AU23&lt;=#REF!,#REF!,IF(AU23&lt;=#REF!,#REF!,IF(AU23&lt;=#REF!,#REF!,IF(AU23&lt;=#REF!,#REF!,IF(AU23&lt;=#REF!,#REF!,IF(AU23&lt;=#REF!,#REF!,IF(AU23&lt;=#REF!,#REF!,0.05)))))))</f>
        <v/>
      </c>
      <c r="BF23" s="2193">
        <f>BE23*AU23</f>
        <v/>
      </c>
      <c r="BH23" s="1932">
        <f>0.07*SUM(AR23,AW23,AZ23,BC23,BF23)</f>
        <v/>
      </c>
      <c r="BJ23" s="1932">
        <f>SUM(BH23,BF23,BC23,AZ23,AW23,AR23)</f>
        <v/>
      </c>
      <c r="BK23" s="1933">
        <f>SUM(BF23,BC23,AZ23,AW23)</f>
        <v/>
      </c>
      <c r="BL23" s="1051">
        <f>BK23/BJ23</f>
        <v/>
      </c>
      <c r="CB23" s="2193" t="n">
        <v>14000</v>
      </c>
      <c r="CC23" s="2193" t="n"/>
      <c r="CD23" s="2193" t="n"/>
      <c r="CE23" s="2193">
        <f>CB23</f>
        <v/>
      </c>
      <c r="CF23" s="2193" t="n"/>
      <c r="CG23" s="2193" t="n"/>
      <c r="CH23" s="2193">
        <f>CB23+CE23</f>
        <v/>
      </c>
      <c r="CI23" s="2193" t="n"/>
      <c r="CJ23" s="2193" t="n"/>
      <c r="CK23" s="2193">
        <f>CH23</f>
        <v/>
      </c>
      <c r="CL23" s="1051">
        <f>IF(CB23&lt;=BP$6,BO$6,IF(CB23&lt;=BP$7,BO$7,IF(CB23&lt;=BP$8,BO$8,IF(CB23&lt;=BP$9,BO$9,IF(CB23&lt;=BP$14,BO$14,IF(CB23&lt;=BP$15,BO$15,IF(CB23&lt;=BP$16,BO$16,0.05)))))))</f>
        <v/>
      </c>
      <c r="CM23" s="2193">
        <f>CL23*CB23</f>
        <v/>
      </c>
      <c r="CN23" s="1051" t="n"/>
      <c r="CO23" s="1051">
        <f>IF(CE23&lt;=BS$6,BR$6,IF(CE23&lt;=BS$7,BR$7,IF(CE23&lt;=BS$8,BR$8,IF(CE23&lt;=BS$9,BR$9,IF(CE23&lt;=BS$14,BR$14,IF(CE23&lt;=BS$15,BR$15,IF(CE23&lt;=BS$16,BR$16,0.05)))))))</f>
        <v/>
      </c>
      <c r="CP23" s="2193">
        <f>CO23*CE23</f>
        <v/>
      </c>
      <c r="CQ23" s="1051" t="n"/>
      <c r="CR23" s="1051">
        <f>IF(CH23&lt;=BV$6,BU$6,IF(CH23&lt;=BV$7,BU$7,IF(CH23&lt;=BV$8,BU$8,IF(CH23&lt;=BV$9,BU$9,IF(CH23&lt;=BV$14,BU$14,IF(CH23&lt;=BV$15,BU$15,IF(CH23&lt;=BV$16,BU$16,0.05)))))))</f>
        <v/>
      </c>
      <c r="CS23" s="2193">
        <f>CR23*SUM(CP23,CM23,CH23)</f>
        <v/>
      </c>
      <c r="CT23" s="1051" t="n"/>
      <c r="CU23" s="2194">
        <f>IF(CK23&lt;=BY$6,BX$6,IF(CK23&lt;=BY$7,BX$7,IF(CK23&lt;=BY$8,BX$8,IF(CK23&lt;=BY$9,BX$9,IF(CK23&lt;=BY$14,BX$14,IF(CK23&lt;=BY$15,BX$15,IF(CK23&lt;=BY$16,BX$16,0.05)))))))</f>
        <v/>
      </c>
      <c r="CV23" s="2193">
        <f>CU23*CK23</f>
        <v/>
      </c>
      <c r="CX23" s="1932">
        <f>0.07*SUM(CH23,CM23,CP23,CS23,CV23)</f>
        <v/>
      </c>
      <c r="CZ23" s="1932">
        <f>SUM(CX23,CV23,CS23,CP23,CM23,CH23)</f>
        <v/>
      </c>
      <c r="DA23" s="1933">
        <f>SUM(CV23,CS23,CP23,CM23)</f>
        <v/>
      </c>
      <c r="DB23" s="1051">
        <f>DA23/CZ23</f>
        <v/>
      </c>
    </row>
    <row r="24" customFormat="1" s="585">
      <c r="A24" s="647" t="inlineStr">
        <is>
          <t>Treadstone FR25 (HSA)</t>
        </is>
      </c>
      <c r="B24" s="2211">
        <f>(F24/J24)*(1+G18)</f>
        <v/>
      </c>
      <c r="C24" s="2212">
        <f>C23</f>
        <v/>
      </c>
      <c r="D24" s="2212">
        <f>D23</f>
        <v/>
      </c>
      <c r="E24" s="1962">
        <f>B24*D24</f>
        <v/>
      </c>
      <c r="F24" s="2213">
        <f>I9</f>
        <v/>
      </c>
      <c r="G24" s="999" t="inlineStr">
        <is>
          <t>SF - Hard Surfaces</t>
        </is>
      </c>
      <c r="H24" s="2214">
        <f>I10</f>
        <v/>
      </c>
      <c r="I24" s="1148">
        <f>H24*8</f>
        <v/>
      </c>
      <c r="J24" s="1163">
        <f>IF(I11=O52,R52,IF(I11=O54,R54))</f>
        <v/>
      </c>
      <c r="K24" s="590" t="n">
        <v>42</v>
      </c>
      <c r="L24" s="585" t="n">
        <v>36</v>
      </c>
      <c r="N24" s="1393">
        <f>SUM(O24:Q24)</f>
        <v/>
      </c>
      <c r="O24" s="1397" t="n"/>
      <c r="P24" s="1397" t="n"/>
      <c r="Q24" s="1397" t="n"/>
      <c r="R24" s="1337">
        <f>((O24+P24+Q24)/F22)*H33</f>
        <v/>
      </c>
      <c r="S24" s="970" t="n"/>
      <c r="AL24" s="2193" t="n">
        <v>15000</v>
      </c>
      <c r="AM24" s="2193" t="n"/>
      <c r="AN24" s="2193" t="n"/>
      <c r="AO24" s="2193">
        <f>AL24</f>
        <v/>
      </c>
      <c r="AP24" s="2193" t="n"/>
      <c r="AQ24" s="2193" t="n"/>
      <c r="AR24" s="2193">
        <f>AL24+AO24</f>
        <v/>
      </c>
      <c r="AS24" s="2193" t="n"/>
      <c r="AT24" s="2193" t="n"/>
      <c r="AU24" s="2193">
        <f>AR24</f>
        <v/>
      </c>
      <c r="AV24" s="1051">
        <f>IF(AL24&lt;=#REF!,#REF!,IF(AL24&lt;=#REF!,#REF!,IF(AL24&lt;=#REF!,#REF!,IF(AL24&lt;=#REF!,#REF!,IF(AL24&lt;=#REF!,#REF!,IF(AL24&lt;=#REF!,#REF!,IF(AL24&lt;=#REF!,#REF!,0.05)))))))</f>
        <v/>
      </c>
      <c r="AW24" s="2193">
        <f>AV24*AL24</f>
        <v/>
      </c>
      <c r="AX24" s="1051" t="n"/>
      <c r="AY24" s="1051">
        <f>IF(AO24&lt;=#REF!,#REF!,IF(AO24&lt;=#REF!,#REF!,IF(AO24&lt;=#REF!,#REF!,IF(AO24&lt;=#REF!,#REF!,IF(AO24&lt;=#REF!,#REF!,IF(AO24&lt;=#REF!,#REF!,IF(AO24&lt;=#REF!,#REF!,0.05)))))))</f>
        <v/>
      </c>
      <c r="AZ24" s="2193">
        <f>AY24*AO24</f>
        <v/>
      </c>
      <c r="BA24" s="1051" t="n"/>
      <c r="BB24" s="1051">
        <f>IF(AR24&lt;=#REF!,#REF!,IF(AR24&lt;=#REF!,#REF!,IF(AR24&lt;=#REF!,#REF!,IF(AR24&lt;=#REF!,#REF!,IF(AR24&lt;=#REF!,#REF!,IF(AR24&lt;=#REF!,#REF!,IF(AR24&lt;=#REF!,#REF!,0.05)))))))</f>
        <v/>
      </c>
      <c r="BC24" s="2193">
        <f>BB24*SUM(AZ24,AW24,AR24)</f>
        <v/>
      </c>
      <c r="BD24" s="1051" t="n"/>
      <c r="BE24" s="2194">
        <f>IF(AU24&lt;=#REF!,#REF!,IF(AU24&lt;=#REF!,#REF!,IF(AU24&lt;=#REF!,#REF!,IF(AU24&lt;=#REF!,#REF!,IF(AU24&lt;=#REF!,#REF!,IF(AU24&lt;=#REF!,#REF!,IF(AU24&lt;=#REF!,#REF!,0.05)))))))</f>
        <v/>
      </c>
      <c r="BF24" s="2193">
        <f>BE24*AU24</f>
        <v/>
      </c>
      <c r="BH24" s="1932">
        <f>0.07*SUM(AR24,AW24,AZ24,BC24,BF24)</f>
        <v/>
      </c>
      <c r="BJ24" s="1932">
        <f>SUM(BH24,BF24,BC24,AZ24,AW24,AR24)</f>
        <v/>
      </c>
      <c r="BK24" s="1933">
        <f>SUM(BF24,BC24,AZ24,AW24)</f>
        <v/>
      </c>
      <c r="BL24" s="1051">
        <f>BK24/BJ24</f>
        <v/>
      </c>
      <c r="CB24" s="2193" t="n">
        <v>15000</v>
      </c>
      <c r="CC24" s="2193" t="n"/>
      <c r="CD24" s="2193" t="n"/>
      <c r="CE24" s="2193">
        <f>CB24</f>
        <v/>
      </c>
      <c r="CF24" s="2193" t="n"/>
      <c r="CG24" s="2193" t="n"/>
      <c r="CH24" s="2193">
        <f>CB24+CE24</f>
        <v/>
      </c>
      <c r="CI24" s="2193" t="n"/>
      <c r="CJ24" s="2193" t="n"/>
      <c r="CK24" s="2193">
        <f>CH24</f>
        <v/>
      </c>
      <c r="CL24" s="1051">
        <f>IF(CB24&lt;=BP$6,BO$6,IF(CB24&lt;=BP$7,BO$7,IF(CB24&lt;=BP$8,BO$8,IF(CB24&lt;=BP$9,BO$9,IF(CB24&lt;=BP$14,BO$14,IF(CB24&lt;=BP$15,BO$15,IF(CB24&lt;=BP$16,BO$16,0.05)))))))</f>
        <v/>
      </c>
      <c r="CM24" s="2193">
        <f>CL24*CB24</f>
        <v/>
      </c>
      <c r="CN24" s="1051" t="n"/>
      <c r="CO24" s="1051">
        <f>IF(CE24&lt;=BS$6,BR$6,IF(CE24&lt;=BS$7,BR$7,IF(CE24&lt;=BS$8,BR$8,IF(CE24&lt;=BS$9,BR$9,IF(CE24&lt;=BS$14,BR$14,IF(CE24&lt;=BS$15,BR$15,IF(CE24&lt;=BS$16,BR$16,0.05)))))))</f>
        <v/>
      </c>
      <c r="CP24" s="2193">
        <f>CO24*CE24</f>
        <v/>
      </c>
      <c r="CQ24" s="1051" t="n"/>
      <c r="CR24" s="1051">
        <f>IF(CH24&lt;=BV$6,BU$6,IF(CH24&lt;=BV$7,BU$7,IF(CH24&lt;=BV$8,BU$8,IF(CH24&lt;=BV$9,BU$9,IF(CH24&lt;=BV$14,BU$14,IF(CH24&lt;=BV$15,BU$15,IF(CH24&lt;=BV$16,BU$16,0.05)))))))</f>
        <v/>
      </c>
      <c r="CS24" s="2193">
        <f>CR24*SUM(CP24,CM24,CH24)</f>
        <v/>
      </c>
      <c r="CT24" s="1051" t="n"/>
      <c r="CU24" s="2194">
        <f>IF(CK24&lt;=BY$6,BX$6,IF(CK24&lt;=BY$7,BX$7,IF(CK24&lt;=BY$8,BX$8,IF(CK24&lt;=BY$9,BX$9,IF(CK24&lt;=BY$14,BX$14,IF(CK24&lt;=BY$15,BX$15,IF(CK24&lt;=BY$16,BX$16,0.05)))))))</f>
        <v/>
      </c>
      <c r="CV24" s="2193">
        <f>CU24*CK24</f>
        <v/>
      </c>
      <c r="CX24" s="1932">
        <f>0.07*SUM(CH24,CM24,CP24,CS24,CV24)</f>
        <v/>
      </c>
      <c r="CZ24" s="1932">
        <f>SUM(CX24,CV24,CS24,CP24,CM24,CH24)</f>
        <v/>
      </c>
      <c r="DA24" s="1933">
        <f>SUM(CV24,CS24,CP24,CM24)</f>
        <v/>
      </c>
      <c r="DB24" s="1051">
        <f>DA24/CZ24</f>
        <v/>
      </c>
    </row>
    <row r="25" customFormat="1" s="585">
      <c r="A25" s="647" t="inlineStr">
        <is>
          <t>Treadstone FR25 (Corr)</t>
        </is>
      </c>
      <c r="B25" s="2215">
        <f>(F25/J25)*(1+G18)</f>
        <v/>
      </c>
      <c r="C25" s="2216">
        <f>C23</f>
        <v/>
      </c>
      <c r="D25" s="2216">
        <f>D23</f>
        <v/>
      </c>
      <c r="E25" s="1962">
        <f>B25*D25</f>
        <v/>
      </c>
      <c r="F25" s="2217">
        <f>K9</f>
        <v/>
      </c>
      <c r="G25" s="1001" t="inlineStr">
        <is>
          <t>SF - Corridors</t>
        </is>
      </c>
      <c r="H25" s="2218">
        <f>K10</f>
        <v/>
      </c>
      <c r="I25" s="1149">
        <f>H25*8</f>
        <v/>
      </c>
      <c r="J25" s="1164">
        <f>IF(K11=O52,S52,IF(K11=O54,S54))</f>
        <v/>
      </c>
      <c r="K25" s="1142" t="n">
        <v>40</v>
      </c>
      <c r="L25" s="784" t="n">
        <v>34</v>
      </c>
      <c r="N25" s="1393">
        <f>SUM(O25:Q25)</f>
        <v/>
      </c>
      <c r="O25" s="1397" t="n"/>
      <c r="P25" s="1397" t="n"/>
      <c r="Q25" s="1397" t="n"/>
      <c r="R25" s="1337">
        <f>((O25+P25+Q25)/F22)*H33</f>
        <v/>
      </c>
      <c r="S25" s="970" t="n"/>
      <c r="AL25" s="2193" t="n">
        <v>16000</v>
      </c>
      <c r="AM25" s="2193" t="n"/>
      <c r="AN25" s="2193" t="n"/>
      <c r="AO25" s="2193">
        <f>AL25</f>
        <v/>
      </c>
      <c r="AP25" s="2193" t="n"/>
      <c r="AQ25" s="2193" t="n"/>
      <c r="AR25" s="2193">
        <f>AL25+AO25</f>
        <v/>
      </c>
      <c r="AS25" s="2193" t="n"/>
      <c r="AT25" s="2193" t="n"/>
      <c r="AU25" s="2193">
        <f>AR25</f>
        <v/>
      </c>
      <c r="AV25" s="1051">
        <f>IF(AL25&lt;=#REF!,#REF!,IF(AL25&lt;=#REF!,#REF!,IF(AL25&lt;=#REF!,#REF!,IF(AL25&lt;=#REF!,#REF!,IF(AL25&lt;=#REF!,#REF!,IF(AL25&lt;=#REF!,#REF!,IF(AL25&lt;=#REF!,#REF!,0.05)))))))</f>
        <v/>
      </c>
      <c r="AW25" s="2193">
        <f>AV25*AL25</f>
        <v/>
      </c>
      <c r="AX25" s="1051" t="n"/>
      <c r="AY25" s="1051">
        <f>IF(AO25&lt;=#REF!,#REF!,IF(AO25&lt;=#REF!,#REF!,IF(AO25&lt;=#REF!,#REF!,IF(AO25&lt;=#REF!,#REF!,IF(AO25&lt;=#REF!,#REF!,IF(AO25&lt;=#REF!,#REF!,IF(AO25&lt;=#REF!,#REF!,0.05)))))))</f>
        <v/>
      </c>
      <c r="AZ25" s="2193">
        <f>AY25*AO25</f>
        <v/>
      </c>
      <c r="BA25" s="1051" t="n"/>
      <c r="BB25" s="1051">
        <f>IF(AR25&lt;=#REF!,#REF!,IF(AR25&lt;=#REF!,#REF!,IF(AR25&lt;=#REF!,#REF!,IF(AR25&lt;=#REF!,#REF!,IF(AR25&lt;=#REF!,#REF!,IF(AR25&lt;=#REF!,#REF!,IF(AR25&lt;=#REF!,#REF!,0.05)))))))</f>
        <v/>
      </c>
      <c r="BC25" s="2193">
        <f>BB25*SUM(AZ25,AW25,AR25)</f>
        <v/>
      </c>
      <c r="BD25" s="1051" t="n"/>
      <c r="BE25" s="2194">
        <f>IF(AU25&lt;=#REF!,#REF!,IF(AU25&lt;=#REF!,#REF!,IF(AU25&lt;=#REF!,#REF!,IF(AU25&lt;=#REF!,#REF!,IF(AU25&lt;=#REF!,#REF!,IF(AU25&lt;=#REF!,#REF!,IF(AU25&lt;=#REF!,#REF!,0.05)))))))</f>
        <v/>
      </c>
      <c r="BF25" s="2193">
        <f>BE25*AU25</f>
        <v/>
      </c>
      <c r="BH25" s="1932">
        <f>0.07*SUM(AR25,AW25,AZ25,BC25,BF25)</f>
        <v/>
      </c>
      <c r="BJ25" s="1932">
        <f>SUM(BH25,BF25,BC25,AZ25,AW25,AR25)</f>
        <v/>
      </c>
      <c r="BK25" s="1933">
        <f>SUM(BF25,BC25,AZ25,AW25)</f>
        <v/>
      </c>
      <c r="BL25" s="1051">
        <f>BK25/BJ25</f>
        <v/>
      </c>
      <c r="CB25" s="2193" t="n">
        <v>16000</v>
      </c>
      <c r="CC25" s="2193" t="n"/>
      <c r="CD25" s="2193" t="n"/>
      <c r="CE25" s="2193">
        <f>CB25</f>
        <v/>
      </c>
      <c r="CF25" s="2193" t="n"/>
      <c r="CG25" s="2193" t="n"/>
      <c r="CH25" s="2193">
        <f>CB25+CE25</f>
        <v/>
      </c>
      <c r="CI25" s="2193" t="n"/>
      <c r="CJ25" s="2193" t="n"/>
      <c r="CK25" s="2193">
        <f>CH25</f>
        <v/>
      </c>
      <c r="CL25" s="1051">
        <f>IF(CB25&lt;=BP$6,BO$6,IF(CB25&lt;=BP$7,BO$7,IF(CB25&lt;=BP$8,BO$8,IF(CB25&lt;=BP$9,BO$9,IF(CB25&lt;=BP$14,BO$14,IF(CB25&lt;=BP$15,BO$15,IF(CB25&lt;=BP$16,BO$16,0.05)))))))</f>
        <v/>
      </c>
      <c r="CM25" s="2193">
        <f>CL25*CB25</f>
        <v/>
      </c>
      <c r="CN25" s="1051" t="n"/>
      <c r="CO25" s="1051">
        <f>IF(CE25&lt;=BS$6,BR$6,IF(CE25&lt;=BS$7,BR$7,IF(CE25&lt;=BS$8,BR$8,IF(CE25&lt;=BS$9,BR$9,IF(CE25&lt;=BS$14,BR$14,IF(CE25&lt;=BS$15,BR$15,IF(CE25&lt;=BS$16,BR$16,0.05)))))))</f>
        <v/>
      </c>
      <c r="CP25" s="2193">
        <f>CO25*CE25</f>
        <v/>
      </c>
      <c r="CQ25" s="1051" t="n"/>
      <c r="CR25" s="1051">
        <f>IF(CH25&lt;=BV$6,BU$6,IF(CH25&lt;=BV$7,BU$7,IF(CH25&lt;=BV$8,BU$8,IF(CH25&lt;=BV$9,BU$9,IF(CH25&lt;=BV$14,BU$14,IF(CH25&lt;=BV$15,BU$15,IF(CH25&lt;=BV$16,BU$16,0.05)))))))</f>
        <v/>
      </c>
      <c r="CS25" s="2193">
        <f>CR25*SUM(CP25,CM25,CH25)</f>
        <v/>
      </c>
      <c r="CT25" s="1051" t="n"/>
      <c r="CU25" s="2194">
        <f>IF(CK25&lt;=BY$6,BX$6,IF(CK25&lt;=BY$7,BX$7,IF(CK25&lt;=BY$8,BX$8,IF(CK25&lt;=BY$9,BX$9,IF(CK25&lt;=BY$14,BX$14,IF(CK25&lt;=BY$15,BX$15,IF(CK25&lt;=BY$16,BX$16,0.05)))))))</f>
        <v/>
      </c>
      <c r="CV25" s="2193">
        <f>CU25*CK25</f>
        <v/>
      </c>
      <c r="CX25" s="1932">
        <f>0.07*SUM(CH25,CM25,CP25,CS25,CV25)</f>
        <v/>
      </c>
      <c r="CZ25" s="1932">
        <f>SUM(CX25,CV25,CS25,CP25,CM25,CH25)</f>
        <v/>
      </c>
      <c r="DA25" s="1933">
        <f>SUM(CV25,CS25,CP25,CM25)</f>
        <v/>
      </c>
      <c r="DB25" s="1051">
        <f>DA25/CZ25</f>
        <v/>
      </c>
    </row>
    <row r="26" customFormat="1" s="585">
      <c r="A26" s="641" t="inlineStr">
        <is>
          <t>MATERIAL - Extras</t>
        </is>
      </c>
      <c r="B26" s="1066" t="n"/>
      <c r="C26" s="1066" t="n"/>
      <c r="D26" s="1066" t="n"/>
      <c r="E26" s="1067" t="n"/>
      <c r="F26" s="600" t="n"/>
      <c r="G26" s="600" t="n"/>
      <c r="H26" s="600" t="n"/>
      <c r="I26" s="1934" t="n"/>
      <c r="J26" s="2219" t="n"/>
      <c r="K26" s="1141" t="inlineStr">
        <is>
          <t>NO Mat = 42</t>
        </is>
      </c>
      <c r="L26" s="1141" t="inlineStr">
        <is>
          <t>NO Mat = 36</t>
        </is>
      </c>
      <c r="N26" s="1393">
        <f>SUM(O26:Q26)</f>
        <v/>
      </c>
      <c r="O26" s="1397" t="n"/>
      <c r="P26" s="1397" t="n"/>
      <c r="Q26" s="1397" t="n"/>
      <c r="R26" s="1337">
        <f>((O26+P26+Q26)/F22)*H33</f>
        <v/>
      </c>
      <c r="S26" s="970" t="n"/>
      <c r="AL26" s="2220" t="n">
        <v>17000</v>
      </c>
      <c r="AM26" s="2220" t="n"/>
      <c r="AN26" s="2220" t="n"/>
      <c r="AO26" s="2220">
        <f>AL26</f>
        <v/>
      </c>
      <c r="AP26" s="2220" t="n"/>
      <c r="AQ26" s="2220" t="n"/>
      <c r="AR26" s="2220">
        <f>AL26+AO26</f>
        <v/>
      </c>
      <c r="AS26" s="2220" t="n"/>
      <c r="AT26" s="2220" t="n"/>
      <c r="AU26" s="2193">
        <f>AR26</f>
        <v/>
      </c>
      <c r="AV26" s="1004">
        <f>IF(AL26&lt;=#REF!,#REF!,IF(AL26&lt;=#REF!,#REF!,IF(AL26&lt;=#REF!,#REF!,IF(AL26&lt;=#REF!,#REF!,IF(AL26&lt;=#REF!,#REF!,IF(AL26&lt;=#REF!,#REF!,IF(AL26&lt;=#REF!,#REF!,0.05)))))))</f>
        <v/>
      </c>
      <c r="AW26" s="2220">
        <f>AV26*AL26</f>
        <v/>
      </c>
      <c r="AX26" s="1004" t="n"/>
      <c r="AY26" s="1004">
        <f>IF(AO26&lt;=#REF!,#REF!,IF(AO26&lt;=#REF!,#REF!,IF(AO26&lt;=#REF!,#REF!,IF(AO26&lt;=#REF!,#REF!,IF(AO26&lt;=#REF!,#REF!,IF(AO26&lt;=#REF!,#REF!,IF(AO26&lt;=#REF!,#REF!,0.05)))))))</f>
        <v/>
      </c>
      <c r="AZ26" s="2220">
        <f>AY26*AO26</f>
        <v/>
      </c>
      <c r="BA26" s="1004" t="n"/>
      <c r="BB26" s="1004">
        <f>IF(AR26&lt;=#REF!,#REF!,IF(AR26&lt;=#REF!,#REF!,IF(AR26&lt;=#REF!,#REF!,IF(AR26&lt;=#REF!,#REF!,IF(AR26&lt;=#REF!,#REF!,IF(AR26&lt;=#REF!,#REF!,IF(AR26&lt;=#REF!,#REF!,0.05)))))))</f>
        <v/>
      </c>
      <c r="BC26" s="2193">
        <f>BB26*SUM(AZ26,AW26,AR26)</f>
        <v/>
      </c>
      <c r="BD26" s="1004" t="n"/>
      <c r="BE26" s="2221">
        <f>IF(AU26&lt;=#REF!,#REF!,IF(AU26&lt;=#REF!,#REF!,IF(AU26&lt;=#REF!,#REF!,IF(AU26&lt;=#REF!,#REF!,IF(AU26&lt;=#REF!,#REF!,IF(AU26&lt;=#REF!,#REF!,IF(AU26&lt;=#REF!,#REF!,0.05)))))))</f>
        <v/>
      </c>
      <c r="BF26" s="2220">
        <f>BE26*AU26</f>
        <v/>
      </c>
      <c r="BG26" s="667" t="n"/>
      <c r="BH26" s="1968">
        <f>0.07*SUM(AR26,AW26,AZ26,BC26,BF26)</f>
        <v/>
      </c>
      <c r="BI26" s="667" t="n"/>
      <c r="BJ26" s="1968">
        <f>SUM(BH26,BF26,BC26,AZ26,AW26,AR26)</f>
        <v/>
      </c>
      <c r="BK26" s="1969">
        <f>SUM(BF26,BC26,AZ26,AW26)</f>
        <v/>
      </c>
      <c r="BL26" s="1004">
        <f>BK26/BJ26</f>
        <v/>
      </c>
      <c r="CB26" s="2220" t="n">
        <v>17000</v>
      </c>
      <c r="CC26" s="2220" t="n"/>
      <c r="CD26" s="2220" t="n"/>
      <c r="CE26" s="2220">
        <f>CB26</f>
        <v/>
      </c>
      <c r="CF26" s="2220" t="n"/>
      <c r="CG26" s="2220" t="n"/>
      <c r="CH26" s="2220">
        <f>CB26+CE26</f>
        <v/>
      </c>
      <c r="CI26" s="2220" t="n"/>
      <c r="CJ26" s="2220" t="n"/>
      <c r="CK26" s="2193">
        <f>CH26</f>
        <v/>
      </c>
      <c r="CL26" s="1004">
        <f>IF(CB26&lt;=BP$6,BO$6,IF(CB26&lt;=BP$7,BO$7,IF(CB26&lt;=BP$8,BO$8,IF(CB26&lt;=BP$9,BO$9,IF(CB26&lt;=BP$14,BO$14,IF(CB26&lt;=BP$15,BO$15,IF(CB26&lt;=BP$16,BO$16,0.05)))))))</f>
        <v/>
      </c>
      <c r="CM26" s="2220">
        <f>CL26*CB26</f>
        <v/>
      </c>
      <c r="CN26" s="1004" t="n"/>
      <c r="CO26" s="1004">
        <f>IF(CE26&lt;=BS$6,BR$6,IF(CE26&lt;=BS$7,BR$7,IF(CE26&lt;=BS$8,BR$8,IF(CE26&lt;=BS$9,BR$9,IF(CE26&lt;=BS$14,BR$14,IF(CE26&lt;=BS$15,BR$15,IF(CE26&lt;=BS$16,BR$16,0.05)))))))</f>
        <v/>
      </c>
      <c r="CP26" s="2220">
        <f>CO26*CE26</f>
        <v/>
      </c>
      <c r="CQ26" s="1004" t="n"/>
      <c r="CR26" s="1004">
        <f>IF(CH26&lt;=BV$6,BU$6,IF(CH26&lt;=BV$7,BU$7,IF(CH26&lt;=BV$8,BU$8,IF(CH26&lt;=BV$9,BU$9,IF(CH26&lt;=BV$14,BU$14,IF(CH26&lt;=BV$15,BU$15,IF(CH26&lt;=BV$16,BU$16,0.05)))))))</f>
        <v/>
      </c>
      <c r="CS26" s="2193">
        <f>CR26*SUM(CP26,CM26,CH26)</f>
        <v/>
      </c>
      <c r="CT26" s="1004" t="n"/>
      <c r="CU26" s="2221">
        <f>IF(CK26&lt;=BY$6,BX$6,IF(CK26&lt;=BY$7,BX$7,IF(CK26&lt;=BY$8,BX$8,IF(CK26&lt;=BY$9,BX$9,IF(CK26&lt;=BY$14,BX$14,IF(CK26&lt;=BY$15,BX$15,IF(CK26&lt;=BY$16,BX$16,0.05)))))))</f>
        <v/>
      </c>
      <c r="CV26" s="2220">
        <f>CU26*CK26</f>
        <v/>
      </c>
      <c r="CW26" s="667" t="n"/>
      <c r="CX26" s="1968">
        <f>0.07*SUM(CH26,CM26,CP26,CS26,CV26)</f>
        <v/>
      </c>
      <c r="CY26" s="667" t="n"/>
      <c r="CZ26" s="1968">
        <f>SUM(CX26,CV26,CS26,CP26,CM26,CH26)</f>
        <v/>
      </c>
      <c r="DA26" s="1969">
        <f>SUM(CV26,CS26,CP26,CM26)</f>
        <v/>
      </c>
      <c r="DB26" s="1004">
        <f>DA26/CZ26</f>
        <v/>
      </c>
    </row>
    <row r="27" ht="16.2" customFormat="1" customHeight="1" s="585" thickBot="1">
      <c r="A27" s="647" t="inlineStr">
        <is>
          <t>Treadstone Primer TP1</t>
        </is>
      </c>
      <c r="B27" s="2096">
        <f>(F23+F25)/1200</f>
        <v/>
      </c>
      <c r="C27" s="1977" t="inlineStr">
        <is>
          <t>gallons</t>
        </is>
      </c>
      <c r="D27" s="1944">
        <f>139.5/5</f>
        <v/>
      </c>
      <c r="E27" s="1962">
        <f>B27*D27</f>
        <v/>
      </c>
      <c r="F27" s="1176" t="inlineStr">
        <is>
          <t>*Sealer @ Soft Surfc &amp; Corridors ONLY</t>
        </is>
      </c>
      <c r="G27" s="600" t="n"/>
      <c r="H27" s="780" t="n"/>
      <c r="I27" s="2222" t="n"/>
      <c r="M27" s="1292" t="n"/>
      <c r="N27" s="1398">
        <f>SUM(O27:Q27)</f>
        <v/>
      </c>
      <c r="O27" s="1399" t="n"/>
      <c r="P27" s="1399" t="n"/>
      <c r="Q27" s="1399" t="n"/>
      <c r="R27" s="1338">
        <f>((O27+P27+Q27)/F22)*H33</f>
        <v/>
      </c>
      <c r="S27" s="1335" t="n"/>
      <c r="T27" s="1129" t="n"/>
      <c r="U27" s="1135" t="n"/>
      <c r="V27" s="1135" t="n"/>
      <c r="W27" s="784" t="n"/>
      <c r="AL27" s="2193" t="n">
        <v>18000</v>
      </c>
      <c r="AM27" s="2193" t="n"/>
      <c r="AN27" s="2193" t="n"/>
      <c r="AO27" s="2193">
        <f>AL27</f>
        <v/>
      </c>
      <c r="AP27" s="2193" t="n"/>
      <c r="AQ27" s="2193" t="n"/>
      <c r="AR27" s="2193">
        <f>AL27+AO27</f>
        <v/>
      </c>
      <c r="AS27" s="2193" t="n"/>
      <c r="AT27" s="2193" t="n"/>
      <c r="AU27" s="2193">
        <f>AR27</f>
        <v/>
      </c>
      <c r="AV27" s="1051">
        <f>IF(AL27&lt;=#REF!,#REF!,IF(AL27&lt;=#REF!,#REF!,IF(AL27&lt;=#REF!,#REF!,IF(AL27&lt;=#REF!,#REF!,IF(AL27&lt;=#REF!,#REF!,IF(AL27&lt;=#REF!,#REF!,IF(AL27&lt;=#REF!,#REF!,0.05)))))))</f>
        <v/>
      </c>
      <c r="AW27" s="2193">
        <f>AV27*AL27</f>
        <v/>
      </c>
      <c r="AX27" s="1051" t="n"/>
      <c r="AY27" s="1051">
        <f>IF(AO27&lt;=#REF!,#REF!,IF(AO27&lt;=#REF!,#REF!,IF(AO27&lt;=#REF!,#REF!,IF(AO27&lt;=#REF!,#REF!,IF(AO27&lt;=#REF!,#REF!,IF(AO27&lt;=#REF!,#REF!,IF(AO27&lt;=#REF!,#REF!,0.05)))))))</f>
        <v/>
      </c>
      <c r="AZ27" s="2193">
        <f>AY27*AO27</f>
        <v/>
      </c>
      <c r="BA27" s="1051" t="n"/>
      <c r="BB27" s="1051">
        <f>IF(AR27&lt;=#REF!,#REF!,IF(AR27&lt;=#REF!,#REF!,IF(AR27&lt;=#REF!,#REF!,IF(AR27&lt;=#REF!,#REF!,IF(AR27&lt;=#REF!,#REF!,IF(AR27&lt;=#REF!,#REF!,IF(AR27&lt;=#REF!,#REF!,0.05)))))))</f>
        <v/>
      </c>
      <c r="BC27" s="2193">
        <f>BB27*SUM(AZ27,AW27,AR27)</f>
        <v/>
      </c>
      <c r="BD27" s="1051" t="n"/>
      <c r="BE27" s="2194">
        <f>IF(AU27&lt;=#REF!,#REF!,IF(AU27&lt;=#REF!,#REF!,IF(AU27&lt;=#REF!,#REF!,IF(AU27&lt;=#REF!,#REF!,IF(AU27&lt;=#REF!,#REF!,IF(AU27&lt;=#REF!,#REF!,IF(AU27&lt;=#REF!,#REF!,0.05)))))))</f>
        <v/>
      </c>
      <c r="BF27" s="2193">
        <f>BE27*AU27</f>
        <v/>
      </c>
      <c r="BH27" s="1932">
        <f>0.07*SUM(AR27,AW27,AZ27,BC27,BF27)</f>
        <v/>
      </c>
      <c r="BJ27" s="1932">
        <f>SUM(BH27,BF27,BC27,AZ27,AW27,AR27)</f>
        <v/>
      </c>
      <c r="BK27" s="1933">
        <f>SUM(BF27,BC27,AZ27,AW27)</f>
        <v/>
      </c>
      <c r="BL27" s="1051">
        <f>BK27/BJ27</f>
        <v/>
      </c>
      <c r="CB27" s="2193" t="n">
        <v>18000</v>
      </c>
      <c r="CC27" s="2193" t="n"/>
      <c r="CD27" s="2193" t="n"/>
      <c r="CE27" s="2193">
        <f>CB27</f>
        <v/>
      </c>
      <c r="CF27" s="2193" t="n"/>
      <c r="CG27" s="2193" t="n"/>
      <c r="CH27" s="2193">
        <f>CB27+CE27</f>
        <v/>
      </c>
      <c r="CI27" s="2193" t="n"/>
      <c r="CJ27" s="2193" t="n"/>
      <c r="CK27" s="2193">
        <f>CH27</f>
        <v/>
      </c>
      <c r="CL27" s="1051">
        <f>IF(CB27&lt;=BP$6,BO$6,IF(CB27&lt;=BP$7,BO$7,IF(CB27&lt;=BP$8,BO$8,IF(CB27&lt;=BP$9,BO$9,IF(CB27&lt;=BP$14,BO$14,IF(CB27&lt;=BP$15,BO$15,IF(CB27&lt;=BP$16,BO$16,0.05)))))))</f>
        <v/>
      </c>
      <c r="CM27" s="2193">
        <f>CL27*CB27</f>
        <v/>
      </c>
      <c r="CN27" s="1051" t="n"/>
      <c r="CO27" s="1051">
        <f>IF(CE27&lt;=BS$6,BR$6,IF(CE27&lt;=BS$7,BR$7,IF(CE27&lt;=BS$8,BR$8,IF(CE27&lt;=BS$9,BR$9,IF(CE27&lt;=BS$14,BR$14,IF(CE27&lt;=BS$15,BR$15,IF(CE27&lt;=BS$16,BR$16,0.05)))))))</f>
        <v/>
      </c>
      <c r="CP27" s="2193">
        <f>CO27*CE27</f>
        <v/>
      </c>
      <c r="CQ27" s="1051" t="n"/>
      <c r="CR27" s="1051">
        <f>IF(CH27&lt;=BV$6,BU$6,IF(CH27&lt;=BV$7,BU$7,IF(CH27&lt;=BV$8,BU$8,IF(CH27&lt;=BV$9,BU$9,IF(CH27&lt;=BV$14,BU$14,IF(CH27&lt;=BV$15,BU$15,IF(CH27&lt;=BV$16,BU$16,0.05)))))))</f>
        <v/>
      </c>
      <c r="CS27" s="2193">
        <f>CR27*SUM(CP27,CM27,CH27)</f>
        <v/>
      </c>
      <c r="CT27" s="1051" t="n"/>
      <c r="CU27" s="2194">
        <f>IF(CK27&lt;=BY$6,BX$6,IF(CK27&lt;=BY$7,BX$7,IF(CK27&lt;=BY$8,BX$8,IF(CK27&lt;=BY$9,BX$9,IF(CK27&lt;=BY$14,BX$14,IF(CK27&lt;=BY$15,BX$15,IF(CK27&lt;=BY$16,BX$16,0.05)))))))</f>
        <v/>
      </c>
      <c r="CV27" s="2193">
        <f>CU27*CK27</f>
        <v/>
      </c>
      <c r="CX27" s="1932">
        <f>0.07*SUM(CH27,CM27,CP27,CS27,CV27)</f>
        <v/>
      </c>
      <c r="CZ27" s="1932">
        <f>SUM(CX27,CV27,CS27,CP27,CM27,CH27)</f>
        <v/>
      </c>
      <c r="DA27" s="1933">
        <f>SUM(CV27,CS27,CP27,CM27)</f>
        <v/>
      </c>
      <c r="DB27" s="1051">
        <f>DA27/CZ27</f>
        <v/>
      </c>
    </row>
    <row r="28" ht="16.2" customFormat="1" customHeight="1" s="585" thickBot="1">
      <c r="A28" s="647" t="inlineStr">
        <is>
          <t>Iso Strip (rolls)</t>
        </is>
      </c>
      <c r="B28" s="2096">
        <f>IF(B14="Yes",((F23+F24+F25)/1200),(F24/1200))</f>
        <v/>
      </c>
      <c r="C28" s="1977" t="inlineStr">
        <is>
          <t>rolls</t>
        </is>
      </c>
      <c r="D28" s="1944" t="n">
        <v>27</v>
      </c>
      <c r="E28" s="1962">
        <f>B28*D28</f>
        <v/>
      </c>
      <c r="F28" s="600" t="n"/>
      <c r="G28" s="600" t="n"/>
      <c r="H28" s="600" t="n"/>
      <c r="I28" s="1934" t="n"/>
      <c r="M28" s="1283">
        <f>SUM(O28:Q28)</f>
        <v/>
      </c>
      <c r="N28" s="1403">
        <f>SUM(N3:N27)</f>
        <v/>
      </c>
      <c r="O28" s="1349">
        <f>SUM(O3:O27)</f>
        <v/>
      </c>
      <c r="P28" s="1350">
        <f>SUM(P3:P27)</f>
        <v/>
      </c>
      <c r="Q28" s="1351">
        <f>SUM(Q3:Q27)</f>
        <v/>
      </c>
      <c r="R28" s="1336">
        <f>SUM(R3:R27)</f>
        <v/>
      </c>
      <c r="S28" s="1332">
        <f>SUM(S3:S27)</f>
        <v/>
      </c>
      <c r="T28" s="1333">
        <f>SUM(T3:T27)</f>
        <v/>
      </c>
      <c r="U28" s="1333">
        <f>SUM(U3:U27)</f>
        <v/>
      </c>
      <c r="V28" s="1333">
        <f>SUM(V3:V27)</f>
        <v/>
      </c>
      <c r="W28" s="1333">
        <f>SUM(W3:W27)</f>
        <v/>
      </c>
      <c r="AL28" s="2193" t="n">
        <v>19000</v>
      </c>
      <c r="AM28" s="2193" t="n"/>
      <c r="AN28" s="2193" t="n"/>
      <c r="AO28" s="2193">
        <f>AL28</f>
        <v/>
      </c>
      <c r="AP28" s="2193" t="n"/>
      <c r="AQ28" s="2193" t="n"/>
      <c r="AR28" s="2193">
        <f>AL28+AO28</f>
        <v/>
      </c>
      <c r="AS28" s="2193" t="n"/>
      <c r="AT28" s="2193" t="n"/>
      <c r="AU28" s="2193">
        <f>AR28</f>
        <v/>
      </c>
      <c r="AV28" s="1051">
        <f>IF(AL28&lt;=#REF!,#REF!,IF(AL28&lt;=#REF!,#REF!,IF(AL28&lt;=#REF!,#REF!,IF(AL28&lt;=#REF!,#REF!,IF(AL28&lt;=#REF!,#REF!,IF(AL28&lt;=#REF!,#REF!,IF(AL28&lt;=#REF!,#REF!,0.05)))))))</f>
        <v/>
      </c>
      <c r="AW28" s="2193">
        <f>AV28*AL28</f>
        <v/>
      </c>
      <c r="AX28" s="1051" t="n"/>
      <c r="AY28" s="1051">
        <f>IF(AO28&lt;=#REF!,#REF!,IF(AO28&lt;=#REF!,#REF!,IF(AO28&lt;=#REF!,#REF!,IF(AO28&lt;=#REF!,#REF!,IF(AO28&lt;=#REF!,#REF!,IF(AO28&lt;=#REF!,#REF!,IF(AO28&lt;=#REF!,#REF!,0.05)))))))</f>
        <v/>
      </c>
      <c r="AZ28" s="2193">
        <f>AY28*AO28</f>
        <v/>
      </c>
      <c r="BA28" s="1051" t="n"/>
      <c r="BB28" s="1051">
        <f>IF(AR28&lt;=#REF!,#REF!,IF(AR28&lt;=#REF!,#REF!,IF(AR28&lt;=#REF!,#REF!,IF(AR28&lt;=#REF!,#REF!,IF(AR28&lt;=#REF!,#REF!,IF(AR28&lt;=#REF!,#REF!,IF(AR28&lt;=#REF!,#REF!,0.05)))))))</f>
        <v/>
      </c>
      <c r="BC28" s="2193">
        <f>BB28*SUM(AZ28,AW28,AR28)</f>
        <v/>
      </c>
      <c r="BD28" s="1051" t="n"/>
      <c r="BE28" s="2194">
        <f>IF(AU28&lt;=#REF!,#REF!,IF(AU28&lt;=#REF!,#REF!,IF(AU28&lt;=#REF!,#REF!,IF(AU28&lt;=#REF!,#REF!,IF(AU28&lt;=#REF!,#REF!,IF(AU28&lt;=#REF!,#REF!,IF(AU28&lt;=#REF!,#REF!,0.05)))))))</f>
        <v/>
      </c>
      <c r="BF28" s="2193">
        <f>BE28*AU28</f>
        <v/>
      </c>
      <c r="BH28" s="1932">
        <f>0.07*SUM(AR28,AW28,AZ28,BC28,BF28)</f>
        <v/>
      </c>
      <c r="BJ28" s="1932">
        <f>SUM(BH28,BF28,BC28,AZ28,AW28,AR28)</f>
        <v/>
      </c>
      <c r="BK28" s="1933">
        <f>SUM(BF28,BC28,AZ28,AW28)</f>
        <v/>
      </c>
      <c r="BL28" s="1051">
        <f>BK28/BJ28</f>
        <v/>
      </c>
      <c r="CB28" s="2193" t="n">
        <v>19000</v>
      </c>
      <c r="CC28" s="2193" t="n"/>
      <c r="CD28" s="2193" t="n"/>
      <c r="CE28" s="2193">
        <f>CB28</f>
        <v/>
      </c>
      <c r="CF28" s="2193" t="n"/>
      <c r="CG28" s="2193" t="n"/>
      <c r="CH28" s="2193">
        <f>CB28+CE28</f>
        <v/>
      </c>
      <c r="CI28" s="2193" t="n"/>
      <c r="CJ28" s="2193" t="n"/>
      <c r="CK28" s="2193">
        <f>CH28</f>
        <v/>
      </c>
      <c r="CL28" s="1051">
        <f>IF(CB28&lt;=BP$6,BO$6,IF(CB28&lt;=BP$7,BO$7,IF(CB28&lt;=BP$8,BO$8,IF(CB28&lt;=BP$9,BO$9,IF(CB28&lt;=BP$14,BO$14,IF(CB28&lt;=BP$15,BO$15,IF(CB28&lt;=BP$16,BO$16,0.05)))))))</f>
        <v/>
      </c>
      <c r="CM28" s="2193">
        <f>CL28*CB28</f>
        <v/>
      </c>
      <c r="CN28" s="1051" t="n"/>
      <c r="CO28" s="1051">
        <f>IF(CE28&lt;=BS$6,BR$6,IF(CE28&lt;=BS$7,BR$7,IF(CE28&lt;=BS$8,BR$8,IF(CE28&lt;=BS$9,BR$9,IF(CE28&lt;=BS$14,BR$14,IF(CE28&lt;=BS$15,BR$15,IF(CE28&lt;=BS$16,BR$16,0.05)))))))</f>
        <v/>
      </c>
      <c r="CP28" s="2193">
        <f>CO28*CE28</f>
        <v/>
      </c>
      <c r="CQ28" s="1051" t="n"/>
      <c r="CR28" s="1051">
        <f>IF(CH28&lt;=BV$6,BU$6,IF(CH28&lt;=BV$7,BU$7,IF(CH28&lt;=BV$8,BU$8,IF(CH28&lt;=BV$9,BU$9,IF(CH28&lt;=BV$14,BU$14,IF(CH28&lt;=BV$15,BU$15,IF(CH28&lt;=BV$16,BU$16,0.05)))))))</f>
        <v/>
      </c>
      <c r="CS28" s="2193">
        <f>CR28*SUM(CP28,CM28,CH28)</f>
        <v/>
      </c>
      <c r="CT28" s="1051" t="n"/>
      <c r="CU28" s="2194">
        <f>IF(CK28&lt;=BY$6,BX$6,IF(CK28&lt;=BY$7,BX$7,IF(CK28&lt;=BY$8,BX$8,IF(CK28&lt;=BY$9,BX$9,IF(CK28&lt;=BY$14,BX$14,IF(CK28&lt;=BY$15,BX$15,IF(CK28&lt;=BY$16,BX$16,0.05)))))))</f>
        <v/>
      </c>
      <c r="CV28" s="2193">
        <f>CU28*CK28</f>
        <v/>
      </c>
      <c r="CX28" s="1932">
        <f>0.07*SUM(CH28,CM28,CP28,CS28,CV28)</f>
        <v/>
      </c>
      <c r="CZ28" s="1932">
        <f>SUM(CX28,CV28,CS28,CP28,CM28,CH28)</f>
        <v/>
      </c>
      <c r="DA28" s="1933">
        <f>SUM(CV28,CS28,CP28,CM28)</f>
        <v/>
      </c>
      <c r="DB28" s="1051">
        <f>DA28/CZ28</f>
        <v/>
      </c>
    </row>
    <row r="29" ht="16.2" customFormat="1" customHeight="1" s="585" thickBot="1">
      <c r="A29" s="647" t="inlineStr">
        <is>
          <t>Joint Tape (rolls)</t>
        </is>
      </c>
      <c r="B29" s="2096">
        <f>F24/240</f>
        <v/>
      </c>
      <c r="C29" s="1977" t="inlineStr">
        <is>
          <t>rolls</t>
        </is>
      </c>
      <c r="D29" s="1944" t="n">
        <v>5.75</v>
      </c>
      <c r="E29" s="1962">
        <f>B29*D29</f>
        <v/>
      </c>
      <c r="F29" s="600" t="n"/>
      <c r="G29" s="600" t="n"/>
      <c r="H29" s="600" t="n"/>
      <c r="I29" s="600" t="n"/>
      <c r="N29" s="1046" t="inlineStr">
        <is>
          <t>Soft Surf + Corrs.</t>
        </is>
      </c>
      <c r="Q29" s="939" t="n"/>
      <c r="R29" s="2223" t="n"/>
      <c r="S29" s="2223" t="n"/>
      <c r="T29" s="2223" t="n"/>
      <c r="U29" s="2223" t="n"/>
      <c r="V29" s="2223" t="n"/>
      <c r="AX29" s="2193" t="n">
        <v>20000</v>
      </c>
      <c r="AY29" s="2193" t="n"/>
      <c r="AZ29" s="2193" t="n"/>
      <c r="BA29" s="2193">
        <f>AX29</f>
        <v/>
      </c>
      <c r="BB29" s="2193" t="n"/>
      <c r="BC29" s="2193" t="n"/>
      <c r="BD29" s="2193">
        <f>AX29+BA29</f>
        <v/>
      </c>
      <c r="BE29" s="2193" t="n"/>
      <c r="BF29" s="2193" t="n"/>
      <c r="BG29" s="2193">
        <f>BD29</f>
        <v/>
      </c>
      <c r="BH29" s="1051">
        <f>IF(AX29&lt;=#REF!,#REF!,IF(AX29&lt;=#REF!,#REF!,IF(AX29&lt;=#REF!,#REF!,IF(AX29&lt;=#REF!,#REF!,IF(AX29&lt;=#REF!,#REF!,IF(AX29&lt;=#REF!,#REF!,IF(AX29&lt;=#REF!,#REF!,0.05)))))))</f>
        <v/>
      </c>
      <c r="BI29" s="2193">
        <f>BH29*AX29</f>
        <v/>
      </c>
      <c r="BJ29" s="1051" t="n"/>
      <c r="BK29" s="1051">
        <f>IF(BA29&lt;=#REF!,#REF!,IF(BA29&lt;=#REF!,#REF!,IF(BA29&lt;=#REF!,#REF!,IF(BA29&lt;=#REF!,#REF!,IF(BA29&lt;=#REF!,#REF!,IF(BA29&lt;=#REF!,#REF!,IF(BA29&lt;=#REF!,#REF!,0.05)))))))</f>
        <v/>
      </c>
      <c r="BL29" s="2193">
        <f>BK29*BA29</f>
        <v/>
      </c>
      <c r="BM29" s="1051" t="n"/>
      <c r="BN29" s="1051">
        <f>IF(BD29&lt;=#REF!,#REF!,IF(BD29&lt;=#REF!,#REF!,IF(BD29&lt;=#REF!,#REF!,IF(BD29&lt;=#REF!,#REF!,IF(BD29&lt;=#REF!,#REF!,IF(BD29&lt;=#REF!,#REF!,IF(BD29&lt;=#REF!,#REF!,0.05)))))))</f>
        <v/>
      </c>
      <c r="BO29" s="2193">
        <f>BN29*SUM(BL29,BI29,BD29)</f>
        <v/>
      </c>
      <c r="BP29" s="1051" t="n"/>
      <c r="BQ29" s="2194">
        <f>IF(BG29&lt;=#REF!,#REF!,IF(BG29&lt;=#REF!,#REF!,IF(BG29&lt;=#REF!,#REF!,IF(BG29&lt;=#REF!,#REF!,IF(BG29&lt;=#REF!,#REF!,IF(BG29&lt;=#REF!,#REF!,IF(BG29&lt;=#REF!,#REF!,0.05)))))))</f>
        <v/>
      </c>
      <c r="BR29" s="2193">
        <f>BQ29*BG29</f>
        <v/>
      </c>
      <c r="BT29" s="1932">
        <f>0.07*SUM(BD29,BI29,BL29,BO29,BR29)</f>
        <v/>
      </c>
      <c r="BV29" s="1932">
        <f>SUM(BT29,BR29,BO29,BL29,BI29,BD29)</f>
        <v/>
      </c>
      <c r="BW29" s="1933">
        <f>SUM(BR29,BO29,BL29,BI29)</f>
        <v/>
      </c>
      <c r="BX29" s="1051">
        <f>BW29/BV29</f>
        <v/>
      </c>
      <c r="CN29" s="2193" t="n">
        <v>20000</v>
      </c>
      <c r="CO29" s="2193" t="n"/>
      <c r="CP29" s="2193" t="n"/>
      <c r="CQ29" s="2193">
        <f>CN29</f>
        <v/>
      </c>
      <c r="CR29" s="2193" t="n"/>
      <c r="CS29" s="2193" t="n"/>
      <c r="CT29" s="2193">
        <f>CN29+CQ29</f>
        <v/>
      </c>
      <c r="CU29" s="2193" t="n"/>
      <c r="CV29" s="2193" t="n"/>
      <c r="CW29" s="2193">
        <f>CT29</f>
        <v/>
      </c>
      <c r="CX29" s="1051">
        <f>IF(CN29&lt;=BP$6,BO$6,IF(CN29&lt;=BP$7,BO$7,IF(CN29&lt;=BP$8,BO$8,IF(CN29&lt;=BP$9,BO$9,IF(CN29&lt;=BP$14,BO$14,IF(CN29&lt;=BP$15,BO$15,IF(CN29&lt;=BP$16,BO$16,0.05)))))))</f>
        <v/>
      </c>
      <c r="CY29" s="2193">
        <f>CX29*CN29</f>
        <v/>
      </c>
      <c r="CZ29" s="1051" t="n"/>
      <c r="DA29" s="1051">
        <f>IF(CQ29&lt;=BS$6,BR$6,IF(CQ29&lt;=BS$7,BR$7,IF(CQ29&lt;=BS$8,BR$8,IF(CQ29&lt;=BS$9,BR$9,IF(CQ29&lt;=BS$14,BR$14,IF(CQ29&lt;=BS$15,BR$15,IF(CQ29&lt;=BS$16,BR$16,0.05)))))))</f>
        <v/>
      </c>
      <c r="DB29" s="2193">
        <f>DA29*CQ29</f>
        <v/>
      </c>
      <c r="DC29" s="1051" t="n"/>
      <c r="DD29" s="1051">
        <f>IF(CT29&lt;=BV$6,BU$6,IF(CT29&lt;=BV$7,BU$7,IF(CT29&lt;=BV$8,BU$8,IF(CT29&lt;=BV$9,BU$9,IF(CT29&lt;=BV$14,BU$14,IF(CT29&lt;=BV$15,BU$15,IF(CT29&lt;=BV$16,BU$16,0.05)))))))</f>
        <v/>
      </c>
      <c r="DE29" s="2193">
        <f>DD29*SUM(DB29,CY29,CT29)</f>
        <v/>
      </c>
      <c r="DF29" s="1051" t="n"/>
      <c r="DG29" s="2194">
        <f>IF(CW29&lt;=BY$6,BX$6,IF(CW29&lt;=BY$7,BX$7,IF(CW29&lt;=BY$8,BX$8,IF(CW29&lt;=BY$9,BX$9,IF(CW29&lt;=BY$14,BX$14,IF(CW29&lt;=BY$15,BX$15,IF(CW29&lt;=BY$16,BX$16,0.05)))))))</f>
        <v/>
      </c>
      <c r="DH29" s="2193">
        <f>DG29*CW29</f>
        <v/>
      </c>
      <c r="DJ29" s="1932">
        <f>0.07*SUM(CT29,CY29,DB29,DE29,DH29)</f>
        <v/>
      </c>
      <c r="DL29" s="1932">
        <f>SUM(DJ29,DH29,DE29,DB29,CY29,CT29)</f>
        <v/>
      </c>
      <c r="DM29" s="1933">
        <f>SUM(DH29,DE29,DB29,CY29)</f>
        <v/>
      </c>
      <c r="DN29" s="1051">
        <f>DM29/DL29</f>
        <v/>
      </c>
    </row>
    <row r="30" ht="16.2" customFormat="1" customHeight="1" s="585" thickBot="1">
      <c r="A30" s="647" t="n"/>
      <c r="B30" s="2096" t="n"/>
      <c r="C30" s="1977" t="n"/>
      <c r="D30" s="1944" t="n"/>
      <c r="E30" s="1962">
        <f>B30*D30</f>
        <v/>
      </c>
      <c r="F30" s="600" t="n"/>
      <c r="G30" s="600" t="n"/>
      <c r="H30" s="2224">
        <f>(F22/300)/0.1</f>
        <v/>
      </c>
      <c r="I30" s="1175" t="inlineStr">
        <is>
          <t>Add for Sealer</t>
        </is>
      </c>
      <c r="J30" s="1173" t="inlineStr">
        <is>
          <t>=(sf / 300) / 10% = Sealer *Material ONLY*</t>
        </is>
      </c>
      <c r="N30" s="1330">
        <f>SUM(O28,Q28)</f>
        <v/>
      </c>
      <c r="O30" s="1340" t="inlineStr">
        <is>
          <t>% Soft Surf</t>
        </is>
      </c>
      <c r="P30" s="1340" t="inlineStr">
        <is>
          <t>% Hard Surf / Mat</t>
        </is>
      </c>
      <c r="Q30" s="1340" t="inlineStr">
        <is>
          <t>% Corridors</t>
        </is>
      </c>
      <c r="S30" s="2223" t="n"/>
      <c r="T30" s="2223" t="n"/>
      <c r="U30" s="2223" t="n"/>
      <c r="V30" s="2223" t="n"/>
      <c r="AX30" s="2193" t="n">
        <v>21000</v>
      </c>
      <c r="AY30" s="2193" t="n"/>
      <c r="AZ30" s="2193" t="n"/>
      <c r="BA30" s="2193">
        <f>AX30</f>
        <v/>
      </c>
      <c r="BB30" s="2193" t="n"/>
      <c r="BC30" s="2193" t="n"/>
      <c r="BD30" s="2193">
        <f>AX30+BA30</f>
        <v/>
      </c>
      <c r="BE30" s="2193" t="n"/>
      <c r="BF30" s="2193" t="n"/>
      <c r="BG30" s="2193">
        <f>BD30</f>
        <v/>
      </c>
      <c r="BH30" s="1051">
        <f>IF(AX30&lt;=#REF!,#REF!,IF(AX30&lt;=#REF!,#REF!,IF(AX30&lt;=#REF!,#REF!,IF(AX30&lt;=#REF!,#REF!,IF(AX30&lt;=#REF!,#REF!,IF(AX30&lt;=#REF!,#REF!,IF(AX30&lt;=#REF!,#REF!,0.05)))))))</f>
        <v/>
      </c>
      <c r="BI30" s="2193">
        <f>BH30*AX30</f>
        <v/>
      </c>
      <c r="BJ30" s="1051" t="n"/>
      <c r="BK30" s="1051">
        <f>IF(BA30&lt;=#REF!,#REF!,IF(BA30&lt;=#REF!,#REF!,IF(BA30&lt;=#REF!,#REF!,IF(BA30&lt;=#REF!,#REF!,IF(BA30&lt;=#REF!,#REF!,IF(BA30&lt;=#REF!,#REF!,IF(BA30&lt;=#REF!,#REF!,0.05)))))))</f>
        <v/>
      </c>
      <c r="BL30" s="2193">
        <f>BK30*BA30</f>
        <v/>
      </c>
      <c r="BM30" s="1051" t="n"/>
      <c r="BN30" s="1051">
        <f>IF(BD30&lt;=#REF!,#REF!,IF(BD30&lt;=#REF!,#REF!,IF(BD30&lt;=#REF!,#REF!,IF(BD30&lt;=#REF!,#REF!,IF(BD30&lt;=#REF!,#REF!,IF(BD30&lt;=#REF!,#REF!,IF(BD30&lt;=#REF!,#REF!,0.05)))))))</f>
        <v/>
      </c>
      <c r="BO30" s="2193">
        <f>BN30*SUM(BL30,BI30,BD30)</f>
        <v/>
      </c>
      <c r="BP30" s="1051" t="n"/>
      <c r="BQ30" s="2194">
        <f>IF(BG30&lt;=#REF!,#REF!,IF(BG30&lt;=#REF!,#REF!,IF(BG30&lt;=#REF!,#REF!,IF(BG30&lt;=#REF!,#REF!,IF(BG30&lt;=#REF!,#REF!,IF(BG30&lt;=#REF!,#REF!,IF(BG30&lt;=#REF!,#REF!,0.05)))))))</f>
        <v/>
      </c>
      <c r="BR30" s="2193">
        <f>BQ30*BG30</f>
        <v/>
      </c>
      <c r="BT30" s="1932">
        <f>0.07*SUM(BD30,BI30,BL30,BO30,BR30)</f>
        <v/>
      </c>
      <c r="BV30" s="1932">
        <f>SUM(BT30,BR30,BO30,BL30,BI30,BD30)</f>
        <v/>
      </c>
      <c r="BW30" s="1933">
        <f>SUM(BR30,BO30,BL30,BI30)</f>
        <v/>
      </c>
      <c r="BX30" s="1051">
        <f>BW30/BV30</f>
        <v/>
      </c>
      <c r="CN30" s="2193" t="n">
        <v>21000</v>
      </c>
      <c r="CO30" s="2193" t="n"/>
      <c r="CP30" s="2193" t="n"/>
      <c r="CQ30" s="2193">
        <f>CN30</f>
        <v/>
      </c>
      <c r="CR30" s="2193" t="n"/>
      <c r="CS30" s="2193" t="n"/>
      <c r="CT30" s="2193">
        <f>CN30+CQ30</f>
        <v/>
      </c>
      <c r="CU30" s="2193" t="n"/>
      <c r="CV30" s="2193" t="n"/>
      <c r="CW30" s="2193">
        <f>CT30</f>
        <v/>
      </c>
      <c r="CX30" s="1051">
        <f>IF(CN30&lt;=BP$6,BO$6,IF(CN30&lt;=BP$7,BO$7,IF(CN30&lt;=BP$8,BO$8,IF(CN30&lt;=BP$9,BO$9,IF(CN30&lt;=BP$14,BO$14,IF(CN30&lt;=BP$15,BO$15,IF(CN30&lt;=BP$16,BO$16,0.05)))))))</f>
        <v/>
      </c>
      <c r="CY30" s="2193">
        <f>CX30*CN30</f>
        <v/>
      </c>
      <c r="CZ30" s="1051" t="n"/>
      <c r="DA30" s="1051">
        <f>IF(CQ30&lt;=BS$6,BR$6,IF(CQ30&lt;=BS$7,BR$7,IF(CQ30&lt;=BS$8,BR$8,IF(CQ30&lt;=BS$9,BR$9,IF(CQ30&lt;=BS$14,BR$14,IF(CQ30&lt;=BS$15,BR$15,IF(CQ30&lt;=BS$16,BR$16,0.05)))))))</f>
        <v/>
      </c>
      <c r="DB30" s="2193">
        <f>DA30*CQ30</f>
        <v/>
      </c>
      <c r="DC30" s="1051" t="n"/>
      <c r="DD30" s="1051">
        <f>IF(CT30&lt;=BV$6,BU$6,IF(CT30&lt;=BV$7,BU$7,IF(CT30&lt;=BV$8,BU$8,IF(CT30&lt;=BV$9,BU$9,IF(CT30&lt;=BV$14,BU$14,IF(CT30&lt;=BV$15,BU$15,IF(CT30&lt;=BV$16,BU$16,0.05)))))))</f>
        <v/>
      </c>
      <c r="DE30" s="2193">
        <f>DD30*SUM(DB30,CY30,CT30)</f>
        <v/>
      </c>
      <c r="DF30" s="1051" t="n"/>
      <c r="DG30" s="2194">
        <f>IF(CW30&lt;=BY$6,BX$6,IF(CW30&lt;=BY$7,BX$7,IF(CW30&lt;=BY$8,BX$8,IF(CW30&lt;=BY$9,BX$9,IF(CW30&lt;=BY$14,BX$14,IF(CW30&lt;=BY$15,BX$15,IF(CW30&lt;=BY$16,BX$16,0.05)))))))</f>
        <v/>
      </c>
      <c r="DH30" s="2193">
        <f>DG30*CW30</f>
        <v/>
      </c>
      <c r="DJ30" s="1932">
        <f>0.07*SUM(CT30,CY30,DB30,DE30,DH30)</f>
        <v/>
      </c>
      <c r="DL30" s="1932">
        <f>SUM(DJ30,DH30,DE30,DB30,CY30,CT30)</f>
        <v/>
      </c>
      <c r="DM30" s="1933">
        <f>SUM(DH30,DE30,DB30,CY30)</f>
        <v/>
      </c>
      <c r="DN30" s="1051">
        <f>DM30/DL30</f>
        <v/>
      </c>
    </row>
    <row r="31" ht="16.2" customFormat="1" customHeight="1" s="585" thickBot="1">
      <c r="A31" s="647" t="n"/>
      <c r="B31" s="2096" t="n"/>
      <c r="C31" s="1977" t="n"/>
      <c r="D31" s="1944" t="n"/>
      <c r="E31" s="1962">
        <f>B31*D31</f>
        <v/>
      </c>
      <c r="F31" s="600" t="n"/>
      <c r="G31" s="600" t="n"/>
      <c r="H31" s="2225">
        <f>ROUNDUP((((2*8)*(C46)*(1+C53)*(1+C54))*(1+G83))*G55,0)</f>
        <v/>
      </c>
      <c r="I31" s="1606" t="inlineStr">
        <is>
          <t>Add for Offsite Storage</t>
        </is>
      </c>
      <c r="J31" s="601" t="inlineStr">
        <is>
          <t>2 guys x 8 hrs + Markups x # of mobz</t>
        </is>
      </c>
      <c r="N31" s="747">
        <f>N30/M28</f>
        <v/>
      </c>
      <c r="O31" s="747">
        <f>O28/M28</f>
        <v/>
      </c>
      <c r="P31" s="747">
        <f>P28/M28</f>
        <v/>
      </c>
      <c r="Q31" s="747">
        <f>Q28/M28</f>
        <v/>
      </c>
      <c r="S31" s="2226" t="n"/>
      <c r="T31" s="2223" t="n"/>
      <c r="U31" s="2223" t="n"/>
      <c r="V31" s="2223" t="n"/>
      <c r="AX31" s="2193" t="n">
        <v>22000</v>
      </c>
      <c r="AY31" s="2193" t="n"/>
      <c r="AZ31" s="2193" t="n"/>
      <c r="BA31" s="2193">
        <f>AX31</f>
        <v/>
      </c>
      <c r="BB31" s="2193" t="n"/>
      <c r="BC31" s="2193" t="n"/>
      <c r="BD31" s="2193">
        <f>AX31+BA31</f>
        <v/>
      </c>
      <c r="BE31" s="2193" t="n"/>
      <c r="BF31" s="2193" t="n"/>
      <c r="BG31" s="2193">
        <f>BD31</f>
        <v/>
      </c>
      <c r="BH31" s="1051">
        <f>IF(AX31&lt;=#REF!,#REF!,IF(AX31&lt;=#REF!,#REF!,IF(AX31&lt;=#REF!,#REF!,IF(AX31&lt;=#REF!,#REF!,IF(AX31&lt;=#REF!,#REF!,IF(AX31&lt;=#REF!,#REF!,IF(AX31&lt;=#REF!,#REF!,0.05)))))))</f>
        <v/>
      </c>
      <c r="BI31" s="2193">
        <f>BH31*AX31</f>
        <v/>
      </c>
      <c r="BJ31" s="1051" t="n"/>
      <c r="BK31" s="1051">
        <f>IF(BA31&lt;=#REF!,#REF!,IF(BA31&lt;=#REF!,#REF!,IF(BA31&lt;=#REF!,#REF!,IF(BA31&lt;=#REF!,#REF!,IF(BA31&lt;=#REF!,#REF!,IF(BA31&lt;=#REF!,#REF!,IF(BA31&lt;=#REF!,#REF!,0.05)))))))</f>
        <v/>
      </c>
      <c r="BL31" s="2193">
        <f>BK31*BA31</f>
        <v/>
      </c>
      <c r="BM31" s="1051" t="n"/>
      <c r="BN31" s="1051">
        <f>IF(BD31&lt;=#REF!,#REF!,IF(BD31&lt;=#REF!,#REF!,IF(BD31&lt;=#REF!,#REF!,IF(BD31&lt;=#REF!,#REF!,IF(BD31&lt;=#REF!,#REF!,IF(BD31&lt;=#REF!,#REF!,IF(BD31&lt;=#REF!,#REF!,0.05)))))))</f>
        <v/>
      </c>
      <c r="BO31" s="2193">
        <f>BN31*SUM(BL31,BI31,BD31)</f>
        <v/>
      </c>
      <c r="BP31" s="1051" t="n"/>
      <c r="BQ31" s="2194">
        <f>IF(BG31&lt;=#REF!,#REF!,IF(BG31&lt;=#REF!,#REF!,IF(BG31&lt;=#REF!,#REF!,IF(BG31&lt;=#REF!,#REF!,IF(BG31&lt;=#REF!,#REF!,IF(BG31&lt;=#REF!,#REF!,IF(BG31&lt;=#REF!,#REF!,0.05)))))))</f>
        <v/>
      </c>
      <c r="BR31" s="2193">
        <f>BQ31*BG31</f>
        <v/>
      </c>
      <c r="BT31" s="1932">
        <f>0.07*SUM(BD31,BI31,BL31,BO31,BR31)</f>
        <v/>
      </c>
      <c r="BV31" s="1932">
        <f>SUM(BT31,BR31,BO31,BL31,BI31,BD31)</f>
        <v/>
      </c>
      <c r="BW31" s="1933">
        <f>SUM(BR31,BO31,BL31,BI31)</f>
        <v/>
      </c>
      <c r="BX31" s="1051">
        <f>BW31/BV31</f>
        <v/>
      </c>
      <c r="CN31" s="2193" t="n">
        <v>22000</v>
      </c>
      <c r="CO31" s="2193" t="n"/>
      <c r="CP31" s="2193" t="n"/>
      <c r="CQ31" s="2193">
        <f>CN31</f>
        <v/>
      </c>
      <c r="CR31" s="2193" t="n"/>
      <c r="CS31" s="2193" t="n"/>
      <c r="CT31" s="2193">
        <f>CN31+CQ31</f>
        <v/>
      </c>
      <c r="CU31" s="2193" t="n"/>
      <c r="CV31" s="2193" t="n"/>
      <c r="CW31" s="2193">
        <f>CT31</f>
        <v/>
      </c>
      <c r="CX31" s="1051">
        <f>IF(CN31&lt;=BP$6,BO$6,IF(CN31&lt;=BP$7,BO$7,IF(CN31&lt;=BP$8,BO$8,IF(CN31&lt;=BP$9,BO$9,IF(CN31&lt;=BP$14,BO$14,IF(CN31&lt;=BP$15,BO$15,IF(CN31&lt;=BP$16,BO$16,0.05)))))))</f>
        <v/>
      </c>
      <c r="CY31" s="2193">
        <f>CX31*CN31</f>
        <v/>
      </c>
      <c r="CZ31" s="1051" t="n"/>
      <c r="DA31" s="1051">
        <f>IF(CQ31&lt;=BS$6,BR$6,IF(CQ31&lt;=BS$7,BR$7,IF(CQ31&lt;=BS$8,BR$8,IF(CQ31&lt;=BS$9,BR$9,IF(CQ31&lt;=BS$14,BR$14,IF(CQ31&lt;=BS$15,BR$15,IF(CQ31&lt;=BS$16,BR$16,0.05)))))))</f>
        <v/>
      </c>
      <c r="DB31" s="2193">
        <f>DA31*CQ31</f>
        <v/>
      </c>
      <c r="DC31" s="1051" t="n"/>
      <c r="DD31" s="1051">
        <f>IF(CT31&lt;=BV$6,BU$6,IF(CT31&lt;=BV$7,BU$7,IF(CT31&lt;=BV$8,BU$8,IF(CT31&lt;=BV$9,BU$9,IF(CT31&lt;=BV$14,BU$14,IF(CT31&lt;=BV$15,BU$15,IF(CT31&lt;=BV$16,BU$16,0.05)))))))</f>
        <v/>
      </c>
      <c r="DE31" s="2193">
        <f>DD31*SUM(DB31,CY31,CT31)</f>
        <v/>
      </c>
      <c r="DF31" s="1051" t="n"/>
      <c r="DG31" s="2194">
        <f>IF(CW31&lt;=BY$6,BX$6,IF(CW31&lt;=BY$7,BX$7,IF(CW31&lt;=BY$8,BX$8,IF(CW31&lt;=BY$9,BX$9,IF(CW31&lt;=BY$14,BX$14,IF(CW31&lt;=BY$15,BX$15,IF(CW31&lt;=BY$16,BX$16,0.05)))))))</f>
        <v/>
      </c>
      <c r="DH31" s="2193">
        <f>DG31*CW31</f>
        <v/>
      </c>
      <c r="DJ31" s="1932">
        <f>0.07*SUM(CT31,CY31,DB31,DE31,DH31)</f>
        <v/>
      </c>
      <c r="DL31" s="1932">
        <f>SUM(DJ31,DH31,DE31,DB31,CY31,CT31)</f>
        <v/>
      </c>
      <c r="DM31" s="1933">
        <f>SUM(DH31,DE31,DB31,CY31)</f>
        <v/>
      </c>
      <c r="DN31" s="1051">
        <f>DM31/DL31</f>
        <v/>
      </c>
    </row>
    <row r="32" ht="16.05" customFormat="1" customHeight="1" s="585" thickBot="1">
      <c r="A32" s="641" t="inlineStr">
        <is>
          <t>MATERIAL - Sand</t>
        </is>
      </c>
      <c r="B32" s="2227" t="n"/>
      <c r="C32" s="1977" t="n"/>
      <c r="D32" s="1977" t="n"/>
      <c r="E32" s="1978" t="n"/>
      <c r="F32" s="600" t="n"/>
      <c r="G32" s="600" t="n"/>
      <c r="H32" s="600" t="n"/>
      <c r="S32" s="600" t="n"/>
      <c r="T32" s="600" t="n"/>
      <c r="U32" s="600" t="n"/>
      <c r="V32" s="600" t="n"/>
      <c r="AX32" s="2193" t="n">
        <v>23000</v>
      </c>
      <c r="AY32" s="2193" t="n"/>
      <c r="AZ32" s="2193" t="n"/>
      <c r="BA32" s="2193">
        <f>AX32</f>
        <v/>
      </c>
      <c r="BB32" s="2193" t="n"/>
      <c r="BC32" s="2193" t="n"/>
      <c r="BD32" s="2193">
        <f>AX32+BA32</f>
        <v/>
      </c>
      <c r="BE32" s="2193" t="n"/>
      <c r="BF32" s="2193" t="n"/>
      <c r="BG32" s="2193">
        <f>BD32</f>
        <v/>
      </c>
      <c r="BH32" s="1051">
        <f>IF(AX32&lt;=#REF!,#REF!,IF(AX32&lt;=#REF!,#REF!,IF(AX32&lt;=#REF!,#REF!,IF(AX32&lt;=#REF!,#REF!,IF(AX32&lt;=#REF!,#REF!,IF(AX32&lt;=#REF!,#REF!,IF(AX32&lt;=#REF!,#REF!,0.05)))))))</f>
        <v/>
      </c>
      <c r="BI32" s="2193">
        <f>BH32*AX32</f>
        <v/>
      </c>
      <c r="BJ32" s="1051" t="n"/>
      <c r="BK32" s="1051">
        <f>IF(BA32&lt;=#REF!,#REF!,IF(BA32&lt;=#REF!,#REF!,IF(BA32&lt;=#REF!,#REF!,IF(BA32&lt;=#REF!,#REF!,IF(BA32&lt;=#REF!,#REF!,IF(BA32&lt;=#REF!,#REF!,IF(BA32&lt;=#REF!,#REF!,0.05)))))))</f>
        <v/>
      </c>
      <c r="BL32" s="2193">
        <f>BK32*BA32</f>
        <v/>
      </c>
      <c r="BM32" s="1051" t="n"/>
      <c r="BN32" s="1051">
        <f>IF(BD32&lt;=#REF!,#REF!,IF(BD32&lt;=#REF!,#REF!,IF(BD32&lt;=#REF!,#REF!,IF(BD32&lt;=#REF!,#REF!,IF(BD32&lt;=#REF!,#REF!,IF(BD32&lt;=#REF!,#REF!,IF(BD32&lt;=#REF!,#REF!,0.05)))))))</f>
        <v/>
      </c>
      <c r="BO32" s="2193">
        <f>BN32*SUM(BL32,BI32,BD32)</f>
        <v/>
      </c>
      <c r="BP32" s="1051" t="n"/>
      <c r="BQ32" s="2194">
        <f>IF(BG32&lt;=#REF!,#REF!,IF(BG32&lt;=#REF!,#REF!,IF(BG32&lt;=#REF!,#REF!,IF(BG32&lt;=#REF!,#REF!,IF(BG32&lt;=#REF!,#REF!,IF(BG32&lt;=#REF!,#REF!,IF(BG32&lt;=#REF!,#REF!,0.05)))))))</f>
        <v/>
      </c>
      <c r="BR32" s="2193">
        <f>BQ32*BG32</f>
        <v/>
      </c>
      <c r="BT32" s="1932">
        <f>0.07*SUM(BD32,BI32,BL32,BO32,BR32)</f>
        <v/>
      </c>
      <c r="BV32" s="1932">
        <f>SUM(BT32,BR32,BO32,BL32,BI32,BD32)</f>
        <v/>
      </c>
      <c r="BW32" s="1933">
        <f>SUM(BR32,BO32,BL32,BI32)</f>
        <v/>
      </c>
      <c r="BX32" s="1051">
        <f>BW32/BV32</f>
        <v/>
      </c>
      <c r="CN32" s="2193" t="n">
        <v>23000</v>
      </c>
      <c r="CO32" s="2193" t="n"/>
      <c r="CP32" s="2193" t="n"/>
      <c r="CQ32" s="2193">
        <f>CN32</f>
        <v/>
      </c>
      <c r="CR32" s="2193" t="n"/>
      <c r="CS32" s="2193" t="n"/>
      <c r="CT32" s="2193">
        <f>CN32+CQ32</f>
        <v/>
      </c>
      <c r="CU32" s="2193" t="n"/>
      <c r="CV32" s="2193" t="n"/>
      <c r="CW32" s="2193">
        <f>CT32</f>
        <v/>
      </c>
      <c r="CX32" s="1051">
        <f>IF(CN32&lt;=BP$6,BO$6,IF(CN32&lt;=BP$7,BO$7,IF(CN32&lt;=BP$8,BO$8,IF(CN32&lt;=BP$9,BO$9,IF(CN32&lt;=BP$14,BO$14,IF(CN32&lt;=BP$15,BO$15,IF(CN32&lt;=BP$16,BO$16,0.05)))))))</f>
        <v/>
      </c>
      <c r="CY32" s="2193">
        <f>CX32*CN32</f>
        <v/>
      </c>
      <c r="CZ32" s="1051" t="n"/>
      <c r="DA32" s="1051">
        <f>IF(CQ32&lt;=BS$6,BR$6,IF(CQ32&lt;=BS$7,BR$7,IF(CQ32&lt;=BS$8,BR$8,IF(CQ32&lt;=BS$9,BR$9,IF(CQ32&lt;=BS$14,BR$14,IF(CQ32&lt;=BS$15,BR$15,IF(CQ32&lt;=BS$16,BR$16,0.05)))))))</f>
        <v/>
      </c>
      <c r="DB32" s="2193">
        <f>DA32*CQ32</f>
        <v/>
      </c>
      <c r="DC32" s="1051" t="n"/>
      <c r="DD32" s="1051">
        <f>IF(CT32&lt;=BV$6,BU$6,IF(CT32&lt;=BV$7,BU$7,IF(CT32&lt;=BV$8,BU$8,IF(CT32&lt;=BV$9,BU$9,IF(CT32&lt;=BV$14,BU$14,IF(CT32&lt;=BV$15,BU$15,IF(CT32&lt;=BV$16,BU$16,0.05)))))))</f>
        <v/>
      </c>
      <c r="DE32" s="2193">
        <f>DD32*SUM(DB32,CY32,CT32)</f>
        <v/>
      </c>
      <c r="DF32" s="1051" t="n"/>
      <c r="DG32" s="2194">
        <f>IF(CW32&lt;=BY$6,BX$6,IF(CW32&lt;=BY$7,BX$7,IF(CW32&lt;=BY$8,BX$8,IF(CW32&lt;=BY$9,BX$9,IF(CW32&lt;=BY$14,BX$14,IF(CW32&lt;=BY$15,BX$15,IF(CW32&lt;=BY$16,BX$16,0.05)))))))</f>
        <v/>
      </c>
      <c r="DH32" s="2193">
        <f>DG32*CW32</f>
        <v/>
      </c>
      <c r="DJ32" s="1932">
        <f>0.07*SUM(CT32,CY32,DB32,DE32,DH32)</f>
        <v/>
      </c>
      <c r="DL32" s="1932">
        <f>SUM(DJ32,DH32,DE32,DB32,CY32,CT32)</f>
        <v/>
      </c>
      <c r="DM32" s="1933">
        <f>SUM(DH32,DE32,DB32,CY32)</f>
        <v/>
      </c>
      <c r="DN32" s="1051">
        <f>DM32/DL32</f>
        <v/>
      </c>
    </row>
    <row r="33" ht="16.2" customFormat="1" customHeight="1" s="585" thickBot="1">
      <c r="A33" s="647" t="inlineStr">
        <is>
          <t>Sand (per Ton)</t>
        </is>
      </c>
      <c r="B33" s="2096">
        <f>((IF(G11=O52,P52,IF(G11=O54,P54))*H33)/2000)*(1+G19)</f>
        <v/>
      </c>
      <c r="C33" s="1066" t="inlineStr">
        <is>
          <t>tons w/ waste</t>
        </is>
      </c>
      <c r="D33" s="1944" t="n">
        <v>35</v>
      </c>
      <c r="E33" s="1962">
        <f>B33*D33</f>
        <v/>
      </c>
      <c r="F33" s="600" t="inlineStr">
        <is>
          <t>(Total Bags x Mix Design)/2000</t>
        </is>
      </c>
      <c r="H33" s="1392">
        <f>B23+B24+B25</f>
        <v/>
      </c>
      <c r="I33" s="1008" t="inlineStr">
        <is>
          <t>Total Bags</t>
        </is>
      </c>
      <c r="S33" s="620" t="n"/>
      <c r="T33" s="620" t="n"/>
      <c r="AX33" s="2193" t="n">
        <v>24000</v>
      </c>
      <c r="AY33" s="2193" t="n"/>
      <c r="AZ33" s="2193" t="n"/>
      <c r="BA33" s="2193">
        <f>AX33</f>
        <v/>
      </c>
      <c r="BB33" s="2193" t="n"/>
      <c r="BC33" s="2193" t="n"/>
      <c r="BD33" s="2193">
        <f>AX33+BA33</f>
        <v/>
      </c>
      <c r="BE33" s="2193" t="n"/>
      <c r="BF33" s="2193" t="n"/>
      <c r="BG33" s="2193">
        <f>BD33</f>
        <v/>
      </c>
      <c r="BH33" s="1051">
        <f>IF(AX33&lt;=#REF!,#REF!,IF(AX33&lt;=#REF!,#REF!,IF(AX33&lt;=#REF!,#REF!,IF(AX33&lt;=#REF!,#REF!,IF(AX33&lt;=#REF!,#REF!,IF(AX33&lt;=#REF!,#REF!,IF(AX33&lt;=#REF!,#REF!,0.05)))))))</f>
        <v/>
      </c>
      <c r="BI33" s="2193">
        <f>BH33*AX33</f>
        <v/>
      </c>
      <c r="BJ33" s="1051" t="n"/>
      <c r="BK33" s="1051">
        <f>IF(BA33&lt;=#REF!,#REF!,IF(BA33&lt;=#REF!,#REF!,IF(BA33&lt;=#REF!,#REF!,IF(BA33&lt;=#REF!,#REF!,IF(BA33&lt;=#REF!,#REF!,IF(BA33&lt;=#REF!,#REF!,IF(BA33&lt;=#REF!,#REF!,0.05)))))))</f>
        <v/>
      </c>
      <c r="BL33" s="2193">
        <f>BK33*BA33</f>
        <v/>
      </c>
      <c r="BM33" s="1051" t="n"/>
      <c r="BN33" s="1051">
        <f>IF(BD33&lt;=#REF!,#REF!,IF(BD33&lt;=#REF!,#REF!,IF(BD33&lt;=#REF!,#REF!,IF(BD33&lt;=#REF!,#REF!,IF(BD33&lt;=#REF!,#REF!,IF(BD33&lt;=#REF!,#REF!,IF(BD33&lt;=#REF!,#REF!,0.05)))))))</f>
        <v/>
      </c>
      <c r="BO33" s="2193">
        <f>BN33*SUM(BL33,BI33,BD33)</f>
        <v/>
      </c>
      <c r="BP33" s="1051" t="n"/>
      <c r="BQ33" s="2194">
        <f>IF(BG33&lt;=#REF!,#REF!,IF(BG33&lt;=#REF!,#REF!,IF(BG33&lt;=#REF!,#REF!,IF(BG33&lt;=#REF!,#REF!,IF(BG33&lt;=#REF!,#REF!,IF(BG33&lt;=#REF!,#REF!,IF(BG33&lt;=#REF!,#REF!,0.05)))))))</f>
        <v/>
      </c>
      <c r="BR33" s="2193">
        <f>BQ33*BG33</f>
        <v/>
      </c>
      <c r="BT33" s="1932">
        <f>0.07*SUM(BD33,BI33,BL33,BO33,BR33)</f>
        <v/>
      </c>
      <c r="BV33" s="1932">
        <f>SUM(BT33,BR33,BO33,BL33,BI33,BD33)</f>
        <v/>
      </c>
      <c r="BW33" s="1933">
        <f>SUM(BR33,BO33,BL33,BI33)</f>
        <v/>
      </c>
      <c r="BX33" s="1051">
        <f>BW33/BV33</f>
        <v/>
      </c>
      <c r="CN33" s="2193" t="n">
        <v>24000</v>
      </c>
      <c r="CO33" s="2193" t="n"/>
      <c r="CP33" s="2193" t="n"/>
      <c r="CQ33" s="2193">
        <f>CN33</f>
        <v/>
      </c>
      <c r="CR33" s="2193" t="n"/>
      <c r="CS33" s="2193" t="n"/>
      <c r="CT33" s="2193">
        <f>CN33+CQ33</f>
        <v/>
      </c>
      <c r="CU33" s="2193" t="n"/>
      <c r="CV33" s="2193" t="n"/>
      <c r="CW33" s="2193">
        <f>CT33</f>
        <v/>
      </c>
      <c r="CX33" s="1051">
        <f>IF(CN33&lt;=BP$6,BO$6,IF(CN33&lt;=BP$7,BO$7,IF(CN33&lt;=BP$8,BO$8,IF(CN33&lt;=BP$9,BO$9,IF(CN33&lt;=BP$14,BO$14,IF(CN33&lt;=BP$15,BO$15,IF(CN33&lt;=BP$16,BO$16,0.05)))))))</f>
        <v/>
      </c>
      <c r="CY33" s="2193">
        <f>CX33*CN33</f>
        <v/>
      </c>
      <c r="CZ33" s="1051" t="n"/>
      <c r="DA33" s="1051">
        <f>IF(CQ33&lt;=BS$6,BR$6,IF(CQ33&lt;=BS$7,BR$7,IF(CQ33&lt;=BS$8,BR$8,IF(CQ33&lt;=BS$9,BR$9,IF(CQ33&lt;=BS$14,BR$14,IF(CQ33&lt;=BS$15,BR$15,IF(CQ33&lt;=BS$16,BR$16,0.05)))))))</f>
        <v/>
      </c>
      <c r="DB33" s="2193">
        <f>DA33*CQ33</f>
        <v/>
      </c>
      <c r="DC33" s="1051" t="n"/>
      <c r="DD33" s="1051">
        <f>IF(CT33&lt;=BV$6,BU$6,IF(CT33&lt;=BV$7,BU$7,IF(CT33&lt;=BV$8,BU$8,IF(CT33&lt;=BV$9,BU$9,IF(CT33&lt;=BV$14,BU$14,IF(CT33&lt;=BV$15,BU$15,IF(CT33&lt;=BV$16,BU$16,0.05)))))))</f>
        <v/>
      </c>
      <c r="DE33" s="2193">
        <f>DD33*SUM(DB33,CY33,CT33)</f>
        <v/>
      </c>
      <c r="DF33" s="1051" t="n"/>
      <c r="DG33" s="2194">
        <f>IF(CW33&lt;=BY$6,BX$6,IF(CW33&lt;=BY$7,BX$7,IF(CW33&lt;=BY$8,BX$8,IF(CW33&lt;=BY$9,BX$9,IF(CW33&lt;=BY$14,BX$14,IF(CW33&lt;=BY$15,BX$15,IF(CW33&lt;=BY$16,BX$16,0.05)))))))</f>
        <v/>
      </c>
      <c r="DH33" s="2193">
        <f>DG33*CW33</f>
        <v/>
      </c>
      <c r="DJ33" s="1932">
        <f>0.07*SUM(CT33,CY33,DB33,DE33,DH33)</f>
        <v/>
      </c>
      <c r="DL33" s="1932">
        <f>SUM(DJ33,DH33,DE33,DB33,CY33,CT33)</f>
        <v/>
      </c>
      <c r="DM33" s="1933">
        <f>SUM(DH33,DE33,DB33,CY33)</f>
        <v/>
      </c>
      <c r="DN33" s="1051">
        <f>DM33/DL33</f>
        <v/>
      </c>
    </row>
    <row r="34" ht="16.05" customFormat="1" customHeight="1" s="585">
      <c r="A34" s="647" t="n"/>
      <c r="B34" s="2096" t="n"/>
      <c r="C34" s="1977" t="n"/>
      <c r="D34" s="1944" t="n"/>
      <c r="E34" s="1962">
        <f>B34*D34</f>
        <v/>
      </c>
      <c r="F34" s="948" t="n"/>
      <c r="G34" s="600" t="n"/>
      <c r="H34" s="600" t="n"/>
      <c r="R34" s="593" t="n"/>
      <c r="S34" s="593" t="n"/>
      <c r="T34" s="593" t="n"/>
      <c r="AX34" s="2193" t="n">
        <v>25000</v>
      </c>
      <c r="AY34" s="2193" t="n"/>
      <c r="AZ34" s="2193" t="n"/>
      <c r="BA34" s="2193">
        <f>AX34</f>
        <v/>
      </c>
      <c r="BB34" s="2193" t="n"/>
      <c r="BC34" s="2193" t="n"/>
      <c r="BD34" s="2193">
        <f>AX34+BA34</f>
        <v/>
      </c>
      <c r="BE34" s="2193" t="n"/>
      <c r="BF34" s="2193" t="n"/>
      <c r="BG34" s="2193">
        <f>BD34</f>
        <v/>
      </c>
      <c r="BH34" s="1051">
        <f>IF(AX34&lt;=#REF!,#REF!,IF(AX34&lt;=#REF!,#REF!,IF(AX34&lt;=#REF!,#REF!,IF(AX34&lt;=#REF!,#REF!,IF(AX34&lt;=#REF!,#REF!,IF(AX34&lt;=#REF!,#REF!,IF(AX34&lt;=#REF!,#REF!,0.05)))))))</f>
        <v/>
      </c>
      <c r="BI34" s="2193">
        <f>BH34*AX34</f>
        <v/>
      </c>
      <c r="BJ34" s="1051" t="n"/>
      <c r="BK34" s="1051">
        <f>IF(BA34&lt;=#REF!,#REF!,IF(BA34&lt;=#REF!,#REF!,IF(BA34&lt;=#REF!,#REF!,IF(BA34&lt;=#REF!,#REF!,IF(BA34&lt;=#REF!,#REF!,IF(BA34&lt;=#REF!,#REF!,IF(BA34&lt;=#REF!,#REF!,0.05)))))))</f>
        <v/>
      </c>
      <c r="BL34" s="2193">
        <f>BK34*BA34</f>
        <v/>
      </c>
      <c r="BM34" s="1051" t="n"/>
      <c r="BN34" s="1051">
        <f>IF(BD34&lt;=#REF!,#REF!,IF(BD34&lt;=#REF!,#REF!,IF(BD34&lt;=#REF!,#REF!,IF(BD34&lt;=#REF!,#REF!,IF(BD34&lt;=#REF!,#REF!,IF(BD34&lt;=#REF!,#REF!,IF(BD34&lt;=#REF!,#REF!,0.05)))))))</f>
        <v/>
      </c>
      <c r="BO34" s="2193">
        <f>BN34*SUM(BL34,BI34,BD34)</f>
        <v/>
      </c>
      <c r="BP34" s="1051" t="n"/>
      <c r="BQ34" s="2194">
        <f>IF(BG34&lt;=#REF!,#REF!,IF(BG34&lt;=#REF!,#REF!,IF(BG34&lt;=#REF!,#REF!,IF(BG34&lt;=#REF!,#REF!,IF(BG34&lt;=#REF!,#REF!,IF(BG34&lt;=#REF!,#REF!,IF(BG34&lt;=#REF!,#REF!,0.05)))))))</f>
        <v/>
      </c>
      <c r="BR34" s="2193">
        <f>BQ34*BG34</f>
        <v/>
      </c>
      <c r="BT34" s="1932">
        <f>0.07*SUM(BD34,BI34,BL34,BO34,BR34)</f>
        <v/>
      </c>
      <c r="BV34" s="1932">
        <f>SUM(BT34,BR34,BO34,BL34,BI34,BD34)</f>
        <v/>
      </c>
      <c r="BW34" s="1933">
        <f>SUM(BR34,BO34,BL34,BI34)</f>
        <v/>
      </c>
      <c r="BX34" s="1051">
        <f>BW34/BV34</f>
        <v/>
      </c>
      <c r="CN34" s="2193" t="n">
        <v>25000</v>
      </c>
      <c r="CO34" s="2193" t="n"/>
      <c r="CP34" s="2193" t="n"/>
      <c r="CQ34" s="2193">
        <f>CN34</f>
        <v/>
      </c>
      <c r="CR34" s="2193" t="n"/>
      <c r="CS34" s="2193" t="n"/>
      <c r="CT34" s="2193">
        <f>CN34+CQ34</f>
        <v/>
      </c>
      <c r="CU34" s="2193" t="n"/>
      <c r="CV34" s="2193" t="n"/>
      <c r="CW34" s="2193">
        <f>CT34</f>
        <v/>
      </c>
      <c r="CX34" s="1051">
        <f>IF(CN34&lt;=BP$6,BO$6,IF(CN34&lt;=BP$7,BO$7,IF(CN34&lt;=BP$8,BO$8,IF(CN34&lt;=BP$9,BO$9,IF(CN34&lt;=BP$14,BO$14,IF(CN34&lt;=BP$15,BO$15,IF(CN34&lt;=BP$16,BO$16,0.05)))))))</f>
        <v/>
      </c>
      <c r="CY34" s="2193">
        <f>CX34*CN34</f>
        <v/>
      </c>
      <c r="CZ34" s="1051" t="n"/>
      <c r="DA34" s="1051">
        <f>IF(CQ34&lt;=BS$6,BR$6,IF(CQ34&lt;=BS$7,BR$7,IF(CQ34&lt;=BS$8,BR$8,IF(CQ34&lt;=BS$9,BR$9,IF(CQ34&lt;=BS$14,BR$14,IF(CQ34&lt;=BS$15,BR$15,IF(CQ34&lt;=BS$16,BR$16,0.05)))))))</f>
        <v/>
      </c>
      <c r="DB34" s="2193">
        <f>DA34*CQ34</f>
        <v/>
      </c>
      <c r="DC34" s="1051" t="n"/>
      <c r="DD34" s="1051">
        <f>IF(CT34&lt;=BV$6,BU$6,IF(CT34&lt;=BV$7,BU$7,IF(CT34&lt;=BV$8,BU$8,IF(CT34&lt;=BV$9,BU$9,IF(CT34&lt;=BV$14,BU$14,IF(CT34&lt;=BV$15,BU$15,IF(CT34&lt;=BV$16,BU$16,0.05)))))))</f>
        <v/>
      </c>
      <c r="DE34" s="2193">
        <f>DD34*SUM(DB34,CY34,CT34)</f>
        <v/>
      </c>
      <c r="DF34" s="1051" t="n"/>
      <c r="DG34" s="2194">
        <f>IF(CW34&lt;=BY$6,BX$6,IF(CW34&lt;=BY$7,BX$7,IF(CW34&lt;=BY$8,BX$8,IF(CW34&lt;=BY$9,BX$9,IF(CW34&lt;=BY$14,BX$14,IF(CW34&lt;=BY$15,BX$15,IF(CW34&lt;=BY$16,BX$16,0.05)))))))</f>
        <v/>
      </c>
      <c r="DH34" s="2193">
        <f>DG34*CW34</f>
        <v/>
      </c>
      <c r="DJ34" s="1932">
        <f>0.07*SUM(CT34,CY34,DB34,DE34,DH34)</f>
        <v/>
      </c>
      <c r="DL34" s="1932">
        <f>SUM(DJ34,DH34,DE34,DB34,CY34,CT34)</f>
        <v/>
      </c>
      <c r="DM34" s="1933">
        <f>SUM(DH34,DE34,DB34,CY34)</f>
        <v/>
      </c>
      <c r="DN34" s="1051">
        <f>DM34/DL34</f>
        <v/>
      </c>
    </row>
    <row r="35" customFormat="1" s="585">
      <c r="A35" s="641" t="inlineStr">
        <is>
          <t>MATERIAL - Sound Mats</t>
        </is>
      </c>
      <c r="B35" s="1560" t="inlineStr">
        <is>
          <t>Formulated</t>
        </is>
      </c>
      <c r="C35" s="1977" t="n"/>
      <c r="D35" s="1977" t="n"/>
      <c r="E35" s="1978" t="n"/>
      <c r="F35" s="600" t="n"/>
      <c r="G35" s="600" t="n"/>
      <c r="S35" s="600" t="n"/>
      <c r="T35" s="600" t="n"/>
      <c r="AX35" s="2193" t="n">
        <v>26000</v>
      </c>
      <c r="AY35" s="2193" t="n"/>
      <c r="AZ35" s="2193" t="n"/>
      <c r="BA35" s="2193">
        <f>AX35</f>
        <v/>
      </c>
      <c r="BB35" s="2193" t="n"/>
      <c r="BC35" s="2193" t="n"/>
      <c r="BD35" s="2193">
        <f>AX35+BA35</f>
        <v/>
      </c>
      <c r="BE35" s="2193" t="n"/>
      <c r="BF35" s="2193" t="n"/>
      <c r="BG35" s="2193">
        <f>BD35</f>
        <v/>
      </c>
      <c r="BH35" s="1051">
        <f>IF(AX35&lt;=#REF!,#REF!,IF(AX35&lt;=#REF!,#REF!,IF(AX35&lt;=#REF!,#REF!,IF(AX35&lt;=#REF!,#REF!,IF(AX35&lt;=#REF!,#REF!,IF(AX35&lt;=#REF!,#REF!,IF(AX35&lt;=#REF!,#REF!,0.05)))))))</f>
        <v/>
      </c>
      <c r="BI35" s="2193">
        <f>BH35*AX35</f>
        <v/>
      </c>
      <c r="BJ35" s="1051" t="n"/>
      <c r="BK35" s="1051">
        <f>IF(BA35&lt;=#REF!,#REF!,IF(BA35&lt;=#REF!,#REF!,IF(BA35&lt;=#REF!,#REF!,IF(BA35&lt;=#REF!,#REF!,IF(BA35&lt;=#REF!,#REF!,IF(BA35&lt;=#REF!,#REF!,IF(BA35&lt;=#REF!,#REF!,0.05)))))))</f>
        <v/>
      </c>
      <c r="BL35" s="2193">
        <f>BK35*BA35</f>
        <v/>
      </c>
      <c r="BM35" s="1051" t="n"/>
      <c r="BN35" s="1051">
        <f>IF(BD35&lt;=#REF!,#REF!,IF(BD35&lt;=#REF!,#REF!,IF(BD35&lt;=#REF!,#REF!,IF(BD35&lt;=#REF!,#REF!,IF(BD35&lt;=#REF!,#REF!,IF(BD35&lt;=#REF!,#REF!,IF(BD35&lt;=#REF!,#REF!,0.05)))))))</f>
        <v/>
      </c>
      <c r="BO35" s="2193">
        <f>BN35*SUM(BL35,BI35,BD35)</f>
        <v/>
      </c>
      <c r="BP35" s="1051" t="n"/>
      <c r="BQ35" s="2194">
        <f>IF(BG35&lt;=#REF!,#REF!,IF(BG35&lt;=#REF!,#REF!,IF(BG35&lt;=#REF!,#REF!,IF(BG35&lt;=#REF!,#REF!,IF(BG35&lt;=#REF!,#REF!,IF(BG35&lt;=#REF!,#REF!,IF(BG35&lt;=#REF!,#REF!,0.05)))))))</f>
        <v/>
      </c>
      <c r="BR35" s="2193">
        <f>BQ35*BG35</f>
        <v/>
      </c>
      <c r="BT35" s="1932">
        <f>0.07*SUM(BD35,BI35,BL35,BO35,BR35)</f>
        <v/>
      </c>
      <c r="BV35" s="1932">
        <f>SUM(BT35,BR35,BO35,BL35,BI35,BD35)</f>
        <v/>
      </c>
      <c r="BW35" s="1933">
        <f>SUM(BR35,BO35,BL35,BI35)</f>
        <v/>
      </c>
      <c r="BX35" s="1051">
        <f>BW35/BV35</f>
        <v/>
      </c>
      <c r="CN35" s="2193" t="n">
        <v>26000</v>
      </c>
      <c r="CO35" s="2193" t="n"/>
      <c r="CP35" s="2193" t="n"/>
      <c r="CQ35" s="2193">
        <f>CN35</f>
        <v/>
      </c>
      <c r="CR35" s="2193" t="n"/>
      <c r="CS35" s="2193" t="n"/>
      <c r="CT35" s="2193">
        <f>CN35+CQ35</f>
        <v/>
      </c>
      <c r="CU35" s="2193" t="n"/>
      <c r="CV35" s="2193" t="n"/>
      <c r="CW35" s="2193">
        <f>CT35</f>
        <v/>
      </c>
      <c r="CX35" s="1051">
        <f>IF(CN35&lt;=BP$6,BO$6,IF(CN35&lt;=BP$7,BO$7,IF(CN35&lt;=BP$8,BO$8,IF(CN35&lt;=BP$9,BO$9,IF(CN35&lt;=BP$14,BO$14,IF(CN35&lt;=BP$15,BO$15,IF(CN35&lt;=BP$16,BO$16,0.05)))))))</f>
        <v/>
      </c>
      <c r="CY35" s="2193">
        <f>CX35*CN35</f>
        <v/>
      </c>
      <c r="CZ35" s="1051" t="n"/>
      <c r="DA35" s="1051">
        <f>IF(CQ35&lt;=BS$6,BR$6,IF(CQ35&lt;=BS$7,BR$7,IF(CQ35&lt;=BS$8,BR$8,IF(CQ35&lt;=BS$9,BR$9,IF(CQ35&lt;=BS$14,BR$14,IF(CQ35&lt;=BS$15,BR$15,IF(CQ35&lt;=BS$16,BR$16,0.05)))))))</f>
        <v/>
      </c>
      <c r="DB35" s="2193">
        <f>DA35*CQ35</f>
        <v/>
      </c>
      <c r="DC35" s="1051" t="n"/>
      <c r="DD35" s="1051">
        <f>IF(CT35&lt;=BV$6,BU$6,IF(CT35&lt;=BV$7,BU$7,IF(CT35&lt;=BV$8,BU$8,IF(CT35&lt;=BV$9,BU$9,IF(CT35&lt;=BV$14,BU$14,IF(CT35&lt;=BV$15,BU$15,IF(CT35&lt;=BV$16,BU$16,0.05)))))))</f>
        <v/>
      </c>
      <c r="DE35" s="2193">
        <f>DD35*SUM(DB35,CY35,CT35)</f>
        <v/>
      </c>
      <c r="DF35" s="1051" t="n"/>
      <c r="DG35" s="2194">
        <f>IF(CW35&lt;=BY$6,BX$6,IF(CW35&lt;=BY$7,BX$7,IF(CW35&lt;=BY$8,BX$8,IF(CW35&lt;=BY$9,BX$9,IF(CW35&lt;=BY$14,BX$14,IF(CW35&lt;=BY$15,BX$15,IF(CW35&lt;=BY$16,BX$16,0.05)))))))</f>
        <v/>
      </c>
      <c r="DH35" s="2193">
        <f>DG35*CW35</f>
        <v/>
      </c>
      <c r="DJ35" s="1932">
        <f>0.07*SUM(CT35,CY35,DB35,DE35,DH35)</f>
        <v/>
      </c>
      <c r="DL35" s="1932">
        <f>SUM(DJ35,DH35,DE35,DB35,CY35,CT35)</f>
        <v/>
      </c>
      <c r="DM35" s="1933">
        <f>SUM(DH35,DE35,DB35,CY35)</f>
        <v/>
      </c>
      <c r="DN35" s="1051">
        <f>DM35/DL35</f>
        <v/>
      </c>
    </row>
    <row r="36" customFormat="1" s="585">
      <c r="A36" s="1708" t="inlineStr">
        <is>
          <t>Treadstone R1   (1/8")</t>
        </is>
      </c>
      <c r="B36" s="2228">
        <f>ROUNDUP(IF(A36=N37,(F24/P37),IF(A36=N38,(F24/P38),IF(A36=N39,(F24/P39),IF(A36=N42,(F24/P42),IF(A36=N43,(F24/P43),IF(A36=N44,(F24/P44),"none"))))))*(1+G20),0)</f>
        <v/>
      </c>
      <c r="C36" s="1977" t="inlineStr">
        <is>
          <t>rolls</t>
        </is>
      </c>
      <c r="D36" s="1944">
        <f>IF(A36=N37,(O37),IF(A36=N38,(O38),IF(A36=N39,(O39),IF(A36=N42,(O42),IF(A36=N43,(O43),IF(A36=N44,(O44),"none"))))))</f>
        <v/>
      </c>
      <c r="E36" s="1962">
        <f>B36*D36</f>
        <v/>
      </c>
      <c r="F36" s="948" t="n"/>
      <c r="G36" s="600" t="n"/>
      <c r="H36" s="1534" t="n">
        <v>448</v>
      </c>
      <c r="I36" s="1607" t="inlineStr">
        <is>
          <t>Mat Rolls /Truck Load</t>
        </is>
      </c>
      <c r="J36" s="633" t="inlineStr">
        <is>
          <t>shipping on gyp = 20%</t>
        </is>
      </c>
      <c r="K36" s="2135">
        <f>(ROUNDUP(SUM(E20:E26)*B40,0))</f>
        <v/>
      </c>
      <c r="M36" s="1840" t="n"/>
      <c r="N36" s="1840" t="inlineStr">
        <is>
          <t>GrassWorx $: 10/2026</t>
        </is>
      </c>
      <c r="O36" s="1010" t="inlineStr">
        <is>
          <t xml:space="preserve">Price </t>
        </is>
      </c>
      <c r="P36" s="1010" t="inlineStr">
        <is>
          <t xml:space="preserve">Sqft per Roll </t>
        </is>
      </c>
      <c r="Q36" s="1010" t="inlineStr">
        <is>
          <t xml:space="preserve">$ per Sqft </t>
        </is>
      </c>
      <c r="R36" s="1841" t="inlineStr">
        <is>
          <t>GrassWorx $: Oct 2026 (per email May 1, '26 from Tom Torello &lt;tom.torello@grassworxllc.com&gt; )</t>
        </is>
      </c>
      <c r="S36" s="1841" t="n"/>
      <c r="AX36" s="2193" t="n">
        <v>27000</v>
      </c>
      <c r="AY36" s="2193" t="n"/>
      <c r="AZ36" s="2193" t="n"/>
      <c r="BA36" s="2193">
        <f>AX36</f>
        <v/>
      </c>
      <c r="BB36" s="2193" t="n"/>
      <c r="BC36" s="2193" t="n"/>
      <c r="BD36" s="2193">
        <f>AX36+BA36</f>
        <v/>
      </c>
      <c r="BE36" s="2193" t="n"/>
      <c r="BF36" s="2193" t="n"/>
      <c r="BG36" s="2193">
        <f>BD36</f>
        <v/>
      </c>
      <c r="BH36" s="1051">
        <f>IF(AX36&lt;=#REF!,#REF!,IF(AX36&lt;=#REF!,#REF!,IF(AX36&lt;=#REF!,#REF!,IF(AX36&lt;=#REF!,#REF!,IF(AX36&lt;=#REF!,#REF!,IF(AX36&lt;=#REF!,#REF!,IF(AX36&lt;=#REF!,#REF!,0.05)))))))</f>
        <v/>
      </c>
      <c r="BI36" s="2193">
        <f>BH36*AX36</f>
        <v/>
      </c>
      <c r="BJ36" s="1051" t="n"/>
      <c r="BK36" s="1051">
        <f>IF(BA36&lt;=#REF!,#REF!,IF(BA36&lt;=#REF!,#REF!,IF(BA36&lt;=#REF!,#REF!,IF(BA36&lt;=#REF!,#REF!,IF(BA36&lt;=#REF!,#REF!,IF(BA36&lt;=#REF!,#REF!,IF(BA36&lt;=#REF!,#REF!,0.05)))))))</f>
        <v/>
      </c>
      <c r="BL36" s="2193">
        <f>BK36*BA36</f>
        <v/>
      </c>
      <c r="BM36" s="1051" t="n"/>
      <c r="BN36" s="1051">
        <f>IF(BD36&lt;=#REF!,#REF!,IF(BD36&lt;=#REF!,#REF!,IF(BD36&lt;=#REF!,#REF!,IF(BD36&lt;=#REF!,#REF!,IF(BD36&lt;=#REF!,#REF!,IF(BD36&lt;=#REF!,#REF!,IF(BD36&lt;=#REF!,#REF!,0.05)))))))</f>
        <v/>
      </c>
      <c r="BO36" s="2193">
        <f>BN36*SUM(BL36,BI36,BD36)</f>
        <v/>
      </c>
      <c r="BP36" s="1051" t="n"/>
      <c r="BQ36" s="2194">
        <f>IF(BG36&lt;=#REF!,#REF!,IF(BG36&lt;=#REF!,#REF!,IF(BG36&lt;=#REF!,#REF!,IF(BG36&lt;=#REF!,#REF!,IF(BG36&lt;=#REF!,#REF!,IF(BG36&lt;=#REF!,#REF!,IF(BG36&lt;=#REF!,#REF!,0.05)))))))</f>
        <v/>
      </c>
      <c r="BR36" s="2193">
        <f>BQ36*BG36</f>
        <v/>
      </c>
      <c r="BT36" s="1932">
        <f>0.07*SUM(BD36,BI36,BL36,BO36,BR36)</f>
        <v/>
      </c>
      <c r="BV36" s="1932">
        <f>SUM(BT36,BR36,BO36,BL36,BI36,BD36)</f>
        <v/>
      </c>
      <c r="BW36" s="1933">
        <f>SUM(BR36,BO36,BL36,BI36)</f>
        <v/>
      </c>
      <c r="BX36" s="1051">
        <f>BW36/BV36</f>
        <v/>
      </c>
      <c r="CN36" s="2193" t="n">
        <v>27000</v>
      </c>
      <c r="CO36" s="2193" t="n"/>
      <c r="CP36" s="2193" t="n"/>
      <c r="CQ36" s="2193">
        <f>CN36</f>
        <v/>
      </c>
      <c r="CR36" s="2193" t="n"/>
      <c r="CS36" s="2193" t="n"/>
      <c r="CT36" s="2193">
        <f>CN36+CQ36</f>
        <v/>
      </c>
      <c r="CU36" s="2193" t="n"/>
      <c r="CV36" s="2193" t="n"/>
      <c r="CW36" s="2193">
        <f>CT36</f>
        <v/>
      </c>
      <c r="CX36" s="1051">
        <f>IF(CN36&lt;=BP$6,BO$6,IF(CN36&lt;=BP$7,BO$7,IF(CN36&lt;=BP$8,BO$8,IF(CN36&lt;=BP$9,BO$9,IF(CN36&lt;=BP$14,BO$14,IF(CN36&lt;=BP$15,BO$15,IF(CN36&lt;=BP$16,BO$16,0.05)))))))</f>
        <v/>
      </c>
      <c r="CY36" s="2193">
        <f>CX36*CN36</f>
        <v/>
      </c>
      <c r="CZ36" s="1051" t="n"/>
      <c r="DA36" s="1051">
        <f>IF(CQ36&lt;=BS$6,BR$6,IF(CQ36&lt;=BS$7,BR$7,IF(CQ36&lt;=BS$8,BR$8,IF(CQ36&lt;=BS$9,BR$9,IF(CQ36&lt;=BS$14,BR$14,IF(CQ36&lt;=BS$15,BR$15,IF(CQ36&lt;=BS$16,BR$16,0.05)))))))</f>
        <v/>
      </c>
      <c r="DB36" s="2193">
        <f>DA36*CQ36</f>
        <v/>
      </c>
      <c r="DC36" s="1051" t="n"/>
      <c r="DD36" s="1051">
        <f>IF(CT36&lt;=BV$6,BU$6,IF(CT36&lt;=BV$7,BU$7,IF(CT36&lt;=BV$8,BU$8,IF(CT36&lt;=BV$9,BU$9,IF(CT36&lt;=BV$14,BU$14,IF(CT36&lt;=BV$15,BU$15,IF(CT36&lt;=BV$16,BU$16,0.05)))))))</f>
        <v/>
      </c>
      <c r="DE36" s="2193">
        <f>DD36*SUM(DB36,CY36,CT36)</f>
        <v/>
      </c>
      <c r="DF36" s="1051" t="n"/>
      <c r="DG36" s="2194">
        <f>IF(CW36&lt;=BY$6,BX$6,IF(CW36&lt;=BY$7,BX$7,IF(CW36&lt;=BY$8,BX$8,IF(CW36&lt;=BY$9,BX$9,IF(CW36&lt;=BY$14,BX$14,IF(CW36&lt;=BY$15,BX$15,IF(CW36&lt;=BY$16,BX$16,0.05)))))))</f>
        <v/>
      </c>
      <c r="DH36" s="2193">
        <f>DG36*CW36</f>
        <v/>
      </c>
      <c r="DJ36" s="1932">
        <f>0.07*SUM(CT36,CY36,DB36,DE36,DH36)</f>
        <v/>
      </c>
      <c r="DL36" s="1932">
        <f>SUM(DJ36,DH36,DE36,DB36,CY36,CT36)</f>
        <v/>
      </c>
      <c r="DM36" s="1933">
        <f>SUM(DH36,DE36,DB36,CY36)</f>
        <v/>
      </c>
      <c r="DN36" s="1051">
        <f>DM36/DL36</f>
        <v/>
      </c>
    </row>
    <row r="37" customFormat="1" s="585">
      <c r="A37" s="688" t="n"/>
      <c r="B37" s="2229" t="n"/>
      <c r="C37" s="2230" t="n"/>
      <c r="D37" s="1985" t="n"/>
      <c r="E37" s="1986">
        <f>B37*D37</f>
        <v/>
      </c>
      <c r="F37" s="600" t="n"/>
      <c r="G37" s="600" t="n"/>
      <c r="H37" s="714" t="inlineStr">
        <is>
          <t>[Formulated = 448]</t>
        </is>
      </c>
      <c r="I37" s="959" t="inlineStr">
        <is>
          <t>[USG = 280]</t>
        </is>
      </c>
      <c r="J37" s="633" t="inlineStr">
        <is>
          <t>shipping on mat,primr,iso,tape = 10%</t>
        </is>
      </c>
      <c r="K37" s="2127">
        <f>(ROUNDUP(((SUM(E27:E31,IF(B36&lt;448,(SUM(E35:E37)),0)))*D40),0))</f>
        <v/>
      </c>
      <c r="L37" s="585" t="inlineStr">
        <is>
          <t>159k vs 159,300 Hard Surfaces</t>
        </is>
      </c>
      <c r="M37" s="1947" t="inlineStr">
        <is>
          <t>1/8"</t>
        </is>
      </c>
      <c r="N37" s="1012" t="inlineStr">
        <is>
          <t>SC 190   (1/8")</t>
        </is>
      </c>
      <c r="O37" s="2231">
        <f>P37*Q37</f>
        <v/>
      </c>
      <c r="P37" s="1014" t="n">
        <v>300</v>
      </c>
      <c r="Q37" s="2244">
        <f>0.35+0.04</f>
        <v/>
      </c>
      <c r="R37" s="2223" t="n"/>
      <c r="AX37" s="2193" t="n">
        <v>28000</v>
      </c>
      <c r="AY37" s="2193" t="n"/>
      <c r="AZ37" s="2193" t="n"/>
      <c r="BA37" s="2193">
        <f>AX37</f>
        <v/>
      </c>
      <c r="BB37" s="2193" t="n"/>
      <c r="BC37" s="2193" t="n"/>
      <c r="BD37" s="2193">
        <f>AX37+BA37</f>
        <v/>
      </c>
      <c r="BE37" s="2193" t="n"/>
      <c r="BF37" s="2193" t="n"/>
      <c r="BG37" s="2193">
        <f>BD37</f>
        <v/>
      </c>
      <c r="BH37" s="1051">
        <f>IF(AX37&lt;=#REF!,#REF!,IF(AX37&lt;=#REF!,#REF!,IF(AX37&lt;=#REF!,#REF!,IF(AX37&lt;=#REF!,#REF!,IF(AX37&lt;=#REF!,#REF!,IF(AX37&lt;=#REF!,#REF!,IF(AX37&lt;=#REF!,#REF!,0.05)))))))</f>
        <v/>
      </c>
      <c r="BI37" s="2193">
        <f>BH37*AX37</f>
        <v/>
      </c>
      <c r="BJ37" s="1051" t="n"/>
      <c r="BK37" s="1051">
        <f>IF(BA37&lt;=#REF!,#REF!,IF(BA37&lt;=#REF!,#REF!,IF(BA37&lt;=#REF!,#REF!,IF(BA37&lt;=#REF!,#REF!,IF(BA37&lt;=#REF!,#REF!,IF(BA37&lt;=#REF!,#REF!,IF(BA37&lt;=#REF!,#REF!,0.05)))))))</f>
        <v/>
      </c>
      <c r="BL37" s="2193">
        <f>BK37*BA37</f>
        <v/>
      </c>
      <c r="BM37" s="1051" t="n"/>
      <c r="BN37" s="1051">
        <f>IF(BD37&lt;=#REF!,#REF!,IF(BD37&lt;=#REF!,#REF!,IF(BD37&lt;=#REF!,#REF!,IF(BD37&lt;=#REF!,#REF!,IF(BD37&lt;=#REF!,#REF!,IF(BD37&lt;=#REF!,#REF!,IF(BD37&lt;=#REF!,#REF!,0.05)))))))</f>
        <v/>
      </c>
      <c r="BO37" s="2193">
        <f>BN37*SUM(BL37,BI37,BD37)</f>
        <v/>
      </c>
      <c r="BP37" s="1051" t="n"/>
      <c r="BQ37" s="2194">
        <f>IF(BG37&lt;=#REF!,#REF!,IF(BG37&lt;=#REF!,#REF!,IF(BG37&lt;=#REF!,#REF!,IF(BG37&lt;=#REF!,#REF!,IF(BG37&lt;=#REF!,#REF!,IF(BG37&lt;=#REF!,#REF!,IF(BG37&lt;=#REF!,#REF!,0.05)))))))</f>
        <v/>
      </c>
      <c r="BR37" s="2193">
        <f>BQ37*BG37</f>
        <v/>
      </c>
      <c r="BT37" s="1932">
        <f>0.07*SUM(BD37,BI37,BL37,BO37,BR37)</f>
        <v/>
      </c>
      <c r="BV37" s="1932">
        <f>SUM(BT37,BR37,BO37,BL37,BI37,BD37)</f>
        <v/>
      </c>
      <c r="BW37" s="1933">
        <f>SUM(BR37,BO37,BL37,BI37)</f>
        <v/>
      </c>
      <c r="BX37" s="1051">
        <f>BW37/BV37</f>
        <v/>
      </c>
      <c r="CN37" s="2193" t="n">
        <v>28000</v>
      </c>
      <c r="CO37" s="2193" t="n"/>
      <c r="CP37" s="2193" t="n"/>
      <c r="CQ37" s="2193">
        <f>CN37</f>
        <v/>
      </c>
      <c r="CR37" s="2193" t="n"/>
      <c r="CS37" s="2193" t="n"/>
      <c r="CT37" s="2193">
        <f>CN37+CQ37</f>
        <v/>
      </c>
      <c r="CU37" s="2193" t="n"/>
      <c r="CV37" s="2193" t="n"/>
      <c r="CW37" s="2193">
        <f>CT37</f>
        <v/>
      </c>
      <c r="CX37" s="1051">
        <f>IF(CN37&lt;=BP$6,BO$6,IF(CN37&lt;=BP$7,BO$7,IF(CN37&lt;=BP$8,BO$8,IF(CN37&lt;=BP$9,BO$9,IF(CN37&lt;=BP$14,BO$14,IF(CN37&lt;=BP$15,BO$15,IF(CN37&lt;=BP$16,BO$16,0.05)))))))</f>
        <v/>
      </c>
      <c r="CY37" s="2193">
        <f>CX37*CN37</f>
        <v/>
      </c>
      <c r="CZ37" s="1051" t="n"/>
      <c r="DA37" s="1051">
        <f>IF(CQ37&lt;=BS$6,BR$6,IF(CQ37&lt;=BS$7,BR$7,IF(CQ37&lt;=BS$8,BR$8,IF(CQ37&lt;=BS$9,BR$9,IF(CQ37&lt;=BS$14,BR$14,IF(CQ37&lt;=BS$15,BR$15,IF(CQ37&lt;=BS$16,BR$16,0.05)))))))</f>
        <v/>
      </c>
      <c r="DB37" s="2193">
        <f>DA37*CQ37</f>
        <v/>
      </c>
      <c r="DC37" s="1051" t="n"/>
      <c r="DD37" s="1051">
        <f>IF(CT37&lt;=BV$6,BU$6,IF(CT37&lt;=BV$7,BU$7,IF(CT37&lt;=BV$8,BU$8,IF(CT37&lt;=BV$9,BU$9,IF(CT37&lt;=BV$14,BU$14,IF(CT37&lt;=BV$15,BU$15,IF(CT37&lt;=BV$16,BU$16,0.05)))))))</f>
        <v/>
      </c>
      <c r="DE37" s="2193">
        <f>DD37*SUM(DB37,CY37,CT37)</f>
        <v/>
      </c>
      <c r="DF37" s="1051" t="n"/>
      <c r="DG37" s="2194">
        <f>IF(CW37&lt;=BY$6,BX$6,IF(CW37&lt;=BY$7,BX$7,IF(CW37&lt;=BY$8,BX$8,IF(CW37&lt;=BY$9,BX$9,IF(CW37&lt;=BY$14,BX$14,IF(CW37&lt;=BY$15,BX$15,IF(CW37&lt;=BY$16,BX$16,0.05)))))))</f>
        <v/>
      </c>
      <c r="DH37" s="2193">
        <f>DG37*CW37</f>
        <v/>
      </c>
      <c r="DJ37" s="1932">
        <f>0.07*SUM(CT37,CY37,DB37,DE37,DH37)</f>
        <v/>
      </c>
      <c r="DL37" s="1932">
        <f>SUM(DJ37,DH37,DE37,DB37,CY37,CT37)</f>
        <v/>
      </c>
      <c r="DM37" s="1933">
        <f>SUM(DH37,DE37,DB37,CY37)</f>
        <v/>
      </c>
      <c r="DN37" s="1051">
        <f>DM37/DL37</f>
        <v/>
      </c>
    </row>
    <row r="38" ht="16.05" customFormat="1" customHeight="1" s="585">
      <c r="A38" s="1783" t="inlineStr">
        <is>
          <t>Material Sub Total</t>
        </is>
      </c>
      <c r="B38" s="1533" t="n"/>
      <c r="C38" s="2166" t="n"/>
      <c r="D38" s="2166" t="n"/>
      <c r="E38" s="1987">
        <f>ROUNDUP(SUM(E20:E37),0)</f>
        <v/>
      </c>
      <c r="F38" s="600" t="n"/>
      <c r="G38" s="600" t="n"/>
      <c r="H38" s="948" t="n"/>
      <c r="I38" s="959" t="inlineStr">
        <is>
          <t>[GrassWorx = 384]</t>
        </is>
      </c>
      <c r="J38" s="633" t="inlineStr">
        <is>
          <t>combined=</t>
        </is>
      </c>
      <c r="K38" s="2135">
        <f>SUM(K36:K37)</f>
        <v/>
      </c>
      <c r="M38" s="1947" t="inlineStr">
        <is>
          <t>1/4"</t>
        </is>
      </c>
      <c r="N38" s="1016" t="inlineStr">
        <is>
          <t>SC 250   (1/4")</t>
        </is>
      </c>
      <c r="O38" s="2233">
        <f>P38*Q38</f>
        <v/>
      </c>
      <c r="P38" s="1018" t="n">
        <v>250</v>
      </c>
      <c r="Q38" s="2247">
        <f>0.38+0.04</f>
        <v/>
      </c>
      <c r="AX38" s="2193" t="n">
        <v>29000</v>
      </c>
      <c r="AY38" s="2193" t="n"/>
      <c r="AZ38" s="2193" t="n"/>
      <c r="BA38" s="2193">
        <f>AX38</f>
        <v/>
      </c>
      <c r="BB38" s="2193" t="n"/>
      <c r="BC38" s="2193" t="n"/>
      <c r="BD38" s="2193">
        <f>AX38+BA38</f>
        <v/>
      </c>
      <c r="BE38" s="2193" t="n"/>
      <c r="BF38" s="2193" t="n"/>
      <c r="BG38" s="2193">
        <f>BD38</f>
        <v/>
      </c>
      <c r="BH38" s="1051">
        <f>IF(AX38&lt;=#REF!,#REF!,IF(AX38&lt;=#REF!,#REF!,IF(AX38&lt;=#REF!,#REF!,IF(AX38&lt;=#REF!,#REF!,IF(AX38&lt;=#REF!,#REF!,IF(AX38&lt;=#REF!,#REF!,IF(AX38&lt;=#REF!,#REF!,0.05)))))))</f>
        <v/>
      </c>
      <c r="BI38" s="2193">
        <f>BH38*AX38</f>
        <v/>
      </c>
      <c r="BJ38" s="1051" t="n"/>
      <c r="BK38" s="1051">
        <f>IF(BA38&lt;=#REF!,#REF!,IF(BA38&lt;=#REF!,#REF!,IF(BA38&lt;=#REF!,#REF!,IF(BA38&lt;=#REF!,#REF!,IF(BA38&lt;=#REF!,#REF!,IF(BA38&lt;=#REF!,#REF!,IF(BA38&lt;=#REF!,#REF!,0.05)))))))</f>
        <v/>
      </c>
      <c r="BL38" s="2193">
        <f>BK38*BA38</f>
        <v/>
      </c>
      <c r="BM38" s="1051" t="n"/>
      <c r="BN38" s="1051">
        <f>IF(BD38&lt;=#REF!,#REF!,IF(BD38&lt;=#REF!,#REF!,IF(BD38&lt;=#REF!,#REF!,IF(BD38&lt;=#REF!,#REF!,IF(BD38&lt;=#REF!,#REF!,IF(BD38&lt;=#REF!,#REF!,IF(BD38&lt;=#REF!,#REF!,0.05)))))))</f>
        <v/>
      </c>
      <c r="BO38" s="2193">
        <f>BN38*SUM(BL38,BI38,BD38)</f>
        <v/>
      </c>
      <c r="BP38" s="1051" t="n"/>
      <c r="BQ38" s="2194">
        <f>IF(BG38&lt;=#REF!,#REF!,IF(BG38&lt;=#REF!,#REF!,IF(BG38&lt;=#REF!,#REF!,IF(BG38&lt;=#REF!,#REF!,IF(BG38&lt;=#REF!,#REF!,IF(BG38&lt;=#REF!,#REF!,IF(BG38&lt;=#REF!,#REF!,0.05)))))))</f>
        <v/>
      </c>
      <c r="BR38" s="2193">
        <f>BQ38*BG38</f>
        <v/>
      </c>
      <c r="BT38" s="1932">
        <f>0.07*SUM(BD38,BI38,BL38,BO38,BR38)</f>
        <v/>
      </c>
      <c r="BV38" s="1932">
        <f>SUM(BT38,BR38,BO38,BL38,BI38,BD38)</f>
        <v/>
      </c>
      <c r="BW38" s="1933">
        <f>SUM(BR38,BO38,BL38,BI38)</f>
        <v/>
      </c>
      <c r="BX38" s="1051">
        <f>BW38/BV38</f>
        <v/>
      </c>
      <c r="CN38" s="2193" t="n">
        <v>29000</v>
      </c>
      <c r="CO38" s="2193" t="n"/>
      <c r="CP38" s="2193" t="n"/>
      <c r="CQ38" s="2193">
        <f>CN38</f>
        <v/>
      </c>
      <c r="CR38" s="2193" t="n"/>
      <c r="CS38" s="2193" t="n"/>
      <c r="CT38" s="2193">
        <f>CN38+CQ38</f>
        <v/>
      </c>
      <c r="CU38" s="2193" t="n"/>
      <c r="CV38" s="2193" t="n"/>
      <c r="CW38" s="2193">
        <f>CT38</f>
        <v/>
      </c>
      <c r="CX38" s="1051">
        <f>IF(CN38&lt;=BP$6,BO$6,IF(CN38&lt;=BP$7,BO$7,IF(CN38&lt;=BP$8,BO$8,IF(CN38&lt;=BP$9,BO$9,IF(CN38&lt;=BP$14,BO$14,IF(CN38&lt;=BP$15,BO$15,IF(CN38&lt;=BP$16,BO$16,0.05)))))))</f>
        <v/>
      </c>
      <c r="CY38" s="2193">
        <f>CX38*CN38</f>
        <v/>
      </c>
      <c r="CZ38" s="1051" t="n"/>
      <c r="DA38" s="1051">
        <f>IF(CQ38&lt;=BS$6,BR$6,IF(CQ38&lt;=BS$7,BR$7,IF(CQ38&lt;=BS$8,BR$8,IF(CQ38&lt;=BS$9,BR$9,IF(CQ38&lt;=BS$14,BR$14,IF(CQ38&lt;=BS$15,BR$15,IF(CQ38&lt;=BS$16,BR$16,0.05)))))))</f>
        <v/>
      </c>
      <c r="DB38" s="2193">
        <f>DA38*CQ38</f>
        <v/>
      </c>
      <c r="DC38" s="1051" t="n"/>
      <c r="DD38" s="1051">
        <f>IF(CT38&lt;=BV$6,BU$6,IF(CT38&lt;=BV$7,BU$7,IF(CT38&lt;=BV$8,BU$8,IF(CT38&lt;=BV$9,BU$9,IF(CT38&lt;=BV$14,BU$14,IF(CT38&lt;=BV$15,BU$15,IF(CT38&lt;=BV$16,BU$16,0.05)))))))</f>
        <v/>
      </c>
      <c r="DE38" s="2193">
        <f>DD38*SUM(DB38,CY38,CT38)</f>
        <v/>
      </c>
      <c r="DF38" s="1051" t="n"/>
      <c r="DG38" s="2194">
        <f>IF(CW38&lt;=BY$6,BX$6,IF(CW38&lt;=BY$7,BX$7,IF(CW38&lt;=BY$8,BX$8,IF(CW38&lt;=BY$9,BX$9,IF(CW38&lt;=BY$14,BX$14,IF(CW38&lt;=BY$15,BX$15,IF(CW38&lt;=BY$16,BX$16,0.05)))))))</f>
        <v/>
      </c>
      <c r="DH38" s="2193">
        <f>DG38*CW38</f>
        <v/>
      </c>
      <c r="DJ38" s="1932">
        <f>0.07*SUM(CT38,CY38,DB38,DE38,DH38)</f>
        <v/>
      </c>
      <c r="DL38" s="1932">
        <f>SUM(DJ38,DH38,DE38,DB38,CY38,CT38)</f>
        <v/>
      </c>
      <c r="DM38" s="1933">
        <f>SUM(DH38,DE38,DB38,CY38)</f>
        <v/>
      </c>
      <c r="DN38" s="1051">
        <f>DM38/DL38</f>
        <v/>
      </c>
    </row>
    <row r="39" customFormat="1" s="585">
      <c r="A39" s="1418" t="inlineStr">
        <is>
          <t>Material Escalation</t>
        </is>
      </c>
      <c r="B39" s="1417" t="n">
        <v>0.08</v>
      </c>
      <c r="C39" s="2236" t="n"/>
      <c r="D39" s="2237" t="n"/>
      <c r="E39" s="2238">
        <f>ROUNDUP(SUM(E23:E31,E35:E37)*B39,0)</f>
        <v/>
      </c>
      <c r="F39" s="1416" t="inlineStr">
        <is>
          <t>escalation for gyp, extras + mat</t>
        </is>
      </c>
      <c r="G39" s="600" t="n"/>
      <c r="H39" s="1876" t="n"/>
      <c r="J39" s="674" t="inlineStr">
        <is>
          <t>(**none on sand**)</t>
        </is>
      </c>
      <c r="K39" s="700" t="n"/>
      <c r="L39" s="700" t="n"/>
      <c r="M39" s="1947" t="inlineStr">
        <is>
          <t>3/8"</t>
        </is>
      </c>
      <c r="N39" s="1020" t="inlineStr">
        <is>
          <t>SC 50 HP    (3/8")</t>
        </is>
      </c>
      <c r="O39" s="2239">
        <f>P39*Q39</f>
        <v/>
      </c>
      <c r="P39" s="1021" t="n">
        <v>120</v>
      </c>
      <c r="Q39" s="2249">
        <f>0.55+0.06</f>
        <v/>
      </c>
      <c r="R39" s="620" t="n"/>
      <c r="AX39" s="2193" t="n">
        <v>30000</v>
      </c>
      <c r="AY39" s="2193" t="n"/>
      <c r="AZ39" s="2193" t="n"/>
      <c r="BA39" s="2193">
        <f>AX39</f>
        <v/>
      </c>
      <c r="BB39" s="2193" t="n"/>
      <c r="BC39" s="2193" t="n"/>
      <c r="BD39" s="2193">
        <f>AX39+BA39</f>
        <v/>
      </c>
      <c r="BE39" s="2193" t="n"/>
      <c r="BF39" s="2193" t="n"/>
      <c r="BG39" s="2193">
        <f>BD39</f>
        <v/>
      </c>
      <c r="BH39" s="1051">
        <f>IF(AX39&lt;=#REF!,#REF!,IF(AX39&lt;=#REF!,#REF!,IF(AX39&lt;=#REF!,#REF!,IF(AX39&lt;=#REF!,#REF!,IF(AX39&lt;=#REF!,#REF!,IF(AX39&lt;=#REF!,#REF!,IF(AX39&lt;=#REF!,#REF!,0.05)))))))</f>
        <v/>
      </c>
      <c r="BI39" s="2193">
        <f>BH39*AX39</f>
        <v/>
      </c>
      <c r="BJ39" s="1051" t="n"/>
      <c r="BK39" s="1051">
        <f>IF(BA39&lt;=#REF!,#REF!,IF(BA39&lt;=#REF!,#REF!,IF(BA39&lt;=#REF!,#REF!,IF(BA39&lt;=#REF!,#REF!,IF(BA39&lt;=#REF!,#REF!,IF(BA39&lt;=#REF!,#REF!,IF(BA39&lt;=#REF!,#REF!,0.05)))))))</f>
        <v/>
      </c>
      <c r="BL39" s="2193">
        <f>BK39*BA39</f>
        <v/>
      </c>
      <c r="BM39" s="1051" t="n"/>
      <c r="BN39" s="1051">
        <f>IF(BD39&lt;=#REF!,#REF!,IF(BD39&lt;=#REF!,#REF!,IF(BD39&lt;=#REF!,#REF!,IF(BD39&lt;=#REF!,#REF!,IF(BD39&lt;=#REF!,#REF!,IF(BD39&lt;=#REF!,#REF!,IF(BD39&lt;=#REF!,#REF!,0.05)))))))</f>
        <v/>
      </c>
      <c r="BO39" s="2193">
        <f>BN39*SUM(BL39,BI39,BD39)</f>
        <v/>
      </c>
      <c r="BP39" s="1051" t="n"/>
      <c r="BQ39" s="2194">
        <f>IF(BG39&lt;=#REF!,#REF!,IF(BG39&lt;=#REF!,#REF!,IF(BG39&lt;=#REF!,#REF!,IF(BG39&lt;=#REF!,#REF!,IF(BG39&lt;=#REF!,#REF!,IF(BG39&lt;=#REF!,#REF!,IF(BG39&lt;=#REF!,#REF!,0.05)))))))</f>
        <v/>
      </c>
      <c r="BR39" s="2193">
        <f>BQ39*BG39</f>
        <v/>
      </c>
      <c r="BT39" s="1932">
        <f>0.07*SUM(BD39,BI39,BL39,BO39,BR39)</f>
        <v/>
      </c>
      <c r="BV39" s="1932">
        <f>SUM(BT39,BR39,BO39,BL39,BI39,BD39)</f>
        <v/>
      </c>
      <c r="BW39" s="1933">
        <f>SUM(BR39,BO39,BL39,BI39)</f>
        <v/>
      </c>
      <c r="BX39" s="1051">
        <f>BW39/BV39</f>
        <v/>
      </c>
      <c r="CN39" s="2193" t="n">
        <v>30000</v>
      </c>
      <c r="CO39" s="2193" t="n"/>
      <c r="CP39" s="2193" t="n"/>
      <c r="CQ39" s="2193">
        <f>CN39</f>
        <v/>
      </c>
      <c r="CR39" s="2193" t="n"/>
      <c r="CS39" s="2193" t="n"/>
      <c r="CT39" s="2193">
        <f>CN39+CQ39</f>
        <v/>
      </c>
      <c r="CU39" s="2193" t="n"/>
      <c r="CV39" s="2193" t="n"/>
      <c r="CW39" s="2193">
        <f>CT39</f>
        <v/>
      </c>
      <c r="CX39" s="1051">
        <f>IF(CN39&lt;=BP$6,BO$6,IF(CN39&lt;=BP$7,BO$7,IF(CN39&lt;=BP$8,BO$8,IF(CN39&lt;=BP$9,BO$9,IF(CN39&lt;=BP$14,BO$14,IF(CN39&lt;=BP$15,BO$15,IF(CN39&lt;=BP$16,BO$16,0.05)))))))</f>
        <v/>
      </c>
      <c r="CY39" s="2193">
        <f>CX39*CN39</f>
        <v/>
      </c>
      <c r="CZ39" s="1051" t="n"/>
      <c r="DA39" s="1051">
        <f>IF(CQ39&lt;=BS$6,BR$6,IF(CQ39&lt;=BS$7,BR$7,IF(CQ39&lt;=BS$8,BR$8,IF(CQ39&lt;=BS$9,BR$9,IF(CQ39&lt;=BS$14,BR$14,IF(CQ39&lt;=BS$15,BR$15,IF(CQ39&lt;=BS$16,BR$16,0.05)))))))</f>
        <v/>
      </c>
      <c r="DB39" s="2193">
        <f>DA39*CQ39</f>
        <v/>
      </c>
      <c r="DC39" s="1051" t="n"/>
      <c r="DD39" s="1051">
        <f>IF(CT39&lt;=BV$6,BU$6,IF(CT39&lt;=BV$7,BU$7,IF(CT39&lt;=BV$8,BU$8,IF(CT39&lt;=BV$9,BU$9,IF(CT39&lt;=BV$14,BU$14,IF(CT39&lt;=BV$15,BU$15,IF(CT39&lt;=BV$16,BU$16,0.05)))))))</f>
        <v/>
      </c>
      <c r="DE39" s="2193">
        <f>DD39*SUM(DB39,CY39,CT39)</f>
        <v/>
      </c>
      <c r="DF39" s="1051" t="n"/>
      <c r="DG39" s="2194">
        <f>IF(CW39&lt;=BY$6,BX$6,IF(CW39&lt;=BY$7,BX$7,IF(CW39&lt;=BY$8,BX$8,IF(CW39&lt;=BY$9,BX$9,IF(CW39&lt;=BY$14,BX$14,IF(CW39&lt;=BY$15,BX$15,IF(CW39&lt;=BY$16,BX$16,0.05)))))))</f>
        <v/>
      </c>
      <c r="DH39" s="2193">
        <f>DG39*CW39</f>
        <v/>
      </c>
      <c r="DJ39" s="1932">
        <f>0.07*SUM(CT39,CY39,DB39,DE39,DH39)</f>
        <v/>
      </c>
      <c r="DL39" s="1932">
        <f>SUM(DJ39,DH39,DE39,DB39,CY39,CT39)</f>
        <v/>
      </c>
      <c r="DM39" s="1933">
        <f>SUM(DH39,DE39,DB39,CY39)</f>
        <v/>
      </c>
      <c r="DN39" s="1051">
        <f>DM39/DL39</f>
        <v/>
      </c>
    </row>
    <row r="40" customFormat="1" s="585">
      <c r="A40" s="701" t="inlineStr">
        <is>
          <t>Shipping On... Gyp Bags:</t>
        </is>
      </c>
      <c r="B40" s="1059" t="n">
        <v>0.2</v>
      </c>
      <c r="C40" s="1058" t="inlineStr">
        <is>
          <t>... Ship Other:</t>
        </is>
      </c>
      <c r="D40" s="1059" t="n">
        <v>0.1</v>
      </c>
      <c r="E40" s="2168">
        <f>(ROUNDUP(SUM(E20:E26)*B40,0))+(ROUNDUP(((SUM(E27:E31,IF(B36&lt;H36,(SUM(E35:E37)),0)))*D40),0))</f>
        <v/>
      </c>
      <c r="F40" s="1060" t="inlineStr">
        <is>
          <t>Shipping: 20% on gyp bags, 10% on primer, iso, tape, mat (none on sand)</t>
        </is>
      </c>
      <c r="G40" s="1061" t="n"/>
      <c r="H40" s="1062" t="n"/>
      <c r="I40" s="1023" t="inlineStr">
        <is>
          <t>Material Budget</t>
        </is>
      </c>
      <c r="J40" s="707" t="n"/>
      <c r="N40" s="600" t="n"/>
      <c r="O40" s="600" t="n"/>
      <c r="AX40" s="2193" t="n">
        <v>31000</v>
      </c>
      <c r="AY40" s="2193" t="n"/>
      <c r="AZ40" s="2193" t="n"/>
      <c r="BA40" s="2193">
        <f>AX40</f>
        <v/>
      </c>
      <c r="BB40" s="2193" t="n"/>
      <c r="BC40" s="2193" t="n"/>
      <c r="BD40" s="2193">
        <f>AX40+BA40</f>
        <v/>
      </c>
      <c r="BE40" s="2193" t="n"/>
      <c r="BF40" s="2193" t="n"/>
      <c r="BG40" s="2193">
        <f>BD40</f>
        <v/>
      </c>
      <c r="BH40" s="1051">
        <f>IF(AX40&lt;=#REF!,#REF!,IF(AX40&lt;=#REF!,#REF!,IF(AX40&lt;=#REF!,#REF!,IF(AX40&lt;=#REF!,#REF!,IF(AX40&lt;=#REF!,#REF!,IF(AX40&lt;=#REF!,#REF!,IF(AX40&lt;=#REF!,#REF!,0.05)))))))</f>
        <v/>
      </c>
      <c r="BI40" s="2193">
        <f>BH40*AX40</f>
        <v/>
      </c>
      <c r="BJ40" s="1051" t="n"/>
      <c r="BK40" s="1051">
        <f>IF(BA40&lt;=#REF!,#REF!,IF(BA40&lt;=#REF!,#REF!,IF(BA40&lt;=#REF!,#REF!,IF(BA40&lt;=#REF!,#REF!,IF(BA40&lt;=#REF!,#REF!,IF(BA40&lt;=#REF!,#REF!,IF(BA40&lt;=#REF!,#REF!,0.05)))))))</f>
        <v/>
      </c>
      <c r="BL40" s="2193">
        <f>BK40*BA40</f>
        <v/>
      </c>
      <c r="BM40" s="1051" t="n"/>
      <c r="BN40" s="1051">
        <f>IF(BD40&lt;=#REF!,#REF!,IF(BD40&lt;=#REF!,#REF!,IF(BD40&lt;=#REF!,#REF!,IF(BD40&lt;=#REF!,#REF!,IF(BD40&lt;=#REF!,#REF!,IF(BD40&lt;=#REF!,#REF!,IF(BD40&lt;=#REF!,#REF!,0.05)))))))</f>
        <v/>
      </c>
      <c r="BO40" s="2193">
        <f>BN40*SUM(BL40,BI40,BD40)</f>
        <v/>
      </c>
      <c r="BP40" s="1051" t="n"/>
      <c r="BQ40" s="2194">
        <f>IF(BG40&lt;=#REF!,#REF!,IF(BG40&lt;=#REF!,#REF!,IF(BG40&lt;=#REF!,#REF!,IF(BG40&lt;=#REF!,#REF!,IF(BG40&lt;=#REF!,#REF!,IF(BG40&lt;=#REF!,#REF!,IF(BG40&lt;=#REF!,#REF!,0.05)))))))</f>
        <v/>
      </c>
      <c r="BR40" s="2193">
        <f>BQ40*BG40</f>
        <v/>
      </c>
      <c r="BT40" s="1932">
        <f>0.07*SUM(BD40,BI40,BL40,BO40,BR40)</f>
        <v/>
      </c>
      <c r="BV40" s="1932">
        <f>SUM(BT40,BR40,BO40,BL40,BI40,BD40)</f>
        <v/>
      </c>
      <c r="BW40" s="1933">
        <f>SUM(BR40,BO40,BL40,BI40)</f>
        <v/>
      </c>
      <c r="BX40" s="1051">
        <f>BW40/BV40</f>
        <v/>
      </c>
      <c r="CN40" s="2193" t="n">
        <v>31000</v>
      </c>
      <c r="CO40" s="2193" t="n"/>
      <c r="CP40" s="2193" t="n"/>
      <c r="CQ40" s="2193">
        <f>CN40</f>
        <v/>
      </c>
      <c r="CR40" s="2193" t="n"/>
      <c r="CS40" s="2193" t="n"/>
      <c r="CT40" s="2193">
        <f>CN40+CQ40</f>
        <v/>
      </c>
      <c r="CU40" s="2193" t="n"/>
      <c r="CV40" s="2193" t="n"/>
      <c r="CW40" s="2193">
        <f>CT40</f>
        <v/>
      </c>
      <c r="CX40" s="1051">
        <f>IF(CN40&lt;=BP$6,BO$6,IF(CN40&lt;=BP$7,BO$7,IF(CN40&lt;=BP$8,BO$8,IF(CN40&lt;=BP$9,BO$9,IF(CN40&lt;=BP$14,BO$14,IF(CN40&lt;=BP$15,BO$15,IF(CN40&lt;=BP$16,BO$16,0.05)))))))</f>
        <v/>
      </c>
      <c r="CY40" s="2193">
        <f>CX40*CN40</f>
        <v/>
      </c>
      <c r="CZ40" s="1051" t="n"/>
      <c r="DA40" s="1051">
        <f>IF(CQ40&lt;=BS$6,BR$6,IF(CQ40&lt;=BS$7,BR$7,IF(CQ40&lt;=BS$8,BR$8,IF(CQ40&lt;=BS$9,BR$9,IF(CQ40&lt;=BS$14,BR$14,IF(CQ40&lt;=BS$15,BR$15,IF(CQ40&lt;=BS$16,BR$16,0.05)))))))</f>
        <v/>
      </c>
      <c r="DB40" s="2193">
        <f>DA40*CQ40</f>
        <v/>
      </c>
      <c r="DC40" s="1051" t="n"/>
      <c r="DD40" s="1051">
        <f>IF(CT40&lt;=BV$6,BU$6,IF(CT40&lt;=BV$7,BU$7,IF(CT40&lt;=BV$8,BU$8,IF(CT40&lt;=BV$9,BU$9,IF(CT40&lt;=BV$14,BU$14,IF(CT40&lt;=BV$15,BU$15,IF(CT40&lt;=BV$16,BU$16,0.05)))))))</f>
        <v/>
      </c>
      <c r="DE40" s="2193">
        <f>DD40*SUM(DB40,CY40,CT40)</f>
        <v/>
      </c>
      <c r="DF40" s="1051" t="n"/>
      <c r="DG40" s="2194">
        <f>IF(CW40&lt;=BY$6,BX$6,IF(CW40&lt;=BY$7,BX$7,IF(CW40&lt;=BY$8,BX$8,IF(CW40&lt;=BY$9,BX$9,IF(CW40&lt;=BY$14,BX$14,IF(CW40&lt;=BY$15,BX$15,IF(CW40&lt;=BY$16,BX$16,0.05)))))))</f>
        <v/>
      </c>
      <c r="DH40" s="2193">
        <f>DG40*CW40</f>
        <v/>
      </c>
      <c r="DJ40" s="1932">
        <f>0.07*SUM(CT40,CY40,DB40,DE40,DH40)</f>
        <v/>
      </c>
      <c r="DL40" s="1932">
        <f>SUM(DJ40,DH40,DE40,DB40,CY40,CT40)</f>
        <v/>
      </c>
      <c r="DM40" s="1933">
        <f>SUM(DH40,DE40,DB40,CY40)</f>
        <v/>
      </c>
      <c r="DN40" s="1051">
        <f>DM40/DL40</f>
        <v/>
      </c>
    </row>
    <row r="41" customFormat="1" s="585">
      <c r="A41" s="708" t="inlineStr">
        <is>
          <t>Material Total</t>
        </is>
      </c>
      <c r="B41" s="709" t="n"/>
      <c r="C41" s="1991" t="n"/>
      <c r="D41" s="1991" t="n"/>
      <c r="E41" s="1991">
        <f>SUM(E38:E40)</f>
        <v/>
      </c>
      <c r="F41" s="711">
        <f>E41/B43</f>
        <v/>
      </c>
      <c r="G41" s="712" t="inlineStr">
        <is>
          <t>Material $/SF</t>
        </is>
      </c>
      <c r="H41" s="1944" t="n"/>
      <c r="I41" s="1992">
        <f>E41</f>
        <v/>
      </c>
      <c r="J41" s="1051" t="n"/>
      <c r="K41" s="600" t="n"/>
      <c r="L41" s="600" t="n"/>
      <c r="N41" s="1111" t="inlineStr">
        <is>
          <t>Formulated 01-2025</t>
        </is>
      </c>
      <c r="O41" s="1010" t="inlineStr">
        <is>
          <t xml:space="preserve">Price </t>
        </is>
      </c>
      <c r="P41" s="1010" t="inlineStr">
        <is>
          <t xml:space="preserve">Sqft per Roll </t>
        </is>
      </c>
      <c r="Q41" s="1010" t="inlineStr">
        <is>
          <t xml:space="preserve">$ per Sqft </t>
        </is>
      </c>
      <c r="R41" s="1590" t="inlineStr">
        <is>
          <t>(FM $ per 11/13/2024 = for 2025)</t>
        </is>
      </c>
      <c r="S41" s="1411" t="n"/>
      <c r="AX41" s="2193" t="n">
        <v>32000</v>
      </c>
      <c r="AY41" s="2193" t="n"/>
      <c r="AZ41" s="2193" t="n"/>
      <c r="BA41" s="2193">
        <f>AX41</f>
        <v/>
      </c>
      <c r="BB41" s="2193" t="n"/>
      <c r="BC41" s="2193" t="n"/>
      <c r="BD41" s="2193">
        <f>AX41+BA41</f>
        <v/>
      </c>
      <c r="BE41" s="2193" t="n"/>
      <c r="BF41" s="2193" t="n"/>
      <c r="BG41" s="2193">
        <f>BD41</f>
        <v/>
      </c>
      <c r="BH41" s="1051">
        <f>IF(AX41&lt;=#REF!,#REF!,IF(AX41&lt;=#REF!,#REF!,IF(AX41&lt;=#REF!,#REF!,IF(AX41&lt;=#REF!,#REF!,IF(AX41&lt;=#REF!,#REF!,IF(AX41&lt;=#REF!,#REF!,IF(AX41&lt;=#REF!,#REF!,0.05)))))))</f>
        <v/>
      </c>
      <c r="BI41" s="2193">
        <f>BH41*AX41</f>
        <v/>
      </c>
      <c r="BJ41" s="1051" t="n"/>
      <c r="BK41" s="1051">
        <f>IF(BA41&lt;=#REF!,#REF!,IF(BA41&lt;=#REF!,#REF!,IF(BA41&lt;=#REF!,#REF!,IF(BA41&lt;=#REF!,#REF!,IF(BA41&lt;=#REF!,#REF!,IF(BA41&lt;=#REF!,#REF!,IF(BA41&lt;=#REF!,#REF!,0.05)))))))</f>
        <v/>
      </c>
      <c r="BL41" s="2193">
        <f>BK41*BA41</f>
        <v/>
      </c>
      <c r="BM41" s="1051" t="n"/>
      <c r="BN41" s="1051">
        <f>IF(BD41&lt;=#REF!,#REF!,IF(BD41&lt;=#REF!,#REF!,IF(BD41&lt;=#REF!,#REF!,IF(BD41&lt;=#REF!,#REF!,IF(BD41&lt;=#REF!,#REF!,IF(BD41&lt;=#REF!,#REF!,IF(BD41&lt;=#REF!,#REF!,0.05)))))))</f>
        <v/>
      </c>
      <c r="BO41" s="2193">
        <f>BN41*SUM(BL41,BI41,BD41)</f>
        <v/>
      </c>
      <c r="BP41" s="1051" t="n"/>
      <c r="BQ41" s="2194">
        <f>IF(BG41&lt;=#REF!,#REF!,IF(BG41&lt;=#REF!,#REF!,IF(BG41&lt;=#REF!,#REF!,IF(BG41&lt;=#REF!,#REF!,IF(BG41&lt;=#REF!,#REF!,IF(BG41&lt;=#REF!,#REF!,IF(BG41&lt;=#REF!,#REF!,0.05)))))))</f>
        <v/>
      </c>
      <c r="BR41" s="2193">
        <f>BQ41*BG41</f>
        <v/>
      </c>
      <c r="BT41" s="1932">
        <f>0.07*SUM(BD41,BI41,BL41,BO41,BR41)</f>
        <v/>
      </c>
      <c r="BV41" s="1932">
        <f>SUM(BT41,BR41,BO41,BL41,BI41,BD41)</f>
        <v/>
      </c>
      <c r="BW41" s="1933">
        <f>SUM(BR41,BO41,BL41,BI41)</f>
        <v/>
      </c>
      <c r="BX41" s="1051">
        <f>BW41/BV41</f>
        <v/>
      </c>
      <c r="CN41" s="2193" t="n">
        <v>32000</v>
      </c>
      <c r="CO41" s="2193" t="n"/>
      <c r="CP41" s="2193" t="n"/>
      <c r="CQ41" s="2193">
        <f>CN41</f>
        <v/>
      </c>
      <c r="CR41" s="2193" t="n"/>
      <c r="CS41" s="2193" t="n"/>
      <c r="CT41" s="2193">
        <f>CN41+CQ41</f>
        <v/>
      </c>
      <c r="CU41" s="2193" t="n"/>
      <c r="CV41" s="2193" t="n"/>
      <c r="CW41" s="2193">
        <f>CT41</f>
        <v/>
      </c>
      <c r="CX41" s="1051">
        <f>IF(CN41&lt;=BP$6,BO$6,IF(CN41&lt;=BP$7,BO$7,IF(CN41&lt;=BP$8,BO$8,IF(CN41&lt;=BP$9,BO$9,IF(CN41&lt;=BP$14,BO$14,IF(CN41&lt;=BP$15,BO$15,IF(CN41&lt;=BP$16,BO$16,0.05)))))))</f>
        <v/>
      </c>
      <c r="CY41" s="2193">
        <f>CX41*CN41</f>
        <v/>
      </c>
      <c r="CZ41" s="1051" t="n"/>
      <c r="DA41" s="1051">
        <f>IF(CQ41&lt;=BS$6,BR$6,IF(CQ41&lt;=BS$7,BR$7,IF(CQ41&lt;=BS$8,BR$8,IF(CQ41&lt;=BS$9,BR$9,IF(CQ41&lt;=BS$14,BR$14,IF(CQ41&lt;=BS$15,BR$15,IF(CQ41&lt;=BS$16,BR$16,0.05)))))))</f>
        <v/>
      </c>
      <c r="DB41" s="2193">
        <f>DA41*CQ41</f>
        <v/>
      </c>
      <c r="DC41" s="1051" t="n"/>
      <c r="DD41" s="1051">
        <f>IF(CT41&lt;=BV$6,BU$6,IF(CT41&lt;=BV$7,BU$7,IF(CT41&lt;=BV$8,BU$8,IF(CT41&lt;=BV$9,BU$9,IF(CT41&lt;=BV$14,BU$14,IF(CT41&lt;=BV$15,BU$15,IF(CT41&lt;=BV$16,BU$16,0.05)))))))</f>
        <v/>
      </c>
      <c r="DE41" s="2193">
        <f>DD41*SUM(DB41,CY41,CT41)</f>
        <v/>
      </c>
      <c r="DF41" s="1051" t="n"/>
      <c r="DG41" s="2194">
        <f>IF(CW41&lt;=BY$6,BX$6,IF(CW41&lt;=BY$7,BX$7,IF(CW41&lt;=BY$8,BX$8,IF(CW41&lt;=BY$9,BX$9,IF(CW41&lt;=BY$14,BX$14,IF(CW41&lt;=BY$15,BX$15,IF(CW41&lt;=BY$16,BX$16,0.05)))))))</f>
        <v/>
      </c>
      <c r="DH41" s="2193">
        <f>DG41*CW41</f>
        <v/>
      </c>
      <c r="DJ41" s="1932">
        <f>0.07*SUM(CT41,CY41,DB41,DE41,DH41)</f>
        <v/>
      </c>
      <c r="DL41" s="1932">
        <f>SUM(DJ41,DH41,DE41,DB41,CY41,CT41)</f>
        <v/>
      </c>
      <c r="DM41" s="1933">
        <f>SUM(DH41,DE41,DB41,CY41)</f>
        <v/>
      </c>
      <c r="DN41" s="1051">
        <f>DM41/DL41</f>
        <v/>
      </c>
    </row>
    <row r="42" customFormat="1" s="585">
      <c r="A42" s="834" t="n"/>
      <c r="B42" s="1877" t="n"/>
      <c r="C42" s="1944" t="n"/>
      <c r="D42" s="1944" t="n"/>
      <c r="E42" s="1944" t="n"/>
      <c r="F42" s="600" t="n"/>
      <c r="H42" s="1024" t="n"/>
      <c r="I42" s="600" t="n"/>
      <c r="J42" s="600" t="n"/>
      <c r="M42" s="1947" t="inlineStr">
        <is>
          <t>1/8"</t>
        </is>
      </c>
      <c r="N42" s="1012" t="inlineStr">
        <is>
          <t>Treadstone R1   (1/8")</t>
        </is>
      </c>
      <c r="O42" s="2231" t="n">
        <v>199.8</v>
      </c>
      <c r="P42" s="1014" t="n">
        <v>370</v>
      </c>
      <c r="Q42" s="2244">
        <f>O42/P42</f>
        <v/>
      </c>
      <c r="R42" s="633" t="inlineStr">
        <is>
          <t>Bag Price (FR25)</t>
        </is>
      </c>
      <c r="S42" s="2135" t="n">
        <v>14.65</v>
      </c>
      <c r="T42" s="2135" t="n"/>
      <c r="AX42" s="2193" t="n">
        <v>33000</v>
      </c>
      <c r="AY42" s="2193" t="n"/>
      <c r="AZ42" s="2193" t="n"/>
      <c r="BA42" s="2193">
        <f>AX42</f>
        <v/>
      </c>
      <c r="BB42" s="2193" t="n"/>
      <c r="BC42" s="2193" t="n"/>
      <c r="BD42" s="2193">
        <f>AX42+BA42</f>
        <v/>
      </c>
      <c r="BE42" s="2193" t="n"/>
      <c r="BF42" s="2193" t="n"/>
      <c r="BG42" s="2193">
        <f>BD42</f>
        <v/>
      </c>
      <c r="BH42" s="1051">
        <f>IF(AX42&lt;=#REF!,#REF!,IF(AX42&lt;=#REF!,#REF!,IF(AX42&lt;=#REF!,#REF!,IF(AX42&lt;=#REF!,#REF!,IF(AX42&lt;=#REF!,#REF!,IF(AX42&lt;=#REF!,#REF!,IF(AX42&lt;=#REF!,#REF!,0.05)))))))</f>
        <v/>
      </c>
      <c r="BI42" s="2193">
        <f>BH42*AX42</f>
        <v/>
      </c>
      <c r="BJ42" s="1051" t="n"/>
      <c r="BK42" s="1051">
        <f>IF(BA42&lt;=#REF!,#REF!,IF(BA42&lt;=#REF!,#REF!,IF(BA42&lt;=#REF!,#REF!,IF(BA42&lt;=#REF!,#REF!,IF(BA42&lt;=#REF!,#REF!,IF(BA42&lt;=#REF!,#REF!,IF(BA42&lt;=#REF!,#REF!,0.05)))))))</f>
        <v/>
      </c>
      <c r="BL42" s="2193">
        <f>BK42*BA42</f>
        <v/>
      </c>
      <c r="BM42" s="1051" t="n"/>
      <c r="BN42" s="1051">
        <f>IF(BD42&lt;=#REF!,#REF!,IF(BD42&lt;=#REF!,#REF!,IF(BD42&lt;=#REF!,#REF!,IF(BD42&lt;=#REF!,#REF!,IF(BD42&lt;=#REF!,#REF!,IF(BD42&lt;=#REF!,#REF!,IF(BD42&lt;=#REF!,#REF!,0.05)))))))</f>
        <v/>
      </c>
      <c r="BO42" s="2193">
        <f>BN42*SUM(BL42,BI42,BD42)</f>
        <v/>
      </c>
      <c r="BP42" s="1051" t="n"/>
      <c r="BQ42" s="2194">
        <f>IF(BG42&lt;=#REF!,#REF!,IF(BG42&lt;=#REF!,#REF!,IF(BG42&lt;=#REF!,#REF!,IF(BG42&lt;=#REF!,#REF!,IF(BG42&lt;=#REF!,#REF!,IF(BG42&lt;=#REF!,#REF!,IF(BG42&lt;=#REF!,#REF!,0.05)))))))</f>
        <v/>
      </c>
      <c r="BR42" s="2193">
        <f>BQ42*BG42</f>
        <v/>
      </c>
      <c r="BT42" s="1932">
        <f>0.07*SUM(BD42,BI42,BL42,BO42,BR42)</f>
        <v/>
      </c>
      <c r="BV42" s="1932">
        <f>SUM(BT42,BR42,BO42,BL42,BI42,BD42)</f>
        <v/>
      </c>
      <c r="BW42" s="1933">
        <f>SUM(BR42,BO42,BL42,BI42)</f>
        <v/>
      </c>
      <c r="BX42" s="1051">
        <f>BW42/BV42</f>
        <v/>
      </c>
      <c r="CN42" s="2193" t="n">
        <v>33000</v>
      </c>
      <c r="CO42" s="2193" t="n"/>
      <c r="CP42" s="2193" t="n"/>
      <c r="CQ42" s="2193">
        <f>CN42</f>
        <v/>
      </c>
      <c r="CR42" s="2193" t="n"/>
      <c r="CS42" s="2193" t="n"/>
      <c r="CT42" s="2193">
        <f>CN42+CQ42</f>
        <v/>
      </c>
      <c r="CU42" s="2193" t="n"/>
      <c r="CV42" s="2193" t="n"/>
      <c r="CW42" s="2193">
        <f>CT42</f>
        <v/>
      </c>
      <c r="CX42" s="1051">
        <f>IF(CN42&lt;=BP$6,BO$6,IF(CN42&lt;=BP$7,BO$7,IF(CN42&lt;=BP$8,BO$8,IF(CN42&lt;=BP$9,BO$9,IF(CN42&lt;=BP$14,BO$14,IF(CN42&lt;=BP$15,BO$15,IF(CN42&lt;=BP$16,BO$16,0.05)))))))</f>
        <v/>
      </c>
      <c r="CY42" s="2193">
        <f>CX42*CN42</f>
        <v/>
      </c>
      <c r="CZ42" s="1051" t="n"/>
      <c r="DA42" s="1051">
        <f>IF(CQ42&lt;=BS$6,BR$6,IF(CQ42&lt;=BS$7,BR$7,IF(CQ42&lt;=BS$8,BR$8,IF(CQ42&lt;=BS$9,BR$9,IF(CQ42&lt;=BS$14,BR$14,IF(CQ42&lt;=BS$15,BR$15,IF(CQ42&lt;=BS$16,BR$16,0.05)))))))</f>
        <v/>
      </c>
      <c r="DB42" s="2193">
        <f>DA42*CQ42</f>
        <v/>
      </c>
      <c r="DC42" s="1051" t="n"/>
      <c r="DD42" s="1051">
        <f>IF(CT42&lt;=BV$6,BU$6,IF(CT42&lt;=BV$7,BU$7,IF(CT42&lt;=BV$8,BU$8,IF(CT42&lt;=BV$9,BU$9,IF(CT42&lt;=BV$14,BU$14,IF(CT42&lt;=BV$15,BU$15,IF(CT42&lt;=BV$16,BU$16,0.05)))))))</f>
        <v/>
      </c>
      <c r="DE42" s="2193">
        <f>DD42*SUM(DB42,CY42,CT42)</f>
        <v/>
      </c>
      <c r="DF42" s="1051" t="n"/>
      <c r="DG42" s="2194">
        <f>IF(CW42&lt;=BY$6,BX$6,IF(CW42&lt;=BY$7,BX$7,IF(CW42&lt;=BY$8,BX$8,IF(CW42&lt;=BY$9,BX$9,IF(CW42&lt;=BY$14,BX$14,IF(CW42&lt;=BY$15,BX$15,IF(CW42&lt;=BY$16,BX$16,0.05)))))))</f>
        <v/>
      </c>
      <c r="DH42" s="2193">
        <f>DG42*CW42</f>
        <v/>
      </c>
      <c r="DJ42" s="1932">
        <f>0.07*SUM(CT42,CY42,DB42,DE42,DH42)</f>
        <v/>
      </c>
      <c r="DL42" s="1932">
        <f>SUM(DJ42,DH42,DE42,DB42,CY42,CT42)</f>
        <v/>
      </c>
      <c r="DM42" s="1933">
        <f>SUM(DH42,DE42,DB42,CY42)</f>
        <v/>
      </c>
      <c r="DN42" s="1051">
        <f>DM42/DL42</f>
        <v/>
      </c>
    </row>
    <row r="43" customFormat="1" s="585">
      <c r="A43" s="719" t="inlineStr">
        <is>
          <t>Square Footage:</t>
        </is>
      </c>
      <c r="B43" s="2245">
        <f>F22</f>
        <v/>
      </c>
      <c r="C43" s="719" t="inlineStr">
        <is>
          <t>Linear Footage:</t>
        </is>
      </c>
      <c r="D43" s="1026" t="n"/>
      <c r="E43" s="1541">
        <f>(IF(D7="Yes","PW","-"))</f>
        <v/>
      </c>
      <c r="F43" s="722" t="inlineStr">
        <is>
          <t>10 hour days</t>
        </is>
      </c>
      <c r="G43" s="2246" t="inlineStr">
        <is>
          <t>Labor Production Rates (Hard Enter)</t>
        </is>
      </c>
      <c r="H43" s="606" t="n"/>
      <c r="I43" s="1027" t="n"/>
      <c r="J43" s="823" t="n"/>
      <c r="K43" s="700" t="n"/>
      <c r="L43" s="700" t="n"/>
      <c r="M43" s="1947" t="inlineStr">
        <is>
          <t>1/4"</t>
        </is>
      </c>
      <c r="N43" s="1016" t="inlineStr">
        <is>
          <t>Elite   (1/4")</t>
        </is>
      </c>
      <c r="O43" s="2233" t="n">
        <v>216</v>
      </c>
      <c r="P43" s="1018" t="n">
        <v>400</v>
      </c>
      <c r="Q43" s="2247">
        <f>O43/P43</f>
        <v/>
      </c>
      <c r="R43" s="633" t="inlineStr">
        <is>
          <t>Primer:  TP1</t>
        </is>
      </c>
      <c r="S43" s="2135">
        <f>139.5/5</f>
        <v/>
      </c>
      <c r="T43" s="1589" t="inlineStr">
        <is>
          <t>(5 gals @ $139.50)</t>
        </is>
      </c>
      <c r="AX43" s="2193" t="n">
        <v>34000</v>
      </c>
      <c r="AY43" s="2193" t="n"/>
      <c r="AZ43" s="2193" t="n"/>
      <c r="BA43" s="2193">
        <f>AX43</f>
        <v/>
      </c>
      <c r="BB43" s="2193" t="n"/>
      <c r="BC43" s="2193" t="n"/>
      <c r="BD43" s="2193">
        <f>AX43+BA43</f>
        <v/>
      </c>
      <c r="BE43" s="2193" t="n"/>
      <c r="BF43" s="2193" t="n"/>
      <c r="BG43" s="2193">
        <f>BD43</f>
        <v/>
      </c>
      <c r="BH43" s="1051">
        <f>IF(AX43&lt;=#REF!,#REF!,IF(AX43&lt;=#REF!,#REF!,IF(AX43&lt;=#REF!,#REF!,IF(AX43&lt;=#REF!,#REF!,IF(AX43&lt;=#REF!,#REF!,IF(AX43&lt;=#REF!,#REF!,IF(AX43&lt;=#REF!,#REF!,0.05)))))))</f>
        <v/>
      </c>
      <c r="BI43" s="2193">
        <f>BH43*AX43</f>
        <v/>
      </c>
      <c r="BJ43" s="1051" t="n"/>
      <c r="BK43" s="1051">
        <f>IF(BA43&lt;=#REF!,#REF!,IF(BA43&lt;=#REF!,#REF!,IF(BA43&lt;=#REF!,#REF!,IF(BA43&lt;=#REF!,#REF!,IF(BA43&lt;=#REF!,#REF!,IF(BA43&lt;=#REF!,#REF!,IF(BA43&lt;=#REF!,#REF!,0.05)))))))</f>
        <v/>
      </c>
      <c r="BL43" s="2193">
        <f>BK43*BA43</f>
        <v/>
      </c>
      <c r="BM43" s="1051" t="n"/>
      <c r="BN43" s="1051">
        <f>IF(BD43&lt;=#REF!,#REF!,IF(BD43&lt;=#REF!,#REF!,IF(BD43&lt;=#REF!,#REF!,IF(BD43&lt;=#REF!,#REF!,IF(BD43&lt;=#REF!,#REF!,IF(BD43&lt;=#REF!,#REF!,IF(BD43&lt;=#REF!,#REF!,0.05)))))))</f>
        <v/>
      </c>
      <c r="BO43" s="2193">
        <f>BN43*SUM(BL43,BI43,BD43)</f>
        <v/>
      </c>
      <c r="BP43" s="1051" t="n"/>
      <c r="BQ43" s="2194">
        <f>IF(BG43&lt;=#REF!,#REF!,IF(BG43&lt;=#REF!,#REF!,IF(BG43&lt;=#REF!,#REF!,IF(BG43&lt;=#REF!,#REF!,IF(BG43&lt;=#REF!,#REF!,IF(BG43&lt;=#REF!,#REF!,IF(BG43&lt;=#REF!,#REF!,0.05)))))))</f>
        <v/>
      </c>
      <c r="BR43" s="2193">
        <f>BQ43*BG43</f>
        <v/>
      </c>
      <c r="BT43" s="1932">
        <f>0.07*SUM(BD43,BI43,BL43,BO43,BR43)</f>
        <v/>
      </c>
      <c r="BV43" s="1932">
        <f>SUM(BT43,BR43,BO43,BL43,BI43,BD43)</f>
        <v/>
      </c>
      <c r="BW43" s="1933">
        <f>SUM(BR43,BO43,BL43,BI43)</f>
        <v/>
      </c>
      <c r="BX43" s="1051">
        <f>BW43/BV43</f>
        <v/>
      </c>
      <c r="CN43" s="2193" t="n">
        <v>34000</v>
      </c>
      <c r="CO43" s="2193" t="n"/>
      <c r="CP43" s="2193" t="n"/>
      <c r="CQ43" s="2193">
        <f>CN43</f>
        <v/>
      </c>
      <c r="CR43" s="2193" t="n"/>
      <c r="CS43" s="2193" t="n"/>
      <c r="CT43" s="2193">
        <f>CN43+CQ43</f>
        <v/>
      </c>
      <c r="CU43" s="2193" t="n"/>
      <c r="CV43" s="2193" t="n"/>
      <c r="CW43" s="2193">
        <f>CT43</f>
        <v/>
      </c>
      <c r="CX43" s="1051">
        <f>IF(CN43&lt;=BP$6,BO$6,IF(CN43&lt;=BP$7,BO$7,IF(CN43&lt;=BP$8,BO$8,IF(CN43&lt;=BP$9,BO$9,IF(CN43&lt;=BP$14,BO$14,IF(CN43&lt;=BP$15,BO$15,IF(CN43&lt;=BP$16,BO$16,0.05)))))))</f>
        <v/>
      </c>
      <c r="CY43" s="2193">
        <f>CX43*CN43</f>
        <v/>
      </c>
      <c r="CZ43" s="1051" t="n"/>
      <c r="DA43" s="1051">
        <f>IF(CQ43&lt;=BS$6,BR$6,IF(CQ43&lt;=BS$7,BR$7,IF(CQ43&lt;=BS$8,BR$8,IF(CQ43&lt;=BS$9,BR$9,IF(CQ43&lt;=BS$14,BR$14,IF(CQ43&lt;=BS$15,BR$15,IF(CQ43&lt;=BS$16,BR$16,0.05)))))))</f>
        <v/>
      </c>
      <c r="DB43" s="2193">
        <f>DA43*CQ43</f>
        <v/>
      </c>
      <c r="DC43" s="1051" t="n"/>
      <c r="DD43" s="1051">
        <f>IF(CT43&lt;=BV$6,BU$6,IF(CT43&lt;=BV$7,BU$7,IF(CT43&lt;=BV$8,BU$8,IF(CT43&lt;=BV$9,BU$9,IF(CT43&lt;=BV$14,BU$14,IF(CT43&lt;=BV$15,BU$15,IF(CT43&lt;=BV$16,BU$16,0.05)))))))</f>
        <v/>
      </c>
      <c r="DE43" s="2193">
        <f>DD43*SUM(DB43,CY43,CT43)</f>
        <v/>
      </c>
      <c r="DF43" s="1051" t="n"/>
      <c r="DG43" s="2194">
        <f>IF(CW43&lt;=BY$6,BX$6,IF(CW43&lt;=BY$7,BX$7,IF(CW43&lt;=BY$8,BX$8,IF(CW43&lt;=BY$9,BX$9,IF(CW43&lt;=BY$14,BX$14,IF(CW43&lt;=BY$15,BX$15,IF(CW43&lt;=BY$16,BX$16,0.05)))))))</f>
        <v/>
      </c>
      <c r="DH43" s="2193">
        <f>DG43*CW43</f>
        <v/>
      </c>
      <c r="DJ43" s="1932">
        <f>0.07*SUM(CT43,CY43,DB43,DE43,DH43)</f>
        <v/>
      </c>
      <c r="DL43" s="1932">
        <f>SUM(DJ43,DH43,DE43,DB43,CY43,CT43)</f>
        <v/>
      </c>
      <c r="DM43" s="1933">
        <f>SUM(DH43,DE43,DB43,CY43)</f>
        <v/>
      </c>
      <c r="DN43" s="1051">
        <f>DM43/DL43</f>
        <v/>
      </c>
    </row>
    <row r="44" customFormat="1" s="585">
      <c r="A44" s="730" t="inlineStr">
        <is>
          <t>Labor:              Guys</t>
        </is>
      </c>
      <c r="B44" s="731" t="inlineStr">
        <is>
          <t>Hours</t>
        </is>
      </c>
      <c r="C44" s="731" t="inlineStr">
        <is>
          <t>Rate (PW?)</t>
        </is>
      </c>
      <c r="D44" s="731" t="n"/>
      <c r="E44" s="1028" t="inlineStr">
        <is>
          <t>Totals</t>
        </is>
      </c>
      <c r="F44" s="1029" t="inlineStr">
        <is>
          <t xml:space="preserve">Labor </t>
        </is>
      </c>
      <c r="G44" s="2248" t="n"/>
      <c r="H44" s="2014" t="n"/>
      <c r="I44" s="1947" t="n"/>
      <c r="J44" s="633" t="n"/>
      <c r="M44" s="1947" t="inlineStr">
        <is>
          <t>3/8"</t>
        </is>
      </c>
      <c r="N44" s="1020" t="inlineStr">
        <is>
          <t>Elite Duo   (3/8")</t>
        </is>
      </c>
      <c r="O44" s="2239" t="n">
        <v>299.5</v>
      </c>
      <c r="P44" s="1021" t="n">
        <v>333</v>
      </c>
      <c r="Q44" s="2249">
        <f>O44/P44</f>
        <v/>
      </c>
      <c r="R44" s="633" t="inlineStr">
        <is>
          <t>Iso</t>
        </is>
      </c>
      <c r="S44" s="2135" t="n">
        <v>27</v>
      </c>
      <c r="T44" s="2135" t="n"/>
      <c r="AX44" s="2193" t="n">
        <v>35000</v>
      </c>
      <c r="AY44" s="2193" t="n"/>
      <c r="AZ44" s="2193" t="n"/>
      <c r="BA44" s="2193">
        <f>AX44</f>
        <v/>
      </c>
      <c r="BB44" s="2193" t="n"/>
      <c r="BC44" s="2193" t="n"/>
      <c r="BD44" s="2193">
        <f>AX44+BA44</f>
        <v/>
      </c>
      <c r="BE44" s="2193" t="n"/>
      <c r="BF44" s="2193" t="n"/>
      <c r="BG44" s="2193">
        <f>BD44</f>
        <v/>
      </c>
      <c r="BH44" s="1051">
        <f>IF(AX44&lt;=#REF!,#REF!,IF(AX44&lt;=#REF!,#REF!,IF(AX44&lt;=#REF!,#REF!,IF(AX44&lt;=#REF!,#REF!,IF(AX44&lt;=#REF!,#REF!,IF(AX44&lt;=#REF!,#REF!,IF(AX44&lt;=#REF!,#REF!,0.05)))))))</f>
        <v/>
      </c>
      <c r="BI44" s="2193">
        <f>BH44*AX44</f>
        <v/>
      </c>
      <c r="BJ44" s="1051" t="n"/>
      <c r="BK44" s="1051">
        <f>IF(BA44&lt;=#REF!,#REF!,IF(BA44&lt;=#REF!,#REF!,IF(BA44&lt;=#REF!,#REF!,IF(BA44&lt;=#REF!,#REF!,IF(BA44&lt;=#REF!,#REF!,IF(BA44&lt;=#REF!,#REF!,IF(BA44&lt;=#REF!,#REF!,0.05)))))))</f>
        <v/>
      </c>
      <c r="BL44" s="2193">
        <f>BK44*BA44</f>
        <v/>
      </c>
      <c r="BM44" s="1051" t="n"/>
      <c r="BN44" s="1051">
        <f>IF(BD44&lt;=#REF!,#REF!,IF(BD44&lt;=#REF!,#REF!,IF(BD44&lt;=#REF!,#REF!,IF(BD44&lt;=#REF!,#REF!,IF(BD44&lt;=#REF!,#REF!,IF(BD44&lt;=#REF!,#REF!,IF(BD44&lt;=#REF!,#REF!,0.05)))))))</f>
        <v/>
      </c>
      <c r="BO44" s="2193">
        <f>BN44*SUM(BL44,BI44,BD44)</f>
        <v/>
      </c>
      <c r="BP44" s="1051" t="n"/>
      <c r="BQ44" s="2194">
        <f>IF(BG44&lt;=#REF!,#REF!,IF(BG44&lt;=#REF!,#REF!,IF(BG44&lt;=#REF!,#REF!,IF(BG44&lt;=#REF!,#REF!,IF(BG44&lt;=#REF!,#REF!,IF(BG44&lt;=#REF!,#REF!,IF(BG44&lt;=#REF!,#REF!,0.05)))))))</f>
        <v/>
      </c>
      <c r="BR44" s="2193">
        <f>BQ44*BG44</f>
        <v/>
      </c>
      <c r="BT44" s="1932">
        <f>0.07*SUM(BD44,BI44,BL44,BO44,BR44)</f>
        <v/>
      </c>
      <c r="BV44" s="1932">
        <f>SUM(BT44,BR44,BO44,BL44,BI44,BD44)</f>
        <v/>
      </c>
      <c r="BW44" s="1933">
        <f>SUM(BR44,BO44,BL44,BI44)</f>
        <v/>
      </c>
      <c r="BX44" s="1051">
        <f>BW44/BV44</f>
        <v/>
      </c>
      <c r="CN44" s="2193" t="n">
        <v>35000</v>
      </c>
      <c r="CO44" s="2193" t="n"/>
      <c r="CP44" s="2193" t="n"/>
      <c r="CQ44" s="2193">
        <f>CN44</f>
        <v/>
      </c>
      <c r="CR44" s="2193" t="n"/>
      <c r="CS44" s="2193" t="n"/>
      <c r="CT44" s="2193">
        <f>CN44+CQ44</f>
        <v/>
      </c>
      <c r="CU44" s="2193" t="n"/>
      <c r="CV44" s="2193" t="n"/>
      <c r="CW44" s="2193">
        <f>CT44</f>
        <v/>
      </c>
      <c r="CX44" s="1051">
        <f>IF(CN44&lt;=BP$6,BO$6,IF(CN44&lt;=BP$7,BO$7,IF(CN44&lt;=BP$8,BO$8,IF(CN44&lt;=BP$9,BO$9,IF(CN44&lt;=BP$14,BO$14,IF(CN44&lt;=BP$15,BO$15,IF(CN44&lt;=BP$16,BO$16,0.05)))))))</f>
        <v/>
      </c>
      <c r="CY44" s="2193">
        <f>CX44*CN44</f>
        <v/>
      </c>
      <c r="CZ44" s="1051" t="n"/>
      <c r="DA44" s="1051">
        <f>IF(CQ44&lt;=BS$6,BR$6,IF(CQ44&lt;=BS$7,BR$7,IF(CQ44&lt;=BS$8,BR$8,IF(CQ44&lt;=BS$9,BR$9,IF(CQ44&lt;=BS$14,BR$14,IF(CQ44&lt;=BS$15,BR$15,IF(CQ44&lt;=BS$16,BR$16,0.05)))))))</f>
        <v/>
      </c>
      <c r="DB44" s="2193">
        <f>DA44*CQ44</f>
        <v/>
      </c>
      <c r="DC44" s="1051" t="n"/>
      <c r="DD44" s="1051">
        <f>IF(CT44&lt;=BV$6,BU$6,IF(CT44&lt;=BV$7,BU$7,IF(CT44&lt;=BV$8,BU$8,IF(CT44&lt;=BV$9,BU$9,IF(CT44&lt;=BV$14,BU$14,IF(CT44&lt;=BV$15,BU$15,IF(CT44&lt;=BV$16,BU$16,0.05)))))))</f>
        <v/>
      </c>
      <c r="DE44" s="2193">
        <f>DD44*SUM(DB44,CY44,CT44)</f>
        <v/>
      </c>
      <c r="DF44" s="1051" t="n"/>
      <c r="DG44" s="2194">
        <f>IF(CW44&lt;=BY$6,BX$6,IF(CW44&lt;=BY$7,BX$7,IF(CW44&lt;=BY$8,BX$8,IF(CW44&lt;=BY$9,BX$9,IF(CW44&lt;=BY$14,BX$14,IF(CW44&lt;=BY$15,BX$15,IF(CW44&lt;=BY$16,BX$16,0.05)))))))</f>
        <v/>
      </c>
      <c r="DH44" s="2193">
        <f>DG44*CW44</f>
        <v/>
      </c>
      <c r="DJ44" s="1932">
        <f>0.07*SUM(CT44,CY44,DB44,DE44,DH44)</f>
        <v/>
      </c>
      <c r="DL44" s="1932">
        <f>SUM(DJ44,DH44,DE44,DB44,CY44,CT44)</f>
        <v/>
      </c>
      <c r="DM44" s="1933">
        <f>SUM(DH44,DE44,DB44,CY44)</f>
        <v/>
      </c>
      <c r="DN44" s="1051">
        <f>DM44/DL44</f>
        <v/>
      </c>
    </row>
    <row r="45" customFormat="1" s="585">
      <c r="A45" s="1442" t="n">
        <v>8</v>
      </c>
      <c r="B45" s="2498" t="n"/>
      <c r="C45" s="2001" t="n">
        <v>33.66</v>
      </c>
      <c r="D45" s="2250" t="n"/>
      <c r="E45" s="763">
        <f>A45*B45*C45</f>
        <v/>
      </c>
      <c r="F45" s="2251" t="inlineStr">
        <is>
          <t>Pre-Pours Hours</t>
        </is>
      </c>
      <c r="G45" s="1033" t="n">
        <v>8</v>
      </c>
      <c r="H45" s="1034" t="n"/>
      <c r="I45" s="2252" t="n"/>
      <c r="J45" s="2253" t="n"/>
      <c r="K45" s="780" t="n"/>
      <c r="L45" s="780" t="n"/>
      <c r="M45" s="1947" t="n"/>
      <c r="N45" s="600" t="n"/>
      <c r="O45" s="600" t="n"/>
      <c r="AX45" s="2193" t="n">
        <v>36000</v>
      </c>
      <c r="AY45" s="2193" t="n"/>
      <c r="AZ45" s="2193" t="n"/>
      <c r="BA45" s="2193">
        <f>AX45</f>
        <v/>
      </c>
      <c r="BB45" s="2193" t="n"/>
      <c r="BC45" s="2193" t="n"/>
      <c r="BD45" s="2193">
        <f>AX45+BA45</f>
        <v/>
      </c>
      <c r="BE45" s="2193" t="n"/>
      <c r="BF45" s="2193" t="n"/>
      <c r="BG45" s="2193">
        <f>BD45</f>
        <v/>
      </c>
      <c r="BH45" s="1051">
        <f>IF(AX45&lt;=#REF!,#REF!,IF(AX45&lt;=#REF!,#REF!,IF(AX45&lt;=#REF!,#REF!,IF(AX45&lt;=#REF!,#REF!,IF(AX45&lt;=#REF!,#REF!,IF(AX45&lt;=#REF!,#REF!,IF(AX45&lt;=#REF!,#REF!,0.05)))))))</f>
        <v/>
      </c>
      <c r="BI45" s="2193">
        <f>BH45*AX45</f>
        <v/>
      </c>
      <c r="BJ45" s="1051" t="n"/>
      <c r="BK45" s="1051">
        <f>IF(BA45&lt;=#REF!,#REF!,IF(BA45&lt;=#REF!,#REF!,IF(BA45&lt;=#REF!,#REF!,IF(BA45&lt;=#REF!,#REF!,IF(BA45&lt;=#REF!,#REF!,IF(BA45&lt;=#REF!,#REF!,IF(BA45&lt;=#REF!,#REF!,0.05)))))))</f>
        <v/>
      </c>
      <c r="BL45" s="2193">
        <f>BK45*BA45</f>
        <v/>
      </c>
      <c r="BM45" s="1051" t="n"/>
      <c r="BN45" s="1051">
        <f>IF(BD45&lt;=#REF!,#REF!,IF(BD45&lt;=#REF!,#REF!,IF(BD45&lt;=#REF!,#REF!,IF(BD45&lt;=#REF!,#REF!,IF(BD45&lt;=#REF!,#REF!,IF(BD45&lt;=#REF!,#REF!,IF(BD45&lt;=#REF!,#REF!,0.05)))))))</f>
        <v/>
      </c>
      <c r="BO45" s="2193">
        <f>BN45*SUM(BL45,BI45,BD45)</f>
        <v/>
      </c>
      <c r="BP45" s="1051" t="n"/>
      <c r="BQ45" s="2194">
        <f>IF(BG45&lt;=#REF!,#REF!,IF(BG45&lt;=#REF!,#REF!,IF(BG45&lt;=#REF!,#REF!,IF(BG45&lt;=#REF!,#REF!,IF(BG45&lt;=#REF!,#REF!,IF(BG45&lt;=#REF!,#REF!,IF(BG45&lt;=#REF!,#REF!,0.05)))))))</f>
        <v/>
      </c>
      <c r="BR45" s="2193">
        <f>BQ45*BG45</f>
        <v/>
      </c>
      <c r="BT45" s="1932">
        <f>0.07*SUM(BD45,BI45,BL45,BO45,BR45)</f>
        <v/>
      </c>
      <c r="BV45" s="1932">
        <f>SUM(BT45,BR45,BO45,BL45,BI45,BD45)</f>
        <v/>
      </c>
      <c r="BW45" s="1933">
        <f>SUM(BR45,BO45,BL45,BI45)</f>
        <v/>
      </c>
      <c r="BX45" s="1051">
        <f>BW45/BV45</f>
        <v/>
      </c>
      <c r="CN45" s="2193" t="n">
        <v>36000</v>
      </c>
      <c r="CO45" s="2193" t="n"/>
      <c r="CP45" s="2193" t="n"/>
      <c r="CQ45" s="2193">
        <f>CN45</f>
        <v/>
      </c>
      <c r="CR45" s="2193" t="n"/>
      <c r="CS45" s="2193" t="n"/>
      <c r="CT45" s="2193">
        <f>CN45+CQ45</f>
        <v/>
      </c>
      <c r="CU45" s="2193" t="n"/>
      <c r="CV45" s="2193" t="n"/>
      <c r="CW45" s="2193">
        <f>CT45</f>
        <v/>
      </c>
      <c r="CX45" s="1051">
        <f>IF(CN45&lt;=BP$6,BO$6,IF(CN45&lt;=BP$7,BO$7,IF(CN45&lt;=BP$8,BO$8,IF(CN45&lt;=BP$9,BO$9,IF(CN45&lt;=BP$14,BO$14,IF(CN45&lt;=BP$15,BO$15,IF(CN45&lt;=BP$16,BO$16,0.05)))))))</f>
        <v/>
      </c>
      <c r="CY45" s="2193">
        <f>CX45*CN45</f>
        <v/>
      </c>
      <c r="CZ45" s="1051" t="n"/>
      <c r="DA45" s="1051">
        <f>IF(CQ45&lt;=BS$6,BR$6,IF(CQ45&lt;=BS$7,BR$7,IF(CQ45&lt;=BS$8,BR$8,IF(CQ45&lt;=BS$9,BR$9,IF(CQ45&lt;=BS$14,BR$14,IF(CQ45&lt;=BS$15,BR$15,IF(CQ45&lt;=BS$16,BR$16,0.05)))))))</f>
        <v/>
      </c>
      <c r="DB45" s="2193">
        <f>DA45*CQ45</f>
        <v/>
      </c>
      <c r="DC45" s="1051" t="n"/>
      <c r="DD45" s="1051">
        <f>IF(CT45&lt;=BV$6,BU$6,IF(CT45&lt;=BV$7,BU$7,IF(CT45&lt;=BV$8,BU$8,IF(CT45&lt;=BV$9,BU$9,IF(CT45&lt;=BV$14,BU$14,IF(CT45&lt;=BV$15,BU$15,IF(CT45&lt;=BV$16,BU$16,0.05)))))))</f>
        <v/>
      </c>
      <c r="DE45" s="2193">
        <f>DD45*SUM(DB45,CY45,CT45)</f>
        <v/>
      </c>
      <c r="DF45" s="1051" t="n"/>
      <c r="DG45" s="2194">
        <f>IF(CW45&lt;=BY$6,BX$6,IF(CW45&lt;=BY$7,BX$7,IF(CW45&lt;=BY$8,BX$8,IF(CW45&lt;=BY$9,BX$9,IF(CW45&lt;=BY$14,BX$14,IF(CW45&lt;=BY$15,BX$15,IF(CW45&lt;=BY$16,BX$16,0.05)))))))</f>
        <v/>
      </c>
      <c r="DH45" s="2193">
        <f>DG45*CW45</f>
        <v/>
      </c>
      <c r="DJ45" s="1932">
        <f>0.07*SUM(CT45,CY45,DB45,DE45,DH45)</f>
        <v/>
      </c>
      <c r="DL45" s="1932">
        <f>SUM(DJ45,DH45,DE45,DB45,CY45,CT45)</f>
        <v/>
      </c>
      <c r="DM45" s="1933">
        <f>SUM(DH45,DE45,DB45,CY45)</f>
        <v/>
      </c>
      <c r="DN45" s="1051">
        <f>DM45/DL45</f>
        <v/>
      </c>
    </row>
    <row r="46" customFormat="1" s="585">
      <c r="A46" s="1442" t="n">
        <v>8</v>
      </c>
      <c r="B46" s="2499">
        <f>S28*G46</f>
        <v/>
      </c>
      <c r="C46" s="2003">
        <f>C45</f>
        <v/>
      </c>
      <c r="D46" s="2250" t="n"/>
      <c r="E46" s="763">
        <f>A46*B46*C46</f>
        <v/>
      </c>
      <c r="F46" s="2251" t="inlineStr">
        <is>
          <t xml:space="preserve">Prep/Prime/Seal Hours (hrs per mob) </t>
        </is>
      </c>
      <c r="G46" s="1033" t="n">
        <v>4</v>
      </c>
      <c r="H46" s="1034" t="n"/>
      <c r="I46" s="2252" t="n"/>
      <c r="J46" s="1344">
        <f>O31</f>
        <v/>
      </c>
      <c r="K46" s="1342" t="inlineStr">
        <is>
          <t>% Soft Surf</t>
        </is>
      </c>
      <c r="L46" s="1342" t="n"/>
      <c r="M46" s="600" t="n"/>
      <c r="N46" s="1140" t="inlineStr">
        <is>
          <t>mat $ difference</t>
        </is>
      </c>
      <c r="O46" s="2254">
        <f>O37-O42</f>
        <v/>
      </c>
      <c r="Q46" s="2254">
        <f>Q37-Q42</f>
        <v/>
      </c>
      <c r="AX46" s="2193" t="n">
        <v>36000</v>
      </c>
      <c r="AY46" s="2193" t="n"/>
      <c r="AZ46" s="2193" t="n"/>
      <c r="BA46" s="2193">
        <f>AX46</f>
        <v/>
      </c>
      <c r="BB46" s="2193" t="n"/>
      <c r="BC46" s="2193" t="n"/>
      <c r="BD46" s="2193">
        <f>AX46+BA46</f>
        <v/>
      </c>
      <c r="BE46" s="2193" t="n"/>
      <c r="BF46" s="2193" t="n"/>
      <c r="BG46" s="2193">
        <f>BD46</f>
        <v/>
      </c>
      <c r="BH46" s="1051">
        <f>IF(AX46&lt;=#REF!,#REF!,IF(AX46&lt;=#REF!,#REF!,IF(AX46&lt;=#REF!,#REF!,IF(AX46&lt;=#REF!,#REF!,IF(AX46&lt;=#REF!,#REF!,IF(AX46&lt;=#REF!,#REF!,IF(AX46&lt;=#REF!,#REF!,0.05)))))))</f>
        <v/>
      </c>
      <c r="BI46" s="2193">
        <f>BH46*AX46</f>
        <v/>
      </c>
      <c r="BJ46" s="1051" t="n"/>
      <c r="BK46" s="1051">
        <f>IF(BA46&lt;=#REF!,#REF!,IF(BA46&lt;=#REF!,#REF!,IF(BA46&lt;=#REF!,#REF!,IF(BA46&lt;=#REF!,#REF!,IF(BA46&lt;=#REF!,#REF!,IF(BA46&lt;=#REF!,#REF!,IF(BA46&lt;=#REF!,#REF!,0.05)))))))</f>
        <v/>
      </c>
      <c r="BL46" s="2193">
        <f>BK46*BA46</f>
        <v/>
      </c>
      <c r="BM46" s="1051" t="n"/>
      <c r="BN46" s="1051">
        <f>IF(BD46&lt;=#REF!,#REF!,IF(BD46&lt;=#REF!,#REF!,IF(BD46&lt;=#REF!,#REF!,IF(BD46&lt;=#REF!,#REF!,IF(BD46&lt;=#REF!,#REF!,IF(BD46&lt;=#REF!,#REF!,IF(BD46&lt;=#REF!,#REF!,0.05)))))))</f>
        <v/>
      </c>
      <c r="BO46" s="2193">
        <f>BN46*SUM(BL46,BI46,BD46)</f>
        <v/>
      </c>
      <c r="BP46" s="1051" t="n"/>
      <c r="BQ46" s="2194">
        <f>IF(BG46&lt;=#REF!,#REF!,IF(BG46&lt;=#REF!,#REF!,IF(BG46&lt;=#REF!,#REF!,IF(BG46&lt;=#REF!,#REF!,IF(BG46&lt;=#REF!,#REF!,IF(BG46&lt;=#REF!,#REF!,IF(BG46&lt;=#REF!,#REF!,0.05)))))))</f>
        <v/>
      </c>
      <c r="BR46" s="2193">
        <f>BQ46*BG46</f>
        <v/>
      </c>
      <c r="BT46" s="1932">
        <f>0.07*SUM(BD46,BI46,BL46,BO46,BR46)</f>
        <v/>
      </c>
      <c r="BV46" s="1932">
        <f>SUM(BT46,BR46,BO46,BL46,BI46,BD46)</f>
        <v/>
      </c>
      <c r="BW46" s="1933">
        <f>SUM(BR46,BO46,BL46,BI46)</f>
        <v/>
      </c>
      <c r="BX46" s="1051">
        <f>BW46/BV46</f>
        <v/>
      </c>
      <c r="CN46" s="2193" t="n">
        <v>36000</v>
      </c>
      <c r="CO46" s="2193" t="n"/>
      <c r="CP46" s="2193" t="n"/>
      <c r="CQ46" s="2193">
        <f>CN46</f>
        <v/>
      </c>
      <c r="CR46" s="2193" t="n"/>
      <c r="CS46" s="2193" t="n"/>
      <c r="CT46" s="2193">
        <f>CN46+CQ46</f>
        <v/>
      </c>
      <c r="CU46" s="2193" t="n"/>
      <c r="CV46" s="2193" t="n"/>
      <c r="CW46" s="2193">
        <f>CT46</f>
        <v/>
      </c>
      <c r="CX46" s="1051">
        <f>IF(CN46&lt;=BP$6,BO$6,IF(CN46&lt;=BP$7,BO$7,IF(CN46&lt;=BP$8,BO$8,IF(CN46&lt;=BP$9,BO$9,IF(CN46&lt;=BP$14,BO$14,IF(CN46&lt;=BP$15,BO$15,IF(CN46&lt;=BP$16,BO$16,0.05)))))))</f>
        <v/>
      </c>
      <c r="CY46" s="2193">
        <f>CX46*CN46</f>
        <v/>
      </c>
      <c r="CZ46" s="1051" t="n"/>
      <c r="DA46" s="1051">
        <f>IF(CQ46&lt;=BS$6,BR$6,IF(CQ46&lt;=BS$7,BR$7,IF(CQ46&lt;=BS$8,BR$8,IF(CQ46&lt;=BS$9,BR$9,IF(CQ46&lt;=BS$14,BR$14,IF(CQ46&lt;=BS$15,BR$15,IF(CQ46&lt;=BS$16,BR$16,0.05)))))))</f>
        <v/>
      </c>
      <c r="DB46" s="2193">
        <f>DA46*CQ46</f>
        <v/>
      </c>
      <c r="DC46" s="1051" t="n"/>
      <c r="DD46" s="1051">
        <f>IF(CT46&lt;=BV$6,BU$6,IF(CT46&lt;=BV$7,BU$7,IF(CT46&lt;=BV$8,BU$8,IF(CT46&lt;=BV$9,BU$9,IF(CT46&lt;=BV$14,BU$14,IF(CT46&lt;=BV$15,BU$15,IF(CT46&lt;=BV$16,BU$16,0.05)))))))</f>
        <v/>
      </c>
      <c r="DE46" s="2193">
        <f>DD46*SUM(DB46,CY46,CT46)</f>
        <v/>
      </c>
      <c r="DF46" s="1051" t="n"/>
      <c r="DG46" s="2194">
        <f>IF(CW46&lt;=BY$6,BX$6,IF(CW46&lt;=BY$7,BX$7,IF(CW46&lt;=BY$8,BX$8,IF(CW46&lt;=BY$9,BX$9,IF(CW46&lt;=BY$14,BX$14,IF(CW46&lt;=BY$15,BX$15,IF(CW46&lt;=BY$16,BX$16,0.05)))))))</f>
        <v/>
      </c>
      <c r="DH46" s="2193">
        <f>DG46*CW46</f>
        <v/>
      </c>
      <c r="DJ46" s="1932">
        <f>0.07*SUM(CT46,CY46,DB46,DE46,DH46)</f>
        <v/>
      </c>
      <c r="DL46" s="1932">
        <f>SUM(DJ46,DH46,DE46,DB46,CY46,CT46)</f>
        <v/>
      </c>
      <c r="DM46" s="1933">
        <f>SUM(DH46,DE46,DB46,CY46)</f>
        <v/>
      </c>
      <c r="DN46" s="1051">
        <f>DM46/DL46</f>
        <v/>
      </c>
    </row>
    <row r="47" customFormat="1" s="585">
      <c r="A47" s="1603" t="n">
        <v>7</v>
      </c>
      <c r="B47" s="2499">
        <f>F24/G47</f>
        <v/>
      </c>
      <c r="C47" s="2003">
        <f>C45</f>
        <v/>
      </c>
      <c r="D47" s="2250" t="n"/>
      <c r="E47" s="763">
        <f>A47*B47*C47</f>
        <v/>
      </c>
      <c r="F47" s="2251" t="inlineStr">
        <is>
          <t>Mat Time Hours (total HSA mat area/rate)</t>
        </is>
      </c>
      <c r="G47" s="1355">
        <f>85*A47</f>
        <v/>
      </c>
      <c r="H47" s="1889" t="inlineStr">
        <is>
          <t>INCLUDES HARD SURFACE AREAS ONLY</t>
        </is>
      </c>
      <c r="I47" s="585" t="n"/>
      <c r="J47" s="1345">
        <f>P31</f>
        <v/>
      </c>
      <c r="K47" s="1341" t="inlineStr">
        <is>
          <t>% Hard Surf / Mat</t>
        </is>
      </c>
      <c r="L47" s="1341" t="n"/>
      <c r="M47" s="600" t="n"/>
      <c r="N47" s="763" t="n"/>
      <c r="O47" s="2254">
        <f>O38-O43</f>
        <v/>
      </c>
      <c r="Q47" s="2254">
        <f>Q38-Q43</f>
        <v/>
      </c>
      <c r="AX47" s="2193" t="n"/>
      <c r="AY47" s="2193" t="n"/>
      <c r="AZ47" s="2193" t="n"/>
      <c r="BA47" s="2193" t="n"/>
      <c r="BB47" s="2193" t="n"/>
      <c r="BC47" s="2193" t="n"/>
      <c r="BD47" s="2193" t="n"/>
      <c r="BE47" s="2193" t="n"/>
      <c r="BF47" s="2193" t="n"/>
      <c r="BG47" s="2193" t="n"/>
      <c r="BH47" s="1051" t="n"/>
      <c r="BI47" s="2193" t="n"/>
      <c r="BJ47" s="1051" t="n"/>
      <c r="BK47" s="1051" t="n"/>
      <c r="BL47" s="2193" t="n"/>
      <c r="BM47" s="1051" t="n"/>
      <c r="BN47" s="1051" t="n"/>
      <c r="BO47" s="2193" t="n"/>
      <c r="BP47" s="1051" t="n"/>
      <c r="BQ47" s="2194" t="n"/>
      <c r="BR47" s="2193" t="n"/>
      <c r="BT47" s="1932" t="n"/>
      <c r="BV47" s="1932" t="n"/>
      <c r="BW47" s="1933" t="n"/>
      <c r="BX47" s="1051" t="n"/>
      <c r="CN47" s="2193" t="n"/>
      <c r="CO47" s="2193" t="n"/>
      <c r="CP47" s="2193" t="n"/>
      <c r="CQ47" s="2193" t="n"/>
      <c r="CR47" s="2193" t="n"/>
      <c r="CS47" s="2193" t="n"/>
      <c r="CT47" s="2193" t="n"/>
      <c r="CU47" s="2193" t="n"/>
      <c r="CV47" s="2193" t="n"/>
      <c r="CW47" s="2193" t="n"/>
      <c r="CX47" s="1051" t="n"/>
      <c r="CY47" s="2193" t="n"/>
      <c r="CZ47" s="1051" t="n"/>
      <c r="DA47" s="1051" t="n"/>
      <c r="DB47" s="2193" t="n"/>
      <c r="DC47" s="1051" t="n"/>
      <c r="DD47" s="1051" t="n"/>
      <c r="DE47" s="2193" t="n"/>
      <c r="DF47" s="1051" t="n"/>
      <c r="DG47" s="2194" t="n"/>
      <c r="DH47" s="2193" t="n"/>
      <c r="DJ47" s="1932" t="n"/>
      <c r="DL47" s="1932" t="n"/>
      <c r="DM47" s="1933" t="n"/>
      <c r="DN47" s="1051" t="n"/>
    </row>
    <row r="48" customFormat="1" s="585">
      <c r="A48" s="739">
        <f>A46</f>
        <v/>
      </c>
      <c r="B48" s="2499">
        <f>H33/G48</f>
        <v/>
      </c>
      <c r="C48" s="2003">
        <f>C45</f>
        <v/>
      </c>
      <c r="D48" s="2250" t="n"/>
      <c r="E48" s="763">
        <f>A48*B48*C48</f>
        <v/>
      </c>
      <c r="F48" s="2251" t="inlineStr">
        <is>
          <t xml:space="preserve">Pour Hours (total bags/pump rate) </t>
        </is>
      </c>
      <c r="G48" s="1033" t="n">
        <v>75</v>
      </c>
      <c r="H48" s="1034" t="n"/>
      <c r="I48" s="2252" t="n"/>
      <c r="J48" s="1346">
        <f>Q31</f>
        <v/>
      </c>
      <c r="K48" s="1343" t="inlineStr">
        <is>
          <t>% Corridors</t>
        </is>
      </c>
      <c r="L48" s="1343" t="n"/>
      <c r="N48" s="763" t="n"/>
      <c r="O48" s="2254">
        <f>O39-O44</f>
        <v/>
      </c>
      <c r="Q48" s="2254">
        <f>Q39-Q44</f>
        <v/>
      </c>
      <c r="AX48" s="2193" t="n">
        <v>37000</v>
      </c>
      <c r="AY48" s="2193" t="n"/>
      <c r="AZ48" s="2193" t="n"/>
      <c r="BA48" s="2193">
        <f>AX48</f>
        <v/>
      </c>
      <c r="BB48" s="2193" t="n"/>
      <c r="BC48" s="2193" t="n"/>
      <c r="BD48" s="2193">
        <f>AX48+BA48</f>
        <v/>
      </c>
      <c r="BE48" s="2193" t="n"/>
      <c r="BF48" s="2193" t="n"/>
      <c r="BG48" s="2193">
        <f>BD48</f>
        <v/>
      </c>
      <c r="BH48" s="1051">
        <f>IF(AX48&lt;=#REF!,#REF!,IF(AX48&lt;=#REF!,#REF!,IF(AX48&lt;=#REF!,#REF!,IF(AX48&lt;=#REF!,#REF!,IF(AX48&lt;=#REF!,#REF!,IF(AX48&lt;=#REF!,#REF!,IF(AX48&lt;=#REF!,#REF!,0.05)))))))</f>
        <v/>
      </c>
      <c r="BI48" s="2193">
        <f>BH48*AX48</f>
        <v/>
      </c>
      <c r="BJ48" s="1051" t="n"/>
      <c r="BK48" s="1051">
        <f>IF(BA48&lt;=#REF!,#REF!,IF(BA48&lt;=#REF!,#REF!,IF(BA48&lt;=#REF!,#REF!,IF(BA48&lt;=#REF!,#REF!,IF(BA48&lt;=#REF!,#REF!,IF(BA48&lt;=#REF!,#REF!,IF(BA48&lt;=#REF!,#REF!,0.05)))))))</f>
        <v/>
      </c>
      <c r="BL48" s="2193">
        <f>BK48*BA48</f>
        <v/>
      </c>
      <c r="BM48" s="1051" t="n"/>
      <c r="BN48" s="1051">
        <f>IF(BD48&lt;=#REF!,#REF!,IF(BD48&lt;=#REF!,#REF!,IF(BD48&lt;=#REF!,#REF!,IF(BD48&lt;=#REF!,#REF!,IF(BD48&lt;=#REF!,#REF!,IF(BD48&lt;=#REF!,#REF!,IF(BD48&lt;=#REF!,#REF!,0.05)))))))</f>
        <v/>
      </c>
      <c r="BO48" s="2193">
        <f>BN48*SUM(BL48,BI48,BD48)</f>
        <v/>
      </c>
      <c r="BP48" s="1051" t="n"/>
      <c r="BQ48" s="2194">
        <f>IF(BG48&lt;=#REF!,#REF!,IF(BG48&lt;=#REF!,#REF!,IF(BG48&lt;=#REF!,#REF!,IF(BG48&lt;=#REF!,#REF!,IF(BG48&lt;=#REF!,#REF!,IF(BG48&lt;=#REF!,#REF!,IF(BG48&lt;=#REF!,#REF!,0.05)))))))</f>
        <v/>
      </c>
      <c r="BR48" s="2193">
        <f>BQ48*BG48</f>
        <v/>
      </c>
      <c r="BT48" s="1932">
        <f>0.07*SUM(BD48,BI48,BL48,BO48,BR48)</f>
        <v/>
      </c>
      <c r="BV48" s="1932">
        <f>SUM(BT48,BR48,BO48,BL48,BI48,BD48)</f>
        <v/>
      </c>
      <c r="BW48" s="1933">
        <f>SUM(BR48,BO48,BL48,BI48)</f>
        <v/>
      </c>
      <c r="BX48" s="1051">
        <f>BW48/BV48</f>
        <v/>
      </c>
      <c r="CN48" s="2193" t="n">
        <v>37000</v>
      </c>
      <c r="CO48" s="2193" t="n"/>
      <c r="CP48" s="2193" t="n"/>
      <c r="CQ48" s="2193">
        <f>CN48</f>
        <v/>
      </c>
      <c r="CR48" s="2193" t="n"/>
      <c r="CS48" s="2193" t="n"/>
      <c r="CT48" s="2193">
        <f>CN48+CQ48</f>
        <v/>
      </c>
      <c r="CU48" s="2193" t="n"/>
      <c r="CV48" s="2193" t="n"/>
      <c r="CW48" s="2193">
        <f>CT48</f>
        <v/>
      </c>
      <c r="CX48" s="1051">
        <f>IF(CN48&lt;=BP$6,BO$6,IF(CN48&lt;=BP$7,BO$7,IF(CN48&lt;=BP$8,BO$8,IF(CN48&lt;=BP$9,BO$9,IF(CN48&lt;=BP$14,BO$14,IF(CN48&lt;=BP$15,BO$15,IF(CN48&lt;=BP$16,BO$16,0.05)))))))</f>
        <v/>
      </c>
      <c r="CY48" s="2193">
        <f>CX48*CN48</f>
        <v/>
      </c>
      <c r="CZ48" s="1051" t="n"/>
      <c r="DA48" s="1051">
        <f>IF(CQ48&lt;=BS$6,BR$6,IF(CQ48&lt;=BS$7,BR$7,IF(CQ48&lt;=BS$8,BR$8,IF(CQ48&lt;=BS$9,BR$9,IF(CQ48&lt;=BS$14,BR$14,IF(CQ48&lt;=BS$15,BR$15,IF(CQ48&lt;=BS$16,BR$16,0.05)))))))</f>
        <v/>
      </c>
      <c r="DB48" s="2193">
        <f>DA48*CQ48</f>
        <v/>
      </c>
      <c r="DC48" s="1051" t="n"/>
      <c r="DD48" s="1051">
        <f>IF(CT48&lt;=BV$6,BU$6,IF(CT48&lt;=BV$7,BU$7,IF(CT48&lt;=BV$8,BU$8,IF(CT48&lt;=BV$9,BU$9,IF(CT48&lt;=BV$14,BU$14,IF(CT48&lt;=BV$15,BU$15,IF(CT48&lt;=BV$16,BU$16,0.05)))))))</f>
        <v/>
      </c>
      <c r="DE48" s="2193">
        <f>DD48*SUM(DB48,CY48,CT48)</f>
        <v/>
      </c>
      <c r="DF48" s="1051" t="n"/>
      <c r="DG48" s="2194">
        <f>IF(CW48&lt;=BY$6,BX$6,IF(CW48&lt;=BY$7,BX$7,IF(CW48&lt;=BY$8,BX$8,IF(CW48&lt;=BY$9,BX$9,IF(CW48&lt;=BY$14,BX$14,IF(CW48&lt;=BY$15,BX$15,IF(CW48&lt;=BY$16,BX$16,0.05)))))))</f>
        <v/>
      </c>
      <c r="DH48" s="2193">
        <f>DG48*CW48</f>
        <v/>
      </c>
      <c r="DJ48" s="1932">
        <f>0.07*SUM(CT48,CY48,DB48,DE48,DH48)</f>
        <v/>
      </c>
      <c r="DL48" s="1932">
        <f>SUM(DJ48,DH48,DE48,DB48,CY48,CT48)</f>
        <v/>
      </c>
      <c r="DM48" s="1933">
        <f>SUM(DH48,DE48,DB48,CY48)</f>
        <v/>
      </c>
      <c r="DN48" s="1051">
        <f>DM48/DL48</f>
        <v/>
      </c>
    </row>
    <row r="49" customFormat="1" s="585">
      <c r="A49" s="739" t="n">
        <v>2</v>
      </c>
      <c r="B49" s="2499">
        <f>G49*H49</f>
        <v/>
      </c>
      <c r="C49" s="2003">
        <f>C45</f>
        <v/>
      </c>
      <c r="D49" s="2255" t="inlineStr">
        <is>
          <t>for mat ONLY</t>
        </is>
      </c>
      <c r="E49" s="763">
        <f>A49*B49*C49</f>
        <v/>
      </c>
      <c r="F49" s="2251" t="inlineStr">
        <is>
          <t>Semi Delivery Unload Hours (Mobz X hr)</t>
        </is>
      </c>
      <c r="G49" s="1611" t="n">
        <v>2</v>
      </c>
      <c r="H49" s="1608">
        <f>G55</f>
        <v/>
      </c>
      <c r="I49" s="1609" t="inlineStr">
        <is>
          <t># of Mobs      -or-</t>
        </is>
      </c>
      <c r="J49" s="1347" t="n"/>
      <c r="N49" s="763" t="n"/>
      <c r="AX49" s="2193" t="n">
        <v>37000</v>
      </c>
      <c r="AY49" s="2193" t="n"/>
      <c r="AZ49" s="2193" t="n"/>
      <c r="BA49" s="2193">
        <f>AX49</f>
        <v/>
      </c>
      <c r="BB49" s="2193" t="n"/>
      <c r="BC49" s="2193" t="n"/>
      <c r="BD49" s="2193">
        <f>AX49+BA49</f>
        <v/>
      </c>
      <c r="BE49" s="2193" t="n"/>
      <c r="BF49" s="2193" t="n"/>
      <c r="BG49" s="2193">
        <f>BD49</f>
        <v/>
      </c>
      <c r="BH49" s="1051">
        <f>IF(AX49&lt;=#REF!,#REF!,IF(AX49&lt;=#REF!,#REF!,IF(AX49&lt;=#REF!,#REF!,IF(AX49&lt;=#REF!,#REF!,IF(AX49&lt;=#REF!,#REF!,IF(AX49&lt;=#REF!,#REF!,IF(AX49&lt;=#REF!,#REF!,0.05)))))))</f>
        <v/>
      </c>
      <c r="BI49" s="2193">
        <f>BH49*AX49</f>
        <v/>
      </c>
      <c r="BJ49" s="1051" t="n"/>
      <c r="BK49" s="1051">
        <f>IF(BA49&lt;=#REF!,#REF!,IF(BA49&lt;=#REF!,#REF!,IF(BA49&lt;=#REF!,#REF!,IF(BA49&lt;=#REF!,#REF!,IF(BA49&lt;=#REF!,#REF!,IF(BA49&lt;=#REF!,#REF!,IF(BA49&lt;=#REF!,#REF!,0.05)))))))</f>
        <v/>
      </c>
      <c r="BL49" s="2193">
        <f>BK49*BA49</f>
        <v/>
      </c>
      <c r="BM49" s="1051" t="n"/>
      <c r="BN49" s="1051">
        <f>IF(BD49&lt;=#REF!,#REF!,IF(BD49&lt;=#REF!,#REF!,IF(BD49&lt;=#REF!,#REF!,IF(BD49&lt;=#REF!,#REF!,IF(BD49&lt;=#REF!,#REF!,IF(BD49&lt;=#REF!,#REF!,IF(BD49&lt;=#REF!,#REF!,0.05)))))))</f>
        <v/>
      </c>
      <c r="BO49" s="2193">
        <f>BN49*SUM(BL49,BI49,BD49)</f>
        <v/>
      </c>
      <c r="BP49" s="1051" t="n"/>
      <c r="BQ49" s="2194">
        <f>IF(BG49&lt;=#REF!,#REF!,IF(BG49&lt;=#REF!,#REF!,IF(BG49&lt;=#REF!,#REF!,IF(BG49&lt;=#REF!,#REF!,IF(BG49&lt;=#REF!,#REF!,IF(BG49&lt;=#REF!,#REF!,IF(BG49&lt;=#REF!,#REF!,0.05)))))))</f>
        <v/>
      </c>
      <c r="BR49" s="2193">
        <f>BQ49*BG49</f>
        <v/>
      </c>
      <c r="BT49" s="1932">
        <f>0.07*SUM(BD49,BI49,BL49,BO49,BR49)</f>
        <v/>
      </c>
      <c r="BV49" s="1932">
        <f>SUM(BT49,BR49,BO49,BL49,BI49,BD49)</f>
        <v/>
      </c>
      <c r="BW49" s="1933">
        <f>SUM(BR49,BO49,BL49,BI49)</f>
        <v/>
      </c>
      <c r="BX49" s="1051">
        <f>BW49/BV49</f>
        <v/>
      </c>
      <c r="CN49" s="2193" t="n">
        <v>37000</v>
      </c>
      <c r="CO49" s="2193" t="n"/>
      <c r="CP49" s="2193" t="n"/>
      <c r="CQ49" s="2193">
        <f>CN49</f>
        <v/>
      </c>
      <c r="CR49" s="2193" t="n"/>
      <c r="CS49" s="2193" t="n"/>
      <c r="CT49" s="2193">
        <f>CN49+CQ49</f>
        <v/>
      </c>
      <c r="CU49" s="2193" t="n"/>
      <c r="CV49" s="2193" t="n"/>
      <c r="CW49" s="2193">
        <f>CT49</f>
        <v/>
      </c>
      <c r="CX49" s="1051">
        <f>IF(CN49&lt;=BP$6,BO$6,IF(CN49&lt;=BP$7,BO$7,IF(CN49&lt;=BP$8,BO$8,IF(CN49&lt;=BP$9,BO$9,IF(CN49&lt;=BP$14,BO$14,IF(CN49&lt;=BP$15,BO$15,IF(CN49&lt;=BP$16,BO$16,0.05)))))))</f>
        <v/>
      </c>
      <c r="CY49" s="2193">
        <f>CX49*CN49</f>
        <v/>
      </c>
      <c r="CZ49" s="1051" t="n"/>
      <c r="DA49" s="1051">
        <f>IF(CQ49&lt;=BS$6,BR$6,IF(CQ49&lt;=BS$7,BR$7,IF(CQ49&lt;=BS$8,BR$8,IF(CQ49&lt;=BS$9,BR$9,IF(CQ49&lt;=BS$14,BR$14,IF(CQ49&lt;=BS$15,BR$15,IF(CQ49&lt;=BS$16,BR$16,0.05)))))))</f>
        <v/>
      </c>
      <c r="DB49" s="2193">
        <f>DA49*CQ49</f>
        <v/>
      </c>
      <c r="DC49" s="1051" t="n"/>
      <c r="DD49" s="1051">
        <f>IF(CT49&lt;=BV$6,BU$6,IF(CT49&lt;=BV$7,BU$7,IF(CT49&lt;=BV$8,BU$8,IF(CT49&lt;=BV$9,BU$9,IF(CT49&lt;=BV$14,BU$14,IF(CT49&lt;=BV$15,BU$15,IF(CT49&lt;=BV$16,BU$16,0.05)))))))</f>
        <v/>
      </c>
      <c r="DE49" s="2193">
        <f>DD49*SUM(DB49,CY49,CT49)</f>
        <v/>
      </c>
      <c r="DF49" s="1051" t="n"/>
      <c r="DG49" s="2194">
        <f>IF(CW49&lt;=BY$6,BX$6,IF(CW49&lt;=BY$7,BX$7,IF(CW49&lt;=BY$8,BX$8,IF(CW49&lt;=BY$9,BX$9,IF(CW49&lt;=BY$14,BX$14,IF(CW49&lt;=BY$15,BX$15,IF(CW49&lt;=BY$16,BX$16,0.05)))))))</f>
        <v/>
      </c>
      <c r="DH49" s="2193">
        <f>DG49*CW49</f>
        <v/>
      </c>
      <c r="DJ49" s="1932">
        <f>0.07*SUM(CT49,CY49,DB49,DE49,DH49)</f>
        <v/>
      </c>
      <c r="DL49" s="1932">
        <f>SUM(DJ49,DH49,DE49,DB49,CY49,CT49)</f>
        <v/>
      </c>
      <c r="DM49" s="1933">
        <f>SUM(DH49,DE49,DB49,CY49)</f>
        <v/>
      </c>
      <c r="DN49" s="1051">
        <f>DM49/DL49</f>
        <v/>
      </c>
    </row>
    <row r="50" customFormat="1" s="585">
      <c r="A50" s="750" t="inlineStr">
        <is>
          <t>Travel:             Guys</t>
        </is>
      </c>
      <c r="B50" s="751" t="inlineStr">
        <is>
          <t>Hours</t>
        </is>
      </c>
      <c r="C50" s="751" t="inlineStr">
        <is>
          <t>Rate</t>
        </is>
      </c>
      <c r="D50" s="751" t="n"/>
      <c r="E50" s="751" t="n"/>
      <c r="F50" s="1037" t="inlineStr">
        <is>
          <t>Travel</t>
        </is>
      </c>
      <c r="G50" s="1169" t="n"/>
      <c r="H50" s="1608">
        <f>ROUNDUP(IF(B36&gt;H36,B36/H36,1),0)</f>
        <v/>
      </c>
      <c r="I50" s="1609" t="inlineStr">
        <is>
          <t># of Mat Truck Loads</t>
        </is>
      </c>
      <c r="J50" s="1348">
        <f>J46+J48</f>
        <v/>
      </c>
      <c r="K50" s="1339" t="inlineStr">
        <is>
          <t>% Soft Surf + Corridors</t>
        </is>
      </c>
      <c r="L50" s="1339" t="n"/>
      <c r="M50" s="1944" t="n"/>
      <c r="U50" s="1172" t="inlineStr">
        <is>
          <t>1/8"</t>
        </is>
      </c>
      <c r="V50" s="1167" t="n">
        <v>8</v>
      </c>
      <c r="W50" s="1167" t="inlineStr">
        <is>
          <t>s</t>
        </is>
      </c>
      <c r="AX50" s="2193" t="n">
        <v>38000</v>
      </c>
      <c r="AY50" s="2193" t="n"/>
      <c r="AZ50" s="2193" t="n"/>
      <c r="BA50" s="2193">
        <f>AX50</f>
        <v/>
      </c>
      <c r="BB50" s="2193" t="n"/>
      <c r="BC50" s="2193" t="n"/>
      <c r="BD50" s="2193">
        <f>AX50+BA50</f>
        <v/>
      </c>
      <c r="BE50" s="2193" t="n"/>
      <c r="BF50" s="2193" t="n"/>
      <c r="BG50" s="2193">
        <f>BD50</f>
        <v/>
      </c>
      <c r="BH50" s="1051">
        <f>IF(AX50&lt;=#REF!,#REF!,IF(AX50&lt;=#REF!,#REF!,IF(AX50&lt;=#REF!,#REF!,IF(AX50&lt;=#REF!,#REF!,IF(AX50&lt;=#REF!,#REF!,IF(AX50&lt;=#REF!,#REF!,IF(AX50&lt;=#REF!,#REF!,0.05)))))))</f>
        <v/>
      </c>
      <c r="BI50" s="2193">
        <f>BH50*AX50</f>
        <v/>
      </c>
      <c r="BJ50" s="1051" t="n"/>
      <c r="BK50" s="1051">
        <f>IF(BA50&lt;=#REF!,#REF!,IF(BA50&lt;=#REF!,#REF!,IF(BA50&lt;=#REF!,#REF!,IF(BA50&lt;=#REF!,#REF!,IF(BA50&lt;=#REF!,#REF!,IF(BA50&lt;=#REF!,#REF!,IF(BA50&lt;=#REF!,#REF!,0.05)))))))</f>
        <v/>
      </c>
      <c r="BL50" s="2193">
        <f>BK50*BA50</f>
        <v/>
      </c>
      <c r="BM50" s="1051" t="n"/>
      <c r="BN50" s="1051">
        <f>IF(BD50&lt;=#REF!,#REF!,IF(BD50&lt;=#REF!,#REF!,IF(BD50&lt;=#REF!,#REF!,IF(BD50&lt;=#REF!,#REF!,IF(BD50&lt;=#REF!,#REF!,IF(BD50&lt;=#REF!,#REF!,IF(BD50&lt;=#REF!,#REF!,0.05)))))))</f>
        <v/>
      </c>
      <c r="BO50" s="2193">
        <f>BN50*SUM(BL50,BI50,BD50)</f>
        <v/>
      </c>
      <c r="BP50" s="1051" t="n"/>
      <c r="BQ50" s="2194">
        <f>IF(BG50&lt;=#REF!,#REF!,IF(BG50&lt;=#REF!,#REF!,IF(BG50&lt;=#REF!,#REF!,IF(BG50&lt;=#REF!,#REF!,IF(BG50&lt;=#REF!,#REF!,IF(BG50&lt;=#REF!,#REF!,IF(BG50&lt;=#REF!,#REF!,0.05)))))))</f>
        <v/>
      </c>
      <c r="BR50" s="2193">
        <f>BQ50*BG50</f>
        <v/>
      </c>
      <c r="BT50" s="1932">
        <f>0.07*SUM(BD50,BI50,BL50,BO50,BR50)</f>
        <v/>
      </c>
      <c r="BV50" s="1932">
        <f>SUM(BT50,BR50,BO50,BL50,BI50,BD50)</f>
        <v/>
      </c>
      <c r="BW50" s="1933">
        <f>SUM(BR50,BO50,BL50,BI50)</f>
        <v/>
      </c>
      <c r="BX50" s="1051">
        <f>BW50/BV50</f>
        <v/>
      </c>
      <c r="CN50" s="2193" t="n">
        <v>38000</v>
      </c>
      <c r="CO50" s="2193" t="n"/>
      <c r="CP50" s="2193" t="n"/>
      <c r="CQ50" s="2193">
        <f>CN50</f>
        <v/>
      </c>
      <c r="CR50" s="2193" t="n"/>
      <c r="CS50" s="2193" t="n"/>
      <c r="CT50" s="2193">
        <f>CN50+CQ50</f>
        <v/>
      </c>
      <c r="CU50" s="2193" t="n"/>
      <c r="CV50" s="2193" t="n"/>
      <c r="CW50" s="2193">
        <f>CT50</f>
        <v/>
      </c>
      <c r="CX50" s="1051">
        <f>IF(CN50&lt;=BP$6,BO$6,IF(CN50&lt;=BP$7,BO$7,IF(CN50&lt;=BP$8,BO$8,IF(CN50&lt;=BP$9,BO$9,IF(CN50&lt;=BP$14,BO$14,IF(CN50&lt;=BP$15,BO$15,IF(CN50&lt;=BP$16,BO$16,0.05)))))))</f>
        <v/>
      </c>
      <c r="CY50" s="2193">
        <f>CX50*CN50</f>
        <v/>
      </c>
      <c r="CZ50" s="1051" t="n"/>
      <c r="DA50" s="1051">
        <f>IF(CQ50&lt;=BS$6,BR$6,IF(CQ50&lt;=BS$7,BR$7,IF(CQ50&lt;=BS$8,BR$8,IF(CQ50&lt;=BS$9,BR$9,IF(CQ50&lt;=BS$14,BR$14,IF(CQ50&lt;=BS$15,BR$15,IF(CQ50&lt;=BS$16,BR$16,0.05)))))))</f>
        <v/>
      </c>
      <c r="DB50" s="2193">
        <f>DA50*CQ50</f>
        <v/>
      </c>
      <c r="DC50" s="1051" t="n"/>
      <c r="DD50" s="1051">
        <f>IF(CT50&lt;=BV$6,BU$6,IF(CT50&lt;=BV$7,BU$7,IF(CT50&lt;=BV$8,BU$8,IF(CT50&lt;=BV$9,BU$9,IF(CT50&lt;=BV$14,BU$14,IF(CT50&lt;=BV$15,BU$15,IF(CT50&lt;=BV$16,BU$16,0.05)))))))</f>
        <v/>
      </c>
      <c r="DE50" s="2193">
        <f>DD50*SUM(DB50,CY50,CT50)</f>
        <v/>
      </c>
      <c r="DF50" s="1051" t="n"/>
      <c r="DG50" s="2194">
        <f>IF(CW50&lt;=BY$6,BX$6,IF(CW50&lt;=BY$7,BX$7,IF(CW50&lt;=BY$8,BX$8,IF(CW50&lt;=BY$9,BX$9,IF(CW50&lt;=BY$14,BX$14,IF(CW50&lt;=BY$15,BX$15,IF(CW50&lt;=BY$16,BX$16,0.05)))))))</f>
        <v/>
      </c>
      <c r="DH50" s="2193">
        <f>DG50*CW50</f>
        <v/>
      </c>
      <c r="DJ50" s="1932">
        <f>0.07*SUM(CT50,CY50,DB50,DE50,DH50)</f>
        <v/>
      </c>
      <c r="DL50" s="1932">
        <f>SUM(DJ50,DH50,DE50,DB50,CY50,CT50)</f>
        <v/>
      </c>
      <c r="DM50" s="1933">
        <f>SUM(DH50,DE50,DB50,CY50)</f>
        <v/>
      </c>
      <c r="DN50" s="1051">
        <f>DM50/DL50</f>
        <v/>
      </c>
    </row>
    <row r="51" customFormat="1" s="585">
      <c r="A51" s="755">
        <f>A46</f>
        <v/>
      </c>
      <c r="B51" s="2500">
        <f>((B6*2)/60)*S28</f>
        <v/>
      </c>
      <c r="C51" s="2256" t="n">
        <v>33.66</v>
      </c>
      <c r="D51" s="2257" t="n"/>
      <c r="E51" s="1041">
        <f>A51*B51*C51</f>
        <v/>
      </c>
      <c r="F51" s="2036" t="inlineStr">
        <is>
          <t xml:space="preserve">Travel Hours ((miles/60) x # Mobz)  </t>
        </is>
      </c>
      <c r="G51" s="1170" t="n"/>
      <c r="H51" s="705" t="n"/>
      <c r="I51" s="2017" t="n"/>
      <c r="J51" s="774" t="n"/>
      <c r="N51" s="851" t="inlineStr">
        <is>
          <t>PSI</t>
        </is>
      </c>
      <c r="P51" s="1046" t="inlineStr">
        <is>
          <t>Sand Mix</t>
        </is>
      </c>
      <c r="Q51" s="776" t="inlineStr">
        <is>
          <t>Gyp Yield Soft</t>
        </is>
      </c>
      <c r="R51" s="1150" t="inlineStr">
        <is>
          <t>Gyp Yield Hard</t>
        </is>
      </c>
      <c r="S51" s="1151" t="inlineStr">
        <is>
          <t>Gyp Yield Corr</t>
        </is>
      </c>
      <c r="V51" s="1034">
        <f>W51/$V$50</f>
        <v/>
      </c>
      <c r="W51" s="594" t="n">
        <v>6</v>
      </c>
      <c r="AX51" s="2193" t="n">
        <v>39000</v>
      </c>
      <c r="AY51" s="2193" t="n"/>
      <c r="AZ51" s="2193" t="n"/>
      <c r="BA51" s="2193">
        <f>AX51</f>
        <v/>
      </c>
      <c r="BB51" s="2193" t="n"/>
      <c r="BC51" s="2193" t="n"/>
      <c r="BD51" s="2193">
        <f>AX51+BA51</f>
        <v/>
      </c>
      <c r="BE51" s="2193" t="n"/>
      <c r="BF51" s="2193" t="n"/>
      <c r="BG51" s="2193">
        <f>BD51</f>
        <v/>
      </c>
      <c r="BH51" s="1051">
        <f>IF(AX51&lt;=#REF!,#REF!,IF(AX51&lt;=#REF!,#REF!,IF(AX51&lt;=#REF!,#REF!,IF(AX51&lt;=#REF!,#REF!,IF(AX51&lt;=#REF!,#REF!,IF(AX51&lt;=#REF!,#REF!,IF(AX51&lt;=#REF!,#REF!,0.05)))))))</f>
        <v/>
      </c>
      <c r="BI51" s="2193">
        <f>BH51*AX51</f>
        <v/>
      </c>
      <c r="BJ51" s="1051" t="n"/>
      <c r="BK51" s="1051">
        <f>IF(BA51&lt;=#REF!,#REF!,IF(BA51&lt;=#REF!,#REF!,IF(BA51&lt;=#REF!,#REF!,IF(BA51&lt;=#REF!,#REF!,IF(BA51&lt;=#REF!,#REF!,IF(BA51&lt;=#REF!,#REF!,IF(BA51&lt;=#REF!,#REF!,0.05)))))))</f>
        <v/>
      </c>
      <c r="BL51" s="2193">
        <f>BK51*BA51</f>
        <v/>
      </c>
      <c r="BM51" s="1051" t="n"/>
      <c r="BN51" s="1051">
        <f>IF(BD51&lt;=#REF!,#REF!,IF(BD51&lt;=#REF!,#REF!,IF(BD51&lt;=#REF!,#REF!,IF(BD51&lt;=#REF!,#REF!,IF(BD51&lt;=#REF!,#REF!,IF(BD51&lt;=#REF!,#REF!,IF(BD51&lt;=#REF!,#REF!,0.05)))))))</f>
        <v/>
      </c>
      <c r="BO51" s="2193">
        <f>BN51*SUM(BL51,BI51,BD51)</f>
        <v/>
      </c>
      <c r="BP51" s="1051" t="n"/>
      <c r="BQ51" s="2194">
        <f>IF(BG51&lt;=#REF!,#REF!,IF(BG51&lt;=#REF!,#REF!,IF(BG51&lt;=#REF!,#REF!,IF(BG51&lt;=#REF!,#REF!,IF(BG51&lt;=#REF!,#REF!,IF(BG51&lt;=#REF!,#REF!,IF(BG51&lt;=#REF!,#REF!,0.05)))))))</f>
        <v/>
      </c>
      <c r="BR51" s="2193">
        <f>BQ51*BG51</f>
        <v/>
      </c>
      <c r="BT51" s="1932">
        <f>0.07*SUM(BD51,BI51,BL51,BO51,BR51)</f>
        <v/>
      </c>
      <c r="BV51" s="1932">
        <f>SUM(BT51,BR51,BO51,BL51,BI51,BD51)</f>
        <v/>
      </c>
      <c r="BW51" s="1933">
        <f>SUM(BR51,BO51,BL51,BI51)</f>
        <v/>
      </c>
      <c r="BX51" s="1051">
        <f>BW51/BV51</f>
        <v/>
      </c>
      <c r="CN51" s="2193" t="n">
        <v>39000</v>
      </c>
      <c r="CO51" s="2193" t="n"/>
      <c r="CP51" s="2193" t="n"/>
      <c r="CQ51" s="2193">
        <f>CN51</f>
        <v/>
      </c>
      <c r="CR51" s="2193" t="n"/>
      <c r="CS51" s="2193" t="n"/>
      <c r="CT51" s="2193">
        <f>CN51+CQ51</f>
        <v/>
      </c>
      <c r="CU51" s="2193" t="n"/>
      <c r="CV51" s="2193" t="n"/>
      <c r="CW51" s="2193">
        <f>CT51</f>
        <v/>
      </c>
      <c r="CX51" s="1051">
        <f>IF(CN51&lt;=BP$6,BO$6,IF(CN51&lt;=BP$7,BO$7,IF(CN51&lt;=BP$8,BO$8,IF(CN51&lt;=BP$9,BO$9,IF(CN51&lt;=BP$14,BO$14,IF(CN51&lt;=BP$15,BO$15,IF(CN51&lt;=BP$16,BO$16,0.05)))))))</f>
        <v/>
      </c>
      <c r="CY51" s="2193">
        <f>CX51*CN51</f>
        <v/>
      </c>
      <c r="CZ51" s="1051" t="n"/>
      <c r="DA51" s="1051">
        <f>IF(CQ51&lt;=BS$6,BR$6,IF(CQ51&lt;=BS$7,BR$7,IF(CQ51&lt;=BS$8,BR$8,IF(CQ51&lt;=BS$9,BR$9,IF(CQ51&lt;=BS$14,BR$14,IF(CQ51&lt;=BS$15,BR$15,IF(CQ51&lt;=BS$16,BR$16,0.05)))))))</f>
        <v/>
      </c>
      <c r="DB51" s="2193">
        <f>DA51*CQ51</f>
        <v/>
      </c>
      <c r="DC51" s="1051" t="n"/>
      <c r="DD51" s="1051">
        <f>IF(CT51&lt;=BV$6,BU$6,IF(CT51&lt;=BV$7,BU$7,IF(CT51&lt;=BV$8,BU$8,IF(CT51&lt;=BV$9,BU$9,IF(CT51&lt;=BV$14,BU$14,IF(CT51&lt;=BV$15,BU$15,IF(CT51&lt;=BV$16,BU$16,0.05)))))))</f>
        <v/>
      </c>
      <c r="DE51" s="2193">
        <f>DD51*SUM(DB51,CY51,CT51)</f>
        <v/>
      </c>
      <c r="DF51" s="1051" t="n"/>
      <c r="DG51" s="2194">
        <f>IF(CW51&lt;=BY$6,BX$6,IF(CW51&lt;=BY$7,BX$7,IF(CW51&lt;=BY$8,BX$8,IF(CW51&lt;=BY$9,BX$9,IF(CW51&lt;=BY$14,BX$14,IF(CW51&lt;=BY$15,BX$15,IF(CW51&lt;=BY$16,BX$16,0.05)))))))</f>
        <v/>
      </c>
      <c r="DH51" s="2193">
        <f>DG51*CW51</f>
        <v/>
      </c>
      <c r="DJ51" s="1932">
        <f>0.07*SUM(CT51,CY51,DB51,DE51,DH51)</f>
        <v/>
      </c>
      <c r="DL51" s="1932">
        <f>SUM(DJ51,DH51,DE51,DB51,CY51,CT51)</f>
        <v/>
      </c>
      <c r="DM51" s="1933">
        <f>SUM(DH51,DE51,DB51,CY51)</f>
        <v/>
      </c>
      <c r="DN51" s="1051">
        <f>DM51/DL51</f>
        <v/>
      </c>
    </row>
    <row r="52" ht="16.2" customFormat="1" customHeight="1" s="585" thickBot="1">
      <c r="A52" s="764" t="inlineStr">
        <is>
          <t xml:space="preserve">Install Labor </t>
        </is>
      </c>
      <c r="B52" s="765" t="n"/>
      <c r="C52" s="766" t="n"/>
      <c r="D52" s="765" t="n"/>
      <c r="E52" s="2258">
        <f>ROUNDUP(SUM(E45:E51),0)</f>
        <v/>
      </c>
      <c r="F52" s="766">
        <f>E52/B43</f>
        <v/>
      </c>
      <c r="G52" s="766" t="inlineStr">
        <is>
          <t>Labor $/SF</t>
        </is>
      </c>
      <c r="H52" s="2011" t="n"/>
      <c r="I52" s="600" t="n"/>
      <c r="J52" s="1046" t="n"/>
      <c r="N52" s="585" t="inlineStr">
        <is>
          <t>2500 psi = 1.8</t>
        </is>
      </c>
      <c r="O52" s="585" t="n">
        <v>1.8</v>
      </c>
      <c r="P52" s="585" t="n">
        <v>180</v>
      </c>
      <c r="Q52" s="1034">
        <f>G15/I23</f>
        <v/>
      </c>
      <c r="R52" s="1034">
        <f>(G15+12)/I24</f>
        <v/>
      </c>
      <c r="S52" s="1034">
        <f>G15/I25</f>
        <v/>
      </c>
      <c r="V52" s="1034">
        <f>W52/$V$50</f>
        <v/>
      </c>
      <c r="W52" s="594" t="n">
        <v>8</v>
      </c>
    </row>
    <row r="53" ht="16.2" customFormat="1" customHeight="1" s="585" thickBot="1">
      <c r="A53" s="1527" t="inlineStr">
        <is>
          <t>Labor Escalation</t>
        </is>
      </c>
      <c r="B53" s="1533" t="inlineStr">
        <is>
          <t>(rate esc. only)</t>
        </is>
      </c>
      <c r="C53" s="1555">
        <f>'Gyp (USG 1-8")'!C53</f>
        <v/>
      </c>
      <c r="D53" s="1528" t="n"/>
      <c r="E53" s="2259">
        <f>ROUNDUP(((E52)*C53),0)</f>
        <v/>
      </c>
      <c r="F53" s="1556" t="inlineStr">
        <is>
          <t>+5%IFPWorLong Lead Job (12+months)</t>
        </is>
      </c>
      <c r="G53" s="600" t="n"/>
      <c r="H53" s="2014" t="n"/>
      <c r="I53" s="600" t="n"/>
      <c r="J53" s="1046" t="n"/>
      <c r="K53" s="1595" t="inlineStr">
        <is>
          <t xml:space="preserve">        "Entry" Laborer for MO "State" Wage ONLY</t>
        </is>
      </c>
      <c r="L53" s="1594" t="n"/>
      <c r="M53" s="1944" t="n"/>
      <c r="Q53" s="1034" t="n"/>
      <c r="R53" s="1034" t="n"/>
      <c r="S53" s="1034" t="n"/>
      <c r="V53" s="1034">
        <f>W53/$V$50</f>
        <v/>
      </c>
      <c r="W53" s="594" t="n">
        <v>10</v>
      </c>
    </row>
    <row r="54" ht="16.2" customFormat="1" customHeight="1" s="585" thickBot="1">
      <c r="A54" s="771" t="inlineStr">
        <is>
          <t>Labor Burden</t>
        </is>
      </c>
      <c r="B54" s="766" t="n"/>
      <c r="C54" s="1044" t="n">
        <v>0.12</v>
      </c>
      <c r="D54" s="1044" t="n"/>
      <c r="E54" s="2260">
        <f>ROUNDUP((E52+E53)*C54,0)</f>
        <v/>
      </c>
      <c r="F54" s="600" t="n"/>
      <c r="G54" s="600" t="n"/>
      <c r="H54" s="2017" t="n"/>
      <c r="I54" s="2017" t="n"/>
      <c r="J54" s="774" t="n"/>
      <c r="K54" s="1585" t="inlineStr">
        <is>
          <t xml:space="preserve">                    ** Cement Mason **              </t>
        </is>
      </c>
      <c r="L54" s="1586" t="n"/>
      <c r="M54" s="1944" t="n"/>
      <c r="N54" s="585" t="inlineStr">
        <is>
          <t>3000+ psi = 1.4</t>
        </is>
      </c>
      <c r="O54" s="585" t="n">
        <v>1.4</v>
      </c>
      <c r="P54" s="585" t="n">
        <v>140</v>
      </c>
      <c r="Q54" s="1121">
        <f>ROUND(G15/(I23*1.1764705915999),0)</f>
        <v/>
      </c>
      <c r="R54" s="1122">
        <f>ROUND((G15+12)/(I24*1.1764705915999),0)</f>
        <v/>
      </c>
      <c r="S54" s="1121">
        <f>ROUND(G15/(I25*1.1764705915999),0)</f>
        <v/>
      </c>
      <c r="V54" s="1034">
        <f>W54/$V$50</f>
        <v/>
      </c>
      <c r="W54" s="594" t="n">
        <v>12</v>
      </c>
    </row>
    <row r="55" ht="16.2" customFormat="1" customHeight="1" s="585" thickBot="1">
      <c r="A55" s="600" t="n"/>
      <c r="B55" s="1877" t="n"/>
      <c r="C55" s="1944" t="n"/>
      <c r="D55" s="1944" t="n"/>
      <c r="E55" s="1944" t="n"/>
      <c r="F55" s="1944" t="n"/>
      <c r="G55" s="1610">
        <f>S28</f>
        <v/>
      </c>
      <c r="H55" s="1390" t="inlineStr">
        <is>
          <t>Total mobs INCLUDED</t>
        </is>
      </c>
      <c r="I55" s="1441" t="inlineStr">
        <is>
          <t>---from---'S28'---&gt;</t>
        </is>
      </c>
      <c r="J55" s="1046" t="n"/>
      <c r="K55" s="1576" t="inlineStr">
        <is>
          <t>Prevailing Wage Rate:</t>
        </is>
      </c>
      <c r="L55" s="2018">
        <f>SUM(L56:L57)</f>
        <v/>
      </c>
      <c r="M55" s="2026">
        <f>IF((L55/2)&lt;23,23,(L55/2))</f>
        <v/>
      </c>
      <c r="V55" s="1034">
        <f>W55/$V$50</f>
        <v/>
      </c>
      <c r="W55" s="594" t="n">
        <v>14</v>
      </c>
    </row>
    <row r="56" customFormat="1" s="585">
      <c r="A56" s="621" t="inlineStr">
        <is>
          <t>TOOLING &amp; CONSUMABLES</t>
        </is>
      </c>
      <c r="B56" s="622" t="inlineStr">
        <is>
          <t>Quantity</t>
        </is>
      </c>
      <c r="C56" s="778" t="inlineStr">
        <is>
          <t>Cost</t>
        </is>
      </c>
      <c r="D56" s="1047" t="n"/>
      <c r="E56" s="2261" t="inlineStr">
        <is>
          <t>Totals</t>
        </is>
      </c>
      <c r="F56" s="600" t="n"/>
      <c r="G56" s="600" t="n"/>
      <c r="H56" s="1450">
        <f>F43</f>
        <v/>
      </c>
      <c r="I56" s="593" t="n"/>
      <c r="J56" s="600" t="n"/>
      <c r="K56" s="1578" t="inlineStr">
        <is>
          <t>rate =</t>
        </is>
      </c>
      <c r="L56" s="2020" t="n">
        <v>0</v>
      </c>
      <c r="M56" s="1598" t="inlineStr">
        <is>
          <t xml:space="preserve"> 1:1 "Entry"</t>
        </is>
      </c>
      <c r="N56" s="1113" t="inlineStr">
        <is>
          <t>Gyp Yield Calculator</t>
        </is>
      </c>
      <c r="O56" s="1120" t="inlineStr">
        <is>
          <t>Factor = 13.00</t>
        </is>
      </c>
      <c r="V56" s="1034">
        <f>W56/$V$50</f>
        <v/>
      </c>
      <c r="W56" s="594" t="n">
        <v>16</v>
      </c>
    </row>
    <row r="57" ht="16.2" customFormat="1" customHeight="1" s="585" thickBot="1">
      <c r="A57" s="628" t="inlineStr">
        <is>
          <t>Moisture Test</t>
        </is>
      </c>
      <c r="B57" s="774" t="n"/>
      <c r="C57" s="1944" t="n">
        <v>35</v>
      </c>
      <c r="D57" s="1977" t="n"/>
      <c r="E57" s="1962">
        <f>ROUNDUP(B57*C57,0)</f>
        <v/>
      </c>
      <c r="F57" s="600" t="n"/>
      <c r="G57" s="1409" t="inlineStr">
        <is>
          <t xml:space="preserve">Total Man Hours </t>
        </is>
      </c>
      <c r="H57" s="1410">
        <f>((A46*B46)+(A47*B47)+(A48*B48)+(A49*B49)+(A45*B45))</f>
        <v/>
      </c>
      <c r="I57" s="1443">
        <f>A46</f>
        <v/>
      </c>
      <c r="J57" s="2168" t="inlineStr">
        <is>
          <t>crew size</t>
        </is>
      </c>
      <c r="K57" s="1580" t="inlineStr">
        <is>
          <t>+ fringes =</t>
        </is>
      </c>
      <c r="L57" s="2022" t="n">
        <v>0</v>
      </c>
      <c r="M57" s="1599" t="inlineStr">
        <is>
          <t xml:space="preserve">Half Wage </t>
        </is>
      </c>
      <c r="N57" s="585" t="n">
        <v>1.4</v>
      </c>
      <c r="O57" s="585">
        <f>160+280</f>
        <v/>
      </c>
      <c r="P57" s="1121" t="n">
        <v>33.75</v>
      </c>
      <c r="Q57" s="2262">
        <f>O57/P57</f>
        <v/>
      </c>
      <c r="R57" s="594" t="n">
        <v>1.4</v>
      </c>
      <c r="S57" s="1122" t="n">
        <v>35.5</v>
      </c>
      <c r="T57" s="2262">
        <f>O57/S57</f>
        <v/>
      </c>
      <c r="U57" s="594" t="n">
        <v>1.4</v>
      </c>
      <c r="V57" s="1034">
        <f>W57/$V$50</f>
        <v/>
      </c>
      <c r="W57" s="594" t="n">
        <v>18</v>
      </c>
    </row>
    <row r="58" customFormat="1" s="585">
      <c r="A58" s="628" t="inlineStr">
        <is>
          <t>Tooling &amp; Consumables</t>
        </is>
      </c>
      <c r="B58" s="774">
        <f>B43</f>
        <v/>
      </c>
      <c r="C58" s="1944" t="n">
        <v>0.04</v>
      </c>
      <c r="D58" s="1977" t="n"/>
      <c r="E58" s="1962">
        <f>ROUNDUP(B58*C58,0)</f>
        <v/>
      </c>
      <c r="F58" s="1422" t="inlineStr">
        <is>
          <t>(staples, sprayer, tarp, etc.)</t>
        </is>
      </c>
      <c r="G58" s="1048" t="inlineStr">
        <is>
          <t xml:space="preserve">Total Days </t>
        </is>
      </c>
      <c r="H58" s="1389">
        <f>H57/IF($F$43="8 hour days",8,10)/I57</f>
        <v/>
      </c>
      <c r="I58" s="1404">
        <f>H58/G55</f>
        <v/>
      </c>
      <c r="J58" s="959" t="inlineStr">
        <is>
          <t>Avg days per mob</t>
        </is>
      </c>
      <c r="K58" s="864" t="inlineStr">
        <is>
          <t xml:space="preserve">        Foreman *min. $32 Cement Mason</t>
        </is>
      </c>
      <c r="L58" s="2023" t="n"/>
      <c r="N58" s="585" t="n">
        <v>1.8</v>
      </c>
      <c r="O58" s="585">
        <f>160+360</f>
        <v/>
      </c>
      <c r="P58" s="1118" t="n">
        <v>40</v>
      </c>
      <c r="Q58" s="2263">
        <f>O58/P58</f>
        <v/>
      </c>
      <c r="R58" s="594" t="n">
        <v>1.8</v>
      </c>
      <c r="S58" s="1034" t="n">
        <v>42</v>
      </c>
      <c r="T58" s="2264">
        <f>O58/S58</f>
        <v/>
      </c>
      <c r="U58" s="594" t="n">
        <v>1.8</v>
      </c>
      <c r="V58" s="1034">
        <f>W58/$V$50</f>
        <v/>
      </c>
      <c r="W58" s="594" t="n">
        <v>20</v>
      </c>
    </row>
    <row r="59" ht="16.2" customFormat="1" customHeight="1" s="585" thickBot="1">
      <c r="A59" s="628" t="n"/>
      <c r="B59" s="774" t="n"/>
      <c r="C59" s="1944" t="n"/>
      <c r="D59" s="1977" t="n"/>
      <c r="E59" s="1962">
        <f>ROUNDUP(B59*C59,0)</f>
        <v/>
      </c>
      <c r="F59" s="787" t="n"/>
      <c r="G59" s="1405" t="n"/>
      <c r="H59" s="1406" t="n"/>
      <c r="I59" s="1407" t="n"/>
      <c r="J59" s="2265" t="n"/>
      <c r="K59" s="1583" t="inlineStr">
        <is>
          <t xml:space="preserve">        (Entry *min. $23 Cement Mason)</t>
        </is>
      </c>
      <c r="L59" s="2024" t="n"/>
      <c r="P59" s="1119" t="inlineStr">
        <is>
          <t>40 sf @ 3/4"</t>
        </is>
      </c>
      <c r="Q59" s="2266">
        <f>Q58-Q57</f>
        <v/>
      </c>
      <c r="R59" s="590" t="inlineStr">
        <is>
          <t>diff</t>
        </is>
      </c>
      <c r="T59" s="2266">
        <f>T58-T57</f>
        <v/>
      </c>
      <c r="U59" s="590" t="inlineStr">
        <is>
          <t>diff</t>
        </is>
      </c>
      <c r="V59" s="1034">
        <f>W59/$V$50</f>
        <v/>
      </c>
      <c r="W59" s="594" t="n">
        <v>22</v>
      </c>
    </row>
    <row r="60" ht="16.2" customFormat="1" customHeight="1" s="585" thickBot="1">
      <c r="A60" s="628" t="inlineStr">
        <is>
          <t>Plastic</t>
        </is>
      </c>
      <c r="B60" s="774" t="n"/>
      <c r="C60" s="1944" t="n"/>
      <c r="D60" s="1977" t="n"/>
      <c r="E60" s="1962">
        <f>ROUNDUP(B60*C60,0)</f>
        <v/>
      </c>
      <c r="F60" s="600" t="n"/>
      <c r="G60" s="1438" t="inlineStr">
        <is>
          <t>Total Days w/Travel</t>
        </is>
      </c>
      <c r="H60" s="1439">
        <f>H61/IF($F$43="8 hour days",8,10)/I57</f>
        <v/>
      </c>
      <c r="I60" s="1404">
        <f>H60/G55</f>
        <v/>
      </c>
      <c r="J60" s="959" t="inlineStr">
        <is>
          <t>Avg days per mob (WITH travel)</t>
        </is>
      </c>
      <c r="K60" s="1587" t="inlineStr">
        <is>
          <t xml:space="preserve">                           ** Painter **                      </t>
        </is>
      </c>
      <c r="L60" s="1588" t="n"/>
      <c r="V60" s="1034">
        <f>W60/$V$50</f>
        <v/>
      </c>
      <c r="W60" s="594" t="n">
        <v>24</v>
      </c>
    </row>
    <row r="61" ht="16.2" customFormat="1" customHeight="1" s="585" thickBot="1">
      <c r="A61" s="1565" t="inlineStr">
        <is>
          <t>Tooling and Consumables Total</t>
        </is>
      </c>
      <c r="B61" s="1566" t="n"/>
      <c r="C61" s="2028" t="n"/>
      <c r="D61" s="2028" t="n"/>
      <c r="E61" s="2029">
        <f>SUM(E57:E60)</f>
        <v/>
      </c>
      <c r="F61" s="600" t="n"/>
      <c r="G61" s="1448" t="inlineStr">
        <is>
          <t>Hours WITH travel</t>
        </is>
      </c>
      <c r="H61" s="1440">
        <f>((A46*B46)+(A47*B47)+(A48*B48)+(A49*B49)+(A45*B45)+(A51*B51))</f>
        <v/>
      </c>
      <c r="I61" s="793" t="n"/>
      <c r="J61" s="834" t="n"/>
      <c r="K61" s="1576" t="inlineStr">
        <is>
          <t>Prevailing Wage Rate:</t>
        </is>
      </c>
      <c r="L61" s="2018">
        <f>SUM(L62:L63)</f>
        <v/>
      </c>
      <c r="M61" s="2026">
        <f>IF((L61/2)&lt;23,23,(L61/2))</f>
        <v/>
      </c>
      <c r="V61" s="1034">
        <f>W61/$V$50</f>
        <v/>
      </c>
      <c r="W61" s="594" t="n">
        <v>26</v>
      </c>
    </row>
    <row r="62" customFormat="1" s="585">
      <c r="A62" s="600" t="n"/>
      <c r="B62" s="1877" t="n"/>
      <c r="C62" s="1944" t="n"/>
      <c r="D62" s="1944" t="n"/>
      <c r="E62" s="1944" t="n"/>
      <c r="F62" s="600" t="n"/>
      <c r="G62" s="600" t="n"/>
      <c r="H62" s="600" t="n"/>
      <c r="J62" s="600" t="n"/>
      <c r="K62" s="1578" t="inlineStr">
        <is>
          <t>rate =</t>
        </is>
      </c>
      <c r="L62" s="2020" t="n">
        <v>0</v>
      </c>
      <c r="M62" s="1596" t="inlineStr">
        <is>
          <t xml:space="preserve"> 1:1 "Entry"</t>
        </is>
      </c>
      <c r="V62" s="1034">
        <f>W62/$V$50</f>
        <v/>
      </c>
      <c r="W62" s="594" t="n">
        <v>28</v>
      </c>
    </row>
    <row r="63" ht="16.2" customFormat="1" customHeight="1" s="585" thickBot="1">
      <c r="A63" s="621" t="inlineStr">
        <is>
          <t>TRAVEL</t>
        </is>
      </c>
      <c r="B63" s="622" t="inlineStr">
        <is>
          <t>Quantity</t>
        </is>
      </c>
      <c r="C63" s="778" t="inlineStr">
        <is>
          <t>Cost</t>
        </is>
      </c>
      <c r="D63" s="1047" t="n"/>
      <c r="E63" s="2261" t="inlineStr">
        <is>
          <t>Totals</t>
        </is>
      </c>
      <c r="F63" s="600" t="n"/>
      <c r="G63" s="600" t="n"/>
      <c r="H63" s="780" t="n"/>
      <c r="I63" s="593" t="n"/>
      <c r="J63" s="714" t="n"/>
      <c r="K63" s="1580" t="inlineStr">
        <is>
          <t>+ fringes =</t>
        </is>
      </c>
      <c r="L63" s="2022" t="n">
        <v>0</v>
      </c>
      <c r="M63" s="1597" t="inlineStr">
        <is>
          <t xml:space="preserve">Half Wage </t>
        </is>
      </c>
      <c r="N63" s="1113" t="inlineStr">
        <is>
          <t>PSI option… pending add</t>
        </is>
      </c>
      <c r="P63" s="1046" t="inlineStr">
        <is>
          <t>Sand Mix</t>
        </is>
      </c>
      <c r="Q63" s="1046" t="inlineStr">
        <is>
          <t>Gyp Yield Soft+Corr</t>
        </is>
      </c>
      <c r="R63" s="1046" t="inlineStr">
        <is>
          <t>Gyp Yield Hard</t>
        </is>
      </c>
    </row>
    <row r="64" customFormat="1" s="585">
      <c r="A64" s="628" t="inlineStr">
        <is>
          <t>Travel - Lodging</t>
        </is>
      </c>
      <c r="B64" s="774">
        <f>IF(B5="No",((E52-E51)/C46)/10)</f>
        <v/>
      </c>
      <c r="C64" s="1944" t="n">
        <v>70</v>
      </c>
      <c r="D64" s="1977" t="n"/>
      <c r="E64" s="1962">
        <f>ROUNDUP(B64*C64,0)</f>
        <v/>
      </c>
      <c r="F64" s="600" t="n"/>
      <c r="G64" s="600" t="n"/>
      <c r="H64" s="600" t="n"/>
      <c r="I64" s="774" t="n"/>
      <c r="J64" s="714" t="n"/>
      <c r="K64" s="864" t="inlineStr">
        <is>
          <t xml:space="preserve">               Foreman *min. $32 Painter</t>
        </is>
      </c>
      <c r="L64" s="2023" t="n"/>
      <c r="N64" s="585" t="inlineStr">
        <is>
          <t>2000 psi</t>
        </is>
      </c>
      <c r="O64" s="585" t="n">
        <v>2.1</v>
      </c>
      <c r="P64" s="585" t="n">
        <v>210</v>
      </c>
    </row>
    <row r="65" ht="16.2" customFormat="1" customHeight="1" s="585" thickBot="1">
      <c r="A65" s="628" t="inlineStr">
        <is>
          <t>Travel - Food</t>
        </is>
      </c>
      <c r="B65" s="774">
        <f>B64</f>
        <v/>
      </c>
      <c r="C65" s="1944" t="n">
        <v>45</v>
      </c>
      <c r="D65" s="1977" t="n"/>
      <c r="E65" s="1962">
        <f>ROUNDUP(B65*C65,0)</f>
        <v/>
      </c>
      <c r="F65" s="795" t="n"/>
      <c r="G65" s="600" t="n"/>
      <c r="H65" s="600" t="n"/>
      <c r="I65" s="782" t="n"/>
      <c r="J65" s="1944" t="n"/>
      <c r="K65" s="1583" t="inlineStr">
        <is>
          <t xml:space="preserve">               (Entry *min. $23 Painter)</t>
        </is>
      </c>
      <c r="L65" s="2024" t="n"/>
      <c r="M65" s="1383" t="n"/>
    </row>
    <row r="66" ht="16.2" customFormat="1" customHeight="1" s="585" thickBot="1">
      <c r="A66" s="628" t="n"/>
      <c r="B66" s="774" t="n"/>
      <c r="C66" s="1944" t="n"/>
      <c r="D66" s="1977" t="n"/>
      <c r="E66" s="1962">
        <f>ROUNDUP(B66*C66,0)</f>
        <v/>
      </c>
      <c r="F66" s="600" t="n"/>
      <c r="G66" s="600" t="n"/>
      <c r="H66" s="600" t="n"/>
      <c r="I66" s="774" t="n"/>
      <c r="J66" s="1944" t="n"/>
      <c r="K66" s="1595" t="inlineStr">
        <is>
          <t xml:space="preserve">        "Entry" Laborer for MO "State" Wage ONLY</t>
        </is>
      </c>
      <c r="L66" s="1594" t="n"/>
      <c r="M66" s="590" t="inlineStr">
        <is>
          <t>NOT davis-bacon</t>
        </is>
      </c>
    </row>
    <row r="67" customFormat="1" s="585">
      <c r="A67" s="1565" t="inlineStr">
        <is>
          <t>Travel Costs Total</t>
        </is>
      </c>
      <c r="B67" s="1566" t="n"/>
      <c r="C67" s="2028" t="n"/>
      <c r="D67" s="2028" t="n"/>
      <c r="E67" s="2029">
        <f>SUM(E64:E66)</f>
        <v/>
      </c>
      <c r="F67" s="600" t="n"/>
      <c r="G67" s="600" t="n"/>
      <c r="H67" s="662" t="n"/>
      <c r="I67" s="793" t="n"/>
      <c r="J67" s="1944" t="n"/>
      <c r="K67" s="600" t="n"/>
      <c r="L67" s="1936" t="n"/>
      <c r="M67" s="600" t="n"/>
    </row>
    <row r="68" customFormat="1" s="585">
      <c r="A68" s="600" t="n"/>
      <c r="B68" s="1877" t="n"/>
      <c r="C68" s="1944" t="n"/>
      <c r="D68" s="1944" t="n"/>
      <c r="E68" s="1944" t="n"/>
      <c r="F68" s="600" t="n"/>
      <c r="G68" s="600" t="n"/>
      <c r="H68" s="600" t="n"/>
      <c r="J68" s="714" t="n"/>
      <c r="K68" s="1944" t="n"/>
      <c r="L68" s="1928" t="n"/>
      <c r="M68" s="600" t="n"/>
    </row>
    <row r="69" customFormat="1" s="585">
      <c r="A69" s="796" t="inlineStr">
        <is>
          <t>SUB-TOTAL COSTS</t>
        </is>
      </c>
      <c r="B69" s="797" t="n"/>
      <c r="C69" s="2032" t="n"/>
      <c r="D69" s="2032" t="n"/>
      <c r="E69" s="2033">
        <f>ROUNDUP(SUM(E41,E52:E54,E61,E67),0)</f>
        <v/>
      </c>
      <c r="F69" s="2268">
        <f>E69/B43</f>
        <v/>
      </c>
      <c r="G69" s="801" t="inlineStr">
        <is>
          <t>Sub-Total $/SF</t>
        </is>
      </c>
      <c r="H69" s="600" t="n"/>
      <c r="K69" s="714" t="n"/>
      <c r="L69" s="2031" t="n"/>
      <c r="M69" s="600" t="n"/>
    </row>
    <row r="70" customFormat="1" s="585">
      <c r="A70" s="600" t="n"/>
      <c r="B70" s="1877" t="n"/>
      <c r="C70" s="1944" t="n"/>
      <c r="D70" s="1944" t="n"/>
      <c r="E70" s="1944" t="n"/>
      <c r="F70" s="600" t="n"/>
      <c r="G70" s="600" t="n"/>
      <c r="H70" s="600" t="n"/>
      <c r="J70" s="1944" t="n"/>
      <c r="K70" s="600" t="n"/>
      <c r="L70" s="1936" t="n"/>
    </row>
    <row r="71" customFormat="1" s="585">
      <c r="A71" s="621" t="inlineStr">
        <is>
          <t>MARKUP</t>
        </is>
      </c>
      <c r="B71" s="622" t="inlineStr">
        <is>
          <t>%</t>
        </is>
      </c>
      <c r="C71" s="2035" t="n"/>
      <c r="D71" s="1047" t="n"/>
      <c r="E71" s="2019" t="inlineStr">
        <is>
          <t>Totals</t>
        </is>
      </c>
      <c r="F71" s="600" t="n"/>
      <c r="G71" s="2036">
        <f>SUM(E69,E81,E84)</f>
        <v/>
      </c>
      <c r="H71" s="811" t="inlineStr">
        <is>
          <t>Total "Estimated Costs" w/taxes + fees + bond</t>
        </is>
      </c>
      <c r="I71" s="812" t="n"/>
      <c r="J71" s="2037">
        <f>G71/C86</f>
        <v/>
      </c>
      <c r="K71" s="1944" t="n"/>
      <c r="L71" s="1928" t="n"/>
    </row>
    <row r="72" customFormat="1" s="585">
      <c r="A72" s="817" t="inlineStr">
        <is>
          <t>GP (before lines below)</t>
        </is>
      </c>
      <c r="B72" s="122">
        <f>IF(E69&lt;15000,0.45,IF(E69&lt;25000,0.4,IF(E69&lt;50000,0.35,IF(E69&lt;75000,0.33,IF(E69&lt;100000,0.28,IF(E69&lt;150000,0.26,0.24))))))</f>
        <v/>
      </c>
      <c r="C72" s="1944" t="n"/>
      <c r="D72" s="2269" t="n"/>
      <c r="E72" s="2038">
        <f>ROUNDUP(SUM(E69,E79,E82)/(1-B72),0)-ROUNDUP(SUM(E69,E79,E82,),0)</f>
        <v/>
      </c>
      <c r="F72" s="600" t="n"/>
      <c r="G72" s="2039">
        <f>((A45*B45)+(A46*B46)+(A47*B47)+(A48*B48)+(A49*B49))+(A51*B51)</f>
        <v/>
      </c>
      <c r="H72" s="815" t="inlineStr">
        <is>
          <t>Man Hour Budget (Raken)</t>
        </is>
      </c>
      <c r="I72" s="815" t="n"/>
      <c r="K72" s="1928" t="n"/>
    </row>
    <row r="73" customFormat="1" s="585">
      <c r="A73" s="817" t="inlineStr">
        <is>
          <t>Hard Bid Discount</t>
        </is>
      </c>
      <c r="B73" s="2040" t="n"/>
      <c r="C73" s="1944" t="n"/>
      <c r="D73" s="1977" t="n"/>
      <c r="E73" s="1962">
        <f>ROUNDUP(SUM(E69,E72)*B73,0)</f>
        <v/>
      </c>
      <c r="F73" s="600" t="n"/>
      <c r="G73" s="2270">
        <f>G86/H60</f>
        <v/>
      </c>
      <c r="H73" s="1436" t="inlineStr">
        <is>
          <t>GP per Day</t>
        </is>
      </c>
      <c r="I73" s="809">
        <f>F43</f>
        <v/>
      </c>
      <c r="K73" s="2031" t="n"/>
    </row>
    <row r="74" customFormat="1" s="585">
      <c r="A74" s="628" t="inlineStr">
        <is>
          <t>Superintendent &amp; PTO</t>
        </is>
      </c>
      <c r="B74" s="819" t="n">
        <v>0.041</v>
      </c>
      <c r="C74" s="2042" t="n"/>
      <c r="D74" s="1977" t="n"/>
      <c r="E74" s="1962">
        <f>ROUNDUP(SUM(E69:E73,E76,E79,E82)*B74,0)</f>
        <v/>
      </c>
      <c r="F74" s="600" t="n"/>
      <c r="G74" s="793" t="inlineStr">
        <is>
          <t>Minimum ^ = $2,500</t>
        </is>
      </c>
      <c r="H74" s="2219">
        <f>G73-2500</f>
        <v/>
      </c>
      <c r="I74" s="590" t="inlineStr">
        <is>
          <t>difference (good/not?)</t>
        </is>
      </c>
      <c r="K74" s="2031" t="n"/>
    </row>
    <row r="75" customFormat="1" s="585">
      <c r="A75" s="628" t="inlineStr">
        <is>
          <t>Soft Costs</t>
        </is>
      </c>
      <c r="B75" s="819">
        <f>IF(OR(B5="Yes",B5="No"),IF(B5="Yes",0.09,0.1) - IF(E69&gt;334900,0.05,IF(E69&gt;234450,0.035,0)),"error")</f>
        <v/>
      </c>
      <c r="C75" s="2042" t="n"/>
      <c r="D75" s="1977" t="n"/>
      <c r="E75" s="1962">
        <f>(ROUNDUP(SUM(E69:E74,E76,E79,E82)*B75,0))+0</f>
        <v/>
      </c>
      <c r="F75" s="600" t="n"/>
      <c r="G75" s="600" t="n"/>
      <c r="H75" s="1877" t="n"/>
      <c r="J75" s="2043" t="n"/>
      <c r="K75" s="2031" t="n"/>
    </row>
    <row r="76" customFormat="1" s="585">
      <c r="A76" s="820" t="inlineStr">
        <is>
          <t>Contingency</t>
        </is>
      </c>
      <c r="B76" s="1575" t="inlineStr">
        <is>
          <t>-- ?? --&gt;</t>
        </is>
      </c>
      <c r="C76" s="2044" t="n"/>
      <c r="D76" s="2044" t="n"/>
      <c r="E76" s="2045" t="n">
        <v>0</v>
      </c>
      <c r="F76" s="600" t="n"/>
    </row>
    <row r="77" customFormat="1" s="585">
      <c r="A77" s="600" t="n"/>
      <c r="B77" s="1877" t="n"/>
      <c r="C77" s="1944" t="n"/>
      <c r="D77" s="1944" t="n"/>
      <c r="E77" s="1944" t="n"/>
      <c r="F77" s="600" t="n"/>
    </row>
    <row r="78" customFormat="1" s="585">
      <c r="A78" s="621" t="inlineStr">
        <is>
          <t>TAXES &amp; FEES</t>
        </is>
      </c>
      <c r="B78" s="622" t="inlineStr">
        <is>
          <t>%</t>
        </is>
      </c>
      <c r="C78" s="778" t="n"/>
      <c r="D78" s="1047" t="n"/>
      <c r="E78" s="2019" t="inlineStr">
        <is>
          <t>Totals</t>
        </is>
      </c>
      <c r="F78" s="600" t="n"/>
      <c r="G78" s="2046">
        <f>(G81-G79-G80)</f>
        <v/>
      </c>
      <c r="H78" s="590" t="n"/>
    </row>
    <row r="79" customFormat="1" s="585">
      <c r="A79" s="628" t="inlineStr">
        <is>
          <t>Sales Tax</t>
        </is>
      </c>
      <c r="B79" s="2047">
        <f>IF($B$8="no",0,0.09475)</f>
        <v/>
      </c>
      <c r="C79" s="2042" t="n"/>
      <c r="D79" s="2269" t="n"/>
      <c r="E79" s="1962">
        <f>ROUNDUP(SUM(E41)*B79,0)</f>
        <v/>
      </c>
      <c r="F79" s="600" t="n"/>
      <c r="G79" s="2046" t="n"/>
      <c r="H79" s="585" t="inlineStr">
        <is>
          <t>sales tax (enter rounded)</t>
        </is>
      </c>
    </row>
    <row r="80" customFormat="1" s="585">
      <c r="A80" s="804" t="inlineStr">
        <is>
          <t>Kansas Remodel Tax</t>
        </is>
      </c>
      <c r="B80" s="2048">
        <f>IF(D8="yes",0.1,0)</f>
        <v/>
      </c>
      <c r="C80" s="1944" t="n"/>
      <c r="D80" s="1977" t="n"/>
      <c r="E80" s="1962">
        <f>ROUNDUP(SUM(E52:E54,E61,E67,E72:E76,E82)*B80,0)</f>
        <v/>
      </c>
      <c r="F80" s="758">
        <f>IF(D8="yes","*10% is placeholder. Adjust to actual if project awarded"," ")</f>
        <v/>
      </c>
      <c r="G80" s="2049" t="n"/>
      <c r="H80" s="784" t="inlineStr">
        <is>
          <t>ks remodel (enter rounded)</t>
        </is>
      </c>
    </row>
    <row r="81" customFormat="1" s="585">
      <c r="A81" s="1565" t="inlineStr">
        <is>
          <t>Total Taxes</t>
        </is>
      </c>
      <c r="B81" s="1566" t="n"/>
      <c r="C81" s="2028" t="n"/>
      <c r="D81" s="2028" t="n"/>
      <c r="E81" s="2029">
        <f>SUM(E79:E80)</f>
        <v/>
      </c>
      <c r="F81" s="758" t="n"/>
      <c r="G81" s="2046">
        <f>E87</f>
        <v/>
      </c>
      <c r="H81" s="590" t="inlineStr">
        <is>
          <t>total</t>
        </is>
      </c>
    </row>
    <row r="82" customFormat="1" s="585">
      <c r="A82" s="628" t="inlineStr">
        <is>
          <t>Fees + Textura + ?</t>
        </is>
      </c>
      <c r="B82" s="2047" t="n"/>
      <c r="C82" s="1944" t="n"/>
      <c r="D82" s="1977" t="n"/>
      <c r="E82" s="1962">
        <f>ROUNDUP(B82*D82,0)</f>
        <v/>
      </c>
      <c r="F82" s="600" t="n"/>
      <c r="G82" s="600" t="n"/>
      <c r="H82" s="600" t="n"/>
    </row>
    <row r="83" customFormat="1" s="585">
      <c r="A83" s="628" t="inlineStr">
        <is>
          <t>Bond</t>
        </is>
      </c>
      <c r="B83" s="819" t="n">
        <v>0</v>
      </c>
      <c r="C83" s="1944" t="n"/>
      <c r="D83" s="2269" t="n"/>
      <c r="E83" s="2271">
        <f>ROUNDUP(SUM(E69,E72,E73,E74:E76,E79,E80:E82)*B83,0)</f>
        <v/>
      </c>
      <c r="F83" s="600" t="n"/>
      <c r="G83" s="1615">
        <f>I83/E87</f>
        <v/>
      </c>
      <c r="H83" s="1614" t="inlineStr">
        <is>
          <t>% of Total Markup$</t>
        </is>
      </c>
      <c r="I83" s="2272">
        <f>SUM(E72:E76,E81,E84)</f>
        <v/>
      </c>
      <c r="J83" s="699" t="inlineStr">
        <is>
          <t>Sum of Markup + Taxes &amp; Fees</t>
        </is>
      </c>
    </row>
    <row r="84" customFormat="1" s="585">
      <c r="A84" s="1565" t="inlineStr">
        <is>
          <t>Total Fees + Bond</t>
        </is>
      </c>
      <c r="B84" s="1566" t="n"/>
      <c r="C84" s="2028" t="n"/>
      <c r="D84" s="2028" t="n"/>
      <c r="E84" s="2029">
        <f>ROUNDUP(SUM(E82:E83),0)</f>
        <v/>
      </c>
      <c r="F84" s="600" t="n"/>
      <c r="G84" s="600" t="n"/>
    </row>
    <row r="85" customFormat="1" s="585">
      <c r="A85" s="600" t="n"/>
      <c r="B85" s="821" t="n"/>
      <c r="C85" s="1944" t="n"/>
      <c r="D85" s="1944" t="n"/>
      <c r="E85" s="1944" t="n"/>
      <c r="F85" s="600" t="n"/>
      <c r="G85" s="759" t="inlineStr">
        <is>
          <t>Mark Up + Conting.</t>
        </is>
      </c>
      <c r="H85" s="822" t="inlineStr">
        <is>
          <t>GP / MH</t>
        </is>
      </c>
      <c r="I85" s="1618" t="inlineStr">
        <is>
          <t>MarkUp + Soft Costs</t>
        </is>
      </c>
      <c r="J85" s="823" t="n"/>
    </row>
    <row r="86" ht="16.2" customFormat="1" customHeight="1" s="585" thickBot="1">
      <c r="A86" s="600" t="n"/>
      <c r="B86" s="825" t="inlineStr">
        <is>
          <t>Square Footage:</t>
        </is>
      </c>
      <c r="C86" s="2273">
        <f>B43</f>
        <v/>
      </c>
      <c r="D86" s="2273" t="n"/>
      <c r="E86" s="1944" t="n"/>
      <c r="F86" s="705" t="inlineStr">
        <is>
          <t>Less Sales Tax</t>
        </is>
      </c>
      <c r="G86" s="2054">
        <f>SUM(E72,,E73,E76)</f>
        <v/>
      </c>
      <c r="H86" s="2055">
        <f>G86/G72</f>
        <v/>
      </c>
      <c r="I86" s="2056">
        <f>SUM(E72:E76)</f>
        <v/>
      </c>
      <c r="K86" s="1051" t="n"/>
      <c r="L86" s="1051" t="n"/>
      <c r="M86" s="1051" t="n"/>
      <c r="N86" s="1051" t="n"/>
    </row>
    <row r="87" ht="16.2" customFormat="1" customHeight="1" s="585" thickBot="1">
      <c r="A87" s="829" t="inlineStr">
        <is>
          <t>TOTAL</t>
        </is>
      </c>
      <c r="B87" s="830" t="n"/>
      <c r="C87" s="2057">
        <f>E87/C86</f>
        <v/>
      </c>
      <c r="D87" s="2057" t="n"/>
      <c r="E87" s="2058">
        <f>SUM(E69,E72:E76,E81,E84)</f>
        <v/>
      </c>
      <c r="F87" s="1944">
        <f>E87-(E79+E80)</f>
        <v/>
      </c>
      <c r="G87" s="2275">
        <f>G86/(E87)</f>
        <v/>
      </c>
      <c r="H87" s="2055">
        <f>C46</f>
        <v/>
      </c>
      <c r="I87" s="2060">
        <f>I86/E87</f>
        <v/>
      </c>
      <c r="J87" s="1625" t="inlineStr">
        <is>
          <t>30% = Gyp Goal</t>
        </is>
      </c>
    </row>
    <row r="88" customFormat="1" s="585">
      <c r="A88" s="834" t="n"/>
      <c r="B88" s="600" t="inlineStr">
        <is>
          <t xml:space="preserve"> </t>
        </is>
      </c>
      <c r="C88" s="1944">
        <f>E88/C86</f>
        <v/>
      </c>
      <c r="D88" s="1944" t="n"/>
      <c r="E88" s="1944">
        <f>E87-E80</f>
        <v/>
      </c>
      <c r="F88" s="753" t="inlineStr">
        <is>
          <t>(less ks remodel tax)</t>
        </is>
      </c>
      <c r="G88" s="1876" t="n"/>
      <c r="H88" s="1621" t="inlineStr">
        <is>
          <t>LaborRate from Above</t>
        </is>
      </c>
      <c r="I88" s="590" t="n"/>
      <c r="J88" s="1632" t="inlineStr">
        <is>
          <t>(epx: 42% &amp; pol: 45%)</t>
        </is>
      </c>
    </row>
    <row r="89" customFormat="1" s="585">
      <c r="A89" s="834" t="n"/>
      <c r="B89" s="2276" t="n"/>
      <c r="C89" s="2017" t="n"/>
      <c r="D89" s="2017" t="n"/>
      <c r="E89" s="2017" t="n"/>
      <c r="F89" s="753" t="n"/>
      <c r="H89" s="1391" t="inlineStr">
        <is>
          <t>* This rate is different than epoxy &amp; polish</t>
        </is>
      </c>
      <c r="I89" s="1391" t="n"/>
      <c r="O89" s="600" t="n"/>
    </row>
    <row r="90" customFormat="1" s="585">
      <c r="A90" s="834" t="n"/>
      <c r="B90" s="2276" t="n"/>
      <c r="C90" s="2017" t="n"/>
      <c r="D90" s="2017" t="n"/>
      <c r="E90" s="2017" t="n"/>
      <c r="F90" s="753" t="n"/>
      <c r="H90" s="1629" t="inlineStr">
        <is>
          <t xml:space="preserve"> to account for longer project lead times.</t>
        </is>
      </c>
      <c r="I90" s="1629" t="n"/>
      <c r="O90" s="600" t="n"/>
    </row>
    <row r="91" customFormat="1" s="585">
      <c r="A91" s="633" t="n"/>
      <c r="B91" s="2223" t="n"/>
      <c r="C91" s="2253" t="n"/>
      <c r="D91" s="2253" t="n"/>
      <c r="E91" s="2253" t="n"/>
      <c r="F91" s="1877" t="n"/>
    </row>
    <row r="92" customFormat="1" s="585">
      <c r="A92" s="633" t="n"/>
      <c r="B92" s="2223" t="n"/>
      <c r="C92" s="2253" t="n"/>
      <c r="D92" s="2253" t="n"/>
      <c r="E92" s="2253" t="n"/>
      <c r="F92" s="1877" t="n"/>
    </row>
    <row r="93" customFormat="1" s="585">
      <c r="A93" s="633" t="n"/>
      <c r="B93" s="2223" t="n"/>
      <c r="C93" s="2253" t="n"/>
      <c r="D93" s="2253" t="n"/>
      <c r="E93" s="2253" t="n"/>
      <c r="F93" s="1877" t="n"/>
    </row>
    <row r="94" customFormat="1" s="585">
      <c r="B94" s="883" t="n"/>
      <c r="C94" s="1876" t="n"/>
      <c r="D94" s="1876" t="n"/>
      <c r="E94" s="883" t="n"/>
      <c r="F94" s="1876" t="n"/>
      <c r="G94" s="883" t="n"/>
      <c r="H94" s="1876" t="n"/>
      <c r="I94" s="883" t="n"/>
      <c r="J94" s="1876" t="n"/>
    </row>
    <row r="95" customFormat="1" s="585"/>
    <row r="96" customFormat="1" s="585"/>
    <row r="97" customFormat="1" s="585"/>
    <row r="98" customFormat="1" s="585"/>
    <row r="99" customFormat="1" s="585">
      <c r="E99" s="590" t="n"/>
    </row>
    <row r="100" customFormat="1" s="585"/>
    <row r="101" customFormat="1" s="585"/>
    <row r="102" customFormat="1" s="585"/>
    <row r="103" customFormat="1" s="585">
      <c r="J103" s="2193" t="n"/>
    </row>
    <row r="104" customFormat="1" s="585"/>
    <row r="105" customFormat="1" s="585">
      <c r="A105" s="839" t="n"/>
    </row>
    <row r="106" customFormat="1" s="585">
      <c r="A106" s="840" t="n"/>
      <c r="H106" s="2194" t="n"/>
    </row>
    <row r="107" customFormat="1" s="585">
      <c r="A107" s="842" t="n"/>
      <c r="H107" s="843" t="n"/>
    </row>
    <row r="108" customFormat="1" s="585">
      <c r="A108" s="844" t="n"/>
      <c r="H108" s="2194" t="n"/>
    </row>
    <row r="109" customFormat="1" s="585">
      <c r="A109" s="845" t="n"/>
    </row>
    <row r="110" customFormat="1" s="585">
      <c r="A110" s="846" t="n"/>
    </row>
    <row r="111" customFormat="1" s="585">
      <c r="A111" s="847" t="n"/>
      <c r="J111" s="2193" t="n"/>
      <c r="N111" s="848" t="n"/>
      <c r="O111" s="2014" t="n"/>
    </row>
    <row r="112" customFormat="1" s="585">
      <c r="A112" s="849" t="n"/>
      <c r="J112" s="2193" t="n"/>
      <c r="N112" s="848" t="n"/>
      <c r="O112" s="2014" t="n"/>
    </row>
    <row r="113">
      <c r="J113" s="2280" t="n"/>
      <c r="N113" s="247" t="n"/>
      <c r="O113" s="2281" t="n"/>
    </row>
    <row r="114">
      <c r="J114" s="2280" t="n"/>
      <c r="N114" s="247" t="n"/>
      <c r="O114" s="2281" t="n"/>
    </row>
    <row r="115" ht="16.05" customHeight="1">
      <c r="J115" s="2280" t="n"/>
      <c r="N115" s="247" t="n"/>
      <c r="O115" s="2281" t="n"/>
    </row>
    <row r="116">
      <c r="J116" s="2280" t="n"/>
      <c r="N116" s="247" t="n"/>
      <c r="O116" s="2281" t="n"/>
    </row>
    <row r="117">
      <c r="J117" s="2280" t="n"/>
      <c r="N117" s="247" t="n"/>
      <c r="O117" s="2281" t="n"/>
    </row>
    <row r="118">
      <c r="J118" s="2280" t="n"/>
      <c r="N118" s="247" t="n"/>
      <c r="O118" s="2281" t="n"/>
    </row>
    <row r="119">
      <c r="J119" s="2280" t="n"/>
      <c r="N119" s="247" t="n"/>
      <c r="O119" s="2281" t="n"/>
    </row>
    <row r="120">
      <c r="J120" s="2280" t="n"/>
      <c r="N120" s="247" t="n"/>
      <c r="O120" s="2281" t="n"/>
    </row>
    <row r="121">
      <c r="J121" s="2280" t="n"/>
      <c r="N121" s="247" t="n"/>
      <c r="O121" s="2281" t="n"/>
    </row>
    <row r="122">
      <c r="J122" s="2280" t="n"/>
      <c r="N122" s="247" t="n"/>
      <c r="O122" s="2281" t="n"/>
    </row>
    <row r="123">
      <c r="J123" s="2280" t="n"/>
      <c r="N123" s="247" t="n"/>
      <c r="O123" s="2281" t="n"/>
    </row>
    <row r="124">
      <c r="J124" s="2280" t="n"/>
      <c r="N124" s="247" t="n"/>
      <c r="O124" s="2281" t="n"/>
    </row>
    <row r="125">
      <c r="J125" s="2280" t="n"/>
      <c r="N125" s="247" t="n"/>
      <c r="O125" s="2281" t="n"/>
    </row>
    <row r="126">
      <c r="J126" s="2280" t="n"/>
      <c r="N126" s="247" t="n"/>
      <c r="O126" s="2281" t="n"/>
    </row>
    <row r="127">
      <c r="J127" s="2280" t="n"/>
      <c r="N127" s="247" t="n"/>
      <c r="O127" s="2281" t="n"/>
    </row>
    <row r="128">
      <c r="J128" s="2280" t="n"/>
      <c r="N128" s="247" t="n"/>
      <c r="O128" s="2281" t="n"/>
    </row>
    <row r="129">
      <c r="J129" s="2280" t="n"/>
      <c r="N129" s="247" t="n"/>
      <c r="O129" s="2281" t="n"/>
    </row>
    <row r="130">
      <c r="J130" s="2280" t="n"/>
      <c r="N130" s="247" t="n"/>
      <c r="O130" s="2281" t="n"/>
    </row>
    <row r="131">
      <c r="A131" s="2282" t="n"/>
      <c r="B131" s="2282" t="n"/>
      <c r="J131" s="2280" t="n"/>
      <c r="N131" s="247" t="n"/>
      <c r="O131" s="2281" t="n"/>
    </row>
    <row r="132">
      <c r="A132" s="2282" t="n"/>
      <c r="B132" s="2282" t="n"/>
      <c r="J132" s="2280" t="n"/>
      <c r="N132" s="247" t="n"/>
      <c r="O132" s="2281" t="n"/>
    </row>
    <row r="133">
      <c r="A133" s="2282" t="n"/>
      <c r="B133" s="2282" t="n"/>
      <c r="J133" s="2280" t="n"/>
      <c r="N133" s="247" t="n"/>
      <c r="O133" s="2281" t="n"/>
    </row>
    <row r="134">
      <c r="A134" s="2283" t="n"/>
      <c r="B134" s="2283" t="n"/>
      <c r="J134" s="2280" t="n"/>
      <c r="N134" s="247" t="n"/>
      <c r="O134" s="2281" t="n"/>
    </row>
    <row r="135">
      <c r="J135" s="2280" t="n"/>
      <c r="N135" s="247" t="n"/>
      <c r="O135" s="2281" t="n"/>
    </row>
    <row r="136">
      <c r="A136" s="2145" t="n"/>
      <c r="B136" s="2145" t="n"/>
      <c r="J136" s="2280" t="n"/>
      <c r="N136" s="247" t="n"/>
      <c r="O136" s="2281" t="n"/>
    </row>
    <row r="137">
      <c r="A137" s="2282" t="n"/>
      <c r="B137" s="2282" t="n"/>
      <c r="J137" s="2280" t="n"/>
      <c r="N137" s="247" t="n"/>
      <c r="O137" s="2281" t="n"/>
    </row>
    <row r="138">
      <c r="A138" s="2282" t="n"/>
      <c r="B138" s="2282" t="n"/>
      <c r="J138" s="2280" t="n"/>
      <c r="N138" s="247" t="n"/>
      <c r="O138" s="2281" t="n"/>
    </row>
    <row r="139">
      <c r="A139" s="2282" t="n"/>
      <c r="B139" s="2282" t="n"/>
      <c r="J139" s="2280" t="n"/>
      <c r="N139" s="247" t="n"/>
      <c r="O139" s="2281" t="n"/>
    </row>
    <row r="140">
      <c r="A140" s="2283" t="n"/>
      <c r="B140" s="2283" t="n"/>
    </row>
    <row r="148">
      <c r="A148" s="98" t="n"/>
    </row>
    <row r="160">
      <c r="F160" s="1" t="n"/>
    </row>
    <row r="161">
      <c r="F161" s="1" t="n"/>
    </row>
    <row r="162">
      <c r="F162" s="1" t="n"/>
    </row>
    <row r="163">
      <c r="F163" s="1892" t="n"/>
    </row>
    <row r="164">
      <c r="F164" s="1" t="n"/>
    </row>
    <row r="165">
      <c r="F165" s="1" t="n"/>
    </row>
    <row r="166">
      <c r="A166" s="1" t="n"/>
      <c r="B166" s="1" t="n"/>
      <c r="C166" s="2284" t="n"/>
      <c r="D166" s="2284" t="n"/>
      <c r="E166" s="2282" t="n"/>
      <c r="P166" s="1892" t="n"/>
    </row>
    <row r="167">
      <c r="A167" s="53" t="n"/>
      <c r="B167" s="53" t="n"/>
      <c r="C167" s="53" t="n"/>
      <c r="D167" s="53" t="n"/>
      <c r="E167" s="53" t="n"/>
      <c r="F167" s="1916" t="n"/>
      <c r="G167" s="1916" t="n"/>
      <c r="H167" s="1916" t="n"/>
      <c r="I167" s="1916" t="n"/>
      <c r="J167" s="1916" t="n"/>
      <c r="K167" s="1916" t="n"/>
      <c r="L167" s="1916" t="n"/>
      <c r="M167" s="1916" t="n"/>
      <c r="N167" s="53" t="n"/>
      <c r="O167" s="53" t="n"/>
      <c r="P167" s="53" t="n"/>
      <c r="Q167" s="53" t="n"/>
      <c r="R167" s="53" t="n"/>
    </row>
    <row r="168">
      <c r="A168" s="53" t="n"/>
      <c r="B168" s="53" t="n"/>
      <c r="C168" s="53" t="n"/>
      <c r="D168" s="53" t="n"/>
      <c r="E168" s="53" t="n"/>
      <c r="F168" s="53" t="n"/>
      <c r="G168" s="53" t="n"/>
      <c r="H168" s="1916" t="n"/>
      <c r="I168" s="1916" t="n"/>
      <c r="J168" s="1916" t="n"/>
      <c r="K168" s="1916" t="n"/>
      <c r="L168" s="1916" t="n"/>
      <c r="M168" s="1916" t="n"/>
      <c r="N168" s="53" t="n"/>
      <c r="O168" s="53" t="n"/>
      <c r="P168" s="53" t="n"/>
      <c r="Q168" s="53" t="n"/>
      <c r="R168" s="2145" t="n"/>
    </row>
    <row r="169">
      <c r="A169" s="53" t="n"/>
      <c r="B169" s="2155" t="n"/>
      <c r="C169" s="2145" t="n"/>
      <c r="D169" s="2145" t="n"/>
      <c r="E169" s="2145" t="n"/>
      <c r="F169" s="2285" t="n"/>
      <c r="G169" s="53" t="n"/>
      <c r="H169" s="1916" t="n"/>
      <c r="I169" s="1916" t="n"/>
      <c r="J169" s="1916" t="n"/>
      <c r="K169" s="1916" t="n"/>
      <c r="L169" s="1916" t="n"/>
      <c r="M169" s="1916" t="n"/>
      <c r="N169" s="53" t="n"/>
      <c r="O169" s="53" t="n"/>
      <c r="P169" s="2145" t="n"/>
      <c r="Q169" s="2145" t="n"/>
      <c r="R169" s="2145" t="n"/>
    </row>
    <row r="170">
      <c r="A170" s="53" t="n"/>
      <c r="B170" s="53" t="n"/>
      <c r="C170" s="2145" t="n"/>
      <c r="D170" s="2145" t="n"/>
      <c r="E170" s="2145" t="n"/>
      <c r="F170" s="53" t="n"/>
      <c r="G170" s="53" t="n"/>
      <c r="H170" s="1916" t="n"/>
      <c r="I170" s="1916" t="n"/>
      <c r="J170" s="1916" t="n"/>
      <c r="K170" s="1916" t="n"/>
      <c r="L170" s="1916" t="n"/>
      <c r="M170" s="1916" t="n"/>
      <c r="N170" s="53" t="n"/>
      <c r="O170" s="53" t="n"/>
      <c r="P170" s="2145" t="n"/>
      <c r="Q170" s="2285" t="n"/>
      <c r="R170" s="2145" t="n"/>
    </row>
    <row r="171" customFormat="1" s="1916">
      <c r="A171" s="53" t="n"/>
      <c r="B171" s="53" t="n"/>
      <c r="C171" s="2145" t="n"/>
      <c r="D171" s="2145" t="n"/>
      <c r="E171" s="2145" t="n"/>
      <c r="F171" s="53" t="n"/>
      <c r="G171" s="53" t="n"/>
      <c r="N171" s="53" t="n"/>
      <c r="O171" s="53" t="n"/>
      <c r="P171" s="2145" t="n"/>
      <c r="Q171" s="2285" t="n"/>
      <c r="R171" s="2145" t="n"/>
    </row>
    <row r="172" customFormat="1" s="1916">
      <c r="A172" s="53" t="n"/>
      <c r="B172" s="53" t="n"/>
      <c r="C172" s="2145" t="n"/>
      <c r="D172" s="2145" t="n"/>
      <c r="E172" s="2145" t="n"/>
      <c r="F172" s="53" t="n"/>
      <c r="G172" s="53" t="n"/>
      <c r="N172" s="53" t="n"/>
      <c r="O172" s="2145" t="n"/>
      <c r="P172" s="2149" t="n"/>
      <c r="Q172" s="53" t="n"/>
      <c r="R172" s="53" t="n"/>
      <c r="S172" s="53" t="n"/>
      <c r="T172" s="53" t="n"/>
      <c r="U172" s="53" t="n"/>
    </row>
    <row r="173" customFormat="1" s="1916">
      <c r="A173" s="53" t="n"/>
      <c r="B173" s="53" t="n"/>
      <c r="C173" s="2145" t="n"/>
      <c r="D173" s="2145" t="n"/>
      <c r="E173" s="2145" t="n"/>
      <c r="F173" s="53" t="n"/>
      <c r="G173" s="53" t="n"/>
      <c r="N173" s="53" t="n"/>
      <c r="O173" s="53" t="n"/>
      <c r="P173" s="2149" t="n"/>
      <c r="Q173" s="53" t="n"/>
      <c r="R173" s="53" t="n"/>
      <c r="S173" s="2145" t="n"/>
      <c r="T173" s="2145" t="n"/>
      <c r="U173" s="53" t="n"/>
    </row>
    <row r="174" customFormat="1" s="1916">
      <c r="A174" s="53" t="n"/>
      <c r="B174" s="53" t="n"/>
      <c r="C174" s="2145" t="n"/>
      <c r="D174" s="2145" t="n"/>
      <c r="E174" s="2145" t="n"/>
      <c r="F174" s="53" t="n"/>
      <c r="G174" s="53" t="n"/>
      <c r="N174" s="53" t="n"/>
      <c r="O174" s="53" t="n"/>
      <c r="P174" s="2149" t="n"/>
      <c r="Q174" s="53" t="n"/>
      <c r="R174" s="53" t="n"/>
      <c r="S174" s="2145" t="n"/>
      <c r="T174" s="2145" t="n"/>
      <c r="U174" s="53" t="n"/>
    </row>
    <row r="175" customFormat="1" s="1916">
      <c r="A175" s="53" t="n"/>
      <c r="B175" s="53" t="n"/>
      <c r="C175" s="2145" t="n"/>
      <c r="D175" s="2145" t="n"/>
      <c r="E175" s="2145" t="n"/>
      <c r="F175" s="53" t="n"/>
      <c r="G175" s="53" t="n"/>
      <c r="N175" s="53" t="n"/>
      <c r="O175" s="53" t="n"/>
      <c r="P175" s="2149" t="n"/>
      <c r="Q175" s="53" t="n"/>
      <c r="R175" s="53" t="n"/>
      <c r="S175" s="2145" t="n"/>
      <c r="T175" s="2145" t="n"/>
      <c r="U175" s="53" t="n"/>
    </row>
    <row r="176" customFormat="1" s="1916">
      <c r="A176" s="53" t="n"/>
      <c r="B176" s="53" t="n"/>
      <c r="C176" s="2145" t="n"/>
      <c r="D176" s="2145" t="n"/>
      <c r="E176" s="2145" t="n"/>
      <c r="F176" s="53" t="n"/>
      <c r="G176" s="53" t="n"/>
      <c r="N176" s="53" t="n"/>
      <c r="O176" s="53" t="n"/>
      <c r="P176" s="2149" t="n"/>
      <c r="Q176" s="53" t="n"/>
      <c r="R176" s="53" t="n"/>
      <c r="S176" s="2145" t="n"/>
      <c r="T176" s="2145" t="n"/>
      <c r="U176" s="53" t="n"/>
    </row>
    <row r="177" customFormat="1" s="1916">
      <c r="A177" s="53" t="n"/>
      <c r="B177" s="53" t="n"/>
      <c r="C177" s="2145" t="n"/>
      <c r="D177" s="2145" t="n"/>
      <c r="E177" s="2145" t="n"/>
      <c r="F177" s="53" t="n"/>
      <c r="G177" s="53" t="n"/>
      <c r="N177" s="53" t="n"/>
      <c r="O177" s="53" t="n"/>
      <c r="P177" s="2149" t="n"/>
      <c r="Q177" s="53" t="n"/>
      <c r="R177" s="53" t="n"/>
      <c r="S177" s="53" t="n"/>
      <c r="T177" s="53" t="n"/>
      <c r="U177" s="53" t="n"/>
    </row>
    <row r="178" customFormat="1" s="1916">
      <c r="A178" s="53" t="n"/>
      <c r="B178" s="53" t="n"/>
      <c r="C178" s="2145" t="n"/>
      <c r="D178" s="2145" t="n"/>
      <c r="E178" s="2145" t="n"/>
      <c r="F178" s="53" t="n"/>
      <c r="G178" s="53" t="n"/>
      <c r="N178" s="53" t="n"/>
      <c r="O178" s="53" t="n"/>
      <c r="P178" s="2149" t="n"/>
      <c r="Q178" s="53" t="n"/>
      <c r="R178" s="53" t="n"/>
      <c r="S178" s="53" t="n"/>
      <c r="T178" s="53" t="n"/>
      <c r="U178" s="53" t="n"/>
    </row>
    <row r="179" customFormat="1" s="1916">
      <c r="A179" s="53" t="n"/>
      <c r="B179" s="53" t="n"/>
      <c r="C179" s="2145" t="n"/>
      <c r="D179" s="2145" t="n"/>
      <c r="E179" s="2145" t="n"/>
      <c r="F179" s="53" t="n"/>
      <c r="G179" s="53" t="n"/>
      <c r="S179" s="53" t="n"/>
      <c r="T179" s="53" t="n"/>
      <c r="U179" s="53" t="n"/>
    </row>
    <row r="180" customFormat="1" s="1916">
      <c r="A180" s="53" t="n"/>
      <c r="B180" s="53" t="n"/>
      <c r="C180" s="2145" t="n"/>
      <c r="D180" s="2145" t="n"/>
      <c r="E180" s="2145" t="n"/>
      <c r="F180" s="53" t="n"/>
      <c r="G180" s="53" t="n"/>
      <c r="S180" s="53" t="n"/>
      <c r="T180" s="53" t="n"/>
      <c r="U180" s="53" t="n"/>
    </row>
    <row r="181" customFormat="1" s="1916">
      <c r="A181" s="53" t="n"/>
      <c r="B181" s="53" t="n"/>
      <c r="C181" s="2145" t="n"/>
      <c r="D181" s="2145" t="n"/>
      <c r="E181" s="2145" t="n"/>
      <c r="F181" s="2285" t="n"/>
      <c r="G181" s="53" t="n"/>
      <c r="S181" s="53" t="n"/>
      <c r="T181" s="53" t="n"/>
      <c r="U181" s="53" t="n"/>
    </row>
    <row r="182" customFormat="1" s="1916">
      <c r="A182" s="53" t="n"/>
      <c r="B182" s="53" t="n"/>
      <c r="C182" s="2145" t="n"/>
      <c r="D182" s="2145" t="n"/>
      <c r="E182" s="2145" t="n"/>
      <c r="F182" s="53" t="n"/>
      <c r="G182" s="53" t="n"/>
      <c r="S182" s="53" t="n"/>
      <c r="T182" s="53" t="n"/>
      <c r="U182" s="53" t="n"/>
    </row>
    <row r="183" customFormat="1" s="1916">
      <c r="A183" s="53" t="n"/>
      <c r="B183" s="53" t="n"/>
      <c r="C183" s="2145" t="n"/>
      <c r="D183" s="2145" t="n"/>
      <c r="E183" s="2145" t="n"/>
      <c r="F183" s="53" t="n"/>
      <c r="G183" s="53" t="n"/>
      <c r="S183" s="53" t="n"/>
      <c r="T183" s="53" t="n"/>
      <c r="U183" s="53" t="n"/>
    </row>
    <row r="184" customFormat="1" s="1916">
      <c r="A184" s="53" t="n"/>
      <c r="B184" s="53" t="n"/>
      <c r="C184" s="2145" t="n"/>
      <c r="D184" s="2145" t="n"/>
      <c r="E184" s="2145" t="n"/>
      <c r="F184" s="53" t="n"/>
      <c r="G184" s="53" t="n"/>
    </row>
    <row r="185" customFormat="1" s="1916">
      <c r="A185" s="53" t="n"/>
      <c r="B185" s="53" t="n"/>
      <c r="C185" s="2145" t="n"/>
      <c r="D185" s="2145" t="n"/>
      <c r="E185" s="2145" t="n"/>
      <c r="F185" s="53" t="n"/>
      <c r="G185" s="53" t="n"/>
    </row>
    <row r="186" customFormat="1" s="1916">
      <c r="A186" s="103" t="n"/>
      <c r="B186" s="103" t="n"/>
      <c r="C186" s="2147" t="n"/>
      <c r="D186" s="2147" t="n"/>
      <c r="E186" s="2147" t="n"/>
      <c r="F186" s="53" t="n"/>
      <c r="G186" s="53" t="n"/>
    </row>
    <row r="187" customFormat="1" s="1916">
      <c r="A187" s="103" t="n"/>
      <c r="B187" s="105" t="n"/>
      <c r="C187" s="2147" t="n"/>
      <c r="D187" s="2147" t="n"/>
      <c r="E187" s="2147" t="n"/>
      <c r="F187" s="53" t="n"/>
      <c r="G187" s="53" t="n"/>
    </row>
    <row r="188" customFormat="1" s="1916">
      <c r="A188" s="103" t="n"/>
      <c r="B188" s="103" t="n"/>
      <c r="C188" s="2147" t="n"/>
      <c r="D188" s="2147" t="n"/>
      <c r="E188" s="2147" t="n"/>
      <c r="F188" s="53" t="n"/>
      <c r="G188" s="53" t="n"/>
    </row>
    <row r="189" customFormat="1" s="1916">
      <c r="A189" s="103" t="n"/>
      <c r="B189" s="105" t="n"/>
      <c r="C189" s="2147" t="n"/>
      <c r="D189" s="2147" t="n"/>
      <c r="E189" s="2147" t="n"/>
      <c r="F189" s="53" t="n"/>
      <c r="H189" s="53" t="n"/>
      <c r="I189" s="53" t="n"/>
      <c r="J189" s="53" t="n"/>
      <c r="K189" s="53" t="n"/>
      <c r="L189" s="53" t="n"/>
      <c r="M189" s="53" t="n"/>
      <c r="N189" s="53" t="n"/>
    </row>
    <row r="190" customFormat="1" s="1916">
      <c r="A190" s="53" t="n"/>
      <c r="B190" s="53" t="n"/>
      <c r="C190" s="2145" t="n"/>
      <c r="D190" s="2145" t="n"/>
      <c r="E190" s="2145" t="n"/>
      <c r="F190" s="53" t="n"/>
      <c r="H190" s="53" t="n"/>
      <c r="I190" s="53" t="n"/>
      <c r="J190" s="53" t="n"/>
      <c r="K190" s="106" t="n"/>
      <c r="L190" s="106" t="n"/>
      <c r="M190" s="106" t="n"/>
      <c r="N190" s="106" t="n"/>
    </row>
    <row r="191" customFormat="1" s="1916">
      <c r="A191" s="3" t="n"/>
      <c r="B191" s="2285" t="n"/>
      <c r="C191" s="3" t="n"/>
      <c r="D191" s="3" t="n"/>
      <c r="E191" s="2285" t="n"/>
      <c r="F191" s="107" t="n"/>
      <c r="H191" s="53" t="n"/>
      <c r="I191" s="540" t="n"/>
      <c r="J191" s="53" t="n"/>
      <c r="K191" s="106" t="n"/>
      <c r="L191" s="106" t="n"/>
      <c r="M191" s="106" t="n"/>
      <c r="N191" s="106" t="n"/>
    </row>
    <row r="192" customFormat="1" s="1916">
      <c r="A192" s="53" t="n"/>
      <c r="B192" s="53" t="n"/>
      <c r="C192" s="53" t="n"/>
      <c r="D192" s="53" t="n"/>
      <c r="E192" s="53" t="n"/>
      <c r="F192" s="107" t="n"/>
      <c r="H192" s="53" t="n"/>
      <c r="I192" s="53" t="n"/>
      <c r="J192" s="53" t="n"/>
      <c r="K192" s="2145" t="n"/>
      <c r="L192" s="2145" t="n"/>
      <c r="M192" s="2145" t="n"/>
      <c r="N192" s="53" t="n"/>
    </row>
    <row r="193" customFormat="1" s="1916">
      <c r="A193" s="53" t="n"/>
      <c r="B193" s="53" t="n"/>
      <c r="C193" s="53" t="n"/>
      <c r="D193" s="53" t="n"/>
      <c r="E193" s="106" t="n"/>
      <c r="F193" s="106" t="n"/>
      <c r="H193" s="53" t="n"/>
      <c r="I193" s="93" t="n"/>
      <c r="J193" s="2145" t="n"/>
      <c r="K193" s="2145" t="n"/>
      <c r="L193" s="2145" t="n"/>
      <c r="M193" s="2145" t="n"/>
      <c r="N193" s="106" t="n"/>
    </row>
    <row r="194" customFormat="1" s="1916">
      <c r="A194" s="53" t="n"/>
      <c r="B194" s="53" t="n"/>
      <c r="C194" s="53" t="n"/>
      <c r="D194" s="53" t="n"/>
      <c r="E194" s="53" t="n"/>
      <c r="F194" s="53" t="n"/>
      <c r="H194" s="53" t="n"/>
      <c r="I194" s="93" t="n"/>
      <c r="J194" s="2145" t="n"/>
      <c r="K194" s="2145" t="n"/>
      <c r="L194" s="2145" t="n"/>
      <c r="M194" s="2145" t="n"/>
      <c r="N194" s="53" t="n"/>
    </row>
    <row r="195" customFormat="1" s="1916">
      <c r="A195" s="53" t="n"/>
      <c r="B195" s="53" t="n"/>
      <c r="C195" s="53" t="n"/>
      <c r="D195" s="53" t="n"/>
      <c r="E195" s="106" t="n"/>
      <c r="F195" s="106" t="n"/>
      <c r="H195" s="53" t="n"/>
      <c r="I195" s="93" t="n"/>
      <c r="J195" s="2145" t="n"/>
      <c r="K195" s="2145" t="n"/>
      <c r="L195" s="2145" t="n"/>
      <c r="M195" s="2145" t="n"/>
      <c r="N195" s="106" t="n"/>
    </row>
    <row r="196" customFormat="1" s="1916">
      <c r="A196" s="53" t="n"/>
      <c r="B196" s="53" t="n"/>
      <c r="C196" s="53" t="n"/>
      <c r="D196" s="53" t="n"/>
      <c r="E196" s="2286" t="n"/>
      <c r="F196" s="2286" t="n"/>
      <c r="G196" s="53" t="n"/>
      <c r="H196" s="103" t="n"/>
      <c r="I196" s="103" t="n"/>
      <c r="J196" s="2147" t="n"/>
      <c r="K196" s="2147" t="n"/>
      <c r="L196" s="2147" t="n"/>
      <c r="M196" s="2145" t="n"/>
      <c r="N196" s="106" t="n"/>
    </row>
    <row r="197" customFormat="1" s="1916">
      <c r="A197" s="53" t="n"/>
      <c r="B197" s="53" t="n"/>
      <c r="C197" s="2145" t="n"/>
      <c r="D197" s="2145" t="n"/>
      <c r="E197" s="2145" t="n"/>
      <c r="F197" s="2145" t="n"/>
      <c r="G197" s="53" t="n"/>
      <c r="H197" s="53" t="n"/>
      <c r="I197" s="53" t="n"/>
    </row>
    <row r="198" customFormat="1" s="1916">
      <c r="A198" s="53" t="n"/>
      <c r="B198" s="53" t="n"/>
      <c r="C198" s="53" t="n"/>
      <c r="D198" s="53" t="n"/>
      <c r="E198" s="2145" t="n"/>
      <c r="F198" s="53" t="n"/>
      <c r="G198" s="53" t="n"/>
      <c r="H198" s="110" t="n"/>
      <c r="I198" s="53" t="n"/>
      <c r="J198" s="53" t="n"/>
      <c r="K198" s="2145" t="n"/>
      <c r="L198" s="2145" t="n"/>
      <c r="M198" s="2145" t="n"/>
    </row>
    <row r="199" customFormat="1" s="1916">
      <c r="A199" s="53" t="n"/>
      <c r="B199" s="93" t="n"/>
      <c r="C199" s="2145" t="n"/>
      <c r="D199" s="2145" t="n"/>
      <c r="E199" s="2145" t="n"/>
      <c r="F199" s="53" t="n"/>
      <c r="G199" s="53" t="n"/>
      <c r="H199" s="2285" t="n"/>
      <c r="I199" s="93" t="n"/>
      <c r="J199" s="2145" t="n"/>
      <c r="K199" s="2145" t="n"/>
      <c r="L199" s="2145" t="n"/>
      <c r="M199" s="2145" t="n"/>
    </row>
    <row r="200" customFormat="1" s="1916">
      <c r="A200" s="53" t="n"/>
      <c r="B200" s="93" t="n"/>
      <c r="C200" s="2145" t="n"/>
      <c r="D200" s="2145" t="n"/>
      <c r="E200" s="2145" t="n"/>
      <c r="F200" s="53" t="n"/>
      <c r="G200" s="53" t="n"/>
      <c r="H200" s="53" t="n"/>
      <c r="I200" s="93" t="n"/>
      <c r="J200" s="2145" t="n"/>
      <c r="K200" s="2145" t="n"/>
      <c r="L200" s="2145" t="n"/>
      <c r="M200" s="2145" t="n"/>
    </row>
    <row r="201" customFormat="1" s="1916">
      <c r="A201" s="53" t="n"/>
      <c r="B201" s="93" t="n"/>
      <c r="C201" s="2145" t="n"/>
      <c r="D201" s="2145" t="n"/>
      <c r="E201" s="2145" t="n"/>
      <c r="F201" s="53" t="n"/>
      <c r="G201" s="53" t="n"/>
      <c r="H201" s="53" t="n"/>
      <c r="I201" s="93" t="n"/>
      <c r="J201" s="2145" t="n"/>
      <c r="K201" s="2145" t="n"/>
      <c r="L201" s="2145" t="n"/>
      <c r="M201" s="2145" t="n"/>
    </row>
    <row r="202" customFormat="1" s="1916">
      <c r="A202" s="53" t="n"/>
      <c r="B202" s="93" t="n"/>
      <c r="C202" s="2145" t="n"/>
      <c r="D202" s="2145" t="n"/>
      <c r="E202" s="2145" t="n"/>
      <c r="F202" s="111" t="n"/>
      <c r="G202" s="53" t="n"/>
      <c r="H202" s="53" t="n"/>
      <c r="I202" s="93" t="n"/>
      <c r="J202" s="2145" t="n"/>
      <c r="K202" s="2145" t="n"/>
      <c r="L202" s="2145" t="n"/>
      <c r="M202" s="2145" t="n"/>
    </row>
    <row r="203" customFormat="1" s="1916">
      <c r="A203" s="53" t="n"/>
      <c r="B203" s="93" t="n"/>
      <c r="C203" s="2145" t="n"/>
      <c r="D203" s="2145" t="n"/>
      <c r="E203" s="2145" t="n"/>
      <c r="F203" s="111" t="n"/>
      <c r="G203" s="53" t="n"/>
      <c r="H203" s="53" t="n"/>
      <c r="I203" s="93" t="n"/>
      <c r="J203" s="2145" t="n"/>
      <c r="K203" s="2145" t="n"/>
      <c r="L203" s="2145" t="n"/>
      <c r="M203" s="2145" t="n"/>
    </row>
    <row r="204" customFormat="1" s="1916">
      <c r="A204" s="53" t="n"/>
      <c r="B204" s="93" t="n"/>
      <c r="C204" s="2145" t="n"/>
      <c r="D204" s="2145" t="n"/>
      <c r="E204" s="2145" t="n"/>
      <c r="F204" s="53" t="n"/>
      <c r="G204" s="53" t="n"/>
      <c r="H204" s="53" t="n"/>
      <c r="I204" s="93" t="n"/>
      <c r="J204" s="2145" t="n"/>
      <c r="K204" s="2145" t="n"/>
      <c r="L204" s="2145" t="n"/>
      <c r="M204" s="2145" t="n"/>
    </row>
    <row r="205" customFormat="1" s="1916">
      <c r="A205" s="53" t="n"/>
      <c r="B205" s="93" t="n"/>
      <c r="C205" s="2145" t="n"/>
      <c r="D205" s="2145" t="n"/>
      <c r="E205" s="2145" t="n"/>
      <c r="F205" s="53" t="n"/>
      <c r="G205" s="53" t="n"/>
      <c r="H205" s="53" t="n"/>
      <c r="I205" s="93" t="n"/>
      <c r="J205" s="2145" t="n"/>
      <c r="K205" s="2145" t="n"/>
      <c r="L205" s="2145" t="n"/>
      <c r="M205" s="2145" t="n"/>
    </row>
    <row r="206" customFormat="1" s="1916">
      <c r="A206" s="103" t="n"/>
      <c r="B206" s="103" t="n"/>
      <c r="C206" s="2147" t="n"/>
      <c r="D206" s="2147" t="n"/>
      <c r="E206" s="2147" t="n"/>
      <c r="F206" s="53" t="n"/>
      <c r="G206" s="53" t="n"/>
      <c r="H206" s="103" t="n"/>
      <c r="I206" s="103" t="n"/>
      <c r="J206" s="2147" t="n"/>
      <c r="K206" s="2147" t="n"/>
      <c r="L206" s="2147" t="n"/>
      <c r="M206" s="2147" t="n"/>
    </row>
    <row r="207" customFormat="1" s="1916">
      <c r="A207" s="53" t="n"/>
      <c r="B207" s="53" t="n"/>
      <c r="C207" s="2145" t="n"/>
      <c r="D207" s="2145" t="n"/>
      <c r="E207" s="2145" t="n"/>
      <c r="F207" s="53" t="n"/>
      <c r="G207" s="53" t="n"/>
    </row>
    <row r="208" customFormat="1" s="1916">
      <c r="A208" s="53" t="n"/>
      <c r="B208" s="53" t="n"/>
      <c r="C208" s="2145" t="n"/>
      <c r="D208" s="2145" t="n"/>
      <c r="E208" s="2147" t="n"/>
      <c r="F208" s="53" t="n"/>
      <c r="G208" s="53" t="n"/>
    </row>
    <row r="209" customFormat="1" s="1916">
      <c r="A209" s="53" t="n"/>
      <c r="B209" s="53" t="n"/>
      <c r="C209" s="2145" t="n"/>
      <c r="D209" s="2145" t="n"/>
      <c r="E209" s="2145" t="n"/>
      <c r="F209" s="53" t="n"/>
      <c r="G209" s="53" t="n"/>
    </row>
    <row r="210" customFormat="1" s="1916">
      <c r="A210" s="53" t="n"/>
      <c r="B210" s="53" t="n"/>
      <c r="C210" s="2145" t="n"/>
      <c r="D210" s="2145" t="n"/>
      <c r="E210" s="2145" t="n"/>
      <c r="F210" s="53" t="n"/>
      <c r="G210" s="53" t="n"/>
    </row>
    <row r="211" customFormat="1" s="1916">
      <c r="A211" s="53" t="n"/>
      <c r="B211" s="112" t="n"/>
      <c r="C211" s="2145" t="n"/>
      <c r="D211" s="2145" t="n"/>
      <c r="E211" s="2145" t="n"/>
      <c r="F211" s="53" t="n"/>
      <c r="G211" s="53" t="n"/>
    </row>
    <row r="212" customFormat="1" s="1916">
      <c r="A212" s="53" t="n"/>
      <c r="B212" s="112" t="n"/>
      <c r="C212" s="2145" t="n"/>
      <c r="D212" s="2145" t="n"/>
      <c r="E212" s="2145" t="n"/>
      <c r="F212" s="53" t="n"/>
      <c r="G212" s="53" t="n"/>
    </row>
    <row r="213" customFormat="1" s="1916">
      <c r="A213" s="53" t="n"/>
      <c r="B213" s="113" t="n"/>
      <c r="C213" s="2145" t="n"/>
      <c r="D213" s="2145" t="n"/>
      <c r="E213" s="2145" t="n"/>
      <c r="F213" s="53" t="n"/>
      <c r="G213" s="53" t="n"/>
    </row>
    <row r="214" customFormat="1" s="1916">
      <c r="A214" s="53" t="n"/>
      <c r="B214" s="113" t="n"/>
      <c r="C214" s="2145" t="n"/>
      <c r="D214" s="2145" t="n"/>
      <c r="E214" s="2145" t="n"/>
      <c r="F214" s="53" t="n"/>
      <c r="G214" s="53" t="n"/>
    </row>
    <row r="215" customFormat="1" s="1916">
      <c r="A215" s="53" t="n"/>
      <c r="B215" s="113" t="n"/>
      <c r="C215" s="2145" t="n"/>
      <c r="D215" s="2145" t="n"/>
      <c r="E215" s="2145" t="n"/>
      <c r="F215" s="53" t="n"/>
      <c r="G215" s="53" t="n"/>
    </row>
    <row r="216" customFormat="1" s="1916">
      <c r="A216" s="53" t="n"/>
      <c r="B216" s="113" t="n"/>
      <c r="C216" s="2145" t="n"/>
      <c r="D216" s="2145" t="n"/>
      <c r="E216" s="2145" t="n"/>
      <c r="F216" s="53" t="n"/>
      <c r="G216" s="53" t="n"/>
    </row>
    <row r="217" customFormat="1" s="1916">
      <c r="A217" s="53" t="n"/>
      <c r="B217" s="112" t="n"/>
      <c r="C217" s="2145" t="n"/>
      <c r="D217" s="2145" t="n"/>
      <c r="E217" s="2145" t="n"/>
      <c r="F217" s="53" t="n"/>
      <c r="G217" s="53" t="n"/>
    </row>
    <row r="218" customFormat="1" s="1916">
      <c r="A218" s="53" t="n"/>
      <c r="B218" s="113" t="n"/>
      <c r="C218" s="2145" t="n"/>
      <c r="D218" s="2145" t="n"/>
      <c r="E218" s="2149" t="n"/>
      <c r="F218" s="53" t="n"/>
      <c r="G218" s="53" t="n"/>
      <c r="P218" s="53" t="n"/>
    </row>
    <row r="219" customFormat="1" s="1916">
      <c r="A219" s="53" t="n"/>
      <c r="B219" s="113" t="n"/>
      <c r="C219" s="2145" t="n"/>
      <c r="D219" s="2145" t="n"/>
      <c r="E219" s="2145" t="n"/>
      <c r="F219" s="53" t="n"/>
      <c r="G219" s="53" t="n"/>
      <c r="H219" s="53" t="n"/>
      <c r="J219" s="2154" t="n"/>
      <c r="P219" s="53" t="n"/>
    </row>
    <row r="220" customFormat="1" s="1916">
      <c r="A220" s="53" t="n"/>
      <c r="B220" s="53" t="n"/>
      <c r="C220" s="2145" t="n"/>
      <c r="D220" s="2145" t="n"/>
      <c r="E220" s="2145" t="n"/>
      <c r="F220" s="2145" t="n"/>
      <c r="G220" s="2145" t="n"/>
      <c r="P220" s="53" t="n"/>
    </row>
    <row r="221" customFormat="1" s="1916">
      <c r="A221" s="53" t="n"/>
      <c r="B221" s="53" t="n"/>
      <c r="C221" s="2145" t="n"/>
      <c r="D221" s="2145" t="n"/>
      <c r="E221" s="2145" t="n"/>
      <c r="G221" s="540" t="n"/>
      <c r="P221" s="53" t="n"/>
    </row>
    <row r="222" customFormat="1" s="1916">
      <c r="E222" s="2145" t="n"/>
      <c r="N222" s="53" t="n"/>
      <c r="O222" s="53" t="n"/>
      <c r="P222" s="53" t="n"/>
      <c r="Q222" s="53" t="n"/>
      <c r="R222" s="53" t="n"/>
    </row>
    <row r="223" customFormat="1" s="1916">
      <c r="N223" s="53" t="n"/>
      <c r="O223" s="53" t="n"/>
      <c r="P223" s="53" t="n"/>
      <c r="Q223" s="53" t="n"/>
      <c r="R223" s="53" t="n"/>
    </row>
    <row r="224" customFormat="1" s="1916">
      <c r="N224" s="53" t="n"/>
      <c r="O224" s="53" t="n"/>
      <c r="P224" s="53" t="n"/>
      <c r="Q224" s="53" t="n"/>
      <c r="R224" s="53" t="n"/>
    </row>
    <row r="225" customFormat="1" s="1916">
      <c r="A225" s="53" t="n"/>
      <c r="B225" s="53" t="n"/>
      <c r="C225" s="53" t="n"/>
      <c r="D225" s="53" t="n"/>
      <c r="E225" s="53" t="n"/>
      <c r="N225" s="53" t="n"/>
      <c r="O225" s="53" t="n"/>
      <c r="P225" s="53" t="n"/>
      <c r="Q225" s="53" t="n"/>
      <c r="R225" s="53" t="n"/>
    </row>
    <row r="226" customFormat="1" s="1916">
      <c r="A226" s="53" t="n"/>
      <c r="B226" s="53" t="n"/>
      <c r="C226" s="53" t="n"/>
      <c r="D226" s="53" t="n"/>
      <c r="E226" s="53" t="n"/>
      <c r="F226" s="53" t="n"/>
      <c r="G226" s="53" t="n"/>
      <c r="N226" s="53" t="n"/>
      <c r="O226" s="53" t="n"/>
      <c r="P226" s="53" t="n"/>
      <c r="Q226" s="53" t="n"/>
      <c r="R226" s="2145" t="n"/>
    </row>
    <row r="227" customFormat="1" s="1916">
      <c r="A227" s="53" t="n"/>
      <c r="B227" s="2155" t="n"/>
      <c r="C227" s="2145" t="n"/>
      <c r="D227" s="2145" t="n"/>
      <c r="E227" s="2145" t="n"/>
      <c r="F227" s="2285" t="n"/>
      <c r="G227" s="53" t="n"/>
      <c r="N227" s="53" t="n"/>
      <c r="O227" s="53" t="n"/>
      <c r="P227" s="2145" t="n"/>
      <c r="Q227" s="2145" t="n"/>
      <c r="R227" s="2145" t="n"/>
      <c r="S227" s="53" t="n"/>
      <c r="T227" s="53" t="n"/>
    </row>
    <row r="228" customFormat="1" s="1916">
      <c r="A228" s="53" t="n"/>
      <c r="B228" s="53" t="n"/>
      <c r="C228" s="2145" t="n"/>
      <c r="D228" s="2145" t="n"/>
      <c r="E228" s="2145" t="n"/>
      <c r="F228" s="53" t="n"/>
      <c r="G228" s="53" t="n"/>
      <c r="N228" s="53" t="n"/>
      <c r="O228" s="53" t="n"/>
      <c r="P228" s="2145" t="n"/>
      <c r="Q228" s="2285" t="n"/>
      <c r="R228" s="2145" t="n"/>
      <c r="S228" s="53" t="n"/>
      <c r="T228" s="53" t="n"/>
    </row>
    <row r="229" customFormat="1" s="1916">
      <c r="A229" s="53" t="n"/>
      <c r="B229" s="53" t="n"/>
      <c r="C229" s="2145" t="n"/>
      <c r="D229" s="2145" t="n"/>
      <c r="E229" s="2145" t="n"/>
      <c r="F229" s="53" t="n"/>
      <c r="G229" s="53" t="n"/>
      <c r="N229" s="53" t="n"/>
      <c r="O229" s="53" t="n"/>
      <c r="P229" s="2145" t="n"/>
      <c r="Q229" s="2285" t="n"/>
      <c r="R229" s="2145" t="n"/>
      <c r="S229" s="53" t="n"/>
      <c r="T229" s="53" t="n"/>
    </row>
    <row r="230" customFormat="1" s="1916">
      <c r="A230" s="53" t="n"/>
      <c r="B230" s="53" t="n"/>
      <c r="C230" s="2145" t="n"/>
      <c r="D230" s="2145" t="n"/>
      <c r="E230" s="2145" t="n"/>
      <c r="F230" s="53" t="n"/>
      <c r="G230" s="53" t="n"/>
      <c r="N230" s="53" t="n"/>
      <c r="O230" s="2145" t="n"/>
      <c r="P230" s="2149" t="n"/>
      <c r="Q230" s="53" t="n"/>
      <c r="R230" s="53" t="n"/>
      <c r="S230" s="53" t="n"/>
      <c r="T230" s="53" t="n"/>
      <c r="U230" s="53" t="n"/>
    </row>
    <row r="231" customFormat="1" s="1916">
      <c r="A231" s="53" t="n"/>
      <c r="B231" s="53" t="n"/>
      <c r="C231" s="2145" t="n"/>
      <c r="D231" s="2145" t="n"/>
      <c r="E231" s="2145" t="n"/>
      <c r="F231" s="53" t="n"/>
      <c r="G231" s="53" t="n"/>
      <c r="N231" s="53" t="n"/>
      <c r="O231" s="53" t="n"/>
      <c r="P231" s="2149" t="n"/>
      <c r="Q231" s="53" t="n"/>
      <c r="R231" s="53" t="n"/>
      <c r="S231" s="2145" t="n"/>
      <c r="T231" s="2145" t="n"/>
      <c r="U231" s="53" t="n"/>
    </row>
    <row r="232" customFormat="1" s="1916">
      <c r="A232" s="53" t="n"/>
      <c r="B232" s="53" t="n"/>
      <c r="C232" s="2145" t="n"/>
      <c r="D232" s="2145" t="n"/>
      <c r="E232" s="2145" t="n"/>
      <c r="F232" s="53" t="n"/>
      <c r="G232" s="53" t="n"/>
      <c r="N232" s="53" t="n"/>
      <c r="O232" s="53" t="n"/>
      <c r="P232" s="2149" t="n"/>
      <c r="Q232" s="53" t="n"/>
      <c r="R232" s="53" t="n"/>
      <c r="S232" s="2145" t="n"/>
      <c r="T232" s="2145" t="n"/>
      <c r="U232" s="53" t="n"/>
    </row>
    <row r="233" customFormat="1" s="1916">
      <c r="A233" s="53" t="n"/>
      <c r="B233" s="53" t="n"/>
      <c r="C233" s="2145" t="n"/>
      <c r="D233" s="2145" t="n"/>
      <c r="E233" s="2145" t="n"/>
      <c r="F233" s="53" t="n"/>
      <c r="G233" s="53" t="n"/>
      <c r="N233" s="53" t="n"/>
      <c r="O233" s="53" t="n"/>
      <c r="P233" s="2149" t="n"/>
      <c r="Q233" s="53" t="n"/>
      <c r="R233" s="53" t="n"/>
      <c r="S233" s="2145" t="n"/>
      <c r="T233" s="2145" t="n"/>
      <c r="U233" s="53" t="n"/>
    </row>
    <row r="234" customFormat="1" s="1916">
      <c r="A234" s="53" t="n"/>
      <c r="B234" s="53" t="n"/>
      <c r="C234" s="2145" t="n"/>
      <c r="D234" s="2145" t="n"/>
      <c r="E234" s="2145" t="n"/>
      <c r="F234" s="53" t="n"/>
      <c r="G234" s="53" t="n"/>
      <c r="N234" s="53" t="n"/>
      <c r="O234" s="53" t="n"/>
      <c r="P234" s="2149" t="n"/>
      <c r="Q234" s="53" t="n"/>
      <c r="R234" s="53" t="n"/>
      <c r="S234" s="2145" t="n"/>
      <c r="T234" s="2145" t="n"/>
      <c r="U234" s="53" t="n"/>
    </row>
    <row r="235" customFormat="1" s="1916">
      <c r="A235" s="53" t="n"/>
      <c r="B235" s="53" t="n"/>
      <c r="C235" s="2145" t="n"/>
      <c r="D235" s="2145" t="n"/>
      <c r="E235" s="2145" t="n"/>
      <c r="F235" s="53" t="n"/>
      <c r="G235" s="53" t="n"/>
      <c r="N235" s="53" t="n"/>
      <c r="O235" s="53" t="n"/>
      <c r="P235" s="2149" t="n"/>
      <c r="Q235" s="53" t="n"/>
      <c r="R235" s="53" t="n"/>
      <c r="S235" s="53" t="n"/>
      <c r="T235" s="53" t="n"/>
      <c r="U235" s="53" t="n"/>
    </row>
    <row r="236" customFormat="1" s="1916">
      <c r="A236" s="53" t="n"/>
      <c r="B236" s="53" t="n"/>
      <c r="C236" s="2145" t="n"/>
      <c r="D236" s="2145" t="n"/>
      <c r="E236" s="2145" t="n"/>
      <c r="F236" s="53" t="n"/>
      <c r="G236" s="53" t="n"/>
      <c r="N236" s="53" t="n"/>
      <c r="O236" s="53" t="n"/>
      <c r="P236" s="2149" t="n"/>
      <c r="Q236" s="53" t="n"/>
      <c r="R236" s="53" t="n"/>
      <c r="S236" s="53" t="n"/>
      <c r="T236" s="53" t="n"/>
      <c r="U236" s="53" t="n"/>
    </row>
    <row r="237" customFormat="1" s="1916">
      <c r="A237" s="53" t="n"/>
      <c r="B237" s="53" t="n"/>
      <c r="C237" s="2145" t="n"/>
      <c r="D237" s="2145" t="n"/>
      <c r="E237" s="2145" t="n"/>
      <c r="F237" s="53" t="n"/>
      <c r="G237" s="53" t="n"/>
      <c r="S237" s="53" t="n"/>
      <c r="T237" s="53" t="n"/>
      <c r="U237" s="53" t="n"/>
    </row>
    <row r="238" customFormat="1" s="1916">
      <c r="A238" s="53" t="n"/>
      <c r="B238" s="53" t="n"/>
      <c r="C238" s="2145" t="n"/>
      <c r="D238" s="2145" t="n"/>
      <c r="E238" s="2145" t="n"/>
      <c r="F238" s="53" t="n"/>
      <c r="G238" s="53" t="n"/>
      <c r="S238" s="53" t="n"/>
      <c r="T238" s="53" t="n"/>
      <c r="U238" s="53" t="n"/>
    </row>
    <row r="239" customFormat="1" s="1916">
      <c r="A239" s="53" t="n"/>
      <c r="B239" s="53" t="n"/>
      <c r="C239" s="2145" t="n"/>
      <c r="D239" s="2145" t="n"/>
      <c r="E239" s="2145" t="n"/>
      <c r="F239" s="2285" t="n"/>
      <c r="G239" s="53" t="n"/>
      <c r="S239" s="53" t="n"/>
      <c r="T239" s="53" t="n"/>
      <c r="U239" s="53" t="n"/>
    </row>
    <row r="240" customFormat="1" s="1916">
      <c r="A240" s="53" t="n"/>
      <c r="B240" s="53" t="n"/>
      <c r="C240" s="2145" t="n"/>
      <c r="D240" s="2145" t="n"/>
      <c r="E240" s="2145" t="n"/>
      <c r="F240" s="53" t="n"/>
      <c r="G240" s="53" t="n"/>
      <c r="S240" s="53" t="n"/>
      <c r="T240" s="53" t="n"/>
      <c r="U240" s="53" t="n"/>
    </row>
    <row r="241" customFormat="1" s="1916">
      <c r="A241" s="53" t="n"/>
      <c r="B241" s="53" t="n"/>
      <c r="C241" s="2145" t="n"/>
      <c r="D241" s="2145" t="n"/>
      <c r="E241" s="2145" t="n"/>
      <c r="F241" s="53" t="n"/>
      <c r="G241" s="53" t="n"/>
      <c r="S241" s="53" t="n"/>
      <c r="T241" s="53" t="n"/>
      <c r="U241" s="53" t="n"/>
    </row>
    <row r="242" customFormat="1" s="1916">
      <c r="A242" s="53" t="n"/>
      <c r="B242" s="53" t="n"/>
      <c r="C242" s="2145" t="n"/>
      <c r="D242" s="2145" t="n"/>
      <c r="E242" s="2145" t="n"/>
      <c r="F242" s="53" t="n"/>
      <c r="G242" s="53" t="n"/>
    </row>
    <row r="243" customFormat="1" s="1916">
      <c r="A243" s="53" t="n"/>
      <c r="B243" s="53" t="n"/>
      <c r="C243" s="2145" t="n"/>
      <c r="D243" s="2145" t="n"/>
      <c r="E243" s="2145" t="n"/>
      <c r="F243" s="53" t="n"/>
      <c r="G243" s="53" t="n"/>
    </row>
    <row r="244" customFormat="1" s="1916">
      <c r="A244" s="103" t="n"/>
      <c r="B244" s="103" t="n"/>
      <c r="C244" s="2147" t="n"/>
      <c r="D244" s="2147" t="n"/>
      <c r="E244" s="2147" t="n"/>
      <c r="F244" s="53" t="n"/>
      <c r="G244" s="53" t="n"/>
    </row>
    <row r="245" customFormat="1" s="1916">
      <c r="A245" s="103" t="n"/>
      <c r="B245" s="105" t="n"/>
      <c r="C245" s="2147" t="n"/>
      <c r="D245" s="2147" t="n"/>
      <c r="E245" s="2147" t="n"/>
      <c r="F245" s="53" t="n"/>
      <c r="G245" s="53" t="n"/>
    </row>
    <row r="246" customFormat="1" s="1916">
      <c r="A246" s="103" t="n"/>
      <c r="B246" s="103" t="n"/>
      <c r="C246" s="2147" t="n"/>
      <c r="D246" s="2147" t="n"/>
      <c r="E246" s="2147" t="n"/>
      <c r="F246" s="53" t="n"/>
      <c r="G246" s="53" t="n"/>
    </row>
    <row r="247" customFormat="1" s="1916">
      <c r="A247" s="103" t="n"/>
      <c r="B247" s="105" t="n"/>
      <c r="C247" s="2147" t="n"/>
      <c r="D247" s="2147" t="n"/>
      <c r="E247" s="2147" t="n"/>
      <c r="F247" s="53" t="n"/>
      <c r="H247" s="53" t="n"/>
      <c r="I247" s="53" t="n"/>
      <c r="J247" s="53" t="n"/>
      <c r="K247" s="53" t="n"/>
      <c r="L247" s="53" t="n"/>
      <c r="M247" s="53" t="n"/>
      <c r="N247" s="53" t="n"/>
    </row>
    <row r="248" customFormat="1" s="1916">
      <c r="A248" s="53" t="n"/>
      <c r="B248" s="53" t="n"/>
      <c r="C248" s="2145" t="n"/>
      <c r="D248" s="2145" t="n"/>
      <c r="E248" s="2145" t="n"/>
      <c r="F248" s="53" t="n"/>
      <c r="H248" s="53" t="n"/>
      <c r="I248" s="53" t="n"/>
      <c r="J248" s="53" t="n"/>
      <c r="K248" s="106" t="n"/>
      <c r="L248" s="106" t="n"/>
      <c r="M248" s="106" t="n"/>
      <c r="N248" s="106" t="n"/>
    </row>
    <row r="249" customFormat="1" s="1916">
      <c r="A249" s="3" t="n"/>
      <c r="B249" s="2285" t="n"/>
      <c r="C249" s="3" t="n"/>
      <c r="D249" s="3" t="n"/>
      <c r="E249" s="2285" t="n"/>
      <c r="F249" s="107" t="n"/>
      <c r="H249" s="53" t="n"/>
      <c r="I249" s="540" t="n"/>
      <c r="J249" s="53" t="n"/>
      <c r="K249" s="106" t="n"/>
      <c r="L249" s="106" t="n"/>
      <c r="M249" s="106" t="n"/>
      <c r="N249" s="106" t="n"/>
    </row>
    <row r="250" customFormat="1" s="1916">
      <c r="A250" s="53" t="n"/>
      <c r="B250" s="53" t="n"/>
      <c r="C250" s="53" t="n"/>
      <c r="D250" s="53" t="n"/>
      <c r="E250" s="53" t="n"/>
      <c r="F250" s="107" t="n"/>
      <c r="H250" s="53" t="n"/>
      <c r="I250" s="53" t="n"/>
      <c r="J250" s="53" t="n"/>
      <c r="K250" s="2145" t="n"/>
      <c r="L250" s="2145" t="n"/>
      <c r="M250" s="2145" t="n"/>
      <c r="N250" s="53" t="n"/>
    </row>
    <row r="251" customFormat="1" s="1916">
      <c r="A251" s="53" t="n"/>
      <c r="B251" s="53" t="n"/>
      <c r="C251" s="53" t="n"/>
      <c r="D251" s="53" t="n"/>
      <c r="E251" s="106" t="n"/>
      <c r="F251" s="106" t="n"/>
      <c r="H251" s="53" t="n"/>
      <c r="I251" s="93" t="n"/>
      <c r="J251" s="2145" t="n"/>
      <c r="K251" s="2145" t="n"/>
      <c r="L251" s="2145" t="n"/>
      <c r="M251" s="2145" t="n"/>
      <c r="N251" s="106" t="n"/>
    </row>
    <row r="252" customFormat="1" s="1916">
      <c r="A252" s="53" t="n"/>
      <c r="B252" s="53" t="n"/>
      <c r="C252" s="53" t="n"/>
      <c r="D252" s="53" t="n"/>
      <c r="E252" s="53" t="n"/>
      <c r="F252" s="53" t="n"/>
      <c r="H252" s="53" t="n"/>
      <c r="I252" s="93" t="n"/>
      <c r="J252" s="2145" t="n"/>
      <c r="K252" s="2145" t="n"/>
      <c r="L252" s="2145" t="n"/>
      <c r="M252" s="2145" t="n"/>
      <c r="N252" s="53" t="n"/>
    </row>
    <row r="253" customFormat="1" s="1916">
      <c r="A253" s="53" t="n"/>
      <c r="B253" s="53" t="n"/>
      <c r="C253" s="53" t="n"/>
      <c r="D253" s="53" t="n"/>
      <c r="E253" s="106" t="n"/>
      <c r="F253" s="106" t="n"/>
      <c r="H253" s="53" t="n"/>
      <c r="I253" s="93" t="n"/>
      <c r="J253" s="2145" t="n"/>
      <c r="K253" s="2145" t="n"/>
      <c r="L253" s="2145" t="n"/>
      <c r="M253" s="2145" t="n"/>
      <c r="N253" s="106" t="n"/>
    </row>
    <row r="254" customFormat="1" s="1916">
      <c r="A254" s="53" t="n"/>
      <c r="B254" s="53" t="n"/>
      <c r="C254" s="53" t="n"/>
      <c r="D254" s="53" t="n"/>
      <c r="E254" s="2286" t="n"/>
      <c r="F254" s="2286" t="n"/>
      <c r="G254" s="53" t="n"/>
      <c r="H254" s="103" t="n"/>
      <c r="I254" s="103" t="n"/>
      <c r="J254" s="2147" t="n"/>
      <c r="K254" s="2147" t="n"/>
      <c r="L254" s="2147" t="n"/>
      <c r="M254" s="2145" t="n"/>
      <c r="N254" s="106" t="n"/>
    </row>
    <row r="255" customFormat="1" s="1916">
      <c r="A255" s="53" t="n"/>
      <c r="B255" s="53" t="n"/>
      <c r="C255" s="2145" t="n"/>
      <c r="D255" s="2145" t="n"/>
      <c r="E255" s="2145" t="n"/>
      <c r="F255" s="2145" t="n"/>
      <c r="G255" s="53" t="n"/>
      <c r="H255" s="53" t="n"/>
      <c r="I255" s="53" t="n"/>
    </row>
    <row r="256" customFormat="1" s="1916">
      <c r="A256" s="53" t="n"/>
      <c r="B256" s="53" t="n"/>
      <c r="C256" s="53" t="n"/>
      <c r="D256" s="53" t="n"/>
      <c r="E256" s="2145" t="n"/>
      <c r="F256" s="53" t="n"/>
      <c r="G256" s="53" t="n"/>
      <c r="H256" s="110" t="n"/>
      <c r="I256" s="53" t="n"/>
      <c r="J256" s="53" t="n"/>
      <c r="K256" s="2145" t="n"/>
      <c r="L256" s="2145" t="n"/>
      <c r="M256" s="2145" t="n"/>
    </row>
    <row r="257" customFormat="1" s="1916">
      <c r="A257" s="53" t="n"/>
      <c r="B257" s="93" t="n"/>
      <c r="C257" s="2145" t="n"/>
      <c r="D257" s="2145" t="n"/>
      <c r="E257" s="2145" t="n"/>
      <c r="F257" s="53" t="n"/>
      <c r="G257" s="53" t="n"/>
      <c r="H257" s="2285" t="n"/>
      <c r="I257" s="93" t="n"/>
      <c r="J257" s="2145" t="n"/>
      <c r="K257" s="2145" t="n"/>
      <c r="L257" s="2145" t="n"/>
      <c r="M257" s="2145" t="n"/>
    </row>
    <row r="258" customFormat="1" s="1916">
      <c r="A258" s="53" t="n"/>
      <c r="B258" s="93" t="n"/>
      <c r="C258" s="2145" t="n"/>
      <c r="D258" s="2145" t="n"/>
      <c r="E258" s="2145" t="n"/>
      <c r="F258" s="53" t="n"/>
      <c r="G258" s="53" t="n"/>
      <c r="H258" s="53" t="n"/>
      <c r="I258" s="93" t="n"/>
      <c r="J258" s="2145" t="n"/>
      <c r="K258" s="2145" t="n"/>
      <c r="L258" s="2145" t="n"/>
      <c r="M258" s="2145" t="n"/>
    </row>
    <row r="259" customFormat="1" s="1916">
      <c r="A259" s="53" t="n"/>
      <c r="B259" s="93" t="n"/>
      <c r="C259" s="2145" t="n"/>
      <c r="D259" s="2145" t="n"/>
      <c r="E259" s="2145" t="n"/>
      <c r="F259" s="53" t="n"/>
      <c r="G259" s="53" t="n"/>
      <c r="H259" s="53" t="n"/>
      <c r="I259" s="93" t="n"/>
      <c r="J259" s="2145" t="n"/>
      <c r="K259" s="2145" t="n"/>
      <c r="L259" s="2145" t="n"/>
      <c r="M259" s="2145" t="n"/>
    </row>
    <row r="260" customFormat="1" s="1916">
      <c r="A260" s="53" t="n"/>
      <c r="B260" s="93" t="n"/>
      <c r="C260" s="2145" t="n"/>
      <c r="D260" s="2145" t="n"/>
      <c r="E260" s="2145" t="n"/>
      <c r="F260" s="111" t="n"/>
      <c r="G260" s="53" t="n"/>
      <c r="H260" s="53" t="n"/>
      <c r="I260" s="93" t="n"/>
      <c r="J260" s="2145" t="n"/>
      <c r="K260" s="2145" t="n"/>
      <c r="L260" s="2145" t="n"/>
      <c r="M260" s="2145" t="n"/>
    </row>
    <row r="261" customFormat="1" s="1916">
      <c r="A261" s="53" t="n"/>
      <c r="B261" s="93" t="n"/>
      <c r="C261" s="2145" t="n"/>
      <c r="D261" s="2145" t="n"/>
      <c r="E261" s="2145" t="n"/>
      <c r="F261" s="111" t="n"/>
      <c r="G261" s="53" t="n"/>
      <c r="H261" s="53" t="n"/>
      <c r="I261" s="93" t="n"/>
      <c r="J261" s="2145" t="n"/>
      <c r="K261" s="2145" t="n"/>
      <c r="L261" s="2145" t="n"/>
      <c r="M261" s="2145" t="n"/>
    </row>
    <row r="262" customFormat="1" s="1916">
      <c r="A262" s="53" t="n"/>
      <c r="B262" s="93" t="n"/>
      <c r="C262" s="2145" t="n"/>
      <c r="D262" s="2145" t="n"/>
      <c r="E262" s="2145" t="n"/>
      <c r="F262" s="53" t="n"/>
      <c r="G262" s="53" t="n"/>
      <c r="H262" s="53" t="n"/>
      <c r="I262" s="93" t="n"/>
      <c r="J262" s="2145" t="n"/>
      <c r="K262" s="2145" t="n"/>
      <c r="L262" s="2145" t="n"/>
      <c r="M262" s="2145" t="n"/>
    </row>
    <row r="263" customFormat="1" s="1916">
      <c r="A263" s="53" t="n"/>
      <c r="B263" s="93" t="n"/>
      <c r="C263" s="2145" t="n"/>
      <c r="D263" s="2145" t="n"/>
      <c r="E263" s="2145" t="n"/>
      <c r="F263" s="53" t="n"/>
      <c r="G263" s="53" t="n"/>
      <c r="H263" s="53" t="n"/>
      <c r="I263" s="93" t="n"/>
      <c r="J263" s="2145" t="n"/>
      <c r="K263" s="2145" t="n"/>
      <c r="L263" s="2145" t="n"/>
      <c r="M263" s="2145" t="n"/>
    </row>
    <row r="264" customFormat="1" s="1916">
      <c r="A264" s="103" t="n"/>
      <c r="B264" s="103" t="n"/>
      <c r="C264" s="2147" t="n"/>
      <c r="D264" s="2147" t="n"/>
      <c r="E264" s="2147" t="n"/>
      <c r="F264" s="53" t="n"/>
      <c r="G264" s="53" t="n"/>
      <c r="H264" s="103" t="n"/>
      <c r="I264" s="103" t="n"/>
      <c r="J264" s="2147" t="n"/>
      <c r="K264" s="2147" t="n"/>
      <c r="L264" s="2147" t="n"/>
      <c r="M264" s="2147" t="n"/>
    </row>
    <row r="265" customFormat="1" s="1916">
      <c r="A265" s="53" t="n"/>
      <c r="B265" s="53" t="n"/>
      <c r="C265" s="2145" t="n"/>
      <c r="D265" s="2145" t="n"/>
      <c r="E265" s="2145" t="n"/>
      <c r="F265" s="53" t="n"/>
      <c r="G265" s="53" t="n"/>
    </row>
    <row r="266" customFormat="1" s="1916">
      <c r="A266" s="53" t="n"/>
      <c r="B266" s="53" t="n"/>
      <c r="C266" s="2145" t="n"/>
      <c r="D266" s="2145" t="n"/>
      <c r="E266" s="2147" t="n"/>
      <c r="F266" s="53" t="n"/>
      <c r="G266" s="53" t="n"/>
    </row>
    <row r="267" customFormat="1" s="1916">
      <c r="A267" s="53" t="n"/>
      <c r="B267" s="53" t="n"/>
      <c r="C267" s="2145" t="n"/>
      <c r="D267" s="2145" t="n"/>
      <c r="E267" s="2145" t="n"/>
      <c r="F267" s="53" t="n"/>
      <c r="G267" s="53" t="n"/>
    </row>
    <row r="268" customFormat="1" s="1916">
      <c r="A268" s="53" t="n"/>
      <c r="B268" s="53" t="n"/>
      <c r="C268" s="2145" t="n"/>
      <c r="D268" s="2145" t="n"/>
      <c r="E268" s="2145" t="n"/>
      <c r="F268" s="53" t="n"/>
      <c r="G268" s="53" t="n"/>
    </row>
    <row r="269" customFormat="1" s="1916">
      <c r="A269" s="53" t="n"/>
      <c r="B269" s="112" t="n"/>
      <c r="C269" s="2145" t="n"/>
      <c r="D269" s="2145" t="n"/>
      <c r="E269" s="2145" t="n"/>
      <c r="F269" s="53" t="n"/>
      <c r="G269" s="53" t="n"/>
    </row>
    <row r="270" customFormat="1" s="1916">
      <c r="A270" s="53" t="n"/>
      <c r="B270" s="112" t="n"/>
      <c r="C270" s="2145" t="n"/>
      <c r="D270" s="2145" t="n"/>
      <c r="E270" s="2145" t="n"/>
      <c r="F270" s="53" t="n"/>
      <c r="G270" s="53" t="n"/>
    </row>
    <row r="271" customFormat="1" s="1916">
      <c r="A271" s="53" t="n"/>
      <c r="B271" s="113" t="n"/>
      <c r="C271" s="2145" t="n"/>
      <c r="D271" s="2145" t="n"/>
      <c r="E271" s="2145" t="n"/>
      <c r="F271" s="53" t="n"/>
      <c r="G271" s="53" t="n"/>
    </row>
    <row r="272" customFormat="1" s="1916">
      <c r="A272" s="53" t="n"/>
      <c r="B272" s="113" t="n"/>
      <c r="C272" s="2145" t="n"/>
      <c r="D272" s="2145" t="n"/>
      <c r="E272" s="2145" t="n"/>
      <c r="F272" s="53" t="n"/>
      <c r="G272" s="53" t="n"/>
    </row>
    <row r="273" customFormat="1" s="1916">
      <c r="A273" s="53" t="n"/>
      <c r="B273" s="113" t="n"/>
      <c r="C273" s="2145" t="n"/>
      <c r="D273" s="2145" t="n"/>
      <c r="E273" s="2145" t="n"/>
      <c r="F273" s="53" t="n"/>
      <c r="G273" s="53" t="n"/>
    </row>
    <row r="274" customFormat="1" s="1916">
      <c r="A274" s="53" t="n"/>
      <c r="B274" s="113" t="n"/>
      <c r="C274" s="2145" t="n"/>
      <c r="D274" s="2145" t="n"/>
      <c r="E274" s="2145" t="n"/>
      <c r="F274" s="53" t="n"/>
      <c r="G274" s="53" t="n"/>
    </row>
    <row r="275" customFormat="1" s="1916">
      <c r="A275" s="53" t="n"/>
      <c r="B275" s="112" t="n"/>
      <c r="C275" s="2145" t="n"/>
      <c r="D275" s="2145" t="n"/>
      <c r="E275" s="2145" t="n"/>
      <c r="F275" s="53" t="n"/>
      <c r="G275" s="53" t="n"/>
    </row>
    <row r="276" customFormat="1" s="1916">
      <c r="A276" s="53" t="n"/>
      <c r="B276" s="112" t="n"/>
      <c r="C276" s="2145" t="n"/>
      <c r="D276" s="2145" t="n"/>
      <c r="E276" s="2145" t="n"/>
      <c r="F276" s="53" t="n"/>
      <c r="G276" s="53" t="n"/>
    </row>
    <row r="277" customFormat="1" s="1916">
      <c r="A277" s="53" t="n"/>
      <c r="B277" s="112" t="n"/>
      <c r="C277" s="2145" t="n"/>
      <c r="D277" s="2145" t="n"/>
      <c r="E277" s="2149" t="n"/>
      <c r="F277" s="53" t="n"/>
      <c r="G277" s="53" t="n"/>
      <c r="P277" s="53" t="n"/>
    </row>
    <row r="278" customFormat="1" s="1916">
      <c r="A278" s="53" t="n"/>
      <c r="B278" s="113" t="n"/>
      <c r="C278" s="2145" t="n"/>
      <c r="D278" s="2145" t="n"/>
      <c r="E278" s="2145" t="n"/>
      <c r="F278" s="53" t="n"/>
      <c r="G278" s="53" t="n"/>
      <c r="H278" s="53" t="n"/>
      <c r="J278" s="2154" t="n"/>
      <c r="P278" s="53" t="n"/>
    </row>
    <row r="279" customFormat="1" s="1916">
      <c r="A279" s="53" t="n"/>
      <c r="B279" s="53" t="n"/>
      <c r="C279" s="2145" t="n"/>
      <c r="D279" s="2145" t="n"/>
      <c r="E279" s="2145" t="n"/>
      <c r="F279" s="2145" t="n"/>
      <c r="G279" s="2145" t="n"/>
      <c r="P279" s="53" t="n"/>
    </row>
    <row r="280" customFormat="1" s="1916">
      <c r="A280" s="53" t="n"/>
      <c r="B280" s="53" t="n"/>
      <c r="C280" s="2145" t="n"/>
      <c r="D280" s="2145" t="n"/>
      <c r="E280" s="2145" t="n"/>
      <c r="G280" s="540" t="n"/>
      <c r="P280" s="53" t="n"/>
    </row>
    <row r="281" customFormat="1" s="1916">
      <c r="E281" s="2145" t="n"/>
    </row>
    <row r="282" customFormat="1" s="1916">
      <c r="A282" s="115" t="n"/>
    </row>
    <row r="283" customFormat="1" s="1916"/>
    <row r="284" customFormat="1" s="1916">
      <c r="A284" s="53" t="n"/>
      <c r="B284" s="53" t="n"/>
      <c r="C284" s="53" t="n"/>
      <c r="D284" s="53" t="n"/>
      <c r="E284" s="53" t="n"/>
      <c r="N284" s="53" t="n"/>
      <c r="O284" s="53" t="n"/>
      <c r="P284" s="53" t="n"/>
      <c r="Q284" s="53" t="n"/>
      <c r="R284" s="53" t="n"/>
    </row>
    <row r="285" customFormat="1" s="1916">
      <c r="A285" s="53" t="n"/>
      <c r="B285" s="53" t="n"/>
      <c r="C285" s="53" t="n"/>
      <c r="D285" s="53" t="n"/>
      <c r="E285" s="53" t="n"/>
      <c r="F285" s="53" t="n"/>
      <c r="G285" s="53" t="n"/>
      <c r="N285" s="53" t="n"/>
      <c r="O285" s="53" t="n"/>
      <c r="P285" s="53" t="n"/>
      <c r="Q285" s="53" t="n"/>
      <c r="R285" s="2145" t="n"/>
    </row>
    <row r="286" customFormat="1" s="1916">
      <c r="A286" s="53" t="n"/>
      <c r="B286" s="2155" t="n"/>
      <c r="C286" s="2145" t="n"/>
      <c r="D286" s="2145" t="n"/>
      <c r="E286" s="2145" t="n"/>
      <c r="F286" s="2285" t="n"/>
      <c r="G286" s="53" t="n"/>
      <c r="N286" s="53" t="n"/>
      <c r="O286" s="53" t="n"/>
      <c r="P286" s="2145" t="n"/>
      <c r="Q286" s="2145" t="n"/>
      <c r="R286" s="2145" t="n"/>
    </row>
    <row r="287" customFormat="1" s="1916">
      <c r="A287" s="53" t="n"/>
      <c r="B287" s="53" t="n"/>
      <c r="C287" s="2145" t="n"/>
      <c r="D287" s="2145" t="n"/>
      <c r="E287" s="2145" t="n"/>
      <c r="F287" s="53" t="n"/>
      <c r="G287" s="53" t="n"/>
      <c r="N287" s="53" t="n"/>
      <c r="O287" s="53" t="n"/>
      <c r="P287" s="2145" t="n"/>
      <c r="Q287" s="2285" t="n"/>
      <c r="R287" s="2145" t="n"/>
    </row>
    <row r="288" customFormat="1" s="1916">
      <c r="A288" s="53" t="n"/>
      <c r="B288" s="53" t="n"/>
      <c r="C288" s="2145" t="n"/>
      <c r="D288" s="2145" t="n"/>
      <c r="E288" s="2145" t="n"/>
      <c r="F288" s="53" t="n"/>
      <c r="G288" s="53" t="n"/>
      <c r="N288" s="53" t="n"/>
      <c r="O288" s="53" t="n"/>
      <c r="P288" s="2145" t="n"/>
      <c r="Q288" s="2285" t="n"/>
      <c r="R288" s="2145" t="n"/>
    </row>
    <row r="289" customFormat="1" s="1916">
      <c r="A289" s="53" t="n"/>
      <c r="B289" s="53" t="n"/>
      <c r="C289" s="2145" t="n"/>
      <c r="D289" s="2145" t="n"/>
      <c r="E289" s="2145" t="n"/>
      <c r="F289" s="53" t="n"/>
      <c r="G289" s="53" t="n"/>
      <c r="N289" s="53" t="n"/>
      <c r="O289" s="2145" t="n"/>
      <c r="P289" s="2149" t="n"/>
      <c r="Q289" s="53" t="n"/>
      <c r="R289" s="53" t="n"/>
      <c r="S289" s="53" t="n"/>
      <c r="T289" s="53" t="n"/>
      <c r="U289" s="53" t="n"/>
    </row>
    <row r="290" customFormat="1" s="1916">
      <c r="A290" s="53" t="n"/>
      <c r="B290" s="53" t="n"/>
      <c r="C290" s="2145" t="n"/>
      <c r="D290" s="2145" t="n"/>
      <c r="E290" s="2145" t="n"/>
      <c r="F290" s="53" t="n"/>
      <c r="G290" s="53" t="n"/>
      <c r="N290" s="53" t="n"/>
      <c r="O290" s="53" t="n"/>
      <c r="P290" s="2149" t="n"/>
      <c r="Q290" s="53" t="n"/>
      <c r="R290" s="53" t="n"/>
      <c r="S290" s="2145" t="n"/>
      <c r="T290" s="2145" t="n"/>
      <c r="U290" s="53" t="n"/>
    </row>
    <row r="291" customFormat="1" s="1916">
      <c r="A291" s="53" t="n"/>
      <c r="B291" s="53" t="n"/>
      <c r="C291" s="2145" t="n"/>
      <c r="D291" s="2145" t="n"/>
      <c r="E291" s="2145" t="n"/>
      <c r="F291" s="53" t="n"/>
      <c r="G291" s="53" t="n"/>
      <c r="N291" s="53" t="n"/>
      <c r="O291" s="53" t="n"/>
      <c r="P291" s="2149" t="n"/>
      <c r="Q291" s="53" t="n"/>
      <c r="R291" s="53" t="n"/>
      <c r="S291" s="2145" t="n"/>
      <c r="T291" s="2145" t="n"/>
      <c r="U291" s="53" t="n"/>
    </row>
    <row r="292" customFormat="1" s="1916">
      <c r="A292" s="53" t="n"/>
      <c r="B292" s="53" t="n"/>
      <c r="C292" s="2145" t="n"/>
      <c r="D292" s="2145" t="n"/>
      <c r="E292" s="2145" t="n"/>
      <c r="F292" s="53" t="n"/>
      <c r="G292" s="53" t="n"/>
      <c r="N292" s="53" t="n"/>
      <c r="O292" s="53" t="n"/>
      <c r="P292" s="2149" t="n"/>
      <c r="Q292" s="53" t="n"/>
      <c r="R292" s="53" t="n"/>
      <c r="S292" s="2145" t="n"/>
      <c r="T292" s="2145" t="n"/>
      <c r="U292" s="53" t="n"/>
    </row>
    <row r="293" customFormat="1" s="1916">
      <c r="A293" s="53" t="n"/>
      <c r="B293" s="53" t="n"/>
      <c r="C293" s="2145" t="n"/>
      <c r="D293" s="2145" t="n"/>
      <c r="E293" s="2145" t="n"/>
      <c r="F293" s="53" t="n"/>
      <c r="G293" s="53" t="n"/>
      <c r="N293" s="53" t="n"/>
      <c r="O293" s="53" t="n"/>
      <c r="P293" s="2149" t="n"/>
      <c r="Q293" s="53" t="n"/>
      <c r="R293" s="53" t="n"/>
      <c r="S293" s="2145" t="n"/>
      <c r="T293" s="2145" t="n"/>
      <c r="U293" s="53" t="n"/>
    </row>
    <row r="294" customFormat="1" s="1916">
      <c r="A294" s="53" t="n"/>
      <c r="B294" s="53" t="n"/>
      <c r="C294" s="2145" t="n"/>
      <c r="D294" s="2145" t="n"/>
      <c r="E294" s="2145" t="n"/>
      <c r="F294" s="53" t="n"/>
      <c r="G294" s="53" t="n"/>
      <c r="N294" s="53" t="n"/>
      <c r="O294" s="53" t="n"/>
      <c r="P294" s="2149" t="n"/>
      <c r="Q294" s="53" t="n"/>
      <c r="R294" s="53" t="n"/>
      <c r="S294" s="53" t="n"/>
      <c r="T294" s="53" t="n"/>
      <c r="U294" s="53" t="n"/>
    </row>
    <row r="295" customFormat="1" s="1916">
      <c r="A295" s="53" t="n"/>
      <c r="B295" s="53" t="n"/>
      <c r="C295" s="2145" t="n"/>
      <c r="D295" s="2145" t="n"/>
      <c r="E295" s="2145" t="n"/>
      <c r="F295" s="53" t="n"/>
      <c r="G295" s="53" t="n"/>
      <c r="N295" s="53" t="n"/>
      <c r="O295" s="53" t="n"/>
      <c r="P295" s="2149" t="n"/>
      <c r="Q295" s="53" t="n"/>
      <c r="R295" s="53" t="n"/>
      <c r="S295" s="53" t="n"/>
      <c r="T295" s="53" t="n"/>
      <c r="U295" s="53" t="n"/>
    </row>
    <row r="296" customFormat="1" s="1916">
      <c r="A296" s="53" t="n"/>
      <c r="B296" s="53" t="n"/>
      <c r="C296" s="2145" t="n"/>
      <c r="D296" s="2145" t="n"/>
      <c r="E296" s="2145" t="n"/>
      <c r="F296" s="53" t="n"/>
      <c r="G296" s="53" t="n"/>
      <c r="S296" s="53" t="n"/>
      <c r="T296" s="53" t="n"/>
      <c r="U296" s="53" t="n"/>
    </row>
    <row r="297" customFormat="1" s="1916">
      <c r="A297" s="53" t="n"/>
      <c r="B297" s="53" t="n"/>
      <c r="C297" s="2145" t="n"/>
      <c r="D297" s="2145" t="n"/>
      <c r="E297" s="2145" t="n"/>
      <c r="F297" s="53" t="n"/>
      <c r="G297" s="53" t="n"/>
      <c r="S297" s="53" t="n"/>
      <c r="T297" s="53" t="n"/>
      <c r="U297" s="53" t="n"/>
    </row>
    <row r="298" customFormat="1" s="1916">
      <c r="A298" s="53" t="n"/>
      <c r="B298" s="53" t="n"/>
      <c r="C298" s="2145" t="n"/>
      <c r="D298" s="2145" t="n"/>
      <c r="E298" s="2145" t="n"/>
      <c r="F298" s="2285" t="n"/>
      <c r="G298" s="53" t="n"/>
      <c r="S298" s="53" t="n"/>
      <c r="T298" s="53" t="n"/>
      <c r="U298" s="53" t="n"/>
    </row>
    <row r="299" customFormat="1" s="1916">
      <c r="A299" s="53" t="n"/>
      <c r="B299" s="53" t="n"/>
      <c r="C299" s="2145" t="n"/>
      <c r="D299" s="2145" t="n"/>
      <c r="E299" s="2145" t="n"/>
      <c r="F299" s="53" t="n"/>
      <c r="G299" s="53" t="n"/>
      <c r="S299" s="53" t="n"/>
      <c r="T299" s="53" t="n"/>
      <c r="U299" s="53" t="n"/>
    </row>
    <row r="300" customFormat="1" s="1916">
      <c r="A300" s="53" t="n"/>
      <c r="B300" s="53" t="n"/>
      <c r="C300" s="2145" t="n"/>
      <c r="D300" s="2145" t="n"/>
      <c r="E300" s="2145" t="n"/>
      <c r="F300" s="53" t="n"/>
      <c r="G300" s="53" t="n"/>
      <c r="S300" s="53" t="n"/>
      <c r="T300" s="53" t="n"/>
      <c r="U300" s="53" t="n"/>
    </row>
    <row r="301" customFormat="1" s="1916">
      <c r="A301" s="53" t="n"/>
      <c r="B301" s="53" t="n"/>
      <c r="C301" s="2145" t="n"/>
      <c r="D301" s="2145" t="n"/>
      <c r="E301" s="2145" t="n"/>
      <c r="F301" s="53" t="n"/>
      <c r="G301" s="53" t="n"/>
    </row>
    <row r="302" customFormat="1" s="1916">
      <c r="A302" s="53" t="n"/>
      <c r="B302" s="53" t="n"/>
      <c r="C302" s="2145" t="n"/>
      <c r="D302" s="2145" t="n"/>
      <c r="E302" s="2145" t="n"/>
      <c r="F302" s="53" t="n"/>
      <c r="G302" s="53" t="n"/>
    </row>
    <row r="303" customFormat="1" s="1916">
      <c r="A303" s="103" t="n"/>
      <c r="B303" s="103" t="n"/>
      <c r="C303" s="2147" t="n"/>
      <c r="D303" s="2147" t="n"/>
      <c r="E303" s="2147" t="n"/>
      <c r="F303" s="53" t="n"/>
      <c r="G303" s="53" t="n"/>
    </row>
    <row r="304" customFormat="1" s="1916">
      <c r="A304" s="103" t="n"/>
      <c r="B304" s="105" t="n"/>
      <c r="C304" s="2147" t="n"/>
      <c r="D304" s="2147" t="n"/>
      <c r="E304" s="2147" t="n"/>
      <c r="F304" s="53" t="n"/>
      <c r="G304" s="53" t="n"/>
    </row>
    <row r="305" customFormat="1" s="1916">
      <c r="A305" s="103" t="n"/>
      <c r="B305" s="103" t="n"/>
      <c r="C305" s="2147" t="n"/>
      <c r="D305" s="2147" t="n"/>
      <c r="E305" s="2147" t="n"/>
      <c r="F305" s="53" t="n"/>
      <c r="G305" s="53" t="n"/>
    </row>
    <row r="306" customFormat="1" s="1916">
      <c r="A306" s="103" t="n"/>
      <c r="B306" s="105" t="n"/>
      <c r="C306" s="2147" t="n"/>
      <c r="D306" s="2147" t="n"/>
      <c r="E306" s="2147" t="n"/>
      <c r="F306" s="53" t="n"/>
      <c r="H306" s="53" t="n"/>
      <c r="I306" s="53" t="n"/>
      <c r="J306" s="53" t="n"/>
      <c r="K306" s="53" t="n"/>
      <c r="L306" s="53" t="n"/>
      <c r="M306" s="53" t="n"/>
      <c r="N306" s="53" t="n"/>
    </row>
    <row r="307" customFormat="1" s="1916">
      <c r="A307" s="53" t="n"/>
      <c r="B307" s="53" t="n"/>
      <c r="C307" s="2145" t="n"/>
      <c r="D307" s="2145" t="n"/>
      <c r="E307" s="2145" t="n"/>
      <c r="F307" s="53" t="n"/>
      <c r="H307" s="53" t="n"/>
      <c r="I307" s="53" t="n"/>
      <c r="J307" s="53" t="n"/>
      <c r="K307" s="106" t="n"/>
      <c r="L307" s="106" t="n"/>
      <c r="M307" s="106" t="n"/>
      <c r="N307" s="106" t="n"/>
    </row>
    <row r="308" customFormat="1" s="1916">
      <c r="A308" s="3" t="n"/>
      <c r="B308" s="2285" t="n"/>
      <c r="C308" s="3" t="n"/>
      <c r="D308" s="3" t="n"/>
      <c r="E308" s="2285" t="n"/>
      <c r="F308" s="107" t="n"/>
      <c r="H308" s="53" t="n"/>
      <c r="I308" s="540" t="n"/>
      <c r="J308" s="53" t="n"/>
      <c r="K308" s="106" t="n"/>
      <c r="L308" s="106" t="n"/>
      <c r="M308" s="106" t="n"/>
      <c r="N308" s="106" t="n"/>
    </row>
    <row r="309" customFormat="1" s="1916">
      <c r="A309" s="53" t="n"/>
      <c r="B309" s="53" t="n"/>
      <c r="C309" s="53" t="n"/>
      <c r="D309" s="53" t="n"/>
      <c r="E309" s="53" t="n"/>
      <c r="F309" s="107" t="n"/>
      <c r="H309" s="53" t="n"/>
      <c r="I309" s="53" t="n"/>
      <c r="J309" s="53" t="n"/>
      <c r="K309" s="2145" t="n"/>
      <c r="L309" s="2145" t="n"/>
      <c r="M309" s="2145" t="n"/>
      <c r="N309" s="53" t="n"/>
    </row>
    <row r="310" customFormat="1" s="1916">
      <c r="A310" s="53" t="n"/>
      <c r="B310" s="53" t="n"/>
      <c r="C310" s="53" t="n"/>
      <c r="D310" s="53" t="n"/>
      <c r="E310" s="106" t="n"/>
      <c r="F310" s="106" t="n"/>
      <c r="H310" s="53" t="n"/>
      <c r="I310" s="93" t="n"/>
      <c r="J310" s="2145" t="n"/>
      <c r="K310" s="2145" t="n"/>
      <c r="L310" s="2145" t="n"/>
      <c r="M310" s="2145" t="n"/>
      <c r="N310" s="106" t="n"/>
    </row>
    <row r="311" customFormat="1" s="1916">
      <c r="A311" s="53" t="n"/>
      <c r="B311" s="53" t="n"/>
      <c r="C311" s="53" t="n"/>
      <c r="D311" s="53" t="n"/>
      <c r="E311" s="53" t="n"/>
      <c r="F311" s="53" t="n"/>
      <c r="H311" s="53" t="n"/>
      <c r="I311" s="93" t="n"/>
      <c r="J311" s="2145" t="n"/>
      <c r="K311" s="2145" t="n"/>
      <c r="L311" s="2145" t="n"/>
      <c r="M311" s="2145" t="n"/>
      <c r="N311" s="53" t="n"/>
    </row>
    <row r="312" customFormat="1" s="1916">
      <c r="A312" s="53" t="n"/>
      <c r="B312" s="53" t="n"/>
      <c r="C312" s="53" t="n"/>
      <c r="D312" s="53" t="n"/>
      <c r="E312" s="106" t="n"/>
      <c r="F312" s="106" t="n"/>
      <c r="H312" s="53" t="n"/>
      <c r="I312" s="93" t="n"/>
      <c r="J312" s="2145" t="n"/>
      <c r="K312" s="2145" t="n"/>
      <c r="L312" s="2145" t="n"/>
      <c r="M312" s="2145" t="n"/>
      <c r="N312" s="106" t="n"/>
    </row>
    <row r="313" customFormat="1" s="1916">
      <c r="A313" s="53" t="n"/>
      <c r="B313" s="53" t="n"/>
      <c r="C313" s="53" t="n"/>
      <c r="D313" s="53" t="n"/>
      <c r="E313" s="2286" t="n"/>
      <c r="F313" s="2286" t="n"/>
      <c r="G313" s="53" t="n"/>
      <c r="H313" s="103" t="n"/>
      <c r="I313" s="103" t="n"/>
      <c r="J313" s="2147" t="n"/>
      <c r="K313" s="2147" t="n"/>
      <c r="L313" s="2147" t="n"/>
      <c r="M313" s="2145" t="n"/>
      <c r="N313" s="106" t="n"/>
    </row>
    <row r="314" customFormat="1" s="1916">
      <c r="A314" s="53" t="n"/>
      <c r="B314" s="53" t="n"/>
      <c r="C314" s="2145" t="n"/>
      <c r="D314" s="2145" t="n"/>
      <c r="E314" s="2145" t="n"/>
      <c r="F314" s="2145" t="n"/>
      <c r="G314" s="53" t="n"/>
      <c r="H314" s="53" t="n"/>
      <c r="I314" s="53" t="n"/>
    </row>
    <row r="315" customFormat="1" s="1916">
      <c r="A315" s="53" t="n"/>
      <c r="B315" s="53" t="n"/>
      <c r="C315" s="53" t="n"/>
      <c r="D315" s="53" t="n"/>
      <c r="E315" s="2145" t="n"/>
      <c r="F315" s="53" t="n"/>
      <c r="G315" s="53" t="n"/>
      <c r="H315" s="110" t="n"/>
      <c r="I315" s="53" t="n"/>
      <c r="J315" s="53" t="n"/>
      <c r="K315" s="2145" t="n"/>
      <c r="L315" s="2145" t="n"/>
      <c r="M315" s="2145" t="n"/>
    </row>
    <row r="316" customFormat="1" s="1916">
      <c r="A316" s="53" t="n"/>
      <c r="B316" s="93" t="n"/>
      <c r="C316" s="2145" t="n"/>
      <c r="D316" s="2145" t="n"/>
      <c r="E316" s="2145" t="n"/>
      <c r="F316" s="53" t="n"/>
      <c r="G316" s="53" t="n"/>
      <c r="H316" s="2285" t="n"/>
      <c r="I316" s="93" t="n"/>
      <c r="J316" s="2145" t="n"/>
      <c r="K316" s="2145" t="n"/>
      <c r="L316" s="2145" t="n"/>
      <c r="M316" s="2145" t="n"/>
    </row>
    <row r="317" customFormat="1" s="1916">
      <c r="A317" s="53" t="n"/>
      <c r="B317" s="93" t="n"/>
      <c r="C317" s="2145" t="n"/>
      <c r="D317" s="2145" t="n"/>
      <c r="E317" s="2145" t="n"/>
      <c r="F317" s="53" t="n"/>
      <c r="G317" s="53" t="n"/>
      <c r="H317" s="53" t="n"/>
      <c r="I317" s="93" t="n"/>
      <c r="J317" s="2145" t="n"/>
      <c r="K317" s="2145" t="n"/>
      <c r="L317" s="2145" t="n"/>
      <c r="M317" s="2145" t="n"/>
    </row>
    <row r="318" customFormat="1" s="1916">
      <c r="A318" s="53" t="n"/>
      <c r="B318" s="93" t="n"/>
      <c r="C318" s="2145" t="n"/>
      <c r="D318" s="2145" t="n"/>
      <c r="E318" s="2145" t="n"/>
      <c r="F318" s="53" t="n"/>
      <c r="G318" s="53" t="n"/>
      <c r="H318" s="53" t="n"/>
      <c r="I318" s="93" t="n"/>
      <c r="J318" s="2145" t="n"/>
      <c r="K318" s="2145" t="n"/>
      <c r="L318" s="2145" t="n"/>
      <c r="M318" s="2145" t="n"/>
    </row>
    <row r="319" customFormat="1" s="1916">
      <c r="A319" s="53" t="n"/>
      <c r="B319" s="93" t="n"/>
      <c r="C319" s="2145" t="n"/>
      <c r="D319" s="2145" t="n"/>
      <c r="E319" s="2145" t="n"/>
      <c r="F319" s="111" t="n"/>
      <c r="G319" s="53" t="n"/>
      <c r="H319" s="53" t="n"/>
      <c r="I319" s="93" t="n"/>
      <c r="J319" s="2145" t="n"/>
      <c r="K319" s="2145" t="n"/>
      <c r="L319" s="2145" t="n"/>
      <c r="M319" s="2145" t="n"/>
    </row>
    <row r="320" customFormat="1" s="1916">
      <c r="A320" s="53" t="n"/>
      <c r="B320" s="93" t="n"/>
      <c r="C320" s="2145" t="n"/>
      <c r="D320" s="2145" t="n"/>
      <c r="E320" s="2145" t="n"/>
      <c r="F320" s="111" t="n"/>
      <c r="G320" s="53" t="n"/>
      <c r="H320" s="53" t="n"/>
      <c r="I320" s="93" t="n"/>
      <c r="J320" s="2145" t="n"/>
      <c r="K320" s="2145" t="n"/>
      <c r="L320" s="2145" t="n"/>
      <c r="M320" s="2145" t="n"/>
    </row>
    <row r="321" customFormat="1" s="1916">
      <c r="A321" s="53" t="n"/>
      <c r="B321" s="93" t="n"/>
      <c r="C321" s="2145" t="n"/>
      <c r="D321" s="2145" t="n"/>
      <c r="E321" s="2145" t="n"/>
      <c r="F321" s="53" t="n"/>
      <c r="G321" s="53" t="n"/>
      <c r="H321" s="53" t="n"/>
      <c r="I321" s="93" t="n"/>
      <c r="J321" s="2145" t="n"/>
      <c r="K321" s="2145" t="n"/>
      <c r="L321" s="2145" t="n"/>
      <c r="M321" s="2145" t="n"/>
    </row>
    <row r="322" customFormat="1" s="1916">
      <c r="A322" s="53" t="n"/>
      <c r="B322" s="93" t="n"/>
      <c r="C322" s="2145" t="n"/>
      <c r="D322" s="2145" t="n"/>
      <c r="E322" s="2145" t="n"/>
      <c r="F322" s="53" t="n"/>
      <c r="G322" s="53" t="n"/>
      <c r="H322" s="53" t="n"/>
      <c r="I322" s="93" t="n"/>
      <c r="J322" s="2145" t="n"/>
      <c r="K322" s="2145" t="n"/>
      <c r="L322" s="2145" t="n"/>
      <c r="M322" s="2145" t="n"/>
    </row>
    <row r="323" customFormat="1" s="1916">
      <c r="A323" s="103" t="n"/>
      <c r="B323" s="103" t="n"/>
      <c r="C323" s="2147" t="n"/>
      <c r="D323" s="2147" t="n"/>
      <c r="E323" s="2147" t="n"/>
      <c r="F323" s="53" t="n"/>
      <c r="G323" s="53" t="n"/>
      <c r="H323" s="103" t="n"/>
      <c r="I323" s="103" t="n"/>
      <c r="J323" s="2147" t="n"/>
      <c r="K323" s="2147" t="n"/>
      <c r="L323" s="2147" t="n"/>
      <c r="M323" s="2147" t="n"/>
    </row>
    <row r="324" customFormat="1" s="1916">
      <c r="A324" s="53" t="n"/>
      <c r="B324" s="53" t="n"/>
      <c r="C324" s="2145" t="n"/>
      <c r="D324" s="2145" t="n"/>
      <c r="E324" s="2145" t="n"/>
      <c r="F324" s="53" t="n"/>
      <c r="G324" s="53" t="n"/>
    </row>
    <row r="325" customFormat="1" s="1916">
      <c r="A325" s="53" t="n"/>
      <c r="B325" s="53" t="n"/>
      <c r="C325" s="2145" t="n"/>
      <c r="D325" s="2145" t="n"/>
      <c r="E325" s="2147" t="n"/>
      <c r="F325" s="53" t="n"/>
      <c r="G325" s="53" t="n"/>
    </row>
    <row r="326" customFormat="1" s="1916">
      <c r="A326" s="53" t="n"/>
      <c r="B326" s="53" t="n"/>
      <c r="C326" s="2145" t="n"/>
      <c r="D326" s="2145" t="n"/>
      <c r="E326" s="2145" t="n"/>
      <c r="F326" s="53" t="n"/>
      <c r="G326" s="53" t="n"/>
    </row>
    <row r="327" customFormat="1" s="1916">
      <c r="A327" s="53" t="n"/>
      <c r="B327" s="53" t="n"/>
      <c r="C327" s="2145" t="n"/>
      <c r="D327" s="2145" t="n"/>
      <c r="E327" s="2145" t="n"/>
      <c r="F327" s="53" t="n"/>
      <c r="G327" s="53" t="n"/>
    </row>
    <row r="328" customFormat="1" s="1916">
      <c r="A328" s="53" t="n"/>
      <c r="B328" s="112" t="n"/>
      <c r="C328" s="2145" t="n"/>
      <c r="D328" s="2145" t="n"/>
      <c r="E328" s="2145" t="n"/>
      <c r="F328" s="53" t="n"/>
      <c r="G328" s="53" t="n"/>
    </row>
    <row r="329" customFormat="1" s="1916">
      <c r="A329" s="53" t="n"/>
      <c r="B329" s="112" t="n"/>
      <c r="C329" s="2145" t="n"/>
      <c r="D329" s="2145" t="n"/>
      <c r="E329" s="2145" t="n"/>
      <c r="F329" s="53" t="n"/>
      <c r="G329" s="53" t="n"/>
    </row>
    <row r="330" customFormat="1" s="1916">
      <c r="A330" s="53" t="n"/>
      <c r="B330" s="113" t="n"/>
      <c r="C330" s="2145" t="n"/>
      <c r="D330" s="2145" t="n"/>
      <c r="E330" s="2145" t="n"/>
      <c r="F330" s="53" t="n"/>
      <c r="G330" s="53" t="n"/>
    </row>
    <row r="331" customFormat="1" s="1916">
      <c r="A331" s="53" t="n"/>
      <c r="B331" s="113" t="n"/>
      <c r="C331" s="2145" t="n"/>
      <c r="D331" s="2145" t="n"/>
      <c r="E331" s="2145" t="n"/>
      <c r="F331" s="53" t="n"/>
      <c r="G331" s="53" t="n"/>
    </row>
    <row r="332" customFormat="1" s="1916">
      <c r="A332" s="53" t="n"/>
      <c r="B332" s="113" t="n"/>
      <c r="C332" s="2145" t="n"/>
      <c r="D332" s="2145" t="n"/>
      <c r="E332" s="2145" t="n"/>
      <c r="F332" s="53" t="n"/>
      <c r="G332" s="53" t="n"/>
    </row>
    <row r="333" customFormat="1" s="1916">
      <c r="A333" s="53" t="n"/>
      <c r="B333" s="113" t="n"/>
      <c r="C333" s="2145" t="n"/>
      <c r="D333" s="2145" t="n"/>
      <c r="E333" s="2145" t="n"/>
      <c r="F333" s="53" t="n"/>
      <c r="G333" s="53" t="n"/>
    </row>
    <row r="334" customFormat="1" s="1916">
      <c r="A334" s="53" t="n"/>
      <c r="B334" s="112" t="n"/>
      <c r="C334" s="2145" t="n"/>
      <c r="D334" s="2145" t="n"/>
      <c r="E334" s="2145" t="n"/>
      <c r="F334" s="53" t="n"/>
      <c r="G334" s="53" t="n"/>
    </row>
    <row r="335" customFormat="1" s="1916">
      <c r="A335" s="53" t="n"/>
      <c r="B335" s="112" t="n"/>
      <c r="C335" s="2145" t="n"/>
      <c r="D335" s="2145" t="n"/>
      <c r="E335" s="2145" t="n"/>
      <c r="F335" s="53" t="n"/>
      <c r="G335" s="53" t="n"/>
    </row>
    <row r="336" customFormat="1" s="1916">
      <c r="A336" s="53" t="n"/>
      <c r="B336" s="112" t="n"/>
      <c r="C336" s="2145" t="n"/>
      <c r="D336" s="2145" t="n"/>
      <c r="E336" s="2149" t="n"/>
      <c r="F336" s="53" t="n"/>
      <c r="G336" s="53" t="n"/>
      <c r="P336" s="53" t="n"/>
    </row>
    <row r="337" customFormat="1" s="1916">
      <c r="A337" s="53" t="n"/>
      <c r="B337" s="113" t="n"/>
      <c r="C337" s="2145" t="n"/>
      <c r="D337" s="2145" t="n"/>
      <c r="E337" s="2145" t="n"/>
      <c r="F337" s="53" t="n"/>
      <c r="G337" s="53" t="n"/>
      <c r="H337" s="53" t="n"/>
      <c r="J337" s="2154" t="n"/>
      <c r="P337" s="53" t="n"/>
    </row>
    <row r="338" customFormat="1" s="1916">
      <c r="A338" s="53" t="n"/>
      <c r="B338" s="53" t="n"/>
      <c r="C338" s="2145" t="n"/>
      <c r="D338" s="2145" t="n"/>
      <c r="E338" s="2145" t="n"/>
      <c r="F338" s="2145" t="n"/>
      <c r="G338" s="2145" t="n"/>
      <c r="P338" s="53" t="n"/>
    </row>
    <row r="339" customFormat="1" s="1916">
      <c r="A339" s="53" t="n"/>
      <c r="B339" s="53" t="n"/>
      <c r="C339" s="2145" t="n"/>
      <c r="D339" s="2145" t="n"/>
      <c r="E339" s="2145" t="n"/>
      <c r="G339" s="540" t="n"/>
      <c r="P339" s="53" t="n"/>
    </row>
    <row r="340" customFormat="1" s="1916">
      <c r="A340" s="115" t="n"/>
      <c r="E340" s="2145" t="n"/>
    </row>
    <row r="341" customFormat="1" s="1916"/>
    <row r="342" customFormat="1" s="1916">
      <c r="A342" s="116" t="n"/>
    </row>
    <row r="343" customFormat="1" s="1916">
      <c r="A343" s="53" t="n"/>
      <c r="B343" s="53" t="n"/>
      <c r="C343" s="53" t="n"/>
      <c r="D343" s="53" t="n"/>
      <c r="E343" s="53" t="n"/>
      <c r="N343" s="53" t="n"/>
      <c r="O343" s="53" t="n"/>
      <c r="P343" s="53" t="n"/>
      <c r="Q343" s="53" t="n"/>
      <c r="R343" s="53" t="n"/>
    </row>
    <row r="344" customFormat="1" s="1916">
      <c r="A344" s="53" t="n"/>
      <c r="B344" s="53" t="n"/>
      <c r="C344" s="53" t="n"/>
      <c r="D344" s="53" t="n"/>
      <c r="E344" s="53" t="n"/>
      <c r="F344" s="53" t="n"/>
      <c r="G344" s="53" t="n"/>
      <c r="N344" s="53" t="n"/>
      <c r="O344" s="53" t="n"/>
      <c r="P344" s="53" t="n"/>
      <c r="Q344" s="53" t="n"/>
      <c r="R344" s="2145" t="n"/>
    </row>
    <row r="345" customFormat="1" s="1916">
      <c r="A345" s="53" t="n"/>
      <c r="B345" s="2155" t="n"/>
      <c r="C345" s="2145" t="n"/>
      <c r="D345" s="2145" t="n"/>
      <c r="E345" s="2145" t="n"/>
      <c r="F345" s="2285" t="n"/>
      <c r="G345" s="53" t="n"/>
      <c r="N345" s="53" t="n"/>
      <c r="O345" s="53" t="n"/>
      <c r="P345" s="2145" t="n"/>
      <c r="Q345" s="2145" t="n"/>
      <c r="R345" s="2145" t="n"/>
    </row>
    <row r="346" customFormat="1" s="1916">
      <c r="A346" s="53" t="n"/>
      <c r="B346" s="53" t="n"/>
      <c r="C346" s="2145" t="n"/>
      <c r="D346" s="2145" t="n"/>
      <c r="E346" s="2145" t="n"/>
      <c r="F346" s="53" t="n"/>
      <c r="G346" s="53" t="n"/>
      <c r="N346" s="53" t="n"/>
      <c r="O346" s="53" t="n"/>
      <c r="P346" s="2145" t="n"/>
      <c r="Q346" s="2285" t="n"/>
      <c r="R346" s="2145" t="n"/>
    </row>
    <row r="347" customFormat="1" s="1916">
      <c r="A347" s="53" t="n"/>
      <c r="B347" s="53" t="n"/>
      <c r="C347" s="2145" t="n"/>
      <c r="D347" s="2145" t="n"/>
      <c r="E347" s="2145" t="n"/>
      <c r="F347" s="53" t="n"/>
      <c r="G347" s="53" t="n"/>
      <c r="N347" s="53" t="n"/>
      <c r="O347" s="53" t="n"/>
      <c r="P347" s="2145" t="n"/>
      <c r="Q347" s="2285" t="n"/>
      <c r="R347" s="2145" t="n"/>
    </row>
    <row r="348" customFormat="1" s="1916">
      <c r="A348" s="53" t="n"/>
      <c r="B348" s="53" t="n"/>
      <c r="C348" s="2145" t="n"/>
      <c r="D348" s="2145" t="n"/>
      <c r="E348" s="2145" t="n"/>
      <c r="F348" s="53" t="n"/>
      <c r="G348" s="53" t="n"/>
      <c r="N348" s="53" t="n"/>
      <c r="O348" s="2145" t="n"/>
      <c r="P348" s="2149" t="n"/>
      <c r="Q348" s="53" t="n"/>
      <c r="R348" s="53" t="n"/>
      <c r="S348" s="53" t="n"/>
      <c r="T348" s="53" t="n"/>
      <c r="U348" s="53" t="n"/>
    </row>
    <row r="349" customFormat="1" s="1916">
      <c r="A349" s="53" t="n"/>
      <c r="B349" s="53" t="n"/>
      <c r="C349" s="2145" t="n"/>
      <c r="D349" s="2145" t="n"/>
      <c r="E349" s="2145" t="n"/>
      <c r="F349" s="53" t="n"/>
      <c r="G349" s="53" t="n"/>
      <c r="N349" s="53" t="n"/>
      <c r="O349" s="53" t="n"/>
      <c r="P349" s="2149" t="n"/>
      <c r="Q349" s="53" t="n"/>
      <c r="R349" s="53" t="n"/>
      <c r="S349" s="2145" t="n"/>
      <c r="T349" s="2145" t="n"/>
      <c r="U349" s="53" t="n"/>
    </row>
    <row r="350" customFormat="1" s="1916">
      <c r="A350" s="53" t="n"/>
      <c r="B350" s="53" t="n"/>
      <c r="C350" s="2145" t="n"/>
      <c r="D350" s="2145" t="n"/>
      <c r="E350" s="2145" t="n"/>
      <c r="F350" s="53" t="n"/>
      <c r="G350" s="53" t="n"/>
      <c r="N350" s="53" t="n"/>
      <c r="O350" s="53" t="n"/>
      <c r="P350" s="2149" t="n"/>
      <c r="Q350" s="53" t="n"/>
      <c r="R350" s="53" t="n"/>
      <c r="S350" s="2145" t="n"/>
      <c r="T350" s="2145" t="n"/>
      <c r="U350" s="53" t="n"/>
    </row>
    <row r="351" customFormat="1" s="1916">
      <c r="A351" s="53" t="n"/>
      <c r="B351" s="53" t="n"/>
      <c r="C351" s="2145" t="n"/>
      <c r="D351" s="2145" t="n"/>
      <c r="E351" s="2145" t="n"/>
      <c r="F351" s="53" t="n"/>
      <c r="G351" s="53" t="n"/>
      <c r="N351" s="53" t="n"/>
      <c r="O351" s="53" t="n"/>
      <c r="P351" s="2149" t="n"/>
      <c r="Q351" s="53" t="n"/>
      <c r="R351" s="53" t="n"/>
      <c r="S351" s="2145" t="n"/>
      <c r="T351" s="2145" t="n"/>
      <c r="U351" s="53" t="n"/>
    </row>
    <row r="352" customFormat="1" s="1916">
      <c r="A352" s="53" t="n"/>
      <c r="B352" s="53" t="n"/>
      <c r="C352" s="2145" t="n"/>
      <c r="D352" s="2145" t="n"/>
      <c r="E352" s="2145" t="n"/>
      <c r="F352" s="53" t="n"/>
      <c r="G352" s="53" t="n"/>
      <c r="N352" s="53" t="n"/>
      <c r="O352" s="53" t="n"/>
      <c r="P352" s="2149" t="n"/>
      <c r="Q352" s="53" t="n"/>
      <c r="R352" s="53" t="n"/>
      <c r="S352" s="2145" t="n"/>
      <c r="T352" s="2145" t="n"/>
      <c r="U352" s="53" t="n"/>
    </row>
    <row r="353" customFormat="1" s="1916">
      <c r="A353" s="53" t="n"/>
      <c r="B353" s="53" t="n"/>
      <c r="C353" s="2145" t="n"/>
      <c r="D353" s="2145" t="n"/>
      <c r="E353" s="2145" t="n"/>
      <c r="F353" s="53" t="n"/>
      <c r="G353" s="53" t="n"/>
      <c r="N353" s="53" t="n"/>
      <c r="O353" s="53" t="n"/>
      <c r="P353" s="2149" t="n"/>
      <c r="Q353" s="53" t="n"/>
      <c r="R353" s="53" t="n"/>
      <c r="S353" s="53" t="n"/>
      <c r="T353" s="53" t="n"/>
      <c r="U353" s="53" t="n"/>
    </row>
    <row r="354" customFormat="1" s="1916">
      <c r="A354" s="53" t="n"/>
      <c r="B354" s="53" t="n"/>
      <c r="C354" s="2145" t="n"/>
      <c r="D354" s="2145" t="n"/>
      <c r="E354" s="2145" t="n"/>
      <c r="F354" s="53" t="n"/>
      <c r="G354" s="53" t="n"/>
      <c r="N354" s="53" t="n"/>
      <c r="O354" s="53" t="n"/>
      <c r="P354" s="2149" t="n"/>
      <c r="Q354" s="53" t="n"/>
      <c r="R354" s="53" t="n"/>
      <c r="S354" s="53" t="n"/>
      <c r="T354" s="53" t="n"/>
      <c r="U354" s="53" t="n"/>
    </row>
    <row r="355" customFormat="1" s="1916">
      <c r="A355" s="53" t="n"/>
      <c r="B355" s="53" t="n"/>
      <c r="C355" s="2145" t="n"/>
      <c r="D355" s="2145" t="n"/>
      <c r="E355" s="2145" t="n"/>
      <c r="F355" s="53" t="n"/>
      <c r="G355" s="53" t="n"/>
      <c r="S355" s="53" t="n"/>
      <c r="T355" s="53" t="n"/>
      <c r="U355" s="53" t="n"/>
    </row>
    <row r="356" customFormat="1" s="1916">
      <c r="A356" s="53" t="n"/>
      <c r="B356" s="53" t="n"/>
      <c r="C356" s="2145" t="n"/>
      <c r="D356" s="2145" t="n"/>
      <c r="E356" s="2145" t="n"/>
      <c r="F356" s="53" t="n"/>
      <c r="G356" s="53" t="n"/>
      <c r="S356" s="53" t="n"/>
      <c r="T356" s="53" t="n"/>
      <c r="U356" s="53" t="n"/>
    </row>
    <row r="357" customFormat="1" s="1916">
      <c r="A357" s="53" t="n"/>
      <c r="B357" s="53" t="n"/>
      <c r="C357" s="2145" t="n"/>
      <c r="D357" s="2145" t="n"/>
      <c r="E357" s="2145" t="n"/>
      <c r="F357" s="2285" t="n"/>
      <c r="G357" s="53" t="n"/>
      <c r="S357" s="53" t="n"/>
      <c r="T357" s="53" t="n"/>
      <c r="U357" s="53" t="n"/>
    </row>
    <row r="358" customFormat="1" s="1916">
      <c r="A358" s="53" t="n"/>
      <c r="B358" s="53" t="n"/>
      <c r="C358" s="2145" t="n"/>
      <c r="D358" s="2145" t="n"/>
      <c r="E358" s="2145" t="n"/>
      <c r="F358" s="53" t="n"/>
      <c r="G358" s="53" t="n"/>
      <c r="S358" s="53" t="n"/>
      <c r="T358" s="53" t="n"/>
      <c r="U358" s="53" t="n"/>
    </row>
    <row r="359" customFormat="1" s="1916">
      <c r="A359" s="53" t="n"/>
      <c r="B359" s="53" t="n"/>
      <c r="C359" s="2145" t="n"/>
      <c r="D359" s="2145" t="n"/>
      <c r="E359" s="2145" t="n"/>
      <c r="F359" s="53" t="n"/>
      <c r="G359" s="53" t="n"/>
      <c r="S359" s="53" t="n"/>
      <c r="T359" s="53" t="n"/>
      <c r="U359" s="53" t="n"/>
    </row>
    <row r="360" customFormat="1" s="1916">
      <c r="A360" s="53" t="n"/>
      <c r="B360" s="53" t="n"/>
      <c r="C360" s="2145" t="n"/>
      <c r="D360" s="2145" t="n"/>
      <c r="E360" s="2145" t="n"/>
      <c r="F360" s="53" t="n"/>
      <c r="G360" s="53" t="n"/>
    </row>
    <row r="361" customFormat="1" s="1916">
      <c r="A361" s="53" t="n"/>
      <c r="B361" s="53" t="n"/>
      <c r="C361" s="2145" t="n"/>
      <c r="D361" s="2145" t="n"/>
      <c r="E361" s="2145" t="n"/>
      <c r="F361" s="53" t="n"/>
      <c r="G361" s="53" t="n"/>
    </row>
    <row r="362" customFormat="1" s="1916">
      <c r="A362" s="103" t="n"/>
      <c r="B362" s="103" t="n"/>
      <c r="C362" s="2147" t="n"/>
      <c r="D362" s="2147" t="n"/>
      <c r="E362" s="2147" t="n"/>
      <c r="F362" s="53" t="n"/>
      <c r="G362" s="53" t="n"/>
    </row>
    <row r="363" customFormat="1" s="1916">
      <c r="A363" s="103" t="n"/>
      <c r="B363" s="105" t="n"/>
      <c r="C363" s="2147" t="n"/>
      <c r="D363" s="2147" t="n"/>
      <c r="E363" s="2147" t="n"/>
      <c r="F363" s="53" t="n"/>
      <c r="G363" s="53" t="n"/>
    </row>
    <row r="364" customFormat="1" s="1916">
      <c r="A364" s="103" t="n"/>
      <c r="B364" s="103" t="n"/>
      <c r="C364" s="2147" t="n"/>
      <c r="D364" s="2147" t="n"/>
      <c r="E364" s="2147" t="n"/>
      <c r="F364" s="53" t="n"/>
      <c r="G364" s="53" t="n"/>
    </row>
    <row r="365" customFormat="1" s="1916">
      <c r="A365" s="103" t="n"/>
      <c r="B365" s="105" t="n"/>
      <c r="C365" s="2147" t="n"/>
      <c r="D365" s="2147" t="n"/>
      <c r="E365" s="2147" t="n"/>
      <c r="F365" s="53" t="n"/>
      <c r="H365" s="53" t="n"/>
      <c r="I365" s="53" t="n"/>
      <c r="J365" s="53" t="n"/>
      <c r="K365" s="53" t="n"/>
      <c r="L365" s="53" t="n"/>
      <c r="M365" s="53" t="n"/>
      <c r="N365" s="53" t="n"/>
    </row>
    <row r="366" customFormat="1" s="1916">
      <c r="A366" s="53" t="n"/>
      <c r="B366" s="53" t="n"/>
      <c r="C366" s="2145" t="n"/>
      <c r="D366" s="2145" t="n"/>
      <c r="E366" s="2145" t="n"/>
      <c r="F366" s="53" t="n"/>
      <c r="H366" s="53" t="n"/>
      <c r="I366" s="53" t="n"/>
      <c r="J366" s="53" t="n"/>
      <c r="K366" s="106" t="n"/>
      <c r="L366" s="106" t="n"/>
      <c r="M366" s="106" t="n"/>
      <c r="N366" s="106" t="n"/>
    </row>
    <row r="367" customFormat="1" s="1916">
      <c r="A367" s="3" t="n"/>
      <c r="B367" s="2285" t="n"/>
      <c r="C367" s="3" t="n"/>
      <c r="D367" s="3" t="n"/>
      <c r="E367" s="2285" t="n"/>
      <c r="F367" s="107" t="n"/>
      <c r="H367" s="53" t="n"/>
      <c r="I367" s="540" t="n"/>
      <c r="J367" s="53" t="n"/>
      <c r="K367" s="106" t="n"/>
      <c r="L367" s="106" t="n"/>
      <c r="M367" s="106" t="n"/>
      <c r="N367" s="106" t="n"/>
    </row>
    <row r="368" customFormat="1" s="1916">
      <c r="A368" s="53" t="n"/>
      <c r="B368" s="53" t="n"/>
      <c r="C368" s="53" t="n"/>
      <c r="D368" s="53" t="n"/>
      <c r="E368" s="53" t="n"/>
      <c r="F368" s="107" t="n"/>
      <c r="H368" s="53" t="n"/>
      <c r="I368" s="53" t="n"/>
      <c r="J368" s="53" t="n"/>
      <c r="K368" s="2145" t="n"/>
      <c r="L368" s="2145" t="n"/>
      <c r="M368" s="2145" t="n"/>
      <c r="N368" s="53" t="n"/>
    </row>
    <row r="369" customFormat="1" s="1916">
      <c r="A369" s="53" t="n"/>
      <c r="B369" s="53" t="n"/>
      <c r="C369" s="53" t="n"/>
      <c r="D369" s="53" t="n"/>
      <c r="E369" s="106" t="n"/>
      <c r="F369" s="106" t="n"/>
      <c r="H369" s="53" t="n"/>
      <c r="I369" s="93" t="n"/>
      <c r="J369" s="2145" t="n"/>
      <c r="K369" s="2145" t="n"/>
      <c r="L369" s="2145" t="n"/>
      <c r="M369" s="2145" t="n"/>
      <c r="N369" s="106" t="n"/>
    </row>
    <row r="370" customFormat="1" s="1916">
      <c r="A370" s="53" t="n"/>
      <c r="B370" s="53" t="n"/>
      <c r="C370" s="53" t="n"/>
      <c r="D370" s="53" t="n"/>
      <c r="E370" s="53" t="n"/>
      <c r="F370" s="53" t="n"/>
      <c r="H370" s="53" t="n"/>
      <c r="I370" s="93" t="n"/>
      <c r="J370" s="2145" t="n"/>
      <c r="K370" s="2145" t="n"/>
      <c r="L370" s="2145" t="n"/>
      <c r="M370" s="2145" t="n"/>
      <c r="N370" s="53" t="n"/>
    </row>
    <row r="371" customFormat="1" s="1916">
      <c r="A371" s="53" t="n"/>
      <c r="B371" s="53" t="n"/>
      <c r="C371" s="53" t="n"/>
      <c r="D371" s="53" t="n"/>
      <c r="E371" s="106" t="n"/>
      <c r="F371" s="106" t="n"/>
      <c r="H371" s="53" t="n"/>
      <c r="I371" s="93" t="n"/>
      <c r="J371" s="2145" t="n"/>
      <c r="K371" s="2145" t="n"/>
      <c r="L371" s="2145" t="n"/>
      <c r="M371" s="2145" t="n"/>
      <c r="N371" s="106" t="n"/>
    </row>
    <row r="372" customFormat="1" s="1916">
      <c r="A372" s="53" t="n"/>
      <c r="B372" s="53" t="n"/>
      <c r="C372" s="53" t="n"/>
      <c r="D372" s="53" t="n"/>
      <c r="E372" s="2286" t="n"/>
      <c r="F372" s="2286" t="n"/>
      <c r="G372" s="53" t="n"/>
      <c r="H372" s="103" t="n"/>
      <c r="I372" s="103" t="n"/>
      <c r="J372" s="2147" t="n"/>
      <c r="K372" s="2147" t="n"/>
      <c r="L372" s="2147" t="n"/>
      <c r="M372" s="2145" t="n"/>
      <c r="N372" s="106" t="n"/>
    </row>
    <row r="373" customFormat="1" s="1916">
      <c r="A373" s="53" t="n"/>
      <c r="B373" s="53" t="n"/>
      <c r="C373" s="2145" t="n"/>
      <c r="D373" s="2145" t="n"/>
      <c r="E373" s="2145" t="n"/>
      <c r="F373" s="2145" t="n"/>
      <c r="G373" s="53" t="n"/>
      <c r="H373" s="53" t="n"/>
      <c r="I373" s="53" t="n"/>
    </row>
    <row r="374" customFormat="1" s="1916">
      <c r="A374" s="53" t="n"/>
      <c r="B374" s="53" t="n"/>
      <c r="C374" s="53" t="n"/>
      <c r="D374" s="53" t="n"/>
      <c r="E374" s="2145" t="n"/>
      <c r="F374" s="53" t="n"/>
      <c r="G374" s="53" t="n"/>
      <c r="H374" s="110" t="n"/>
      <c r="I374" s="53" t="n"/>
      <c r="J374" s="53" t="n"/>
      <c r="K374" s="2145" t="n"/>
      <c r="L374" s="2145" t="n"/>
      <c r="M374" s="2145" t="n"/>
    </row>
    <row r="375" customFormat="1" s="1916">
      <c r="A375" s="53" t="n"/>
      <c r="B375" s="93" t="n"/>
      <c r="C375" s="2145" t="n"/>
      <c r="D375" s="2145" t="n"/>
      <c r="E375" s="2145" t="n"/>
      <c r="F375" s="53" t="n"/>
      <c r="G375" s="53" t="n"/>
      <c r="H375" s="2285" t="n"/>
      <c r="I375" s="93" t="n"/>
      <c r="J375" s="2145" t="n"/>
      <c r="K375" s="2145" t="n"/>
      <c r="L375" s="2145" t="n"/>
      <c r="M375" s="2145" t="n"/>
    </row>
    <row r="376" customFormat="1" s="1916">
      <c r="A376" s="53" t="n"/>
      <c r="B376" s="93" t="n"/>
      <c r="C376" s="2145" t="n"/>
      <c r="D376" s="2145" t="n"/>
      <c r="E376" s="2145" t="n"/>
      <c r="F376" s="53" t="n"/>
      <c r="G376" s="53" t="n"/>
      <c r="H376" s="53" t="n"/>
      <c r="I376" s="93" t="n"/>
      <c r="J376" s="2145" t="n"/>
      <c r="K376" s="2145" t="n"/>
      <c r="L376" s="2145" t="n"/>
      <c r="M376" s="2145" t="n"/>
    </row>
    <row r="377" customFormat="1" s="1916">
      <c r="A377" s="53" t="n"/>
      <c r="B377" s="93" t="n"/>
      <c r="C377" s="2145" t="n"/>
      <c r="D377" s="2145" t="n"/>
      <c r="E377" s="2145" t="n"/>
      <c r="F377" s="53" t="n"/>
      <c r="G377" s="53" t="n"/>
      <c r="H377" s="53" t="n"/>
      <c r="I377" s="93" t="n"/>
      <c r="J377" s="2145" t="n"/>
      <c r="K377" s="2145" t="n"/>
      <c r="L377" s="2145" t="n"/>
      <c r="M377" s="2145" t="n"/>
    </row>
    <row r="378" customFormat="1" s="1916">
      <c r="A378" s="53" t="n"/>
      <c r="B378" s="93" t="n"/>
      <c r="C378" s="2145" t="n"/>
      <c r="D378" s="2145" t="n"/>
      <c r="E378" s="2145" t="n"/>
      <c r="F378" s="111" t="n"/>
      <c r="G378" s="53" t="n"/>
      <c r="H378" s="53" t="n"/>
      <c r="I378" s="93" t="n"/>
      <c r="J378" s="2145" t="n"/>
      <c r="K378" s="2145" t="n"/>
      <c r="L378" s="2145" t="n"/>
      <c r="M378" s="2145" t="n"/>
    </row>
    <row r="379" customFormat="1" s="1916">
      <c r="A379" s="53" t="n"/>
      <c r="B379" s="93" t="n"/>
      <c r="C379" s="2145" t="n"/>
      <c r="D379" s="2145" t="n"/>
      <c r="E379" s="2145" t="n"/>
      <c r="F379" s="53" t="n"/>
      <c r="G379" s="53" t="n"/>
      <c r="H379" s="53" t="n"/>
      <c r="I379" s="93" t="n"/>
      <c r="J379" s="2145" t="n"/>
      <c r="K379" s="2145" t="n"/>
      <c r="L379" s="2145" t="n"/>
      <c r="M379" s="2145" t="n"/>
    </row>
    <row r="380" customFormat="1" s="1916">
      <c r="A380" s="53" t="n"/>
      <c r="B380" s="93" t="n"/>
      <c r="C380" s="2145" t="n"/>
      <c r="D380" s="2145" t="n"/>
      <c r="E380" s="2145" t="n"/>
      <c r="F380" s="53" t="n"/>
      <c r="G380" s="53" t="n"/>
      <c r="H380" s="53" t="n"/>
      <c r="I380" s="93" t="n"/>
      <c r="J380" s="2145" t="n"/>
      <c r="K380" s="2145" t="n"/>
      <c r="L380" s="2145" t="n"/>
      <c r="M380" s="2145" t="n"/>
    </row>
    <row r="381" customFormat="1" s="1916">
      <c r="A381" s="53" t="n"/>
      <c r="B381" s="93" t="n"/>
      <c r="C381" s="2145" t="n"/>
      <c r="D381" s="2145" t="n"/>
      <c r="E381" s="2145" t="n"/>
      <c r="F381" s="53" t="n"/>
      <c r="G381" s="53" t="n"/>
      <c r="H381" s="53" t="n"/>
      <c r="I381" s="93" t="n"/>
      <c r="J381" s="2145" t="n"/>
      <c r="K381" s="2145" t="n"/>
      <c r="L381" s="2145" t="n"/>
      <c r="M381" s="2145" t="n"/>
    </row>
    <row r="382" customFormat="1" s="1916">
      <c r="A382" s="103" t="n"/>
      <c r="B382" s="103" t="n"/>
      <c r="C382" s="2147" t="n"/>
      <c r="D382" s="2147" t="n"/>
      <c r="E382" s="2147" t="n"/>
      <c r="F382" s="53" t="n"/>
      <c r="G382" s="53" t="n"/>
      <c r="H382" s="103" t="n"/>
      <c r="I382" s="103" t="n"/>
      <c r="J382" s="2147" t="n"/>
      <c r="K382" s="2147" t="n"/>
      <c r="L382" s="2147" t="n"/>
      <c r="M382" s="2147" t="n"/>
    </row>
    <row r="383" customFormat="1" s="1916">
      <c r="A383" s="53" t="n"/>
      <c r="B383" s="53" t="n"/>
      <c r="C383" s="2145" t="n"/>
      <c r="D383" s="2145" t="n"/>
      <c r="E383" s="2145" t="n"/>
      <c r="F383" s="53" t="n"/>
      <c r="G383" s="53" t="n"/>
    </row>
    <row r="384" customFormat="1" s="1916">
      <c r="A384" s="53" t="n"/>
      <c r="B384" s="53" t="n"/>
      <c r="C384" s="2145" t="n"/>
      <c r="D384" s="2145" t="n"/>
      <c r="E384" s="2147" t="n"/>
      <c r="F384" s="53" t="n"/>
      <c r="G384" s="53" t="n"/>
    </row>
    <row r="385" customFormat="1" s="1916">
      <c r="A385" s="53" t="n"/>
      <c r="B385" s="53" t="n"/>
      <c r="C385" s="2145" t="n"/>
      <c r="D385" s="2145" t="n"/>
      <c r="E385" s="2145" t="n"/>
      <c r="F385" s="53" t="n"/>
      <c r="G385" s="53" t="n"/>
    </row>
    <row r="386" customFormat="1" s="1916">
      <c r="A386" s="53" t="n"/>
      <c r="B386" s="53" t="n"/>
      <c r="C386" s="2145" t="n"/>
      <c r="D386" s="2145" t="n"/>
      <c r="E386" s="2145" t="n"/>
      <c r="F386" s="53" t="n"/>
      <c r="G386" s="53" t="n"/>
    </row>
    <row r="387" customFormat="1" s="1916">
      <c r="A387" s="53" t="n"/>
      <c r="B387" s="112" t="n"/>
      <c r="C387" s="2145" t="n"/>
      <c r="D387" s="2145" t="n"/>
      <c r="E387" s="2145" t="n"/>
      <c r="F387" s="53" t="n"/>
      <c r="G387" s="53" t="n"/>
    </row>
    <row r="388" customFormat="1" s="1916">
      <c r="A388" s="53" t="n"/>
      <c r="B388" s="112" t="n"/>
      <c r="C388" s="2145" t="n"/>
      <c r="D388" s="2145" t="n"/>
      <c r="E388" s="2145" t="n"/>
      <c r="F388" s="53" t="n"/>
      <c r="G388" s="53" t="n"/>
    </row>
    <row r="389" customFormat="1" s="1916">
      <c r="A389" s="53" t="n"/>
      <c r="B389" s="113" t="n"/>
      <c r="C389" s="2145" t="n"/>
      <c r="D389" s="2145" t="n"/>
      <c r="E389" s="2145" t="n"/>
      <c r="F389" s="53" t="n"/>
      <c r="G389" s="53" t="n"/>
    </row>
    <row r="390" customFormat="1" s="1916">
      <c r="A390" s="53" t="n"/>
      <c r="B390" s="113" t="n"/>
      <c r="C390" s="2145" t="n"/>
      <c r="D390" s="2145" t="n"/>
      <c r="E390" s="2145" t="n"/>
      <c r="F390" s="53" t="n"/>
      <c r="G390" s="53" t="n"/>
    </row>
    <row r="391" customFormat="1" s="1916">
      <c r="A391" s="53" t="n"/>
      <c r="B391" s="113" t="n"/>
      <c r="C391" s="2145" t="n"/>
      <c r="D391" s="2145" t="n"/>
      <c r="E391" s="2145" t="n"/>
      <c r="F391" s="53" t="n"/>
      <c r="G391" s="53" t="n"/>
    </row>
    <row r="392" customFormat="1" s="1916">
      <c r="A392" s="53" t="n"/>
      <c r="B392" s="113" t="n"/>
      <c r="C392" s="2145" t="n"/>
      <c r="D392" s="2145" t="n"/>
      <c r="E392" s="2145" t="n"/>
      <c r="F392" s="53" t="n"/>
      <c r="G392" s="53" t="n"/>
    </row>
    <row r="393" customFormat="1" s="1916">
      <c r="A393" s="53" t="n"/>
      <c r="B393" s="112" t="n"/>
      <c r="C393" s="2145" t="n"/>
      <c r="D393" s="2145" t="n"/>
      <c r="E393" s="2145" t="n"/>
      <c r="F393" s="53" t="n"/>
      <c r="G393" s="53" t="n"/>
    </row>
    <row r="394" customFormat="1" s="1916">
      <c r="A394" s="53" t="n"/>
      <c r="B394" s="112" t="n"/>
      <c r="C394" s="2145" t="n"/>
      <c r="D394" s="2145" t="n"/>
      <c r="E394" s="2145" t="n"/>
      <c r="F394" s="53" t="n"/>
      <c r="G394" s="53" t="n"/>
    </row>
    <row r="395" customFormat="1" s="1916">
      <c r="A395" s="53" t="n"/>
      <c r="B395" s="112" t="n"/>
      <c r="C395" s="2145" t="n"/>
      <c r="D395" s="2145" t="n"/>
      <c r="E395" s="2149" t="n"/>
      <c r="F395" s="53" t="n"/>
      <c r="G395" s="53" t="n"/>
      <c r="P395" s="53" t="n"/>
    </row>
    <row r="396" customFormat="1" s="1916">
      <c r="A396" s="53" t="n"/>
      <c r="B396" s="113" t="n"/>
      <c r="C396" s="2145" t="n"/>
      <c r="D396" s="2145" t="n"/>
      <c r="E396" s="2145" t="n"/>
      <c r="F396" s="53" t="n"/>
      <c r="G396" s="53" t="n"/>
      <c r="H396" s="53" t="n"/>
      <c r="J396" s="2154" t="n"/>
      <c r="P396" s="53" t="n"/>
    </row>
    <row r="397" customFormat="1" s="1916">
      <c r="A397" s="53" t="n"/>
      <c r="B397" s="53" t="n"/>
      <c r="C397" s="2145" t="n"/>
      <c r="D397" s="2145" t="n"/>
      <c r="E397" s="2145" t="n"/>
      <c r="F397" s="2145" t="n"/>
      <c r="G397" s="2145" t="n"/>
      <c r="P397" s="53" t="n"/>
    </row>
    <row r="398" customFormat="1" s="1916">
      <c r="A398" s="53" t="n"/>
      <c r="B398" s="53" t="n"/>
      <c r="C398" s="2145" t="n"/>
      <c r="D398" s="2145" t="n"/>
      <c r="E398" s="2145" t="n"/>
      <c r="G398" s="540" t="n"/>
      <c r="P398" s="53" t="n"/>
    </row>
    <row r="399" customFormat="1" s="1916">
      <c r="E399" s="2145" t="n"/>
    </row>
    <row r="400" customFormat="1" s="1916">
      <c r="A400" s="115" t="n"/>
    </row>
    <row r="401" customFormat="1" s="1916"/>
    <row r="402" customFormat="1" s="1916">
      <c r="A402" s="53" t="n"/>
      <c r="B402" s="53" t="n"/>
      <c r="C402" s="53" t="n"/>
      <c r="D402" s="53" t="n"/>
      <c r="E402" s="53" t="n"/>
      <c r="N402" s="53" t="n"/>
      <c r="O402" s="53" t="n"/>
      <c r="P402" s="53" t="n"/>
      <c r="Q402" s="53" t="n"/>
      <c r="R402" s="53" t="n"/>
    </row>
    <row r="403" customFormat="1" s="1916">
      <c r="A403" s="53" t="n"/>
      <c r="B403" s="53" t="n"/>
      <c r="C403" s="53" t="n"/>
      <c r="D403" s="53" t="n"/>
      <c r="E403" s="53" t="n"/>
      <c r="F403" s="53" t="n"/>
      <c r="G403" s="53" t="n"/>
      <c r="N403" s="53" t="n"/>
      <c r="O403" s="53" t="n"/>
      <c r="P403" s="53" t="n"/>
      <c r="Q403" s="53" t="n"/>
      <c r="R403" s="2145" t="n"/>
    </row>
    <row r="404" customFormat="1" s="1916">
      <c r="A404" s="53" t="n"/>
      <c r="B404" s="2155" t="n"/>
      <c r="C404" s="2145" t="n"/>
      <c r="D404" s="2145" t="n"/>
      <c r="E404" s="2145" t="n"/>
      <c r="F404" s="2285" t="n"/>
      <c r="G404" s="53" t="n"/>
      <c r="N404" s="53" t="n"/>
      <c r="O404" s="53" t="n"/>
      <c r="P404" s="2145" t="n"/>
      <c r="Q404" s="2145" t="n"/>
      <c r="R404" s="2145" t="n"/>
    </row>
    <row r="405" customFormat="1" s="1916">
      <c r="A405" s="53" t="n"/>
      <c r="B405" s="53" t="n"/>
      <c r="C405" s="2145" t="n"/>
      <c r="D405" s="2145" t="n"/>
      <c r="E405" s="2145" t="n"/>
      <c r="F405" s="53" t="n"/>
      <c r="G405" s="53" t="n"/>
      <c r="N405" s="53" t="n"/>
      <c r="O405" s="53" t="n"/>
      <c r="P405" s="2145" t="n"/>
      <c r="Q405" s="2285" t="n"/>
      <c r="R405" s="2145" t="n"/>
    </row>
    <row r="406" customFormat="1" s="1916">
      <c r="A406" s="53" t="n"/>
      <c r="B406" s="53" t="n"/>
      <c r="C406" s="2145" t="n"/>
      <c r="D406" s="2145" t="n"/>
      <c r="E406" s="2145" t="n"/>
      <c r="F406" s="53" t="n"/>
      <c r="G406" s="53" t="n"/>
      <c r="N406" s="53" t="n"/>
      <c r="O406" s="53" t="n"/>
      <c r="P406" s="2145" t="n"/>
      <c r="Q406" s="2285" t="n"/>
      <c r="R406" s="2145" t="n"/>
    </row>
    <row r="407" customFormat="1" s="1916">
      <c r="A407" s="53" t="n"/>
      <c r="B407" s="53" t="n"/>
      <c r="C407" s="2145" t="n"/>
      <c r="D407" s="2145" t="n"/>
      <c r="E407" s="2145" t="n"/>
      <c r="F407" s="53" t="n"/>
      <c r="G407" s="53" t="n"/>
      <c r="N407" s="53" t="n"/>
      <c r="O407" s="2145" t="n"/>
      <c r="P407" s="2149" t="n"/>
      <c r="Q407" s="53" t="n"/>
      <c r="R407" s="53" t="n"/>
      <c r="S407" s="53" t="n"/>
      <c r="T407" s="53" t="n"/>
      <c r="U407" s="53" t="n"/>
    </row>
    <row r="408" customFormat="1" s="1916">
      <c r="A408" s="53" t="n"/>
      <c r="B408" s="53" t="n"/>
      <c r="C408" s="2145" t="n"/>
      <c r="D408" s="2145" t="n"/>
      <c r="E408" s="2145" t="n"/>
      <c r="F408" s="53" t="n"/>
      <c r="G408" s="53" t="n"/>
      <c r="N408" s="53" t="n"/>
      <c r="O408" s="53" t="n"/>
      <c r="P408" s="2149" t="n"/>
      <c r="Q408" s="53" t="n"/>
      <c r="R408" s="53" t="n"/>
      <c r="S408" s="2145" t="n"/>
      <c r="T408" s="2145" t="n"/>
      <c r="U408" s="53" t="n"/>
    </row>
    <row r="409" customFormat="1" s="1916">
      <c r="A409" s="53" t="n"/>
      <c r="B409" s="53" t="n"/>
      <c r="C409" s="2145" t="n"/>
      <c r="D409" s="2145" t="n"/>
      <c r="E409" s="2145" t="n"/>
      <c r="F409" s="53" t="n"/>
      <c r="G409" s="53" t="n"/>
      <c r="N409" s="53" t="n"/>
      <c r="O409" s="53" t="n"/>
      <c r="P409" s="2149" t="n"/>
      <c r="Q409" s="53" t="n"/>
      <c r="R409" s="53" t="n"/>
      <c r="S409" s="2145" t="n"/>
      <c r="T409" s="2145" t="n"/>
      <c r="U409" s="53" t="n"/>
    </row>
    <row r="410" customFormat="1" s="1916">
      <c r="A410" s="53" t="n"/>
      <c r="B410" s="53" t="n"/>
      <c r="C410" s="2145" t="n"/>
      <c r="D410" s="2145" t="n"/>
      <c r="E410" s="2145" t="n"/>
      <c r="F410" s="53" t="n"/>
      <c r="G410" s="53" t="n"/>
      <c r="N410" s="53" t="n"/>
      <c r="O410" s="53" t="n"/>
      <c r="P410" s="2149" t="n"/>
      <c r="Q410" s="53" t="n"/>
      <c r="R410" s="53" t="n"/>
      <c r="S410" s="2145" t="n"/>
      <c r="T410" s="2145" t="n"/>
      <c r="U410" s="53" t="n"/>
    </row>
    <row r="411" customFormat="1" s="1916">
      <c r="A411" s="53" t="n"/>
      <c r="B411" s="53" t="n"/>
      <c r="C411" s="2145" t="n"/>
      <c r="D411" s="2145" t="n"/>
      <c r="E411" s="2145" t="n"/>
      <c r="F411" s="53" t="n"/>
      <c r="G411" s="53" t="n"/>
      <c r="N411" s="53" t="n"/>
      <c r="O411" s="53" t="n"/>
      <c r="P411" s="2149" t="n"/>
      <c r="Q411" s="53" t="n"/>
      <c r="R411" s="53" t="n"/>
      <c r="S411" s="2145" t="n"/>
      <c r="T411" s="2145" t="n"/>
      <c r="U411" s="53" t="n"/>
    </row>
    <row r="412" customFormat="1" s="1916">
      <c r="A412" s="53" t="n"/>
      <c r="B412" s="53" t="n"/>
      <c r="C412" s="2145" t="n"/>
      <c r="D412" s="2145" t="n"/>
      <c r="E412" s="2145" t="n"/>
      <c r="F412" s="53" t="n"/>
      <c r="G412" s="53" t="n"/>
      <c r="N412" s="53" t="n"/>
      <c r="O412" s="53" t="n"/>
      <c r="P412" s="2149" t="n"/>
      <c r="Q412" s="53" t="n"/>
      <c r="R412" s="53" t="n"/>
      <c r="S412" s="53" t="n"/>
      <c r="T412" s="53" t="n"/>
      <c r="U412" s="53" t="n"/>
    </row>
    <row r="413" customFormat="1" s="1916">
      <c r="A413" s="53" t="n"/>
      <c r="B413" s="53" t="n"/>
      <c r="C413" s="2145" t="n"/>
      <c r="D413" s="2145" t="n"/>
      <c r="E413" s="2145" t="n"/>
      <c r="F413" s="53" t="n"/>
      <c r="G413" s="53" t="n"/>
      <c r="N413" s="53" t="n"/>
      <c r="O413" s="53" t="n"/>
      <c r="P413" s="2149" t="n"/>
      <c r="Q413" s="53" t="n"/>
      <c r="R413" s="53" t="n"/>
      <c r="S413" s="53" t="n"/>
      <c r="T413" s="53" t="n"/>
      <c r="U413" s="53" t="n"/>
    </row>
    <row r="414" customFormat="1" s="1916">
      <c r="A414" s="53" t="n"/>
      <c r="B414" s="53" t="n"/>
      <c r="C414" s="2145" t="n"/>
      <c r="D414" s="2145" t="n"/>
      <c r="E414" s="2145" t="n"/>
      <c r="F414" s="53" t="n"/>
      <c r="G414" s="53" t="n"/>
      <c r="S414" s="53" t="n"/>
      <c r="T414" s="53" t="n"/>
      <c r="U414" s="53" t="n"/>
    </row>
    <row r="415" customFormat="1" s="1916">
      <c r="A415" s="53" t="n"/>
      <c r="B415" s="53" t="n"/>
      <c r="C415" s="2145" t="n"/>
      <c r="D415" s="2145" t="n"/>
      <c r="E415" s="2145" t="n"/>
      <c r="F415" s="53" t="n"/>
      <c r="G415" s="53" t="n"/>
      <c r="S415" s="53" t="n"/>
      <c r="T415" s="53" t="n"/>
      <c r="U415" s="53" t="n"/>
    </row>
    <row r="416" customFormat="1" s="1916">
      <c r="A416" s="53" t="n"/>
      <c r="B416" s="53" t="n"/>
      <c r="C416" s="2145" t="n"/>
      <c r="D416" s="2145" t="n"/>
      <c r="E416" s="2145" t="n"/>
      <c r="F416" s="2285" t="n"/>
      <c r="G416" s="53" t="n"/>
      <c r="S416" s="53" t="n"/>
      <c r="T416" s="53" t="n"/>
      <c r="U416" s="53" t="n"/>
    </row>
    <row r="417" customFormat="1" s="1916">
      <c r="A417" s="53" t="n"/>
      <c r="B417" s="53" t="n"/>
      <c r="C417" s="2145" t="n"/>
      <c r="D417" s="2145" t="n"/>
      <c r="E417" s="2145" t="n"/>
      <c r="F417" s="53" t="n"/>
      <c r="G417" s="53" t="n"/>
      <c r="S417" s="53" t="n"/>
      <c r="T417" s="53" t="n"/>
      <c r="U417" s="53" t="n"/>
    </row>
    <row r="418" customFormat="1" s="1916">
      <c r="A418" s="53" t="n"/>
      <c r="B418" s="53" t="n"/>
      <c r="C418" s="2145" t="n"/>
      <c r="D418" s="2145" t="n"/>
      <c r="E418" s="2145" t="n"/>
      <c r="F418" s="53" t="n"/>
      <c r="G418" s="53" t="n"/>
      <c r="S418" s="53" t="n"/>
      <c r="T418" s="53" t="n"/>
      <c r="U418" s="53" t="n"/>
    </row>
    <row r="419" customFormat="1" s="1916">
      <c r="A419" s="53" t="n"/>
      <c r="B419" s="53" t="n"/>
      <c r="C419" s="2145" t="n"/>
      <c r="D419" s="2145" t="n"/>
      <c r="E419" s="2145" t="n"/>
      <c r="F419" s="53" t="n"/>
      <c r="G419" s="53" t="n"/>
    </row>
    <row r="420" customFormat="1" s="1916">
      <c r="A420" s="53" t="n"/>
      <c r="B420" s="53" t="n"/>
      <c r="C420" s="2145" t="n"/>
      <c r="D420" s="2145" t="n"/>
      <c r="E420" s="2145" t="n"/>
      <c r="F420" s="53" t="n"/>
      <c r="G420" s="53" t="n"/>
    </row>
    <row r="421" customFormat="1" s="1916">
      <c r="A421" s="103" t="n"/>
      <c r="B421" s="103" t="n"/>
      <c r="C421" s="2147" t="n"/>
      <c r="D421" s="2147" t="n"/>
      <c r="E421" s="2147" t="n"/>
      <c r="F421" s="53" t="n"/>
      <c r="G421" s="53" t="n"/>
    </row>
    <row r="422" customFormat="1" s="1916">
      <c r="A422" s="103" t="n"/>
      <c r="B422" s="105" t="n"/>
      <c r="C422" s="2147" t="n"/>
      <c r="D422" s="2147" t="n"/>
      <c r="E422" s="2147" t="n"/>
      <c r="F422" s="53" t="n"/>
      <c r="G422" s="53" t="n"/>
    </row>
    <row r="423" customFormat="1" s="1916">
      <c r="A423" s="103" t="n"/>
      <c r="B423" s="103" t="n"/>
      <c r="C423" s="2147" t="n"/>
      <c r="D423" s="2147" t="n"/>
      <c r="E423" s="2147" t="n"/>
      <c r="F423" s="53" t="n"/>
      <c r="G423" s="53" t="n"/>
    </row>
    <row r="424" customFormat="1" s="1916">
      <c r="A424" s="103" t="n"/>
      <c r="B424" s="105" t="n"/>
      <c r="C424" s="2147" t="n"/>
      <c r="D424" s="2147" t="n"/>
      <c r="E424" s="2147" t="n"/>
      <c r="F424" s="53" t="n"/>
      <c r="H424" s="53" t="n"/>
      <c r="I424" s="53" t="n"/>
      <c r="J424" s="53" t="n"/>
      <c r="K424" s="53" t="n"/>
      <c r="L424" s="53" t="n"/>
      <c r="M424" s="53" t="n"/>
      <c r="N424" s="53" t="n"/>
    </row>
    <row r="425" customFormat="1" s="1916">
      <c r="A425" s="53" t="n"/>
      <c r="B425" s="53" t="n"/>
      <c r="C425" s="2145" t="n"/>
      <c r="D425" s="2145" t="n"/>
      <c r="E425" s="2145" t="n"/>
      <c r="F425" s="53" t="n"/>
      <c r="H425" s="53" t="n"/>
      <c r="I425" s="53" t="n"/>
      <c r="J425" s="53" t="n"/>
      <c r="K425" s="106" t="n"/>
      <c r="L425" s="106" t="n"/>
      <c r="M425" s="106" t="n"/>
      <c r="N425" s="106" t="n"/>
    </row>
    <row r="426" customFormat="1" s="1916">
      <c r="A426" s="3" t="n"/>
      <c r="B426" s="2285" t="n"/>
      <c r="C426" s="3" t="n"/>
      <c r="D426" s="3" t="n"/>
      <c r="E426" s="2285" t="n"/>
      <c r="F426" s="107" t="n"/>
      <c r="H426" s="53" t="n"/>
      <c r="I426" s="540" t="n"/>
      <c r="J426" s="53" t="n"/>
      <c r="K426" s="106" t="n"/>
      <c r="L426" s="106" t="n"/>
      <c r="M426" s="106" t="n"/>
      <c r="N426" s="106" t="n"/>
    </row>
    <row r="427" customFormat="1" s="1916">
      <c r="A427" s="53" t="n"/>
      <c r="B427" s="53" t="n"/>
      <c r="C427" s="53" t="n"/>
      <c r="D427" s="53" t="n"/>
      <c r="E427" s="53" t="n"/>
      <c r="F427" s="107" t="n"/>
      <c r="H427" s="53" t="n"/>
      <c r="I427" s="53" t="n"/>
      <c r="J427" s="53" t="n"/>
      <c r="K427" s="2145" t="n"/>
      <c r="L427" s="2145" t="n"/>
      <c r="M427" s="2145" t="n"/>
      <c r="N427" s="53" t="n"/>
    </row>
    <row r="428" customFormat="1" s="1916">
      <c r="A428" s="53" t="n"/>
      <c r="B428" s="53" t="n"/>
      <c r="C428" s="53" t="n"/>
      <c r="D428" s="53" t="n"/>
      <c r="E428" s="106" t="n"/>
      <c r="F428" s="106" t="n"/>
      <c r="H428" s="53" t="n"/>
      <c r="I428" s="93" t="n"/>
      <c r="J428" s="2145" t="n"/>
      <c r="K428" s="2145" t="n"/>
      <c r="L428" s="2145" t="n"/>
      <c r="M428" s="2145" t="n"/>
      <c r="N428" s="106" t="n"/>
    </row>
    <row r="429" customFormat="1" s="1916">
      <c r="A429" s="53" t="n"/>
      <c r="B429" s="53" t="n"/>
      <c r="C429" s="53" t="n"/>
      <c r="D429" s="53" t="n"/>
      <c r="E429" s="53" t="n"/>
      <c r="F429" s="53" t="n"/>
      <c r="H429" s="53" t="n"/>
      <c r="I429" s="93" t="n"/>
      <c r="J429" s="2145" t="n"/>
      <c r="K429" s="2145" t="n"/>
      <c r="L429" s="2145" t="n"/>
      <c r="M429" s="2145" t="n"/>
      <c r="N429" s="53" t="n"/>
    </row>
    <row r="430" customFormat="1" s="1916">
      <c r="A430" s="53" t="n"/>
      <c r="B430" s="53" t="n"/>
      <c r="C430" s="53" t="n"/>
      <c r="D430" s="53" t="n"/>
      <c r="E430" s="106" t="n"/>
      <c r="F430" s="106" t="n"/>
      <c r="H430" s="53" t="n"/>
      <c r="I430" s="93" t="n"/>
      <c r="J430" s="2145" t="n"/>
      <c r="K430" s="2145" t="n"/>
      <c r="L430" s="2145" t="n"/>
      <c r="M430" s="2145" t="n"/>
      <c r="N430" s="106" t="n"/>
    </row>
    <row r="431" customFormat="1" s="1916">
      <c r="A431" s="53" t="n"/>
      <c r="B431" s="53" t="n"/>
      <c r="C431" s="53" t="n"/>
      <c r="D431" s="53" t="n"/>
      <c r="E431" s="2286" t="n"/>
      <c r="F431" s="2286" t="n"/>
      <c r="G431" s="53" t="n"/>
      <c r="H431" s="103" t="n"/>
      <c r="I431" s="103" t="n"/>
      <c r="J431" s="2147" t="n"/>
      <c r="K431" s="2147" t="n"/>
      <c r="L431" s="2147" t="n"/>
      <c r="M431" s="2145" t="n"/>
      <c r="N431" s="106" t="n"/>
    </row>
    <row r="432" customFormat="1" s="1916">
      <c r="A432" s="53" t="n"/>
      <c r="B432" s="53" t="n"/>
      <c r="C432" s="2145" t="n"/>
      <c r="D432" s="2145" t="n"/>
      <c r="E432" s="2145" t="n"/>
      <c r="F432" s="2145" t="n"/>
      <c r="G432" s="53" t="n"/>
      <c r="H432" s="53" t="n"/>
      <c r="I432" s="53" t="n"/>
    </row>
    <row r="433" customFormat="1" s="1916">
      <c r="A433" s="53" t="n"/>
      <c r="B433" s="53" t="n"/>
      <c r="C433" s="53" t="n"/>
      <c r="D433" s="53" t="n"/>
      <c r="E433" s="2145" t="n"/>
      <c r="F433" s="53" t="n"/>
      <c r="G433" s="53" t="n"/>
      <c r="H433" s="110" t="n"/>
      <c r="I433" s="53" t="n"/>
      <c r="J433" s="53" t="n"/>
      <c r="K433" s="2145" t="n"/>
      <c r="L433" s="2145" t="n"/>
      <c r="M433" s="2145" t="n"/>
    </row>
    <row r="434" customFormat="1" s="1916">
      <c r="A434" s="53" t="n"/>
      <c r="B434" s="93" t="n"/>
      <c r="C434" s="2145" t="n"/>
      <c r="D434" s="2145" t="n"/>
      <c r="E434" s="2145" t="n"/>
      <c r="F434" s="53" t="n"/>
      <c r="G434" s="53" t="n"/>
      <c r="H434" s="2285" t="n"/>
      <c r="I434" s="93" t="n"/>
      <c r="J434" s="2145" t="n"/>
      <c r="K434" s="2145" t="n"/>
      <c r="L434" s="2145" t="n"/>
      <c r="M434" s="2145" t="n"/>
    </row>
    <row r="435" customFormat="1" s="1916">
      <c r="A435" s="53" t="n"/>
      <c r="B435" s="93" t="n"/>
      <c r="C435" s="2145" t="n"/>
      <c r="D435" s="2145" t="n"/>
      <c r="E435" s="2145" t="n"/>
      <c r="F435" s="53" t="n"/>
      <c r="G435" s="53" t="n"/>
      <c r="H435" s="53" t="n"/>
      <c r="I435" s="93" t="n"/>
      <c r="J435" s="2145" t="n"/>
      <c r="K435" s="2145" t="n"/>
      <c r="L435" s="2145" t="n"/>
      <c r="M435" s="2145" t="n"/>
    </row>
    <row r="436" customFormat="1" s="1916">
      <c r="A436" s="53" t="n"/>
      <c r="B436" s="93" t="n"/>
      <c r="C436" s="2145" t="n"/>
      <c r="D436" s="2145" t="n"/>
      <c r="E436" s="2145" t="n"/>
      <c r="F436" s="53" t="n"/>
      <c r="G436" s="53" t="n"/>
      <c r="H436" s="53" t="n"/>
      <c r="I436" s="93" t="n"/>
      <c r="J436" s="2145" t="n"/>
      <c r="K436" s="2145" t="n"/>
      <c r="L436" s="2145" t="n"/>
      <c r="M436" s="2145" t="n"/>
    </row>
    <row r="437" customFormat="1" s="1916">
      <c r="A437" s="53" t="n"/>
      <c r="B437" s="93" t="n"/>
      <c r="C437" s="2145" t="n"/>
      <c r="D437" s="2145" t="n"/>
      <c r="E437" s="2145" t="n"/>
      <c r="F437" s="111" t="n"/>
      <c r="G437" s="53" t="n"/>
      <c r="H437" s="53" t="n"/>
      <c r="I437" s="93" t="n"/>
      <c r="J437" s="2145" t="n"/>
      <c r="K437" s="2145" t="n"/>
      <c r="L437" s="2145" t="n"/>
      <c r="M437" s="2145" t="n"/>
    </row>
    <row r="438" customFormat="1" s="1916">
      <c r="A438" s="53" t="n"/>
      <c r="B438" s="93" t="n"/>
      <c r="C438" s="2145" t="n"/>
      <c r="D438" s="2145" t="n"/>
      <c r="E438" s="2145" t="n"/>
      <c r="F438" s="53" t="n"/>
      <c r="G438" s="53" t="n"/>
      <c r="H438" s="53" t="n"/>
      <c r="I438" s="93" t="n"/>
      <c r="J438" s="2145" t="n"/>
      <c r="K438" s="2145" t="n"/>
      <c r="L438" s="2145" t="n"/>
      <c r="M438" s="2145" t="n"/>
    </row>
    <row r="439" customFormat="1" s="1916">
      <c r="A439" s="53" t="n"/>
      <c r="B439" s="93" t="n"/>
      <c r="C439" s="2145" t="n"/>
      <c r="D439" s="2145" t="n"/>
      <c r="E439" s="2145" t="n"/>
      <c r="F439" s="53" t="n"/>
      <c r="G439" s="53" t="n"/>
      <c r="H439" s="53" t="n"/>
      <c r="I439" s="93" t="n"/>
      <c r="J439" s="2145" t="n"/>
      <c r="K439" s="2145" t="n"/>
      <c r="L439" s="2145" t="n"/>
      <c r="M439" s="2145" t="n"/>
    </row>
    <row r="440" customFormat="1" s="1916">
      <c r="A440" s="53" t="n"/>
      <c r="B440" s="93" t="n"/>
      <c r="C440" s="2145" t="n"/>
      <c r="D440" s="2145" t="n"/>
      <c r="E440" s="2145" t="n"/>
      <c r="F440" s="53" t="n"/>
      <c r="G440" s="53" t="n"/>
      <c r="H440" s="53" t="n"/>
      <c r="I440" s="93" t="n"/>
      <c r="J440" s="2145" t="n"/>
      <c r="K440" s="2145" t="n"/>
      <c r="L440" s="2145" t="n"/>
      <c r="M440" s="2145" t="n"/>
    </row>
    <row r="441" customFormat="1" s="1916">
      <c r="A441" s="103" t="n"/>
      <c r="B441" s="103" t="n"/>
      <c r="C441" s="2147" t="n"/>
      <c r="D441" s="2147" t="n"/>
      <c r="E441" s="2147" t="n"/>
      <c r="F441" s="53" t="n"/>
      <c r="G441" s="53" t="n"/>
      <c r="H441" s="103" t="n"/>
      <c r="I441" s="103" t="n"/>
      <c r="J441" s="2147" t="n"/>
      <c r="K441" s="2147" t="n"/>
      <c r="L441" s="2147" t="n"/>
      <c r="M441" s="2147" t="n"/>
    </row>
    <row r="442" customFormat="1" s="1916">
      <c r="A442" s="53" t="n"/>
      <c r="B442" s="53" t="n"/>
      <c r="C442" s="2145" t="n"/>
      <c r="D442" s="2145" t="n"/>
      <c r="E442" s="2145" t="n"/>
      <c r="F442" s="53" t="n"/>
      <c r="G442" s="53" t="n"/>
    </row>
    <row r="443" customFormat="1" s="1916">
      <c r="A443" s="53" t="n"/>
      <c r="B443" s="53" t="n"/>
      <c r="C443" s="2145" t="n"/>
      <c r="D443" s="2145" t="n"/>
      <c r="E443" s="2147" t="n"/>
      <c r="F443" s="53" t="n"/>
      <c r="G443" s="53" t="n"/>
    </row>
    <row r="444" customFormat="1" s="1916">
      <c r="A444" s="53" t="n"/>
      <c r="B444" s="53" t="n"/>
      <c r="C444" s="2145" t="n"/>
      <c r="D444" s="2145" t="n"/>
      <c r="E444" s="2145" t="n"/>
      <c r="F444" s="53" t="n"/>
      <c r="G444" s="53" t="n"/>
    </row>
    <row r="445" customFormat="1" s="1916">
      <c r="A445" s="53" t="n"/>
      <c r="B445" s="53" t="n"/>
      <c r="C445" s="2145" t="n"/>
      <c r="D445" s="2145" t="n"/>
      <c r="E445" s="2145" t="n"/>
      <c r="F445" s="53" t="n"/>
      <c r="G445" s="53" t="n"/>
    </row>
    <row r="446" customFormat="1" s="1916">
      <c r="A446" s="53" t="n"/>
      <c r="B446" s="112" t="n"/>
      <c r="C446" s="2145" t="n"/>
      <c r="D446" s="2145" t="n"/>
      <c r="E446" s="2145" t="n"/>
      <c r="F446" s="53" t="n"/>
      <c r="G446" s="53" t="n"/>
    </row>
    <row r="447" customFormat="1" s="1916">
      <c r="A447" s="53" t="n"/>
      <c r="B447" s="112" t="n"/>
      <c r="C447" s="2145" t="n"/>
      <c r="D447" s="2145" t="n"/>
      <c r="E447" s="2145" t="n"/>
      <c r="F447" s="53" t="n"/>
      <c r="G447" s="53" t="n"/>
    </row>
    <row r="448" customFormat="1" s="1916">
      <c r="A448" s="53" t="n"/>
      <c r="B448" s="113" t="n"/>
      <c r="C448" s="2145" t="n"/>
      <c r="D448" s="2145" t="n"/>
      <c r="E448" s="2145" t="n"/>
      <c r="F448" s="53" t="n"/>
      <c r="G448" s="53" t="n"/>
    </row>
    <row r="449" customFormat="1" s="1916">
      <c r="A449" s="53" t="n"/>
      <c r="B449" s="113" t="n"/>
      <c r="C449" s="2145" t="n"/>
      <c r="D449" s="2145" t="n"/>
      <c r="E449" s="2145" t="n"/>
      <c r="F449" s="53" t="n"/>
      <c r="G449" s="53" t="n"/>
    </row>
    <row r="450" customFormat="1" s="1916">
      <c r="A450" s="53" t="n"/>
      <c r="B450" s="113" t="n"/>
      <c r="C450" s="2145" t="n"/>
      <c r="D450" s="2145" t="n"/>
      <c r="E450" s="2145" t="n"/>
      <c r="F450" s="53" t="n"/>
      <c r="G450" s="53" t="n"/>
    </row>
    <row r="451" customFormat="1" s="1916">
      <c r="A451" s="53" t="n"/>
      <c r="B451" s="113" t="n"/>
      <c r="C451" s="2145" t="n"/>
      <c r="D451" s="2145" t="n"/>
      <c r="E451" s="2145" t="n"/>
      <c r="F451" s="53" t="n"/>
      <c r="G451" s="53" t="n"/>
    </row>
    <row r="452" customFormat="1" s="1916">
      <c r="A452" s="53" t="n"/>
      <c r="B452" s="112" t="n"/>
      <c r="C452" s="2145" t="n"/>
      <c r="D452" s="2145" t="n"/>
      <c r="E452" s="2145" t="n"/>
      <c r="F452" s="53" t="n"/>
      <c r="G452" s="53" t="n"/>
    </row>
    <row r="453" customFormat="1" s="1916">
      <c r="A453" s="53" t="n"/>
      <c r="B453" s="112" t="n"/>
      <c r="C453" s="2145" t="n"/>
      <c r="D453" s="2145" t="n"/>
      <c r="E453" s="2145" t="n"/>
      <c r="F453" s="53" t="n"/>
      <c r="G453" s="53" t="n"/>
    </row>
    <row r="454" customFormat="1" s="1916">
      <c r="A454" s="53" t="n"/>
      <c r="B454" s="112" t="n"/>
      <c r="C454" s="2145" t="n"/>
      <c r="D454" s="2145" t="n"/>
      <c r="E454" s="2149" t="n"/>
      <c r="F454" s="53" t="n"/>
      <c r="G454" s="53" t="n"/>
      <c r="P454" s="53" t="n"/>
    </row>
    <row r="455" customFormat="1" s="1916">
      <c r="A455" s="53" t="n"/>
      <c r="B455" s="113" t="n"/>
      <c r="C455" s="2145" t="n"/>
      <c r="D455" s="2145" t="n"/>
      <c r="E455" s="2145" t="n"/>
      <c r="F455" s="53" t="n"/>
      <c r="G455" s="53" t="n"/>
      <c r="H455" s="53" t="n"/>
      <c r="J455" s="2154" t="n"/>
      <c r="P455" s="53" t="n"/>
    </row>
    <row r="456" customFormat="1" s="1916">
      <c r="A456" s="53" t="n"/>
      <c r="B456" s="53" t="n"/>
      <c r="C456" s="2145" t="n"/>
      <c r="D456" s="2145" t="n"/>
      <c r="E456" s="2145" t="n"/>
      <c r="F456" s="2145" t="n"/>
      <c r="G456" s="2145" t="n"/>
      <c r="P456" s="53" t="n"/>
    </row>
    <row r="457" customFormat="1" s="1916">
      <c r="A457" s="53" t="n"/>
      <c r="B457" s="53" t="n"/>
      <c r="C457" s="2145" t="n"/>
      <c r="D457" s="2145" t="n"/>
      <c r="E457" s="2145" t="n"/>
      <c r="G457" s="540" t="n"/>
      <c r="P457" s="53" t="n"/>
    </row>
    <row r="458" customFormat="1" s="1916">
      <c r="E458" s="2145" t="n"/>
    </row>
    <row r="459" customFormat="1" s="1916"/>
    <row r="460" customFormat="1" s="1916"/>
    <row r="461" customFormat="1" s="1916">
      <c r="A461" s="53" t="n"/>
      <c r="B461" s="53" t="n"/>
      <c r="C461" s="53" t="n"/>
      <c r="D461" s="53" t="n"/>
      <c r="E461" s="53" t="n"/>
      <c r="N461" s="53" t="n"/>
      <c r="O461" s="53" t="n"/>
      <c r="P461" s="53" t="n"/>
      <c r="Q461" s="53" t="n"/>
      <c r="R461" s="53" t="n"/>
    </row>
    <row r="462" customFormat="1" s="1916">
      <c r="A462" s="53" t="n"/>
      <c r="B462" s="53" t="n"/>
      <c r="C462" s="53" t="n"/>
      <c r="D462" s="53" t="n"/>
      <c r="E462" s="53" t="n"/>
      <c r="F462" s="53" t="n"/>
      <c r="G462" s="53" t="n"/>
      <c r="N462" s="53" t="n"/>
      <c r="O462" s="53" t="n"/>
      <c r="P462" s="53" t="n"/>
      <c r="Q462" s="53" t="n"/>
      <c r="R462" s="2145" t="n"/>
    </row>
    <row r="463" customFormat="1" s="1916">
      <c r="A463" s="53" t="n"/>
      <c r="B463" s="2155" t="n"/>
      <c r="C463" s="2145" t="n"/>
      <c r="D463" s="2145" t="n"/>
      <c r="E463" s="2145" t="n"/>
      <c r="F463" s="2285" t="n"/>
      <c r="G463" s="53" t="n"/>
      <c r="N463" s="53" t="n"/>
      <c r="O463" s="53" t="n"/>
      <c r="P463" s="2145" t="n"/>
      <c r="Q463" s="2145" t="n"/>
      <c r="R463" s="2145" t="n"/>
    </row>
    <row r="464" customFormat="1" s="1916">
      <c r="A464" s="53" t="n"/>
      <c r="B464" s="53" t="n"/>
      <c r="C464" s="2145" t="n"/>
      <c r="D464" s="2145" t="n"/>
      <c r="E464" s="2145" t="n"/>
      <c r="F464" s="53" t="n"/>
      <c r="G464" s="53" t="n"/>
      <c r="N464" s="53" t="n"/>
      <c r="O464" s="53" t="n"/>
      <c r="P464" s="2145" t="n"/>
      <c r="Q464" s="2285" t="n"/>
      <c r="R464" s="2145" t="n"/>
    </row>
    <row r="465" customFormat="1" s="1916">
      <c r="A465" s="53" t="n"/>
      <c r="B465" s="53" t="n"/>
      <c r="C465" s="2145" t="n"/>
      <c r="D465" s="2145" t="n"/>
      <c r="E465" s="2145" t="n"/>
      <c r="F465" s="53" t="n"/>
      <c r="G465" s="53" t="n"/>
      <c r="N465" s="53" t="n"/>
      <c r="O465" s="53" t="n"/>
      <c r="P465" s="2145" t="n"/>
      <c r="Q465" s="2285" t="n"/>
      <c r="R465" s="2145" t="n"/>
    </row>
    <row r="466" customFormat="1" s="1916">
      <c r="A466" s="53" t="n"/>
      <c r="B466" s="53" t="n"/>
      <c r="C466" s="2145" t="n"/>
      <c r="D466" s="2145" t="n"/>
      <c r="E466" s="2145" t="n"/>
      <c r="F466" s="53" t="n"/>
      <c r="G466" s="53" t="n"/>
      <c r="N466" s="53" t="n"/>
      <c r="O466" s="2145" t="n"/>
      <c r="P466" s="2149" t="n"/>
      <c r="Q466" s="53" t="n"/>
      <c r="R466" s="53" t="n"/>
      <c r="S466" s="53" t="n"/>
      <c r="T466" s="53" t="n"/>
      <c r="U466" s="53" t="n"/>
    </row>
    <row r="467" customFormat="1" s="1916">
      <c r="A467" s="53" t="n"/>
      <c r="B467" s="53" t="n"/>
      <c r="C467" s="2145" t="n"/>
      <c r="D467" s="2145" t="n"/>
      <c r="E467" s="2145" t="n"/>
      <c r="F467" s="53" t="n"/>
      <c r="G467" s="53" t="n"/>
      <c r="N467" s="53" t="n"/>
      <c r="O467" s="53" t="n"/>
      <c r="P467" s="2149" t="n"/>
      <c r="Q467" s="53" t="n"/>
      <c r="R467" s="53" t="n"/>
      <c r="S467" s="2145" t="n"/>
      <c r="T467" s="2145" t="n"/>
      <c r="U467" s="53" t="n"/>
    </row>
    <row r="468" customFormat="1" s="1916">
      <c r="A468" s="53" t="n"/>
      <c r="B468" s="53" t="n"/>
      <c r="C468" s="2145" t="n"/>
      <c r="D468" s="2145" t="n"/>
      <c r="E468" s="2145" t="n"/>
      <c r="F468" s="53" t="n"/>
      <c r="G468" s="53" t="n"/>
      <c r="N468" s="53" t="n"/>
      <c r="O468" s="53" t="n"/>
      <c r="P468" s="2149" t="n"/>
      <c r="Q468" s="53" t="n"/>
      <c r="R468" s="53" t="n"/>
      <c r="S468" s="2145" t="n"/>
      <c r="T468" s="2145" t="n"/>
      <c r="U468" s="53" t="n"/>
    </row>
    <row r="469" customFormat="1" s="1916">
      <c r="A469" s="53" t="n"/>
      <c r="B469" s="53" t="n"/>
      <c r="C469" s="2145" t="n"/>
      <c r="D469" s="2145" t="n"/>
      <c r="E469" s="2145" t="n"/>
      <c r="F469" s="53" t="n"/>
      <c r="G469" s="53" t="n"/>
      <c r="N469" s="53" t="n"/>
      <c r="O469" s="53" t="n"/>
      <c r="P469" s="2149" t="n"/>
      <c r="Q469" s="53" t="n"/>
      <c r="R469" s="53" t="n"/>
      <c r="S469" s="2145" t="n"/>
      <c r="T469" s="2145" t="n"/>
      <c r="U469" s="53" t="n"/>
    </row>
    <row r="470" customFormat="1" s="1916">
      <c r="A470" s="53" t="n"/>
      <c r="B470" s="53" t="n"/>
      <c r="C470" s="2145" t="n"/>
      <c r="D470" s="2145" t="n"/>
      <c r="E470" s="2145" t="n"/>
      <c r="F470" s="53" t="n"/>
      <c r="G470" s="53" t="n"/>
      <c r="N470" s="53" t="n"/>
      <c r="O470" s="53" t="n"/>
      <c r="P470" s="2149" t="n"/>
      <c r="Q470" s="53" t="n"/>
      <c r="R470" s="53" t="n"/>
      <c r="S470" s="2145" t="n"/>
      <c r="T470" s="2145" t="n"/>
      <c r="U470" s="53" t="n"/>
    </row>
    <row r="471" customFormat="1" s="1916">
      <c r="A471" s="53" t="n"/>
      <c r="B471" s="53" t="n"/>
      <c r="C471" s="2145" t="n"/>
      <c r="D471" s="2145" t="n"/>
      <c r="E471" s="2145" t="n"/>
      <c r="F471" s="53" t="n"/>
      <c r="G471" s="53" t="n"/>
      <c r="N471" s="53" t="n"/>
      <c r="O471" s="53" t="n"/>
      <c r="P471" s="2149" t="n"/>
      <c r="Q471" s="53" t="n"/>
      <c r="R471" s="53" t="n"/>
      <c r="S471" s="53" t="n"/>
      <c r="T471" s="53" t="n"/>
      <c r="U471" s="53" t="n"/>
    </row>
    <row r="472" customFormat="1" s="1916">
      <c r="A472" s="53" t="n"/>
      <c r="B472" s="53" t="n"/>
      <c r="C472" s="2145" t="n"/>
      <c r="D472" s="2145" t="n"/>
      <c r="E472" s="2145" t="n"/>
      <c r="F472" s="53" t="n"/>
      <c r="G472" s="53" t="n"/>
      <c r="N472" s="53" t="n"/>
      <c r="O472" s="53" t="n"/>
      <c r="P472" s="2149" t="n"/>
      <c r="Q472" s="53" t="n"/>
      <c r="R472" s="53" t="n"/>
      <c r="S472" s="53" t="n"/>
      <c r="T472" s="53" t="n"/>
      <c r="U472" s="53" t="n"/>
    </row>
    <row r="473" customFormat="1" s="1916">
      <c r="A473" s="53" t="n"/>
      <c r="B473" s="53" t="n"/>
      <c r="C473" s="2145" t="n"/>
      <c r="D473" s="2145" t="n"/>
      <c r="E473" s="2145" t="n"/>
      <c r="F473" s="53" t="n"/>
      <c r="G473" s="53" t="n"/>
      <c r="S473" s="53" t="n"/>
      <c r="T473" s="53" t="n"/>
      <c r="U473" s="53" t="n"/>
    </row>
    <row r="474" customFormat="1" s="1916">
      <c r="A474" s="53" t="n"/>
      <c r="B474" s="53" t="n"/>
      <c r="C474" s="2145" t="n"/>
      <c r="D474" s="2145" t="n"/>
      <c r="E474" s="2145" t="n"/>
      <c r="F474" s="53" t="n"/>
      <c r="G474" s="53" t="n"/>
      <c r="S474" s="53" t="n"/>
      <c r="T474" s="53" t="n"/>
      <c r="U474" s="53" t="n"/>
    </row>
    <row r="475" customFormat="1" s="1916">
      <c r="A475" s="53" t="n"/>
      <c r="B475" s="53" t="n"/>
      <c r="C475" s="2145" t="n"/>
      <c r="D475" s="2145" t="n"/>
      <c r="E475" s="2145" t="n"/>
      <c r="F475" s="2285" t="n"/>
      <c r="G475" s="53" t="n"/>
      <c r="S475" s="53" t="n"/>
      <c r="T475" s="53" t="n"/>
      <c r="U475" s="53" t="n"/>
    </row>
    <row r="476" customFormat="1" s="1916">
      <c r="A476" s="53" t="n"/>
      <c r="B476" s="53" t="n"/>
      <c r="C476" s="2145" t="n"/>
      <c r="D476" s="2145" t="n"/>
      <c r="E476" s="2145" t="n"/>
      <c r="F476" s="53" t="n"/>
      <c r="G476" s="53" t="n"/>
      <c r="S476" s="53" t="n"/>
      <c r="T476" s="53" t="n"/>
      <c r="U476" s="53" t="n"/>
    </row>
    <row r="477" customFormat="1" s="1916">
      <c r="A477" s="53" t="n"/>
      <c r="B477" s="53" t="n"/>
      <c r="C477" s="2145" t="n"/>
      <c r="D477" s="2145" t="n"/>
      <c r="E477" s="2145" t="n"/>
      <c r="F477" s="53" t="n"/>
      <c r="G477" s="53" t="n"/>
      <c r="S477" s="53" t="n"/>
      <c r="T477" s="53" t="n"/>
      <c r="U477" s="53" t="n"/>
    </row>
    <row r="478" customFormat="1" s="1916">
      <c r="A478" s="53" t="n"/>
      <c r="B478" s="53" t="n"/>
      <c r="C478" s="2145" t="n"/>
      <c r="D478" s="2145" t="n"/>
      <c r="E478" s="2145" t="n"/>
      <c r="F478" s="53" t="n"/>
      <c r="G478" s="53" t="n"/>
    </row>
    <row r="479" customFormat="1" s="1916">
      <c r="A479" s="53" t="n"/>
      <c r="B479" s="53" t="n"/>
      <c r="C479" s="2145" t="n"/>
      <c r="D479" s="2145" t="n"/>
      <c r="E479" s="2145" t="n"/>
      <c r="F479" s="53" t="n"/>
      <c r="G479" s="53" t="n"/>
    </row>
    <row r="480" customFormat="1" s="1916">
      <c r="A480" s="103" t="n"/>
      <c r="B480" s="103" t="n"/>
      <c r="C480" s="2147" t="n"/>
      <c r="D480" s="2147" t="n"/>
      <c r="E480" s="2147" t="n"/>
      <c r="F480" s="53" t="n"/>
      <c r="G480" s="53" t="n"/>
    </row>
    <row r="481" customFormat="1" s="1916">
      <c r="A481" s="103" t="n"/>
      <c r="B481" s="105" t="n"/>
      <c r="C481" s="2147" t="n"/>
      <c r="D481" s="2147" t="n"/>
      <c r="E481" s="2147" t="n"/>
      <c r="F481" s="53" t="n"/>
      <c r="G481" s="53" t="n"/>
    </row>
    <row r="482" customFormat="1" s="1916">
      <c r="A482" s="103" t="n"/>
      <c r="B482" s="103" t="n"/>
      <c r="C482" s="2147" t="n"/>
      <c r="D482" s="2147" t="n"/>
      <c r="E482" s="2147" t="n"/>
      <c r="F482" s="53" t="n"/>
      <c r="G482" s="53" t="n"/>
    </row>
    <row r="483" customFormat="1" s="1916">
      <c r="A483" s="103" t="n"/>
      <c r="B483" s="105" t="n"/>
      <c r="C483" s="2147" t="n"/>
      <c r="D483" s="2147" t="n"/>
      <c r="E483" s="2147" t="n"/>
      <c r="F483" s="53" t="n"/>
      <c r="H483" s="53" t="n"/>
      <c r="I483" s="53" t="n"/>
      <c r="J483" s="53" t="n"/>
      <c r="K483" s="53" t="n"/>
      <c r="L483" s="53" t="n"/>
      <c r="M483" s="53" t="n"/>
      <c r="N483" s="53" t="n"/>
    </row>
    <row r="484" customFormat="1" s="1916">
      <c r="A484" s="53" t="n"/>
      <c r="B484" s="53" t="n"/>
      <c r="C484" s="2145" t="n"/>
      <c r="D484" s="2145" t="n"/>
      <c r="E484" s="2145" t="n"/>
      <c r="F484" s="53" t="n"/>
      <c r="H484" s="53" t="n"/>
      <c r="I484" s="53" t="n"/>
      <c r="J484" s="53" t="n"/>
      <c r="K484" s="106" t="n"/>
      <c r="L484" s="106" t="n"/>
      <c r="M484" s="106" t="n"/>
      <c r="N484" s="106" t="n"/>
    </row>
    <row r="485" customFormat="1" s="1916">
      <c r="A485" s="3" t="n"/>
      <c r="B485" s="2285" t="n"/>
      <c r="C485" s="3" t="n"/>
      <c r="D485" s="3" t="n"/>
      <c r="E485" s="2285" t="n"/>
      <c r="F485" s="107" t="n"/>
      <c r="H485" s="53" t="n"/>
      <c r="I485" s="540" t="n"/>
      <c r="J485" s="53" t="n"/>
      <c r="K485" s="106" t="n"/>
      <c r="L485" s="106" t="n"/>
      <c r="M485" s="106" t="n"/>
      <c r="N485" s="106" t="n"/>
    </row>
    <row r="486" customFormat="1" s="1916">
      <c r="A486" s="53" t="n"/>
      <c r="B486" s="53" t="n"/>
      <c r="C486" s="53" t="n"/>
      <c r="D486" s="53" t="n"/>
      <c r="E486" s="53" t="n"/>
      <c r="F486" s="107" t="n"/>
      <c r="H486" s="53" t="n"/>
      <c r="I486" s="53" t="n"/>
      <c r="J486" s="53" t="n"/>
      <c r="K486" s="2145" t="n"/>
      <c r="L486" s="2145" t="n"/>
      <c r="M486" s="2145" t="n"/>
      <c r="N486" s="53" t="n"/>
    </row>
    <row r="487" customFormat="1" s="1916">
      <c r="A487" s="53" t="n"/>
      <c r="B487" s="53" t="n"/>
      <c r="C487" s="53" t="n"/>
      <c r="D487" s="53" t="n"/>
      <c r="E487" s="106" t="n"/>
      <c r="F487" s="106" t="n"/>
      <c r="H487" s="53" t="n"/>
      <c r="I487" s="93" t="n"/>
      <c r="J487" s="2145" t="n"/>
      <c r="K487" s="2145" t="n"/>
      <c r="L487" s="2145" t="n"/>
      <c r="M487" s="2145" t="n"/>
      <c r="N487" s="106" t="n"/>
    </row>
    <row r="488" customFormat="1" s="1916">
      <c r="A488" s="53" t="n"/>
      <c r="B488" s="53" t="n"/>
      <c r="C488" s="53" t="n"/>
      <c r="D488" s="53" t="n"/>
      <c r="E488" s="53" t="n"/>
      <c r="F488" s="53" t="n"/>
      <c r="H488" s="53" t="n"/>
      <c r="I488" s="93" t="n"/>
      <c r="J488" s="2145" t="n"/>
      <c r="K488" s="2145" t="n"/>
      <c r="L488" s="2145" t="n"/>
      <c r="M488" s="2145" t="n"/>
      <c r="N488" s="53" t="n"/>
    </row>
    <row r="489" customFormat="1" s="1916">
      <c r="A489" s="53" t="n"/>
      <c r="B489" s="53" t="n"/>
      <c r="C489" s="53" t="n"/>
      <c r="D489" s="53" t="n"/>
      <c r="E489" s="106" t="n"/>
      <c r="F489" s="106" t="n"/>
      <c r="H489" s="53" t="n"/>
      <c r="I489" s="93" t="n"/>
      <c r="J489" s="2145" t="n"/>
      <c r="K489" s="2145" t="n"/>
      <c r="L489" s="2145" t="n"/>
      <c r="M489" s="2145" t="n"/>
      <c r="N489" s="106" t="n"/>
    </row>
    <row r="490" customFormat="1" s="1916">
      <c r="A490" s="53" t="n"/>
      <c r="B490" s="53" t="n"/>
      <c r="C490" s="53" t="n"/>
      <c r="D490" s="53" t="n"/>
      <c r="E490" s="2286" t="n"/>
      <c r="F490" s="2286" t="n"/>
      <c r="G490" s="53" t="n"/>
      <c r="H490" s="103" t="n"/>
      <c r="I490" s="103" t="n"/>
      <c r="J490" s="2147" t="n"/>
      <c r="K490" s="2147" t="n"/>
      <c r="L490" s="2147" t="n"/>
      <c r="M490" s="2145" t="n"/>
      <c r="N490" s="106" t="n"/>
    </row>
    <row r="491" customFormat="1" s="1916">
      <c r="A491" s="53" t="n"/>
      <c r="B491" s="53" t="n"/>
      <c r="C491" s="2145" t="n"/>
      <c r="D491" s="2145" t="n"/>
      <c r="E491" s="2145" t="n"/>
      <c r="F491" s="2145" t="n"/>
      <c r="G491" s="53" t="n"/>
      <c r="H491" s="53" t="n"/>
      <c r="I491" s="53" t="n"/>
    </row>
    <row r="492" customFormat="1" s="1916">
      <c r="A492" s="53" t="n"/>
      <c r="B492" s="53" t="n"/>
      <c r="C492" s="53" t="n"/>
      <c r="D492" s="53" t="n"/>
      <c r="E492" s="2145" t="n"/>
      <c r="F492" s="53" t="n"/>
      <c r="G492" s="53" t="n"/>
      <c r="H492" s="110" t="n"/>
      <c r="I492" s="53" t="n"/>
      <c r="J492" s="53" t="n"/>
      <c r="K492" s="2145" t="n"/>
      <c r="L492" s="2145" t="n"/>
      <c r="M492" s="2145" t="n"/>
    </row>
    <row r="493" customFormat="1" s="1916">
      <c r="A493" s="53" t="n"/>
      <c r="B493" s="93" t="n"/>
      <c r="C493" s="2145" t="n"/>
      <c r="D493" s="2145" t="n"/>
      <c r="E493" s="2145" t="n"/>
      <c r="F493" s="53" t="n"/>
      <c r="G493" s="53" t="n"/>
      <c r="H493" s="2285" t="n"/>
      <c r="I493" s="93" t="n"/>
      <c r="J493" s="2145" t="n"/>
      <c r="K493" s="2145" t="n"/>
      <c r="L493" s="2145" t="n"/>
      <c r="M493" s="2145" t="n"/>
    </row>
    <row r="494" customFormat="1" s="1916">
      <c r="A494" s="53" t="n"/>
      <c r="B494" s="93" t="n"/>
      <c r="C494" s="2145" t="n"/>
      <c r="D494" s="2145" t="n"/>
      <c r="E494" s="2145" t="n"/>
      <c r="F494" s="53" t="n"/>
      <c r="G494" s="53" t="n"/>
      <c r="H494" s="53" t="n"/>
      <c r="I494" s="93" t="n"/>
      <c r="J494" s="2145" t="n"/>
      <c r="K494" s="2145" t="n"/>
      <c r="L494" s="2145" t="n"/>
      <c r="M494" s="2145" t="n"/>
    </row>
    <row r="495" customFormat="1" s="1916">
      <c r="A495" s="53" t="n"/>
      <c r="B495" s="93" t="n"/>
      <c r="C495" s="2145" t="n"/>
      <c r="D495" s="2145" t="n"/>
      <c r="E495" s="2145" t="n"/>
      <c r="F495" s="53" t="n"/>
      <c r="G495" s="53" t="n"/>
      <c r="H495" s="53" t="n"/>
      <c r="I495" s="93" t="n"/>
      <c r="J495" s="2145" t="n"/>
      <c r="K495" s="2145" t="n"/>
      <c r="L495" s="2145" t="n"/>
      <c r="M495" s="2145" t="n"/>
    </row>
    <row r="496" customFormat="1" s="1916">
      <c r="A496" s="53" t="n"/>
      <c r="B496" s="93" t="n"/>
      <c r="C496" s="2145" t="n"/>
      <c r="D496" s="2145" t="n"/>
      <c r="E496" s="2145" t="n"/>
      <c r="F496" s="111" t="n"/>
      <c r="G496" s="53" t="n"/>
      <c r="H496" s="53" t="n"/>
      <c r="I496" s="93" t="n"/>
      <c r="J496" s="2145" t="n"/>
      <c r="K496" s="2145" t="n"/>
      <c r="L496" s="2145" t="n"/>
      <c r="M496" s="2145" t="n"/>
    </row>
    <row r="497" customFormat="1" s="1916">
      <c r="A497" s="53" t="n"/>
      <c r="B497" s="93" t="n"/>
      <c r="C497" s="2145" t="n"/>
      <c r="D497" s="2145" t="n"/>
      <c r="E497" s="2145" t="n"/>
      <c r="F497" s="111" t="n"/>
      <c r="G497" s="53" t="n"/>
      <c r="H497" s="53" t="n"/>
      <c r="I497" s="93" t="n"/>
      <c r="J497" s="2145" t="n"/>
      <c r="K497" s="2145" t="n"/>
      <c r="L497" s="2145" t="n"/>
      <c r="M497" s="2145" t="n"/>
    </row>
    <row r="498" customFormat="1" s="1916">
      <c r="A498" s="53" t="n"/>
      <c r="B498" s="93" t="n"/>
      <c r="C498" s="2145" t="n"/>
      <c r="D498" s="2145" t="n"/>
      <c r="E498" s="2145" t="n"/>
      <c r="F498" s="53" t="n"/>
      <c r="G498" s="53" t="n"/>
      <c r="H498" s="53" t="n"/>
      <c r="I498" s="93" t="n"/>
      <c r="J498" s="2145" t="n"/>
      <c r="K498" s="2145" t="n"/>
      <c r="L498" s="2145" t="n"/>
      <c r="M498" s="2145" t="n"/>
    </row>
    <row r="499" customFormat="1" s="1916">
      <c r="A499" s="53" t="n"/>
      <c r="B499" s="93" t="n"/>
      <c r="C499" s="2145" t="n"/>
      <c r="D499" s="2145" t="n"/>
      <c r="E499" s="2145" t="n"/>
      <c r="F499" s="53" t="n"/>
      <c r="G499" s="53" t="n"/>
      <c r="H499" s="53" t="n"/>
      <c r="I499" s="93" t="n"/>
      <c r="J499" s="2145" t="n"/>
      <c r="K499" s="2145" t="n"/>
      <c r="L499" s="2145" t="n"/>
      <c r="M499" s="2145" t="n"/>
    </row>
    <row r="500" customFormat="1" s="1916">
      <c r="A500" s="103" t="n"/>
      <c r="B500" s="103" t="n"/>
      <c r="C500" s="2147" t="n"/>
      <c r="D500" s="2147" t="n"/>
      <c r="E500" s="2147" t="n"/>
      <c r="F500" s="53" t="n"/>
      <c r="G500" s="53" t="n"/>
      <c r="H500" s="103" t="n"/>
      <c r="I500" s="103" t="n"/>
      <c r="J500" s="2147" t="n"/>
      <c r="K500" s="2147" t="n"/>
      <c r="L500" s="2147" t="n"/>
      <c r="M500" s="2147" t="n"/>
    </row>
    <row r="501" customFormat="1" s="1916">
      <c r="A501" s="53" t="n"/>
      <c r="B501" s="53" t="n"/>
      <c r="C501" s="2145" t="n"/>
      <c r="D501" s="2145" t="n"/>
      <c r="E501" s="2145" t="n"/>
      <c r="F501" s="53" t="n"/>
      <c r="G501" s="53" t="n"/>
    </row>
    <row r="502" customFormat="1" s="1916">
      <c r="A502" s="53" t="n"/>
      <c r="B502" s="53" t="n"/>
      <c r="C502" s="2145" t="n"/>
      <c r="D502" s="2145" t="n"/>
      <c r="E502" s="2147" t="n"/>
      <c r="F502" s="53" t="n"/>
      <c r="G502" s="53" t="n"/>
    </row>
    <row r="503" customFormat="1" s="1916">
      <c r="A503" s="53" t="n"/>
      <c r="B503" s="53" t="n"/>
      <c r="C503" s="2145" t="n"/>
      <c r="D503" s="2145" t="n"/>
      <c r="E503" s="2145" t="n"/>
      <c r="F503" s="53" t="n"/>
      <c r="G503" s="53" t="n"/>
    </row>
    <row r="504" customFormat="1" s="1916">
      <c r="A504" s="53" t="n"/>
      <c r="B504" s="53" t="n"/>
      <c r="C504" s="2145" t="n"/>
      <c r="D504" s="2145" t="n"/>
      <c r="E504" s="2145" t="n"/>
      <c r="F504" s="53" t="n"/>
      <c r="G504" s="53" t="n"/>
    </row>
    <row r="505" customFormat="1" s="1916">
      <c r="A505" s="53" t="n"/>
      <c r="B505" s="112" t="n"/>
      <c r="C505" s="2145" t="n"/>
      <c r="D505" s="2145" t="n"/>
      <c r="E505" s="2145" t="n"/>
      <c r="F505" s="53" t="n"/>
      <c r="G505" s="53" t="n"/>
    </row>
    <row r="506" customFormat="1" s="1916">
      <c r="A506" s="53" t="n"/>
      <c r="B506" s="112" t="n"/>
      <c r="C506" s="2145" t="n"/>
      <c r="D506" s="2145" t="n"/>
      <c r="E506" s="2145" t="n"/>
      <c r="F506" s="53" t="n"/>
      <c r="G506" s="53" t="n"/>
    </row>
    <row r="507" customFormat="1" s="1916">
      <c r="A507" s="53" t="n"/>
      <c r="B507" s="113" t="n"/>
      <c r="C507" s="2145" t="n"/>
      <c r="D507" s="2145" t="n"/>
      <c r="E507" s="2145" t="n"/>
      <c r="F507" s="53" t="n"/>
      <c r="G507" s="53" t="n"/>
    </row>
    <row r="508" customFormat="1" s="1916">
      <c r="A508" s="53" t="n"/>
      <c r="B508" s="113" t="n"/>
      <c r="C508" s="2145" t="n"/>
      <c r="D508" s="2145" t="n"/>
      <c r="E508" s="2145" t="n"/>
      <c r="F508" s="53" t="n"/>
      <c r="G508" s="53" t="n"/>
    </row>
    <row r="509" customFormat="1" s="1916">
      <c r="A509" s="53" t="n"/>
      <c r="B509" s="113" t="n"/>
      <c r="C509" s="2145" t="n"/>
      <c r="D509" s="2145" t="n"/>
      <c r="E509" s="2145" t="n"/>
      <c r="F509" s="53" t="n"/>
      <c r="G509" s="53" t="n"/>
    </row>
    <row r="510" customFormat="1" s="1916">
      <c r="A510" s="53" t="n"/>
      <c r="B510" s="113" t="n"/>
      <c r="C510" s="2145" t="n"/>
      <c r="D510" s="2145" t="n"/>
      <c r="E510" s="2145" t="n"/>
      <c r="F510" s="53" t="n"/>
      <c r="G510" s="53" t="n"/>
    </row>
    <row r="511" customFormat="1" s="1916">
      <c r="A511" s="53" t="n"/>
      <c r="B511" s="112" t="n"/>
      <c r="C511" s="2145" t="n"/>
      <c r="D511" s="2145" t="n"/>
      <c r="E511" s="2145" t="n"/>
      <c r="F511" s="53" t="n"/>
      <c r="G511" s="53" t="n"/>
    </row>
    <row r="512" customFormat="1" s="1916">
      <c r="A512" s="53" t="n"/>
      <c r="B512" s="112" t="n"/>
      <c r="C512" s="2145" t="n"/>
      <c r="D512" s="2145" t="n"/>
      <c r="E512" s="2145" t="n"/>
      <c r="F512" s="53" t="n"/>
      <c r="G512" s="53" t="n"/>
    </row>
    <row r="513" customFormat="1" s="1916">
      <c r="A513" s="53" t="n"/>
      <c r="B513" s="112" t="n"/>
      <c r="C513" s="2145" t="n"/>
      <c r="D513" s="2145" t="n"/>
      <c r="E513" s="2149" t="n"/>
      <c r="F513" s="53" t="n"/>
      <c r="G513" s="53" t="n"/>
      <c r="P513" s="53" t="n"/>
    </row>
    <row r="514" customFormat="1" s="1916">
      <c r="A514" s="53" t="n"/>
      <c r="B514" s="113" t="n"/>
      <c r="C514" s="2145" t="n"/>
      <c r="D514" s="2145" t="n"/>
      <c r="E514" s="2145" t="n"/>
      <c r="F514" s="53" t="n"/>
      <c r="G514" s="53" t="n"/>
      <c r="H514" s="53" t="n"/>
      <c r="J514" s="2154" t="n"/>
      <c r="P514" s="53" t="n"/>
    </row>
    <row r="515" customFormat="1" s="1916">
      <c r="A515" s="53" t="n"/>
      <c r="B515" s="53" t="n"/>
      <c r="C515" s="2145" t="n"/>
      <c r="D515" s="2145" t="n"/>
      <c r="E515" s="2145" t="n"/>
      <c r="F515" s="2145" t="n"/>
      <c r="G515" s="2145" t="n"/>
      <c r="P515" s="53" t="n"/>
    </row>
    <row r="516" customFormat="1" s="1916">
      <c r="A516" s="53" t="n"/>
      <c r="B516" s="53" t="n"/>
      <c r="C516" s="2145" t="n"/>
      <c r="D516" s="2145" t="n"/>
      <c r="E516" s="2145" t="n"/>
      <c r="G516" s="540" t="n"/>
      <c r="P516" s="53" t="n"/>
    </row>
    <row r="517" customFormat="1" s="1916">
      <c r="E517" s="2145" t="n"/>
    </row>
    <row r="518" customFormat="1" s="1916"/>
    <row r="519" customFormat="1" s="1916"/>
    <row r="520" customFormat="1" s="1916">
      <c r="A520" s="53" t="n"/>
      <c r="B520" s="53" t="n"/>
      <c r="C520" s="53" t="n"/>
      <c r="D520" s="53" t="n"/>
      <c r="E520" s="53" t="n"/>
      <c r="N520" s="53" t="n"/>
      <c r="O520" s="53" t="n"/>
      <c r="P520" s="53" t="n"/>
      <c r="Q520" s="53" t="n"/>
      <c r="R520" s="53" t="n"/>
    </row>
    <row r="521" customFormat="1" s="1916">
      <c r="A521" s="53" t="n"/>
      <c r="B521" s="53" t="n"/>
      <c r="C521" s="53" t="n"/>
      <c r="D521" s="53" t="n"/>
      <c r="E521" s="53" t="n"/>
      <c r="F521" s="53" t="n"/>
      <c r="G521" s="53" t="n"/>
      <c r="N521" s="53" t="n"/>
      <c r="O521" s="53" t="n"/>
      <c r="P521" s="53" t="n"/>
      <c r="Q521" s="53" t="n"/>
      <c r="R521" s="2145" t="n"/>
    </row>
    <row r="522" customFormat="1" s="1916">
      <c r="A522" s="53" t="n"/>
      <c r="B522" s="2155" t="n"/>
      <c r="C522" s="2145" t="n"/>
      <c r="D522" s="2145" t="n"/>
      <c r="E522" s="2145" t="n"/>
      <c r="F522" s="2285" t="n"/>
      <c r="G522" s="53" t="n"/>
      <c r="N522" s="53" t="n"/>
      <c r="O522" s="53" t="n"/>
      <c r="P522" s="2145" t="n"/>
      <c r="Q522" s="2145" t="n"/>
      <c r="R522" s="2145" t="n"/>
    </row>
    <row r="523" customFormat="1" s="1916">
      <c r="A523" s="53" t="n"/>
      <c r="B523" s="53" t="n"/>
      <c r="C523" s="2145" t="n"/>
      <c r="D523" s="2145" t="n"/>
      <c r="E523" s="2145" t="n"/>
      <c r="F523" s="53" t="n"/>
      <c r="G523" s="53" t="n"/>
      <c r="N523" s="53" t="n"/>
      <c r="O523" s="53" t="n"/>
      <c r="P523" s="2145" t="n"/>
      <c r="Q523" s="2285" t="n"/>
      <c r="R523" s="2145" t="n"/>
    </row>
    <row r="524" customFormat="1" s="1916">
      <c r="A524" s="53" t="n"/>
      <c r="B524" s="53" t="n"/>
      <c r="C524" s="2145" t="n"/>
      <c r="D524" s="2145" t="n"/>
      <c r="E524" s="2145" t="n"/>
      <c r="F524" s="53" t="n"/>
      <c r="G524" s="53" t="n"/>
      <c r="N524" s="53" t="n"/>
      <c r="O524" s="53" t="n"/>
      <c r="P524" s="2145" t="n"/>
      <c r="Q524" s="2285" t="n"/>
      <c r="R524" s="2145" t="n"/>
    </row>
    <row r="525" customFormat="1" s="1916">
      <c r="A525" s="53" t="n"/>
      <c r="B525" s="53" t="n"/>
      <c r="C525" s="2145" t="n"/>
      <c r="D525" s="2145" t="n"/>
      <c r="E525" s="2145" t="n"/>
      <c r="F525" s="53" t="n"/>
      <c r="G525" s="53" t="n"/>
      <c r="N525" s="53" t="n"/>
      <c r="O525" s="2145" t="n"/>
      <c r="P525" s="2149" t="n"/>
      <c r="Q525" s="53" t="n"/>
      <c r="R525" s="53" t="n"/>
      <c r="S525" s="53" t="n"/>
      <c r="T525" s="53" t="n"/>
      <c r="U525" s="53" t="n"/>
    </row>
    <row r="526" customFormat="1" s="1916">
      <c r="A526" s="53" t="n"/>
      <c r="B526" s="53" t="n"/>
      <c r="C526" s="2145" t="n"/>
      <c r="D526" s="2145" t="n"/>
      <c r="E526" s="2145" t="n"/>
      <c r="F526" s="53" t="n"/>
      <c r="G526" s="53" t="n"/>
      <c r="N526" s="53" t="n"/>
      <c r="O526" s="53" t="n"/>
      <c r="P526" s="2149" t="n"/>
      <c r="Q526" s="53" t="n"/>
      <c r="R526" s="53" t="n"/>
      <c r="S526" s="2145" t="n"/>
      <c r="T526" s="2145" t="n"/>
      <c r="U526" s="53" t="n"/>
    </row>
    <row r="527" customFormat="1" s="1916">
      <c r="A527" s="53" t="n"/>
      <c r="B527" s="53" t="n"/>
      <c r="C527" s="2145" t="n"/>
      <c r="D527" s="2145" t="n"/>
      <c r="E527" s="2145" t="n"/>
      <c r="F527" s="53" t="n"/>
      <c r="G527" s="53" t="n"/>
      <c r="N527" s="53" t="n"/>
      <c r="O527" s="53" t="n"/>
      <c r="P527" s="2149" t="n"/>
      <c r="Q527" s="53" t="n"/>
      <c r="R527" s="53" t="n"/>
      <c r="S527" s="2145" t="n"/>
      <c r="T527" s="2145" t="n"/>
      <c r="U527" s="53" t="n"/>
    </row>
    <row r="528" customFormat="1" s="1916">
      <c r="A528" s="53" t="n"/>
      <c r="B528" s="53" t="n"/>
      <c r="C528" s="2145" t="n"/>
      <c r="D528" s="2145" t="n"/>
      <c r="E528" s="2145" t="n"/>
      <c r="F528" s="53" t="n"/>
      <c r="G528" s="53" t="n"/>
      <c r="N528" s="53" t="n"/>
      <c r="O528" s="53" t="n"/>
      <c r="P528" s="2149" t="n"/>
      <c r="Q528" s="53" t="n"/>
      <c r="R528" s="53" t="n"/>
      <c r="S528" s="2145" t="n"/>
      <c r="T528" s="2145" t="n"/>
      <c r="U528" s="53" t="n"/>
    </row>
    <row r="529" customFormat="1" s="1916">
      <c r="A529" s="53" t="n"/>
      <c r="B529" s="53" t="n"/>
      <c r="C529" s="2145" t="n"/>
      <c r="D529" s="2145" t="n"/>
      <c r="E529" s="2145" t="n"/>
      <c r="F529" s="53" t="n"/>
      <c r="G529" s="53" t="n"/>
      <c r="N529" s="53" t="n"/>
      <c r="O529" s="53" t="n"/>
      <c r="P529" s="2149" t="n"/>
      <c r="Q529" s="53" t="n"/>
      <c r="R529" s="53" t="n"/>
      <c r="S529" s="2145" t="n"/>
      <c r="T529" s="2145" t="n"/>
      <c r="U529" s="53" t="n"/>
    </row>
    <row r="530" customFormat="1" s="1916">
      <c r="A530" s="53" t="n"/>
      <c r="B530" s="53" t="n"/>
      <c r="C530" s="2145" t="n"/>
      <c r="D530" s="2145" t="n"/>
      <c r="E530" s="2145" t="n"/>
      <c r="F530" s="53" t="n"/>
      <c r="G530" s="53" t="n"/>
      <c r="N530" s="53" t="n"/>
      <c r="O530" s="53" t="n"/>
      <c r="P530" s="2149" t="n"/>
      <c r="Q530" s="53" t="n"/>
      <c r="R530" s="53" t="n"/>
      <c r="S530" s="53" t="n"/>
      <c r="T530" s="53" t="n"/>
      <c r="U530" s="53" t="n"/>
    </row>
    <row r="531" customFormat="1" s="1916">
      <c r="A531" s="53" t="n"/>
      <c r="B531" s="53" t="n"/>
      <c r="C531" s="2145" t="n"/>
      <c r="D531" s="2145" t="n"/>
      <c r="E531" s="2145" t="n"/>
      <c r="F531" s="53" t="n"/>
      <c r="G531" s="53" t="n"/>
      <c r="N531" s="53" t="n"/>
      <c r="O531" s="53" t="n"/>
      <c r="P531" s="2149" t="n"/>
      <c r="Q531" s="53" t="n"/>
      <c r="R531" s="53" t="n"/>
      <c r="S531" s="53" t="n"/>
      <c r="T531" s="53" t="n"/>
      <c r="U531" s="53" t="n"/>
    </row>
    <row r="532" customFormat="1" s="1916">
      <c r="A532" s="53" t="n"/>
      <c r="B532" s="53" t="n"/>
      <c r="C532" s="2145" t="n"/>
      <c r="D532" s="2145" t="n"/>
      <c r="E532" s="2145" t="n"/>
      <c r="F532" s="53" t="n"/>
      <c r="G532" s="53" t="n"/>
      <c r="S532" s="53" t="n"/>
      <c r="T532" s="53" t="n"/>
      <c r="U532" s="53" t="n"/>
    </row>
    <row r="533" customFormat="1" s="1916">
      <c r="A533" s="53" t="n"/>
      <c r="B533" s="53" t="n"/>
      <c r="C533" s="2145" t="n"/>
      <c r="D533" s="2145" t="n"/>
      <c r="E533" s="2145" t="n"/>
      <c r="F533" s="53" t="n"/>
      <c r="G533" s="53" t="n"/>
      <c r="S533" s="53" t="n"/>
      <c r="T533" s="53" t="n"/>
      <c r="U533" s="53" t="n"/>
    </row>
    <row r="534" customFormat="1" s="1916">
      <c r="A534" s="53" t="n"/>
      <c r="B534" s="53" t="n"/>
      <c r="C534" s="2145" t="n"/>
      <c r="D534" s="2145" t="n"/>
      <c r="E534" s="2145" t="n"/>
      <c r="F534" s="2285" t="n"/>
      <c r="G534" s="53" t="n"/>
      <c r="S534" s="53" t="n"/>
      <c r="T534" s="53" t="n"/>
      <c r="U534" s="53" t="n"/>
    </row>
    <row r="535" customFormat="1" s="1916">
      <c r="A535" s="53" t="n"/>
      <c r="B535" s="53" t="n"/>
      <c r="C535" s="2145" t="n"/>
      <c r="D535" s="2145" t="n"/>
      <c r="E535" s="2145" t="n"/>
      <c r="F535" s="53" t="n"/>
      <c r="G535" s="53" t="n"/>
      <c r="S535" s="53" t="n"/>
      <c r="T535" s="53" t="n"/>
      <c r="U535" s="53" t="n"/>
    </row>
    <row r="536" customFormat="1" s="1916">
      <c r="A536" s="53" t="n"/>
      <c r="B536" s="53" t="n"/>
      <c r="C536" s="2145" t="n"/>
      <c r="D536" s="2145" t="n"/>
      <c r="E536" s="2145" t="n"/>
      <c r="F536" s="53" t="n"/>
      <c r="G536" s="53" t="n"/>
      <c r="S536" s="53" t="n"/>
      <c r="T536" s="53" t="n"/>
      <c r="U536" s="53" t="n"/>
    </row>
    <row r="537" customFormat="1" s="1916">
      <c r="A537" s="53" t="n"/>
      <c r="B537" s="53" t="n"/>
      <c r="C537" s="2145" t="n"/>
      <c r="D537" s="2145" t="n"/>
      <c r="E537" s="2145" t="n"/>
      <c r="F537" s="53" t="n"/>
      <c r="G537" s="53" t="n"/>
    </row>
    <row r="538" customFormat="1" s="1916">
      <c r="A538" s="53" t="n"/>
      <c r="B538" s="53" t="n"/>
      <c r="C538" s="2145" t="n"/>
      <c r="D538" s="2145" t="n"/>
      <c r="E538" s="2145" t="n"/>
      <c r="F538" s="53" t="n"/>
      <c r="G538" s="53" t="n"/>
    </row>
    <row r="539" customFormat="1" s="1916">
      <c r="A539" s="103" t="n"/>
      <c r="B539" s="103" t="n"/>
      <c r="C539" s="2147" t="n"/>
      <c r="D539" s="2147" t="n"/>
      <c r="E539" s="2147" t="n"/>
      <c r="F539" s="53" t="n"/>
      <c r="G539" s="53" t="n"/>
    </row>
    <row r="540" customFormat="1" s="1916">
      <c r="A540" s="103" t="n"/>
      <c r="B540" s="105" t="n"/>
      <c r="C540" s="2147" t="n"/>
      <c r="D540" s="2147" t="n"/>
      <c r="E540" s="2147" t="n"/>
      <c r="F540" s="53" t="n"/>
      <c r="G540" s="53" t="n"/>
    </row>
    <row r="541" customFormat="1" s="1916">
      <c r="A541" s="103" t="n"/>
      <c r="B541" s="103" t="n"/>
      <c r="C541" s="2147" t="n"/>
      <c r="D541" s="2147" t="n"/>
      <c r="E541" s="2147" t="n"/>
      <c r="F541" s="53" t="n"/>
      <c r="G541" s="53" t="n"/>
    </row>
    <row r="542" customFormat="1" s="1916">
      <c r="A542" s="103" t="n"/>
      <c r="B542" s="105" t="n"/>
      <c r="C542" s="2147" t="n"/>
      <c r="D542" s="2147" t="n"/>
      <c r="E542" s="2147" t="n"/>
      <c r="F542" s="53" t="n"/>
      <c r="H542" s="53" t="n"/>
      <c r="I542" s="53" t="n"/>
      <c r="J542" s="53" t="n"/>
      <c r="K542" s="53" t="n"/>
      <c r="L542" s="53" t="n"/>
      <c r="M542" s="53" t="n"/>
      <c r="N542" s="53" t="n"/>
    </row>
    <row r="543" customFormat="1" s="1916">
      <c r="A543" s="53" t="n"/>
      <c r="B543" s="53" t="n"/>
      <c r="C543" s="2145" t="n"/>
      <c r="D543" s="2145" t="n"/>
      <c r="E543" s="2145" t="n"/>
      <c r="F543" s="53" t="n"/>
      <c r="H543" s="53" t="n"/>
      <c r="I543" s="53" t="n"/>
      <c r="J543" s="53" t="n"/>
      <c r="K543" s="106" t="n"/>
      <c r="L543" s="106" t="n"/>
      <c r="M543" s="106" t="n"/>
      <c r="N543" s="106" t="n"/>
    </row>
    <row r="544" customFormat="1" s="1916">
      <c r="A544" s="3" t="n"/>
      <c r="B544" s="2285" t="n"/>
      <c r="C544" s="3" t="n"/>
      <c r="D544" s="3" t="n"/>
      <c r="E544" s="2285" t="n"/>
      <c r="F544" s="107" t="n"/>
      <c r="H544" s="53" t="n"/>
      <c r="I544" s="540" t="n"/>
      <c r="J544" s="53" t="n"/>
      <c r="K544" s="106" t="n"/>
      <c r="L544" s="106" t="n"/>
      <c r="M544" s="106" t="n"/>
      <c r="N544" s="106" t="n"/>
    </row>
    <row r="545" customFormat="1" s="1916">
      <c r="A545" s="53" t="n"/>
      <c r="B545" s="53" t="n"/>
      <c r="C545" s="53" t="n"/>
      <c r="D545" s="53" t="n"/>
      <c r="E545" s="53" t="n"/>
      <c r="F545" s="107" t="n"/>
      <c r="H545" s="53" t="n"/>
      <c r="I545" s="53" t="n"/>
      <c r="J545" s="53" t="n"/>
      <c r="K545" s="2145" t="n"/>
      <c r="L545" s="2145" t="n"/>
      <c r="M545" s="2145" t="n"/>
      <c r="N545" s="53" t="n"/>
    </row>
    <row r="546" customFormat="1" s="1916">
      <c r="A546" s="53" t="n"/>
      <c r="B546" s="53" t="n"/>
      <c r="C546" s="53" t="n"/>
      <c r="D546" s="53" t="n"/>
      <c r="E546" s="106" t="n"/>
      <c r="F546" s="106" t="n"/>
      <c r="H546" s="53" t="n"/>
      <c r="I546" s="93" t="n"/>
      <c r="J546" s="2145" t="n"/>
      <c r="K546" s="2145" t="n"/>
      <c r="L546" s="2145" t="n"/>
      <c r="M546" s="2145" t="n"/>
      <c r="N546" s="106" t="n"/>
    </row>
    <row r="547" customFormat="1" s="1916">
      <c r="A547" s="53" t="n"/>
      <c r="B547" s="53" t="n"/>
      <c r="C547" s="53" t="n"/>
      <c r="D547" s="53" t="n"/>
      <c r="E547" s="53" t="n"/>
      <c r="F547" s="53" t="n"/>
      <c r="H547" s="53" t="n"/>
      <c r="I547" s="93" t="n"/>
      <c r="J547" s="2145" t="n"/>
      <c r="K547" s="2145" t="n"/>
      <c r="L547" s="2145" t="n"/>
      <c r="M547" s="2145" t="n"/>
      <c r="N547" s="53" t="n"/>
    </row>
    <row r="548" customFormat="1" s="1916">
      <c r="A548" s="53" t="n"/>
      <c r="B548" s="53" t="n"/>
      <c r="C548" s="53" t="n"/>
      <c r="D548" s="53" t="n"/>
      <c r="E548" s="106" t="n"/>
      <c r="F548" s="106" t="n"/>
      <c r="H548" s="53" t="n"/>
      <c r="I548" s="93" t="n"/>
      <c r="J548" s="2145" t="n"/>
      <c r="K548" s="2145" t="n"/>
      <c r="L548" s="2145" t="n"/>
      <c r="M548" s="2145" t="n"/>
      <c r="N548" s="106" t="n"/>
    </row>
    <row r="549" customFormat="1" s="1916">
      <c r="A549" s="53" t="n"/>
      <c r="B549" s="53" t="n"/>
      <c r="C549" s="53" t="n"/>
      <c r="D549" s="53" t="n"/>
      <c r="E549" s="2286" t="n"/>
      <c r="F549" s="2286" t="n"/>
      <c r="G549" s="53" t="n"/>
      <c r="H549" s="103" t="n"/>
      <c r="I549" s="103" t="n"/>
      <c r="J549" s="2147" t="n"/>
      <c r="K549" s="2147" t="n"/>
      <c r="L549" s="2147" t="n"/>
      <c r="M549" s="2145" t="n"/>
      <c r="N549" s="106" t="n"/>
    </row>
    <row r="550" customFormat="1" s="1916">
      <c r="A550" s="53" t="n"/>
      <c r="B550" s="53" t="n"/>
      <c r="C550" s="2145" t="n"/>
      <c r="D550" s="2145" t="n"/>
      <c r="E550" s="2145" t="n"/>
      <c r="F550" s="2145" t="n"/>
      <c r="G550" s="53" t="n"/>
      <c r="H550" s="53" t="n"/>
      <c r="I550" s="53" t="n"/>
    </row>
    <row r="551" customFormat="1" s="1916">
      <c r="A551" s="53" t="n"/>
      <c r="B551" s="53" t="n"/>
      <c r="C551" s="53" t="n"/>
      <c r="D551" s="53" t="n"/>
      <c r="E551" s="2145" t="n"/>
      <c r="F551" s="53" t="n"/>
      <c r="G551" s="53" t="n"/>
      <c r="H551" s="110" t="n"/>
      <c r="I551" s="53" t="n"/>
      <c r="J551" s="53" t="n"/>
      <c r="K551" s="2145" t="n"/>
      <c r="L551" s="2145" t="n"/>
      <c r="M551" s="2145" t="n"/>
    </row>
    <row r="552" customFormat="1" s="1916">
      <c r="A552" s="53" t="n"/>
      <c r="B552" s="93" t="n"/>
      <c r="C552" s="2145" t="n"/>
      <c r="D552" s="2145" t="n"/>
      <c r="E552" s="2145" t="n"/>
      <c r="F552" s="53" t="n"/>
      <c r="G552" s="53" t="n"/>
      <c r="H552" s="2285" t="n"/>
      <c r="I552" s="93" t="n"/>
      <c r="J552" s="2145" t="n"/>
      <c r="K552" s="2145" t="n"/>
      <c r="L552" s="2145" t="n"/>
      <c r="M552" s="2145" t="n"/>
    </row>
    <row r="553" customFormat="1" s="1916">
      <c r="A553" s="53" t="n"/>
      <c r="B553" s="93" t="n"/>
      <c r="C553" s="2145" t="n"/>
      <c r="D553" s="2145" t="n"/>
      <c r="E553" s="2145" t="n"/>
      <c r="F553" s="53" t="n"/>
      <c r="G553" s="53" t="n"/>
      <c r="H553" s="53" t="n"/>
      <c r="I553" s="93" t="n"/>
      <c r="J553" s="2145" t="n"/>
      <c r="K553" s="2145" t="n"/>
      <c r="L553" s="2145" t="n"/>
      <c r="M553" s="2145" t="n"/>
    </row>
    <row r="554" customFormat="1" s="1916">
      <c r="A554" s="53" t="n"/>
      <c r="B554" s="93" t="n"/>
      <c r="C554" s="2145" t="n"/>
      <c r="D554" s="2145" t="n"/>
      <c r="E554" s="2145" t="n"/>
      <c r="F554" s="53" t="n"/>
      <c r="G554" s="53" t="n"/>
      <c r="H554" s="53" t="n"/>
      <c r="I554" s="93" t="n"/>
      <c r="J554" s="2145" t="n"/>
      <c r="K554" s="2145" t="n"/>
      <c r="L554" s="2145" t="n"/>
      <c r="M554" s="2145" t="n"/>
    </row>
    <row r="555" customFormat="1" s="1916">
      <c r="A555" s="53" t="n"/>
      <c r="B555" s="93" t="n"/>
      <c r="C555" s="2145" t="n"/>
      <c r="D555" s="2145" t="n"/>
      <c r="E555" s="2145" t="n"/>
      <c r="F555" s="111" t="n"/>
      <c r="G555" s="53" t="n"/>
      <c r="H555" s="53" t="n"/>
      <c r="I555" s="93" t="n"/>
      <c r="J555" s="2145" t="n"/>
      <c r="K555" s="2145" t="n"/>
      <c r="L555" s="2145" t="n"/>
      <c r="M555" s="2145" t="n"/>
    </row>
    <row r="556" customFormat="1" s="1916">
      <c r="A556" s="53" t="n"/>
      <c r="B556" s="93" t="n"/>
      <c r="C556" s="2145" t="n"/>
      <c r="D556" s="2145" t="n"/>
      <c r="E556" s="2145" t="n"/>
      <c r="F556" s="111" t="n"/>
      <c r="G556" s="53" t="n"/>
      <c r="H556" s="53" t="n"/>
      <c r="I556" s="93" t="n"/>
      <c r="J556" s="2145" t="n"/>
      <c r="K556" s="2145" t="n"/>
      <c r="L556" s="2145" t="n"/>
      <c r="M556" s="2145" t="n"/>
    </row>
    <row r="557" customFormat="1" s="1916">
      <c r="A557" s="53" t="n"/>
      <c r="B557" s="93" t="n"/>
      <c r="C557" s="2145" t="n"/>
      <c r="D557" s="2145" t="n"/>
      <c r="E557" s="2145" t="n"/>
      <c r="F557" s="53" t="n"/>
      <c r="G557" s="53" t="n"/>
      <c r="H557" s="53" t="n"/>
      <c r="I557" s="93" t="n"/>
      <c r="J557" s="2145" t="n"/>
      <c r="K557" s="2145" t="n"/>
      <c r="L557" s="2145" t="n"/>
      <c r="M557" s="2145" t="n"/>
    </row>
    <row r="558" customFormat="1" s="1916">
      <c r="A558" s="53" t="n"/>
      <c r="B558" s="93" t="n"/>
      <c r="C558" s="2145" t="n"/>
      <c r="D558" s="2145" t="n"/>
      <c r="E558" s="2145" t="n"/>
      <c r="F558" s="53" t="n"/>
      <c r="G558" s="53" t="n"/>
      <c r="H558" s="53" t="n"/>
      <c r="I558" s="93" t="n"/>
      <c r="J558" s="2145" t="n"/>
      <c r="K558" s="2145" t="n"/>
      <c r="L558" s="2145" t="n"/>
      <c r="M558" s="2145" t="n"/>
    </row>
    <row r="559" customFormat="1" s="1916">
      <c r="A559" s="103" t="n"/>
      <c r="B559" s="103" t="n"/>
      <c r="C559" s="2147" t="n"/>
      <c r="D559" s="2147" t="n"/>
      <c r="E559" s="2147" t="n"/>
      <c r="F559" s="53" t="n"/>
      <c r="G559" s="53" t="n"/>
      <c r="H559" s="103" t="n"/>
      <c r="I559" s="103" t="n"/>
      <c r="J559" s="2147" t="n"/>
      <c r="K559" s="2147" t="n"/>
      <c r="L559" s="2147" t="n"/>
      <c r="M559" s="2147" t="n"/>
    </row>
    <row r="560" customFormat="1" s="1916">
      <c r="A560" s="53" t="n"/>
      <c r="B560" s="53" t="n"/>
      <c r="C560" s="2145" t="n"/>
      <c r="D560" s="2145" t="n"/>
      <c r="E560" s="2145" t="n"/>
      <c r="F560" s="53" t="n"/>
      <c r="G560" s="53" t="n"/>
    </row>
    <row r="561" customFormat="1" s="1916">
      <c r="A561" s="53" t="n"/>
      <c r="B561" s="53" t="n"/>
      <c r="C561" s="2145" t="n"/>
      <c r="D561" s="2145" t="n"/>
      <c r="E561" s="2147" t="n"/>
      <c r="F561" s="53" t="n"/>
      <c r="G561" s="53" t="n"/>
    </row>
    <row r="562" customFormat="1" s="1916">
      <c r="A562" s="53" t="n"/>
      <c r="B562" s="53" t="n"/>
      <c r="C562" s="2145" t="n"/>
      <c r="D562" s="2145" t="n"/>
      <c r="E562" s="2145" t="n"/>
      <c r="F562" s="53" t="n"/>
      <c r="G562" s="53" t="n"/>
    </row>
    <row r="563" customFormat="1" s="1916">
      <c r="A563" s="53" t="n"/>
      <c r="B563" s="53" t="n"/>
      <c r="C563" s="2145" t="n"/>
      <c r="D563" s="2145" t="n"/>
      <c r="E563" s="2145" t="n"/>
      <c r="F563" s="53" t="n"/>
      <c r="G563" s="53" t="n"/>
    </row>
    <row r="564" customFormat="1" s="1916">
      <c r="A564" s="53" t="n"/>
      <c r="B564" s="112" t="n"/>
      <c r="C564" s="2145" t="n"/>
      <c r="D564" s="2145" t="n"/>
      <c r="E564" s="2145" t="n"/>
      <c r="F564" s="53" t="n"/>
      <c r="G564" s="53" t="n"/>
    </row>
    <row r="565" customFormat="1" s="1916">
      <c r="A565" s="53" t="n"/>
      <c r="B565" s="112" t="n"/>
      <c r="C565" s="2145" t="n"/>
      <c r="D565" s="2145" t="n"/>
      <c r="E565" s="2145" t="n"/>
      <c r="F565" s="53" t="n"/>
      <c r="G565" s="53" t="n"/>
    </row>
    <row r="566" customFormat="1" s="1916">
      <c r="A566" s="53" t="n"/>
      <c r="B566" s="113" t="n"/>
      <c r="C566" s="2145" t="n"/>
      <c r="D566" s="2145" t="n"/>
      <c r="E566" s="2145" t="n"/>
      <c r="F566" s="53" t="n"/>
      <c r="G566" s="53" t="n"/>
    </row>
    <row r="567" customFormat="1" s="1916">
      <c r="A567" s="53" t="n"/>
      <c r="B567" s="113" t="n"/>
      <c r="C567" s="2145" t="n"/>
      <c r="D567" s="2145" t="n"/>
      <c r="E567" s="2145" t="n"/>
      <c r="F567" s="53" t="n"/>
      <c r="G567" s="53" t="n"/>
    </row>
    <row r="568" customFormat="1" s="1916">
      <c r="A568" s="53" t="n"/>
      <c r="B568" s="113" t="n"/>
      <c r="C568" s="2145" t="n"/>
      <c r="D568" s="2145" t="n"/>
      <c r="E568" s="2145" t="n"/>
      <c r="F568" s="53" t="n"/>
      <c r="G568" s="53" t="n"/>
    </row>
    <row r="569" customFormat="1" s="1916">
      <c r="A569" s="53" t="n"/>
      <c r="B569" s="113" t="n"/>
      <c r="C569" s="2145" t="n"/>
      <c r="D569" s="2145" t="n"/>
      <c r="E569" s="2145" t="n"/>
      <c r="F569" s="53" t="n"/>
      <c r="G569" s="53" t="n"/>
    </row>
    <row r="570" customFormat="1" s="1916">
      <c r="A570" s="53" t="n"/>
      <c r="B570" s="112" t="n"/>
      <c r="C570" s="2145" t="n"/>
      <c r="D570" s="2145" t="n"/>
      <c r="E570" s="2145" t="n"/>
      <c r="F570" s="53" t="n"/>
      <c r="G570" s="53" t="n"/>
    </row>
    <row r="571" customFormat="1" s="1916">
      <c r="A571" s="53" t="n"/>
      <c r="B571" s="112" t="n"/>
      <c r="C571" s="2145" t="n"/>
      <c r="D571" s="2145" t="n"/>
      <c r="E571" s="2145" t="n"/>
      <c r="F571" s="53" t="n"/>
      <c r="G571" s="53" t="n"/>
    </row>
    <row r="572" customFormat="1" s="1916">
      <c r="A572" s="53" t="n"/>
      <c r="B572" s="112" t="n"/>
      <c r="C572" s="2145" t="n"/>
      <c r="D572" s="2145" t="n"/>
      <c r="E572" s="2149" t="n"/>
      <c r="F572" s="53" t="n"/>
      <c r="G572" s="53" t="n"/>
      <c r="P572" s="53" t="n"/>
    </row>
    <row r="573" customFormat="1" s="1916">
      <c r="A573" s="53" t="n"/>
      <c r="B573" s="113" t="n"/>
      <c r="C573" s="2145" t="n"/>
      <c r="D573" s="2145" t="n"/>
      <c r="E573" s="2145" t="n"/>
      <c r="F573" s="53" t="n"/>
      <c r="G573" s="53" t="n"/>
      <c r="H573" s="53" t="n"/>
      <c r="J573" s="2154" t="n"/>
      <c r="P573" s="53" t="n"/>
    </row>
    <row r="574" customFormat="1" s="1916">
      <c r="A574" s="53" t="n"/>
      <c r="B574" s="53" t="n"/>
      <c r="C574" s="2145" t="n"/>
      <c r="D574" s="2145" t="n"/>
      <c r="E574" s="2145" t="n"/>
      <c r="F574" s="2145" t="n"/>
      <c r="G574" s="2145" t="n"/>
      <c r="P574" s="53" t="n"/>
    </row>
    <row r="575" customFormat="1" s="1916">
      <c r="A575" s="53" t="n"/>
      <c r="B575" s="53" t="n"/>
      <c r="C575" s="2145" t="n"/>
      <c r="D575" s="2145" t="n"/>
      <c r="E575" s="2145" t="n"/>
      <c r="G575" s="540" t="n"/>
      <c r="P575" s="53" t="n"/>
    </row>
    <row r="576" customFormat="1" s="1916">
      <c r="E576" s="2145" t="n"/>
    </row>
    <row r="577" customFormat="1" s="1916"/>
    <row r="578" customFormat="1" s="1916"/>
    <row r="579" customFormat="1" s="1916"/>
    <row r="580" customFormat="1" s="1916"/>
    <row r="581" customFormat="1" s="1916"/>
    <row r="582" customFormat="1" s="1916"/>
    <row r="583" customFormat="1" s="1916"/>
    <row r="584">
      <c r="S584" s="1916" t="n"/>
      <c r="T584" s="1916" t="n"/>
      <c r="U584" s="1916" t="n"/>
      <c r="V584" s="191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5">
    <mergeCell ref="G43:G44"/>
    <mergeCell ref="H8:I8"/>
    <mergeCell ref="H47:I47"/>
    <mergeCell ref="J8:K8"/>
    <mergeCell ref="F8:G8"/>
  </mergeCells>
  <conditionalFormatting sqref="A80">
    <cfRule type="expression" priority="4" dxfId="4">
      <formula>$D$8="yes"</formula>
    </cfRule>
  </conditionalFormatting>
  <conditionalFormatting sqref="A80:B80">
    <cfRule type="expression" priority="5" dxfId="4">
      <formula>$D$6="yes"</formula>
    </cfRule>
  </conditionalFormatting>
  <conditionalFormatting sqref="D7">
    <cfRule type="cellIs" priority="10" operator="equal" dxfId="2">
      <formula>"Yes"</formula>
    </cfRule>
  </conditionalFormatting>
  <conditionalFormatting sqref="D8">
    <cfRule type="containsText" priority="23" operator="containsText" dxfId="10" text="Yes">
      <formula>NOT(ISERROR(SEARCH("Yes",D8)))</formula>
    </cfRule>
  </conditionalFormatting>
  <conditionalFormatting sqref="E43">
    <cfRule type="cellIs" priority="9" operator="equal" dxfId="9" stopIfTrue="1">
      <formula>"PW"</formula>
    </cfRule>
  </conditionalFormatting>
  <conditionalFormatting sqref="E80">
    <cfRule type="expression" priority="6" dxfId="4">
      <formula>$D$6="yes"</formula>
    </cfRule>
  </conditionalFormatting>
  <conditionalFormatting sqref="F43">
    <cfRule type="containsText" priority="15" operator="containsText" dxfId="2" text="10 hour days">
      <formula>NOT(ISERROR(SEARCH("10 hour days",F43)))</formula>
    </cfRule>
    <cfRule type="containsText" priority="16" operator="containsText" dxfId="4" text="8 hour days">
      <formula>NOT(ISERROR(SEARCH("8 hour days",F43)))</formula>
    </cfRule>
    <cfRule type="containsText" priority="17" operator="containsText" dxfId="2" text="10 hour days">
      <formula>NOT(ISERROR(SEARCH("10 hour days",F43)))</formula>
    </cfRule>
    <cfRule type="containsText" priority="18" operator="containsText" dxfId="4" text="8 hour days">
      <formula>NOT(ISERROR(SEARCH("8 hour days",F43)))</formula>
    </cfRule>
  </conditionalFormatting>
  <conditionalFormatting sqref="G88">
    <cfRule type="containsText" priority="1" operator="containsText" dxfId="2" text="owner">
      <formula>NOT(ISERROR(SEARCH("owner",G88)))</formula>
    </cfRule>
  </conditionalFormatting>
  <conditionalFormatting sqref="H74">
    <cfRule type="cellIs" priority="2" operator="lessThan" dxfId="2">
      <formula>0</formula>
    </cfRule>
    <cfRule type="cellIs" priority="3" operator="greaterThanOrEqual" dxfId="1">
      <formula>0</formula>
    </cfRule>
  </conditionalFormatting>
  <conditionalFormatting sqref="H39:I39">
    <cfRule type="cellIs" priority="21" operator="notEqual" dxfId="0">
      <formula>FALSE</formula>
    </cfRule>
  </conditionalFormatting>
  <dataValidations disablePrompts="1" count="3">
    <dataValidation sqref="A36" showDropDown="0" showInputMessage="1" showErrorMessage="1" allowBlank="1" type="list">
      <formula1>$N$36:$N$44</formula1>
    </dataValidation>
    <dataValidation sqref="G11 I11 K11:L11" showDropDown="0" showInputMessage="1" showErrorMessage="1" allowBlank="1" type="list">
      <formula1>$O$52:$O$54</formula1>
    </dataValidation>
    <dataValidation sqref="G10 I10 K10:L10" showDropDown="0" showInputMessage="1" showErrorMessage="1" allowBlank="1" type="list">
      <formula1>$V$51:$V$62</formula1>
    </dataValidation>
  </dataValidations>
  <hyperlinks>
    <hyperlink xmlns:r="http://schemas.openxmlformats.org/officeDocument/2006/relationships" ref="A80" r:id="rId1"/>
  </hyperlinks>
  <pageMargins left="0.75" right="0.75" top="0.5" bottom="0.25" header="0.5" footer="0.5"/>
  <pageSetup orientation="portrait" scale="61" horizontalDpi="4294967292" verticalDpi="4294967292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M19" sqref="M19"/>
    </sheetView>
  </sheetViews>
  <sheetFormatPr baseColWidth="8" defaultColWidth="11.19921875" defaultRowHeight="15.6"/>
  <cols>
    <col width="3.296875" customWidth="1" min="1" max="1"/>
    <col width="30" bestFit="1" customWidth="1" min="2" max="2"/>
    <col width="11.296875" customWidth="1" min="16" max="16"/>
  </cols>
  <sheetData>
    <row r="1">
      <c r="A1" s="543" t="n"/>
    </row>
    <row r="2">
      <c r="B2" t="inlineStr">
        <is>
          <t>Epoxy (current year data)</t>
        </is>
      </c>
      <c r="C2" s="214" t="inlineStr">
        <is>
          <t>updated 02/18/20 - GI</t>
        </is>
      </c>
      <c r="D2" s="199" t="n"/>
      <c r="G2" t="inlineStr">
        <is>
          <t>Polish</t>
        </is>
      </c>
      <c r="K2" s="24" t="inlineStr">
        <is>
          <t>Polish New/Reno</t>
        </is>
      </c>
      <c r="N2" t="inlineStr">
        <is>
          <t>Local Drop Down Menu</t>
        </is>
      </c>
      <c r="Q2" s="24" t="inlineStr">
        <is>
          <t>Sliding Scales:</t>
        </is>
      </c>
    </row>
    <row r="3">
      <c r="B3" s="24" t="inlineStr">
        <is>
          <t>Floor Type</t>
        </is>
      </c>
      <c r="C3" s="24" t="n">
        <v>2018</v>
      </c>
      <c r="D3" s="24" t="n">
        <v>2017</v>
      </c>
      <c r="E3" s="24" t="n"/>
      <c r="G3" s="24" t="n"/>
      <c r="K3" t="inlineStr">
        <is>
          <t>New</t>
        </is>
      </c>
      <c r="N3" t="inlineStr">
        <is>
          <t>Yes</t>
        </is>
      </c>
      <c r="Q3" s="382" t="inlineStr">
        <is>
          <t>Ram Board</t>
        </is>
      </c>
      <c r="R3" s="1" t="n"/>
      <c r="S3" s="1" t="n"/>
      <c r="T3" s="382" t="inlineStr">
        <is>
          <t>Joint Filler</t>
        </is>
      </c>
      <c r="U3" s="1" t="n"/>
      <c r="V3" s="1" t="n"/>
    </row>
    <row r="4">
      <c r="B4" t="inlineStr">
        <is>
          <t>1/4" SL Urethane: 8.5 - 11.5</t>
        </is>
      </c>
      <c r="C4" s="213" t="inlineStr">
        <is>
          <t>5 - 7</t>
        </is>
      </c>
      <c r="K4" t="inlineStr">
        <is>
          <t>Reno</t>
        </is>
      </c>
      <c r="N4" t="inlineStr">
        <is>
          <t>No</t>
        </is>
      </c>
      <c r="Q4" s="23" t="n">
        <v>1000</v>
      </c>
      <c r="R4" s="2376">
        <f>'Stnd Alts'!M2</f>
        <v/>
      </c>
      <c r="S4" s="1" t="n"/>
      <c r="T4" s="23" t="n">
        <v>1000</v>
      </c>
      <c r="U4" s="2376">
        <f>'Stnd Alts'!M51</f>
        <v/>
      </c>
      <c r="V4" s="1" t="n"/>
    </row>
    <row r="5">
      <c r="B5" t="inlineStr">
        <is>
          <t>3/16" SL Urethane: 9 - 12</t>
        </is>
      </c>
      <c r="C5" s="213" t="inlineStr">
        <is>
          <t>6 - 8</t>
        </is>
      </c>
      <c r="Q5" t="n">
        <v>1250</v>
      </c>
      <c r="R5" s="2293">
        <f>((R4-R6)/2)+R6</f>
        <v/>
      </c>
      <c r="T5" t="n">
        <v>1250</v>
      </c>
      <c r="U5" s="2293">
        <f>((U4-U6)/2)+U6</f>
        <v/>
      </c>
    </row>
    <row r="6">
      <c r="B6" t="inlineStr">
        <is>
          <t>Flake: 9 - 12</t>
        </is>
      </c>
      <c r="C6" s="213" t="inlineStr">
        <is>
          <t>8 - 11</t>
        </is>
      </c>
      <c r="G6" s="132" t="inlineStr">
        <is>
          <t>Aggregate?</t>
        </is>
      </c>
      <c r="H6" s="133" t="inlineStr">
        <is>
          <t>Polish System?</t>
        </is>
      </c>
      <c r="I6" s="133" t="inlineStr">
        <is>
          <t>Level</t>
        </is>
      </c>
      <c r="J6" s="133" t="inlineStr">
        <is>
          <t>Dye?</t>
        </is>
      </c>
      <c r="K6" s="134" t="inlineStr">
        <is>
          <t>Grout?</t>
        </is>
      </c>
      <c r="L6" s="133" t="inlineStr">
        <is>
          <t>Demo Glue?</t>
        </is>
      </c>
      <c r="N6" s="23" t="inlineStr">
        <is>
          <t>Hours per Day dropdown</t>
        </is>
      </c>
      <c r="Q6" t="n">
        <v>1500</v>
      </c>
      <c r="R6" s="2378">
        <f>((R4-R8)/2)+R8</f>
        <v/>
      </c>
      <c r="T6" t="n">
        <v>1500</v>
      </c>
      <c r="U6" s="2378">
        <f>((U4-U8)/2)+U8</f>
        <v/>
      </c>
    </row>
    <row r="7">
      <c r="B7" t="inlineStr">
        <is>
          <t>HF Trowel: 5.5 - 7</t>
        </is>
      </c>
      <c r="C7" s="213" t="inlineStr">
        <is>
          <t>4.5 - 6 (no new data)</t>
        </is>
      </c>
      <c r="G7" t="inlineStr">
        <is>
          <t>Cream</t>
        </is>
      </c>
      <c r="H7" t="inlineStr">
        <is>
          <t>Hybrid</t>
        </is>
      </c>
      <c r="I7" t="inlineStr">
        <is>
          <t>Level 2</t>
        </is>
      </c>
      <c r="J7" t="inlineStr">
        <is>
          <t>No Dye</t>
        </is>
      </c>
      <c r="K7" t="inlineStr">
        <is>
          <t>No Grout</t>
        </is>
      </c>
      <c r="L7" t="inlineStr">
        <is>
          <t>No Demo Glue</t>
        </is>
      </c>
      <c r="N7" t="inlineStr">
        <is>
          <t>8 hour days</t>
        </is>
      </c>
      <c r="Q7" t="n">
        <v>1750</v>
      </c>
      <c r="R7" s="2293">
        <f>((R6-R8)/2)+R8</f>
        <v/>
      </c>
      <c r="T7" t="n">
        <v>1750</v>
      </c>
      <c r="U7" s="2293">
        <f>((U6-U8)/2)+U8</f>
        <v/>
      </c>
    </row>
    <row r="8">
      <c r="B8" t="inlineStr">
        <is>
          <t>Hybrid: 8 - 11</t>
        </is>
      </c>
      <c r="C8" s="213" t="inlineStr">
        <is>
          <t>6 - 8</t>
        </is>
      </c>
      <c r="G8" t="inlineStr">
        <is>
          <t>S&amp;P</t>
        </is>
      </c>
      <c r="H8" t="inlineStr">
        <is>
          <t>Traditional</t>
        </is>
      </c>
      <c r="I8" t="inlineStr">
        <is>
          <t>Level 3</t>
        </is>
      </c>
      <c r="J8" t="inlineStr">
        <is>
          <t>Yes Dye</t>
        </is>
      </c>
      <c r="K8" t="inlineStr">
        <is>
          <t>Yes Grout</t>
        </is>
      </c>
      <c r="L8" t="inlineStr">
        <is>
          <t>Yes Demo Glue</t>
        </is>
      </c>
      <c r="N8" t="inlineStr">
        <is>
          <t>10 hour days</t>
        </is>
      </c>
      <c r="Q8" s="24" t="n">
        <v>2000</v>
      </c>
      <c r="R8" s="2378">
        <f>((R4-R12)/2)+R12</f>
        <v/>
      </c>
      <c r="S8" s="51">
        <f>MEDIAN(Q4:Q12)</f>
        <v/>
      </c>
      <c r="T8" s="24" t="n">
        <v>2000</v>
      </c>
      <c r="U8" s="2378">
        <f>((U4-U12)/2)+U12</f>
        <v/>
      </c>
      <c r="V8" s="51">
        <f>MEDIAN(T4:T12)</f>
        <v/>
      </c>
    </row>
    <row r="9">
      <c r="B9" t="inlineStr">
        <is>
          <t>Quartz BC: 8 - 11</t>
        </is>
      </c>
      <c r="C9" s="213" t="inlineStr">
        <is>
          <t>8 - 11</t>
        </is>
      </c>
      <c r="F9" s="1" t="n"/>
      <c r="G9" t="inlineStr">
        <is>
          <t>Full</t>
        </is>
      </c>
      <c r="I9" t="inlineStr">
        <is>
          <t>Level 4</t>
        </is>
      </c>
      <c r="Q9" s="1" t="n">
        <v>2250</v>
      </c>
      <c r="R9" s="2293">
        <f>((R8-R10)/2)+R10</f>
        <v/>
      </c>
      <c r="T9" s="1" t="n">
        <v>2250</v>
      </c>
      <c r="U9" s="2293">
        <f>((U8-U10)/2)+U10</f>
        <v/>
      </c>
    </row>
    <row r="10">
      <c r="B10" t="inlineStr">
        <is>
          <t>Quartz TM: 4.5 - 6</t>
        </is>
      </c>
      <c r="C10" s="213" t="inlineStr">
        <is>
          <t>4.5 - 6 (no new data)</t>
        </is>
      </c>
      <c r="Q10" t="n">
        <v>2500</v>
      </c>
      <c r="R10" s="2378">
        <f>((R8-R12)/2)+R12</f>
        <v/>
      </c>
      <c r="T10" t="n">
        <v>2500</v>
      </c>
      <c r="U10" s="2378">
        <f>((U8-U12)/2)+U12</f>
        <v/>
      </c>
    </row>
    <row r="11">
      <c r="B11" t="inlineStr">
        <is>
          <t>Thin Mil: 11 - 17</t>
        </is>
      </c>
      <c r="C11" s="213" t="inlineStr">
        <is>
          <t>10 - 20</t>
        </is>
      </c>
      <c r="O11" s="433" t="inlineStr">
        <is>
          <t>Scales updated 6/7/22 --&gt;</t>
        </is>
      </c>
      <c r="P11" s="391" t="n"/>
      <c r="Q11" t="n">
        <v>2750</v>
      </c>
      <c r="R11" s="2293">
        <f>((R10-R12)/2)+R12</f>
        <v/>
      </c>
      <c r="T11" t="n">
        <v>2750</v>
      </c>
      <c r="U11" s="2293">
        <f>((U10-U12)/2)+U12</f>
        <v/>
      </c>
    </row>
    <row r="12">
      <c r="B12" t="inlineStr">
        <is>
          <t>Demo VCT/Carpet/Ceramic: 40 - 60</t>
        </is>
      </c>
      <c r="C12" t="inlineStr">
        <is>
          <t>x - x</t>
        </is>
      </c>
      <c r="Q12" s="24" t="n">
        <v>3000</v>
      </c>
      <c r="R12" s="2378">
        <f>((R4-R20)/2)+R20</f>
        <v/>
      </c>
      <c r="S12" s="51">
        <f>MEDIAN(Q4:Q20)</f>
        <v/>
      </c>
      <c r="T12" s="24" t="n">
        <v>3000</v>
      </c>
      <c r="U12" s="2378">
        <f>((U4-U20)/2)+U20</f>
        <v/>
      </c>
      <c r="V12" s="51">
        <f>MEDIAN(T4:T20)</f>
        <v/>
      </c>
    </row>
    <row r="13">
      <c r="B13" t="inlineStr">
        <is>
          <t>Demo Glue: 60 - 104</t>
        </is>
      </c>
      <c r="C13" t="inlineStr">
        <is>
          <t>x - x</t>
        </is>
      </c>
      <c r="F13" s="169" t="n"/>
      <c r="G13" s="170" t="n"/>
      <c r="H13" s="170" t="n"/>
      <c r="I13" s="170" t="n"/>
      <c r="J13" s="170" t="n"/>
      <c r="K13" s="171" t="n"/>
      <c r="Q13" t="n">
        <v>3250</v>
      </c>
      <c r="R13" s="2293">
        <f>((R12-R14)/2)+R14</f>
        <v/>
      </c>
      <c r="T13" t="n">
        <v>3250</v>
      </c>
      <c r="U13" s="2293">
        <f>((U12-U14)/2)+U14</f>
        <v/>
      </c>
    </row>
    <row r="14">
      <c r="B14" t="inlineStr">
        <is>
          <t>Demo QT: 10 - 17</t>
        </is>
      </c>
      <c r="C14" t="inlineStr">
        <is>
          <t>x - x</t>
        </is>
      </c>
      <c r="F14" s="172" t="inlineStr">
        <is>
          <t>SOFT COSTS</t>
        </is>
      </c>
      <c r="K14" s="173" t="n"/>
      <c r="Q14" s="1" t="n">
        <v>3500</v>
      </c>
      <c r="R14" s="2378">
        <f>((R12-R16)/2)+R16</f>
        <v/>
      </c>
      <c r="T14" s="1" t="n">
        <v>3500</v>
      </c>
      <c r="U14" s="2378">
        <f>((U12-U16)/2)+U16</f>
        <v/>
      </c>
    </row>
    <row r="15">
      <c r="B15" t="inlineStr">
        <is>
          <t>Polish (current year data)</t>
        </is>
      </c>
      <c r="F15" s="174" t="inlineStr">
        <is>
          <t>Note: These are based on % of Revenue - Jan - July 2018 from QuickBooks</t>
        </is>
      </c>
      <c r="G15" s="2511" t="n"/>
      <c r="K15" s="173" t="n"/>
      <c r="Q15" t="n">
        <v>3750</v>
      </c>
      <c r="R15" s="2293">
        <f>((R14-R16)/2)+R16</f>
        <v/>
      </c>
      <c r="T15" t="n">
        <v>3750</v>
      </c>
      <c r="U15" s="2293">
        <f>((U14-U16)/2)+U16</f>
        <v/>
      </c>
    </row>
    <row r="16">
      <c r="B16" s="51" t="inlineStr">
        <is>
          <t>Select:</t>
        </is>
      </c>
      <c r="F16" s="176" t="n"/>
      <c r="G16" s="2511" t="n"/>
      <c r="K16" s="173" t="n"/>
      <c r="Q16" s="24" t="n">
        <v>4000</v>
      </c>
      <c r="R16" s="2378">
        <f>((R12-R20)/2)+R20</f>
        <v/>
      </c>
      <c r="S16" s="51">
        <f>MEDIAN(Q12:Q20)</f>
        <v/>
      </c>
      <c r="T16" s="24" t="n">
        <v>4000</v>
      </c>
      <c r="U16" s="2378">
        <f>((U12-U20)/2)+U20</f>
        <v/>
      </c>
      <c r="V16" s="51">
        <f>MEDIAN(T12:T20)</f>
        <v/>
      </c>
    </row>
    <row r="17">
      <c r="B17" t="inlineStr">
        <is>
          <t>Cream: 22-30</t>
        </is>
      </c>
      <c r="F17" s="172" t="inlineStr">
        <is>
          <t>Depreciation</t>
        </is>
      </c>
      <c r="G17" s="2511" t="n">
        <v>0.014</v>
      </c>
      <c r="K17" s="173" t="n"/>
      <c r="Q17" t="n">
        <v>4250</v>
      </c>
      <c r="R17" s="2293">
        <f>((R16-R18)/2)+R18</f>
        <v/>
      </c>
      <c r="T17" t="n">
        <v>4250</v>
      </c>
      <c r="U17" s="2293">
        <f>((U16-U18)/2)+U18</f>
        <v/>
      </c>
    </row>
    <row r="18">
      <c r="B18" t="inlineStr">
        <is>
          <t>S&amp;P: 18-25</t>
        </is>
      </c>
      <c r="F18" s="172" t="inlineStr">
        <is>
          <t>Insurance</t>
        </is>
      </c>
      <c r="G18" s="2511" t="n">
        <v>0.01</v>
      </c>
      <c r="H18" t="inlineStr">
        <is>
          <t>Everything but WC (GL, Auto)</t>
        </is>
      </c>
      <c r="K18" s="173" t="n"/>
      <c r="Q18" t="n">
        <v>4500</v>
      </c>
      <c r="R18" s="2378">
        <f>((R16-R20)/2)+R20</f>
        <v/>
      </c>
      <c r="T18" t="n">
        <v>4500</v>
      </c>
      <c r="U18" s="2378">
        <f>((U16-U20)/2)+U20</f>
        <v/>
      </c>
    </row>
    <row r="19">
      <c r="B19" t="inlineStr">
        <is>
          <t>Traditional: 7-12</t>
        </is>
      </c>
      <c r="F19" s="172" t="inlineStr">
        <is>
          <t>Repairs</t>
        </is>
      </c>
      <c r="G19" s="2511" t="n">
        <v>0.01</v>
      </c>
      <c r="K19" s="173" t="n"/>
      <c r="Q19" s="1" t="n">
        <v>4750</v>
      </c>
      <c r="R19" s="2293">
        <f>((R18-R20)/2)+R20</f>
        <v/>
      </c>
      <c r="T19" s="1" t="n">
        <v>4750</v>
      </c>
      <c r="U19" s="2293">
        <f>((U18-U20)/2)+U20</f>
        <v/>
      </c>
    </row>
    <row r="20">
      <c r="B20" t="inlineStr">
        <is>
          <t>Demo VCT/Carpet/Ceramic: 40 - 60</t>
        </is>
      </c>
      <c r="C20" t="inlineStr">
        <is>
          <t>x - x</t>
        </is>
      </c>
      <c r="F20" s="172" t="inlineStr">
        <is>
          <t>Warranty</t>
        </is>
      </c>
      <c r="G20" s="2511" t="n">
        <v>0.011</v>
      </c>
      <c r="K20" s="173" t="n"/>
      <c r="Q20" s="24" t="n">
        <v>5000</v>
      </c>
      <c r="R20" s="2378">
        <f>'Stnd Alts'!F2</f>
        <v/>
      </c>
      <c r="T20" s="24" t="n">
        <v>5000</v>
      </c>
      <c r="U20" s="2378">
        <f>'Stnd Alts'!F51</f>
        <v/>
      </c>
    </row>
    <row r="21">
      <c r="B21" t="inlineStr">
        <is>
          <t>Demo Glue: 60 - 104</t>
        </is>
      </c>
      <c r="C21" t="inlineStr">
        <is>
          <t>x - x</t>
        </is>
      </c>
      <c r="F21" s="172" t="inlineStr">
        <is>
          <t>Shop Time</t>
        </is>
      </c>
      <c r="G21" s="2511" t="n">
        <v>0.01</v>
      </c>
      <c r="K21" s="173" t="n"/>
    </row>
    <row r="22">
      <c r="B22" t="inlineStr">
        <is>
          <t>Demo QT: 10 - 17</t>
        </is>
      </c>
      <c r="C22" t="inlineStr">
        <is>
          <t>x - x</t>
        </is>
      </c>
      <c r="F22" s="172" t="inlineStr">
        <is>
          <t>Fuel</t>
        </is>
      </c>
      <c r="G22" s="2511" t="n">
        <v>0.01</v>
      </c>
      <c r="K22" s="173" t="n"/>
      <c r="Q22" s="24" t="inlineStr">
        <is>
          <t>Roppe 700 Series (from CCS)</t>
        </is>
      </c>
      <c r="T22" s="24" t="inlineStr">
        <is>
          <t>Roppe 700 Series (from CCS)</t>
        </is>
      </c>
    </row>
    <row r="23">
      <c r="F23" s="172" t="inlineStr">
        <is>
          <t>Shop Supplies</t>
        </is>
      </c>
      <c r="G23" s="2512" t="n">
        <v>0.005</v>
      </c>
      <c r="K23" s="173" t="n"/>
      <c r="Q23" s="382" t="inlineStr">
        <is>
          <t>4" Rubber Cove</t>
        </is>
      </c>
      <c r="R23" s="1" t="n"/>
      <c r="S23" s="1" t="n"/>
      <c r="T23" s="382" t="inlineStr">
        <is>
          <t>6" Rubber Cove</t>
        </is>
      </c>
      <c r="U23" s="1" t="n"/>
      <c r="V23" s="1" t="n"/>
    </row>
    <row r="24">
      <c r="F24" s="178" t="inlineStr">
        <is>
          <t>Total</t>
        </is>
      </c>
      <c r="G24" s="2513">
        <f>SUM(G17:G23)</f>
        <v/>
      </c>
      <c r="H24" s="180" t="n"/>
      <c r="I24" s="180" t="n"/>
      <c r="J24" s="180" t="n"/>
      <c r="K24" s="181" t="n"/>
      <c r="Q24" s="23" t="n">
        <v>100</v>
      </c>
      <c r="R24" s="2376">
        <f>'Stnd Alts'!M345</f>
        <v/>
      </c>
      <c r="S24" s="1" t="n"/>
      <c r="T24" s="23" t="n">
        <v>100</v>
      </c>
      <c r="U24" s="2376">
        <f>'Stnd Alts'!M394</f>
        <v/>
      </c>
      <c r="V24" s="1" t="n"/>
    </row>
    <row r="25">
      <c r="Q25" t="n">
        <v>125</v>
      </c>
      <c r="R25" s="2293">
        <f>((R24-R26)/2)+R26</f>
        <v/>
      </c>
      <c r="T25" t="n">
        <v>125</v>
      </c>
      <c r="U25" s="2293">
        <f>((U24-U26)/2)+U26</f>
        <v/>
      </c>
    </row>
    <row r="26">
      <c r="B26" s="214" t="inlineStr">
        <is>
          <t>Increase epoxy SF/MH by 2 across the board Except Troweled systems - GI 02/18/20</t>
        </is>
      </c>
      <c r="Q26" t="n">
        <v>150</v>
      </c>
      <c r="R26" s="2378">
        <f>((R24-R28)/2)+R28</f>
        <v/>
      </c>
      <c r="T26" t="n">
        <v>150</v>
      </c>
      <c r="U26" s="2378">
        <f>((U24-U28)/2)+U28</f>
        <v/>
      </c>
    </row>
    <row r="27">
      <c r="B27" s="214" t="inlineStr">
        <is>
          <t>Increased Demo of VCT Carpet.. By 10 SF/MH - GI 02/18/20</t>
        </is>
      </c>
      <c r="J27" t="n">
        <v>2400000</v>
      </c>
      <c r="Q27" t="n">
        <v>175</v>
      </c>
      <c r="R27" s="2293">
        <f>((R26-R28)/2)+R28</f>
        <v/>
      </c>
      <c r="T27" t="n">
        <v>175</v>
      </c>
      <c r="U27" s="2293">
        <f>((U26-U28)/2)+U28</f>
        <v/>
      </c>
    </row>
    <row r="28">
      <c r="Q28" s="24" t="n">
        <v>200</v>
      </c>
      <c r="R28" s="2378">
        <f>((R24-R32)/2)+R32</f>
        <v/>
      </c>
      <c r="S28" s="51">
        <f>MEDIAN(Q24:Q32)</f>
        <v/>
      </c>
      <c r="T28" s="24" t="n">
        <v>200</v>
      </c>
      <c r="U28" s="2378">
        <f>((U24-U32)/2)+U32</f>
        <v/>
      </c>
      <c r="V28" s="51">
        <f>MEDIAN(T24:T32)</f>
        <v/>
      </c>
    </row>
    <row r="29">
      <c r="C29" s="439" t="inlineStr">
        <is>
          <t>From Kyle &amp; RJ's polish tooling spreadsheet from 12/02/21</t>
        </is>
      </c>
      <c r="D29" s="392" t="n"/>
      <c r="E29" s="392" t="n"/>
      <c r="F29" s="392" t="n"/>
      <c r="G29" s="392" t="n"/>
      <c r="Q29" s="1" t="n">
        <v>225</v>
      </c>
      <c r="R29" s="2293">
        <f>((R28-R30)/2)+R30</f>
        <v/>
      </c>
      <c r="T29" s="1" t="n">
        <v>225</v>
      </c>
      <c r="U29" s="2293">
        <f>((U28-U30)/2)+U30</f>
        <v/>
      </c>
    </row>
    <row r="30">
      <c r="C30" s="60" t="inlineStr">
        <is>
          <t>Cream Polish</t>
        </is>
      </c>
      <c r="D30" s="2350" t="n"/>
      <c r="E30" s="237" t="n"/>
      <c r="G30" s="60" t="inlineStr">
        <is>
          <t>Salt and Pepper</t>
        </is>
      </c>
      <c r="H30" s="2350" t="n"/>
      <c r="I30" s="237" t="n"/>
      <c r="K30" s="60" t="inlineStr">
        <is>
          <t>Aggregate Exposure</t>
        </is>
      </c>
      <c r="L30" s="2350" t="n"/>
      <c r="M30" s="237" t="n"/>
      <c r="Q30" t="n">
        <v>250</v>
      </c>
      <c r="R30" s="2378">
        <f>((R28-R32)/2)+R32</f>
        <v/>
      </c>
      <c r="T30" t="n">
        <v>250</v>
      </c>
      <c r="U30" s="2378">
        <f>((U28-U32)/2)+U32</f>
        <v/>
      </c>
    </row>
    <row r="31" ht="46.8" customHeight="1">
      <c r="C31" s="163" t="inlineStr">
        <is>
          <t>SF</t>
        </is>
      </c>
      <c r="D31" s="163" t="inlineStr">
        <is>
          <t>Cost/SF</t>
        </is>
      </c>
      <c r="E31" s="435" t="inlineStr">
        <is>
          <t>Adjusted Cost/SF (75%)</t>
        </is>
      </c>
      <c r="G31" s="163" t="inlineStr">
        <is>
          <t>SF</t>
        </is>
      </c>
      <c r="H31" s="163" t="inlineStr">
        <is>
          <t>Cost/SF</t>
        </is>
      </c>
      <c r="I31" s="435" t="inlineStr">
        <is>
          <t>Adjusted Cost/SF (75%)</t>
        </is>
      </c>
      <c r="K31" s="163" t="inlineStr">
        <is>
          <t>SF</t>
        </is>
      </c>
      <c r="L31" s="163" t="inlineStr">
        <is>
          <t>Cost/SF</t>
        </is>
      </c>
      <c r="M31" s="435" t="inlineStr">
        <is>
          <t>Adjusted Cost/SF (75%)</t>
        </is>
      </c>
      <c r="O31" s="433" t="inlineStr">
        <is>
          <t>Scales updated 6/7/22 --&gt;</t>
        </is>
      </c>
      <c r="P31" s="391" t="n"/>
      <c r="Q31" t="n">
        <v>275</v>
      </c>
      <c r="R31" s="2293">
        <f>((R30-R32)/2)+R32</f>
        <v/>
      </c>
      <c r="T31" t="n">
        <v>275</v>
      </c>
      <c r="U31" s="2293">
        <f>((U30-U32)/2)+U32</f>
        <v/>
      </c>
    </row>
    <row r="32">
      <c r="C32" s="163" t="inlineStr">
        <is>
          <t>0-4,000 SF Average</t>
        </is>
      </c>
      <c r="D32" s="2514" t="n">
        <v>0.8</v>
      </c>
      <c r="E32" s="2514" t="n">
        <v>0.6</v>
      </c>
      <c r="G32" s="163" t="inlineStr">
        <is>
          <t>0-4,000 SF Average</t>
        </is>
      </c>
      <c r="H32" s="2514" t="n">
        <v>1.15</v>
      </c>
      <c r="I32" s="2514" t="n">
        <v>0.85</v>
      </c>
      <c r="K32" s="163" t="inlineStr">
        <is>
          <t>0-4,000 SF Average</t>
        </is>
      </c>
      <c r="L32" s="2514" t="n">
        <v>2</v>
      </c>
      <c r="M32" s="2514" t="n">
        <v>1.5</v>
      </c>
      <c r="Q32" s="24" t="n">
        <v>300</v>
      </c>
      <c r="R32" s="2378">
        <f>((R24-R40)/2)+R40</f>
        <v/>
      </c>
      <c r="S32" s="51">
        <f>MEDIAN(Q24:Q40)</f>
        <v/>
      </c>
      <c r="T32" s="24" t="n">
        <v>300</v>
      </c>
      <c r="U32" s="2378">
        <f>((U24-U40)/2)+U40</f>
        <v/>
      </c>
      <c r="V32" s="51">
        <f>MEDIAN(T24:T40)</f>
        <v/>
      </c>
    </row>
    <row r="33">
      <c r="C33" s="163" t="inlineStr">
        <is>
          <t>4,000-7,000 SF Average</t>
        </is>
      </c>
      <c r="D33" s="2514" t="n">
        <v>0.25</v>
      </c>
      <c r="E33" s="2514" t="n">
        <v>0.2</v>
      </c>
      <c r="G33" s="163" t="inlineStr">
        <is>
          <t>4,000-7,000 SF Average</t>
        </is>
      </c>
      <c r="H33" s="2514" t="n">
        <v>0.5</v>
      </c>
      <c r="I33" s="2514" t="n">
        <v>0.4</v>
      </c>
      <c r="K33" s="163" t="inlineStr">
        <is>
          <t>4,000-7,000 SF Average</t>
        </is>
      </c>
      <c r="L33" s="2514" t="n">
        <v>0.9</v>
      </c>
      <c r="M33" s="2514" t="n">
        <v>0.65</v>
      </c>
      <c r="Q33" t="n">
        <v>325</v>
      </c>
      <c r="R33" s="2293">
        <f>((R32-R34)/2)+R34</f>
        <v/>
      </c>
      <c r="T33" t="n">
        <v>325</v>
      </c>
      <c r="U33" s="2293">
        <f>((U32-U34)/2)+U34</f>
        <v/>
      </c>
    </row>
    <row r="34">
      <c r="C34" s="163" t="inlineStr">
        <is>
          <t>7,000 SF+ Average</t>
        </is>
      </c>
      <c r="D34" s="2514" t="n">
        <v>0.25</v>
      </c>
      <c r="E34" s="2514" t="n">
        <v>0.2</v>
      </c>
      <c r="G34" s="163" t="inlineStr">
        <is>
          <t>7,000 SF+ Average</t>
        </is>
      </c>
      <c r="H34" s="2514" t="n">
        <v>0.45</v>
      </c>
      <c r="I34" s="2515" t="n">
        <v>0.45</v>
      </c>
      <c r="K34" s="163" t="inlineStr">
        <is>
          <t>7,000 SF+ Average</t>
        </is>
      </c>
      <c r="L34" s="2514" t="n">
        <v>0.75</v>
      </c>
      <c r="M34" s="2515" t="n">
        <v>0.75</v>
      </c>
      <c r="Q34" s="1" t="n">
        <v>350</v>
      </c>
      <c r="R34" s="2378">
        <f>((R32-R36)/2)+R36</f>
        <v/>
      </c>
      <c r="T34" s="1" t="n">
        <v>350</v>
      </c>
      <c r="U34" s="2378">
        <f>((U32-U36)/2)+U36</f>
        <v/>
      </c>
    </row>
    <row r="35">
      <c r="Q35" t="n">
        <v>375</v>
      </c>
      <c r="R35" s="2293">
        <f>((R34-R36)/2)+R36</f>
        <v/>
      </c>
      <c r="T35" t="n">
        <v>375</v>
      </c>
      <c r="U35" s="2293">
        <f>((U34-U36)/2)+U36</f>
        <v/>
      </c>
    </row>
    <row r="36">
      <c r="Q36" s="24" t="n">
        <v>400</v>
      </c>
      <c r="R36" s="2378">
        <f>((R32-R40)/2)+R40</f>
        <v/>
      </c>
      <c r="S36" s="51">
        <f>MEDIAN(Q32:Q40)</f>
        <v/>
      </c>
      <c r="T36" s="24" t="n">
        <v>400</v>
      </c>
      <c r="U36" s="2378">
        <f>((U32-U40)/2)+U40</f>
        <v/>
      </c>
      <c r="V36" s="51">
        <f>MEDIAN(T32:T40)</f>
        <v/>
      </c>
    </row>
    <row r="37">
      <c r="Q37" t="n">
        <v>425</v>
      </c>
      <c r="R37" s="2293">
        <f>((R36-R38)/2)+R38</f>
        <v/>
      </c>
      <c r="T37" t="n">
        <v>425</v>
      </c>
      <c r="U37" s="2293">
        <f>((U36-U38)/2)+U38</f>
        <v/>
      </c>
    </row>
    <row r="38">
      <c r="Q38" t="n">
        <v>450</v>
      </c>
      <c r="R38" s="2378">
        <f>((R36-R40)/2)+R40</f>
        <v/>
      </c>
      <c r="T38" t="n">
        <v>450</v>
      </c>
      <c r="U38" s="2378">
        <f>((U36-U40)/2)+U40</f>
        <v/>
      </c>
    </row>
    <row r="39">
      <c r="Q39" s="1" t="n">
        <v>475</v>
      </c>
      <c r="R39" s="2293">
        <f>((R38-R40)/2)+R40</f>
        <v/>
      </c>
      <c r="T39" s="1" t="n">
        <v>475</v>
      </c>
      <c r="U39" s="2293">
        <f>((U38-U40)/2)+U40</f>
        <v/>
      </c>
    </row>
    <row r="40">
      <c r="Q40" s="24" t="n">
        <v>500</v>
      </c>
      <c r="R40" s="2378">
        <f>'Stnd Alts'!F345</f>
        <v/>
      </c>
      <c r="T40" s="24" t="n">
        <v>500</v>
      </c>
      <c r="U40" s="2378">
        <f>'Stnd Alts'!F394</f>
        <v/>
      </c>
    </row>
    <row r="43">
      <c r="Q43" s="382" t="inlineStr">
        <is>
          <t>4" Line Striping</t>
        </is>
      </c>
      <c r="R43" s="1" t="n"/>
      <c r="S43" s="1" t="n"/>
      <c r="T43" s="382" t="inlineStr">
        <is>
          <t>6" Line Striping</t>
        </is>
      </c>
      <c r="U43" s="1" t="n"/>
      <c r="V43" s="1" t="n"/>
    </row>
    <row r="44">
      <c r="Q44" s="23" t="n">
        <v>100</v>
      </c>
      <c r="R44" s="2376">
        <f>'Stnd Alts'!M443</f>
        <v/>
      </c>
      <c r="S44" s="1" t="n"/>
      <c r="T44" s="23" t="n">
        <v>100</v>
      </c>
      <c r="U44" s="2376">
        <f>'Stnd Alts'!M492</f>
        <v/>
      </c>
      <c r="V44" s="1" t="n"/>
    </row>
    <row r="45">
      <c r="Q45" t="n">
        <v>125</v>
      </c>
      <c r="R45" s="2293">
        <f>((R44-R46)/2)+R46</f>
        <v/>
      </c>
      <c r="T45" t="n">
        <v>125</v>
      </c>
      <c r="U45" s="2293">
        <f>((U44-U46)/2)+U46</f>
        <v/>
      </c>
    </row>
    <row r="46">
      <c r="Q46" t="n">
        <v>150</v>
      </c>
      <c r="R46" s="2378">
        <f>((R44-R48)/2)+R48</f>
        <v/>
      </c>
      <c r="T46" t="n">
        <v>150</v>
      </c>
      <c r="U46" s="2378">
        <f>((U44-U48)/2)+U48</f>
        <v/>
      </c>
    </row>
    <row r="47">
      <c r="Q47" t="n">
        <v>175</v>
      </c>
      <c r="R47" s="2293">
        <f>((R46-R48)/2)+R48</f>
        <v/>
      </c>
      <c r="T47" t="n">
        <v>175</v>
      </c>
      <c r="U47" s="2293">
        <f>((U46-U48)/2)+U48</f>
        <v/>
      </c>
    </row>
    <row r="48">
      <c r="Q48" s="24" t="n">
        <v>200</v>
      </c>
      <c r="R48" s="2378">
        <f>((R44-R52)/2)+R52</f>
        <v/>
      </c>
      <c r="S48" s="51">
        <f>MEDIAN(Q44:Q52)</f>
        <v/>
      </c>
      <c r="T48" s="24" t="n">
        <v>200</v>
      </c>
      <c r="U48" s="2378">
        <f>((U44-U52)/2)+U52</f>
        <v/>
      </c>
      <c r="V48" s="51">
        <f>MEDIAN(T44:T52)</f>
        <v/>
      </c>
    </row>
    <row r="49">
      <c r="Q49" s="1" t="n">
        <v>225</v>
      </c>
      <c r="R49" s="2293">
        <f>((R48-R50)/2)+R50</f>
        <v/>
      </c>
      <c r="T49" s="1" t="n">
        <v>225</v>
      </c>
      <c r="U49" s="2293">
        <f>((U48-U50)/2)+U50</f>
        <v/>
      </c>
    </row>
    <row r="50">
      <c r="Q50" t="n">
        <v>250</v>
      </c>
      <c r="R50" s="2378">
        <f>((R48-R52)/2)+R52</f>
        <v/>
      </c>
      <c r="T50" t="n">
        <v>250</v>
      </c>
      <c r="U50" s="2378">
        <f>((U48-U52)/2)+U52</f>
        <v/>
      </c>
    </row>
    <row r="51">
      <c r="O51" s="433" t="inlineStr">
        <is>
          <t>Scales updated 6/7/22 --&gt;</t>
        </is>
      </c>
      <c r="P51" s="391" t="n"/>
      <c r="Q51" t="n">
        <v>275</v>
      </c>
      <c r="R51" s="2293">
        <f>((R50-R52)/2)+R52</f>
        <v/>
      </c>
      <c r="T51" t="n">
        <v>275</v>
      </c>
      <c r="U51" s="2293">
        <f>((U50-U52)/2)+U52</f>
        <v/>
      </c>
    </row>
    <row r="52">
      <c r="Q52" s="24" t="n">
        <v>300</v>
      </c>
      <c r="R52" s="2378">
        <f>((R44-R60)/2)+R60</f>
        <v/>
      </c>
      <c r="S52" s="51">
        <f>MEDIAN(Q44:Q60)</f>
        <v/>
      </c>
      <c r="T52" s="24" t="n">
        <v>300</v>
      </c>
      <c r="U52" s="2378">
        <f>((U44-U60)/2)+U60</f>
        <v/>
      </c>
      <c r="V52" s="51">
        <f>MEDIAN(T44:T60)</f>
        <v/>
      </c>
    </row>
    <row r="53">
      <c r="Q53" t="n">
        <v>325</v>
      </c>
      <c r="R53" s="2293">
        <f>((R52-R54)/2)+R54</f>
        <v/>
      </c>
      <c r="T53" t="n">
        <v>325</v>
      </c>
      <c r="U53" s="2293">
        <f>((U52-U54)/2)+U54</f>
        <v/>
      </c>
    </row>
    <row r="54">
      <c r="Q54" s="1" t="n">
        <v>350</v>
      </c>
      <c r="R54" s="2378">
        <f>((R52-R56)/2)+R56</f>
        <v/>
      </c>
      <c r="T54" s="1" t="n">
        <v>350</v>
      </c>
      <c r="U54" s="2378">
        <f>((U52-U56)/2)+U56</f>
        <v/>
      </c>
    </row>
    <row r="55">
      <c r="Q55" t="n">
        <v>375</v>
      </c>
      <c r="R55" s="2293">
        <f>((R54-R56)/2)+R56</f>
        <v/>
      </c>
      <c r="T55" t="n">
        <v>375</v>
      </c>
      <c r="U55" s="2293">
        <f>((U54-U56)/2)+U56</f>
        <v/>
      </c>
    </row>
    <row r="56">
      <c r="Q56" s="24" t="n">
        <v>400</v>
      </c>
      <c r="R56" s="2378">
        <f>((R52-R60)/2)+R60</f>
        <v/>
      </c>
      <c r="S56" s="51">
        <f>MEDIAN(Q52:Q60)</f>
        <v/>
      </c>
      <c r="T56" s="24" t="n">
        <v>400</v>
      </c>
      <c r="U56" s="2378">
        <f>((U52-U60)/2)+U60</f>
        <v/>
      </c>
      <c r="V56" s="51">
        <f>MEDIAN(T52:T60)</f>
        <v/>
      </c>
    </row>
    <row r="57">
      <c r="Q57" t="n">
        <v>425</v>
      </c>
      <c r="R57" s="2293">
        <f>((R56-R58)/2)+R58</f>
        <v/>
      </c>
      <c r="T57" t="n">
        <v>425</v>
      </c>
      <c r="U57" s="2293">
        <f>((U56-U58)/2)+U58</f>
        <v/>
      </c>
    </row>
    <row r="58">
      <c r="Q58" t="n">
        <v>450</v>
      </c>
      <c r="R58" s="2378">
        <f>((R56-R60)/2)+R60</f>
        <v/>
      </c>
      <c r="T58" t="n">
        <v>450</v>
      </c>
      <c r="U58" s="2378">
        <f>((U56-U60)/2)+U60</f>
        <v/>
      </c>
    </row>
    <row r="59">
      <c r="Q59" s="1" t="n">
        <v>475</v>
      </c>
      <c r="R59" s="2293">
        <f>((R58-R60)/2)+R60</f>
        <v/>
      </c>
      <c r="T59" s="1" t="n">
        <v>475</v>
      </c>
      <c r="U59" s="2293">
        <f>((U58-U60)/2)+U60</f>
        <v/>
      </c>
    </row>
    <row r="60">
      <c r="Q60" s="24" t="n">
        <v>500</v>
      </c>
      <c r="R60" s="2378">
        <f>'Stnd Alts'!F443</f>
        <v/>
      </c>
      <c r="T60" s="24" t="n">
        <v>500</v>
      </c>
      <c r="U60" s="2378">
        <f>'Stnd Alts'!F492</f>
        <v/>
      </c>
    </row>
  </sheetData>
  <mergeCells count="3">
    <mergeCell ref="C30:E30"/>
    <mergeCell ref="G30:I30"/>
    <mergeCell ref="K30:M30"/>
  </mergeCells>
  <dataValidations disablePrompts="1" count="1">
    <dataValidation sqref="N3:N4" showDropDown="0" showInputMessage="1" showErrorMessage="1" allowBlank="1" type="list">
      <formula1>$P$2:$P$3</formula1>
    </dataValidation>
  </dataValidations>
  <pageMargins left="0.75" right="0.75" top="1" bottom="1" header="0.5" footer="0.5"/>
  <pageSetup orientation="portrait" horizontalDpi="4294967292" verticalDpi="429496729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AI87"/>
  <sheetViews>
    <sheetView workbookViewId="0">
      <selection activeCell="A1" sqref="A1"/>
    </sheetView>
  </sheetViews>
  <sheetFormatPr baseColWidth="8" defaultColWidth="11.19921875" defaultRowHeight="15.6"/>
  <cols>
    <col width="6.796875" customWidth="1" min="1" max="1"/>
    <col width="3.296875" customWidth="1" style="1190" min="12" max="12"/>
    <col width="6.796875" customWidth="1" min="13" max="13"/>
    <col width="3.296875" customWidth="1" style="1190" min="24" max="24"/>
    <col width="6.796875" customWidth="1" min="25" max="25"/>
  </cols>
  <sheetData>
    <row r="2" ht="21" customHeight="1">
      <c r="B2" s="1177">
        <f>SUM(B4,N4,Z4)</f>
        <v/>
      </c>
      <c r="C2" s="1178" t="inlineStr">
        <is>
          <t>TOTAL</t>
        </is>
      </c>
      <c r="E2" s="1179" t="inlineStr">
        <is>
          <t>## Buildings ---&gt;</t>
        </is>
      </c>
      <c r="F2" s="458" t="n"/>
      <c r="I2" s="1180">
        <f>SUM(H4:J4)</f>
        <v/>
      </c>
      <c r="U2" s="1180">
        <f>SUM(T4:V4)</f>
        <v/>
      </c>
      <c r="AG2" s="1180">
        <f>SUM(AF4:AH4)</f>
        <v/>
      </c>
    </row>
    <row r="3">
      <c r="C3" s="43" t="n"/>
    </row>
    <row r="4">
      <c r="B4" s="1181">
        <f>SUM(D4:F4)</f>
        <v/>
      </c>
      <c r="C4" s="1182" t="inlineStr">
        <is>
          <t>1 Building</t>
        </is>
      </c>
      <c r="D4" s="1183">
        <f>SUM(D6:D87)</f>
        <v/>
      </c>
      <c r="E4" s="1183">
        <f>SUM(E6:E87)</f>
        <v/>
      </c>
      <c r="F4" s="1183">
        <f>SUM(F6:F87)</f>
        <v/>
      </c>
      <c r="H4" s="1180">
        <f>SUM(H6:H87)</f>
        <v/>
      </c>
      <c r="I4" s="1180">
        <f>SUM(I6:I87)</f>
        <v/>
      </c>
      <c r="J4" s="1180">
        <f>SUM(J6:J87)</f>
        <v/>
      </c>
      <c r="K4" s="1180">
        <f>SUM(K7,K21,K55)</f>
        <v/>
      </c>
      <c r="N4" s="1181">
        <f>SUM(P4:R4)</f>
        <v/>
      </c>
      <c r="O4" s="1182" t="inlineStr">
        <is>
          <t>2 Building</t>
        </is>
      </c>
      <c r="P4" s="1183">
        <f>SUM(P6:P87)</f>
        <v/>
      </c>
      <c r="Q4" s="1183">
        <f>SUM(Q6:Q87)</f>
        <v/>
      </c>
      <c r="R4" s="1183">
        <f>SUM(R6:R87)</f>
        <v/>
      </c>
      <c r="T4" s="1180">
        <f>SUM(T6:T87)</f>
        <v/>
      </c>
      <c r="U4" s="1180">
        <f>SUM(U6:U87)</f>
        <v/>
      </c>
      <c r="V4" s="1180">
        <f>SUM(V6:V87)</f>
        <v/>
      </c>
      <c r="W4" s="1180">
        <f>SUM(W7,W21,W55)</f>
        <v/>
      </c>
      <c r="Z4" s="1181">
        <f>SUM(AB4:AD4)</f>
        <v/>
      </c>
      <c r="AA4" s="1182" t="inlineStr">
        <is>
          <t>3 Building</t>
        </is>
      </c>
      <c r="AB4" s="1183">
        <f>SUM(AB6:AB87)</f>
        <v/>
      </c>
      <c r="AC4" s="1183">
        <f>SUM(AC6:AC87)</f>
        <v/>
      </c>
      <c r="AD4" s="1183">
        <f>SUM(AD6:AD87)</f>
        <v/>
      </c>
      <c r="AF4" s="1180">
        <f>SUM(AF6:AF87)</f>
        <v/>
      </c>
      <c r="AG4" s="1180">
        <f>SUM(AG6:AG87)</f>
        <v/>
      </c>
      <c r="AH4" s="1180">
        <f>SUM(AH6:AH87)</f>
        <v/>
      </c>
      <c r="AI4" s="1180">
        <f>SUM(AI7,AI21,AI55)</f>
        <v/>
      </c>
    </row>
    <row r="5">
      <c r="C5" s="180" t="inlineStr">
        <is>
          <t>Unit Type</t>
        </is>
      </c>
      <c r="D5" s="1286" t="inlineStr">
        <is>
          <t>Soft /Carpet</t>
        </is>
      </c>
      <c r="E5" s="1287" t="inlineStr">
        <is>
          <t>Hard Surface</t>
        </is>
      </c>
      <c r="F5" s="1288" t="inlineStr">
        <is>
          <t>Corr.</t>
        </is>
      </c>
      <c r="G5" s="180" t="inlineStr">
        <is>
          <t>Unit Type</t>
        </is>
      </c>
      <c r="H5" s="1286" t="inlineStr">
        <is>
          <t>Soft /Carpet</t>
        </is>
      </c>
      <c r="I5" s="1287" t="inlineStr">
        <is>
          <t>Hard Surface</t>
        </is>
      </c>
      <c r="J5" s="1285" t="inlineStr">
        <is>
          <t>Corr.</t>
        </is>
      </c>
      <c r="K5" s="1185">
        <f>C4</f>
        <v/>
      </c>
      <c r="O5" s="180" t="inlineStr">
        <is>
          <t>Unit Type</t>
        </is>
      </c>
      <c r="P5" s="1286" t="inlineStr">
        <is>
          <t>Soft /Carpet</t>
        </is>
      </c>
      <c r="Q5" s="1287" t="inlineStr">
        <is>
          <t>Hard Surface</t>
        </is>
      </c>
      <c r="R5" s="1288" t="inlineStr">
        <is>
          <t>Corr.</t>
        </is>
      </c>
      <c r="S5" s="180" t="inlineStr">
        <is>
          <t>Unit Type</t>
        </is>
      </c>
      <c r="T5" s="1286" t="inlineStr">
        <is>
          <t>Soft /Carpet</t>
        </is>
      </c>
      <c r="U5" s="1287" t="inlineStr">
        <is>
          <t>Hard Surface</t>
        </is>
      </c>
      <c r="V5" s="1288" t="inlineStr">
        <is>
          <t>Corr.</t>
        </is>
      </c>
      <c r="W5" s="1185">
        <f>O4</f>
        <v/>
      </c>
      <c r="AA5" s="180" t="inlineStr">
        <is>
          <t>Unit Type</t>
        </is>
      </c>
      <c r="AB5" s="1286" t="inlineStr">
        <is>
          <t>Soft /Carpet</t>
        </is>
      </c>
      <c r="AC5" s="1287" t="inlineStr">
        <is>
          <t>Hard Surface</t>
        </is>
      </c>
      <c r="AD5" s="1288" t="inlineStr">
        <is>
          <t>Corr.</t>
        </is>
      </c>
      <c r="AE5" s="180" t="inlineStr">
        <is>
          <t>Unit Type</t>
        </is>
      </c>
      <c r="AF5" s="1286" t="inlineStr">
        <is>
          <t>Soft /Carpet</t>
        </is>
      </c>
      <c r="AG5" s="1287" t="inlineStr">
        <is>
          <t>Hard Surface</t>
        </is>
      </c>
      <c r="AH5" s="1288" t="inlineStr">
        <is>
          <t>Corr.</t>
        </is>
      </c>
      <c r="AI5" s="1185">
        <f>AA4</f>
        <v/>
      </c>
    </row>
    <row r="6">
      <c r="B6" s="43" t="n"/>
      <c r="C6" s="43" t="n"/>
      <c r="D6" s="1184" t="n"/>
      <c r="E6" s="392" t="n"/>
      <c r="F6" s="1186" t="n"/>
      <c r="H6" s="1188">
        <f>SUM(D6:D19)</f>
        <v/>
      </c>
      <c r="I6" s="1189">
        <f>SUM(E6:E19)</f>
        <v/>
      </c>
      <c r="J6" s="1187">
        <f>SUM(F6:F19)</f>
        <v/>
      </c>
      <c r="K6" s="1185" t="inlineStr">
        <is>
          <t>2nd Floor</t>
        </is>
      </c>
      <c r="N6" s="43" t="n"/>
      <c r="O6" s="43" t="n"/>
      <c r="P6" s="1184" t="n"/>
      <c r="Q6" s="392" t="n"/>
      <c r="R6" s="1186" t="n"/>
      <c r="T6" s="1188">
        <f>SUM(P6:P19)</f>
        <v/>
      </c>
      <c r="U6" s="1189">
        <f>SUM(Q6:Q19)</f>
        <v/>
      </c>
      <c r="V6" s="1187">
        <f>SUM(R6:R19)</f>
        <v/>
      </c>
      <c r="W6" s="1185" t="inlineStr">
        <is>
          <t>2nd Floor</t>
        </is>
      </c>
      <c r="Z6" s="43" t="n"/>
      <c r="AA6" s="43" t="n"/>
      <c r="AB6" s="1184" t="n"/>
      <c r="AC6" s="392" t="n"/>
      <c r="AD6" s="1186" t="n"/>
      <c r="AF6" s="1188">
        <f>SUM(AB6:AB19)</f>
        <v/>
      </c>
      <c r="AG6" s="1189">
        <f>SUM(AC6:AC19)</f>
        <v/>
      </c>
      <c r="AH6" s="1187">
        <f>SUM(AD6:AD19)</f>
        <v/>
      </c>
      <c r="AI6" s="1185" t="inlineStr">
        <is>
          <t>2nd Floor</t>
        </is>
      </c>
    </row>
    <row r="7">
      <c r="B7" s="43" t="n"/>
      <c r="C7" s="43" t="n"/>
      <c r="D7" s="1184" t="n"/>
      <c r="E7" s="392" t="n"/>
      <c r="F7" s="1186" t="n"/>
      <c r="K7" s="1181">
        <f>SUM(H6:J6)</f>
        <v/>
      </c>
      <c r="N7" s="43" t="n"/>
      <c r="O7" s="43" t="n"/>
      <c r="P7" s="1184" t="n"/>
      <c r="Q7" s="392" t="n"/>
      <c r="R7" s="1186" t="n"/>
      <c r="W7" s="1181">
        <f>SUM(T6:V6)</f>
        <v/>
      </c>
      <c r="Z7" s="43" t="n"/>
      <c r="AA7" s="43" t="n"/>
      <c r="AB7" s="1184" t="n"/>
      <c r="AC7" s="392" t="n"/>
      <c r="AD7" s="1186" t="n"/>
      <c r="AI7" s="1181">
        <f>SUM(AF6:AH6)</f>
        <v/>
      </c>
    </row>
    <row r="8">
      <c r="D8" s="1184" t="n"/>
      <c r="E8" s="392" t="n"/>
      <c r="F8" s="388" t="n"/>
      <c r="P8" s="1184" t="n"/>
      <c r="Q8" s="392" t="n"/>
      <c r="R8" s="388" t="n"/>
      <c r="AB8" s="1184" t="n"/>
      <c r="AC8" s="392" t="n"/>
      <c r="AD8" s="388" t="n"/>
    </row>
    <row r="9">
      <c r="D9" s="1184" t="n"/>
      <c r="E9" s="392" t="n"/>
      <c r="F9" s="388" t="n"/>
      <c r="P9" s="1184" t="n"/>
      <c r="Q9" s="392" t="n"/>
      <c r="R9" s="388" t="n"/>
      <c r="AB9" s="1184" t="n"/>
      <c r="AC9" s="392" t="n"/>
      <c r="AD9" s="388" t="n"/>
    </row>
    <row r="10">
      <c r="D10" s="1184" t="n"/>
      <c r="E10" s="392" t="n"/>
      <c r="F10" s="388" t="n"/>
      <c r="P10" s="1184" t="n"/>
      <c r="Q10" s="392" t="n"/>
      <c r="R10" s="388" t="n"/>
      <c r="AB10" s="1184" t="n"/>
      <c r="AC10" s="392" t="n"/>
      <c r="AD10" s="388" t="n"/>
    </row>
    <row r="11">
      <c r="D11" s="1184" t="n"/>
      <c r="E11" s="392" t="n"/>
      <c r="F11" s="388" t="n"/>
      <c r="P11" s="1184" t="n"/>
      <c r="Q11" s="392" t="n"/>
      <c r="R11" s="388" t="n"/>
      <c r="AB11" s="1184" t="n"/>
      <c r="AC11" s="392" t="n"/>
      <c r="AD11" s="388" t="n"/>
    </row>
    <row r="12">
      <c r="D12" s="1184" t="n"/>
      <c r="E12" s="392" t="n"/>
      <c r="F12" s="388" t="n"/>
      <c r="P12" s="1184" t="n"/>
      <c r="Q12" s="392" t="n"/>
      <c r="R12" s="388" t="n"/>
      <c r="AB12" s="1184" t="n"/>
      <c r="AC12" s="392" t="n"/>
      <c r="AD12" s="388" t="n"/>
    </row>
    <row r="13">
      <c r="D13" s="1184" t="n"/>
      <c r="E13" s="392" t="n"/>
      <c r="F13" s="388" t="n"/>
      <c r="P13" s="1184" t="n"/>
      <c r="Q13" s="392" t="n"/>
      <c r="R13" s="388" t="n"/>
      <c r="AB13" s="1184" t="n"/>
      <c r="AC13" s="392" t="n"/>
      <c r="AD13" s="388" t="n"/>
    </row>
    <row r="14">
      <c r="D14" s="1184" t="n"/>
      <c r="E14" s="392" t="n"/>
      <c r="F14" s="388" t="n"/>
      <c r="P14" s="1184" t="n"/>
      <c r="Q14" s="392" t="n"/>
      <c r="R14" s="388" t="n"/>
      <c r="AB14" s="1184" t="n"/>
      <c r="AC14" s="392" t="n"/>
      <c r="AD14" s="388" t="n"/>
    </row>
    <row r="15">
      <c r="D15" s="1184" t="n"/>
      <c r="E15" s="392" t="n"/>
      <c r="F15" s="388" t="n"/>
      <c r="P15" s="1184" t="n"/>
      <c r="Q15" s="392" t="n"/>
      <c r="R15" s="388" t="n"/>
      <c r="AB15" s="1184" t="n"/>
      <c r="AC15" s="392" t="n"/>
      <c r="AD15" s="388" t="n"/>
    </row>
    <row r="16">
      <c r="D16" s="1184" t="n"/>
      <c r="E16" s="392" t="n"/>
      <c r="F16" s="388" t="n"/>
      <c r="P16" s="1184" t="n"/>
      <c r="Q16" s="392" t="n"/>
      <c r="R16" s="388" t="n"/>
      <c r="AB16" s="1184" t="n"/>
      <c r="AC16" s="392" t="n"/>
      <c r="AD16" s="388" t="n"/>
    </row>
    <row r="17">
      <c r="D17" s="1184" t="n"/>
      <c r="E17" s="392" t="n"/>
      <c r="F17" s="388" t="n"/>
      <c r="P17" s="1184" t="n"/>
      <c r="Q17" s="392" t="n"/>
      <c r="R17" s="388" t="n"/>
      <c r="AB17" s="1184" t="n"/>
      <c r="AC17" s="392" t="n"/>
      <c r="AD17" s="388" t="n"/>
    </row>
    <row r="18">
      <c r="D18" s="1184" t="n"/>
      <c r="E18" s="392" t="n"/>
      <c r="F18" s="388" t="n"/>
      <c r="P18" s="1184" t="n"/>
      <c r="Q18" s="392" t="n"/>
      <c r="R18" s="388" t="n"/>
      <c r="AB18" s="1184" t="n"/>
      <c r="AC18" s="392" t="n"/>
      <c r="AD18" s="388" t="n"/>
    </row>
    <row r="19">
      <c r="D19" s="1184" t="n"/>
      <c r="E19" s="392" t="n"/>
      <c r="F19" s="388" t="n"/>
      <c r="P19" s="1184" t="n"/>
      <c r="Q19" s="392" t="n"/>
      <c r="R19" s="388" t="n"/>
      <c r="AB19" s="1184" t="n"/>
      <c r="AC19" s="392" t="n"/>
      <c r="AD19" s="388" t="n"/>
    </row>
    <row r="20">
      <c r="D20" s="1184" t="n"/>
      <c r="E20" s="392" t="n"/>
      <c r="F20" s="388" t="n"/>
      <c r="P20" s="1184" t="n"/>
      <c r="Q20" s="392" t="n"/>
      <c r="R20" s="388" t="n"/>
      <c r="AB20" s="1184" t="n"/>
      <c r="AC20" s="392" t="n"/>
      <c r="AD20" s="388" t="n"/>
    </row>
    <row r="21">
      <c r="D21" s="1184" t="n"/>
      <c r="E21" s="392" t="n"/>
      <c r="F21" s="388" t="n"/>
      <c r="P21" s="1184" t="n"/>
      <c r="Q21" s="392" t="n"/>
      <c r="R21" s="388" t="n"/>
      <c r="AB21" s="1184" t="n"/>
      <c r="AC21" s="392" t="n"/>
      <c r="AD21" s="388" t="n"/>
    </row>
    <row r="22">
      <c r="D22" s="1184" t="n"/>
      <c r="E22" s="392" t="n"/>
      <c r="F22" s="388" t="n"/>
      <c r="P22" s="1184" t="n"/>
      <c r="Q22" s="392" t="n"/>
      <c r="R22" s="388" t="n"/>
      <c r="AB22" s="1184" t="n"/>
      <c r="AC22" s="392" t="n"/>
      <c r="AD22" s="388" t="n"/>
    </row>
    <row r="23">
      <c r="D23" s="1184" t="n"/>
      <c r="E23" s="392" t="n"/>
      <c r="F23" s="388" t="n"/>
      <c r="P23" s="1184" t="n"/>
      <c r="Q23" s="392" t="n"/>
      <c r="R23" s="388" t="n"/>
      <c r="AB23" s="1184" t="n"/>
      <c r="AC23" s="392" t="n"/>
      <c r="AD23" s="388" t="n"/>
    </row>
    <row r="24">
      <c r="D24" s="1184" t="n"/>
      <c r="E24" s="392" t="n"/>
      <c r="F24" s="388" t="n"/>
      <c r="P24" s="1184" t="n"/>
      <c r="Q24" s="392" t="n"/>
      <c r="R24" s="388" t="n"/>
      <c r="AB24" s="1184" t="n"/>
      <c r="AC24" s="392" t="n"/>
      <c r="AD24" s="388" t="n"/>
    </row>
    <row r="25">
      <c r="D25" s="1184" t="n"/>
      <c r="E25" s="392" t="n"/>
      <c r="F25" s="388" t="n"/>
      <c r="P25" s="1184" t="n"/>
      <c r="Q25" s="392" t="n"/>
      <c r="R25" s="388" t="n"/>
      <c r="AB25" s="1184" t="n"/>
      <c r="AC25" s="392" t="n"/>
      <c r="AD25" s="388" t="n"/>
    </row>
    <row r="26">
      <c r="D26" s="1184" t="n"/>
      <c r="E26" s="392" t="n"/>
      <c r="F26" s="388" t="n"/>
      <c r="P26" s="1184" t="n"/>
      <c r="Q26" s="392" t="n"/>
      <c r="R26" s="388" t="n"/>
      <c r="AB26" s="1184" t="n"/>
      <c r="AC26" s="392" t="n"/>
      <c r="AD26" s="388" t="n"/>
    </row>
    <row r="27">
      <c r="D27" s="1184" t="n"/>
      <c r="E27" s="392" t="n"/>
      <c r="F27" s="388" t="n"/>
      <c r="P27" s="1184" t="n"/>
      <c r="Q27" s="392" t="n"/>
      <c r="R27" s="388" t="n"/>
      <c r="AB27" s="1184" t="n"/>
      <c r="AC27" s="392" t="n"/>
      <c r="AD27" s="388" t="n"/>
    </row>
    <row r="28">
      <c r="D28" s="1184" t="n"/>
      <c r="E28" s="392" t="n"/>
      <c r="F28" s="388" t="n"/>
      <c r="P28" s="1184" t="n"/>
      <c r="Q28" s="392" t="n"/>
      <c r="R28" s="388" t="n"/>
      <c r="AB28" s="1184" t="n"/>
      <c r="AC28" s="392" t="n"/>
      <c r="AD28" s="388" t="n"/>
    </row>
    <row r="29">
      <c r="D29" s="1184" t="n"/>
      <c r="E29" s="392" t="n"/>
      <c r="F29" s="388" t="n"/>
      <c r="P29" s="1184" t="n"/>
      <c r="Q29" s="392" t="n"/>
      <c r="R29" s="388" t="n"/>
      <c r="AB29" s="1184" t="n"/>
      <c r="AC29" s="392" t="n"/>
      <c r="AD29" s="388" t="n"/>
    </row>
    <row r="30">
      <c r="D30" s="1184" t="n"/>
      <c r="E30" s="392" t="n"/>
      <c r="F30" s="388" t="n"/>
      <c r="P30" s="1184" t="n"/>
      <c r="Q30" s="392" t="n"/>
      <c r="R30" s="388" t="n"/>
      <c r="AB30" s="1184" t="n"/>
      <c r="AC30" s="392" t="n"/>
      <c r="AD30" s="388" t="n"/>
    </row>
    <row r="31">
      <c r="D31" s="1184" t="n"/>
      <c r="E31" s="392" t="n"/>
      <c r="F31" s="388" t="n"/>
      <c r="P31" s="1184" t="n"/>
      <c r="Q31" s="392" t="n"/>
      <c r="R31" s="388" t="n"/>
      <c r="AB31" s="1184" t="n"/>
      <c r="AC31" s="392" t="n"/>
      <c r="AD31" s="388" t="n"/>
    </row>
    <row r="32">
      <c r="D32" s="1184" t="n"/>
      <c r="E32" s="392" t="n"/>
      <c r="F32" s="388" t="n"/>
      <c r="P32" s="1184" t="n"/>
      <c r="Q32" s="392" t="n"/>
      <c r="R32" s="388" t="n"/>
      <c r="AB32" s="1184" t="n"/>
      <c r="AC32" s="392" t="n"/>
      <c r="AD32" s="388" t="n"/>
    </row>
    <row r="33">
      <c r="D33" s="1184" t="n"/>
      <c r="E33" s="392" t="n"/>
      <c r="F33" s="388" t="n"/>
      <c r="P33" s="1184" t="n"/>
      <c r="Q33" s="392" t="n"/>
      <c r="R33" s="388" t="n"/>
      <c r="AB33" s="1184" t="n"/>
      <c r="AC33" s="392" t="n"/>
      <c r="AD33" s="388" t="n"/>
    </row>
    <row r="34">
      <c r="D34" s="1184" t="n"/>
      <c r="E34" s="392" t="n"/>
      <c r="F34" s="388" t="n"/>
      <c r="P34" s="1184" t="n"/>
      <c r="Q34" s="392" t="n"/>
      <c r="R34" s="388" t="n"/>
      <c r="AB34" s="1184" t="n"/>
      <c r="AC34" s="392" t="n"/>
      <c r="AD34" s="388" t="n"/>
    </row>
    <row r="35">
      <c r="D35" s="1184" t="n"/>
      <c r="E35" s="392" t="n"/>
      <c r="F35" s="388" t="n"/>
      <c r="P35" s="1184" t="n"/>
      <c r="Q35" s="392" t="n"/>
      <c r="R35" s="388" t="n"/>
      <c r="AB35" s="1184" t="n"/>
      <c r="AC35" s="392" t="n"/>
      <c r="AD35" s="388" t="n"/>
    </row>
    <row r="36">
      <c r="D36" s="1184" t="n"/>
      <c r="E36" s="392" t="n"/>
      <c r="F36" s="388" t="n"/>
      <c r="P36" s="1184" t="n"/>
      <c r="Q36" s="392" t="n"/>
      <c r="R36" s="388" t="n"/>
      <c r="AB36" s="1184" t="n"/>
      <c r="AC36" s="392" t="n"/>
      <c r="AD36" s="388" t="n"/>
    </row>
    <row r="37">
      <c r="D37" s="1184" t="n"/>
      <c r="E37" s="392" t="n"/>
      <c r="F37" s="388" t="n"/>
      <c r="P37" s="1184" t="n"/>
      <c r="Q37" s="392" t="n"/>
      <c r="R37" s="388" t="n"/>
      <c r="AB37" s="1184" t="n"/>
      <c r="AC37" s="392" t="n"/>
      <c r="AD37" s="388" t="n"/>
    </row>
    <row r="38">
      <c r="D38" s="1184" t="n"/>
      <c r="E38" s="392" t="n"/>
      <c r="F38" s="388" t="n"/>
      <c r="P38" s="1184" t="n"/>
      <c r="Q38" s="392" t="n"/>
      <c r="R38" s="388" t="n"/>
      <c r="AB38" s="1184" t="n"/>
      <c r="AC38" s="392" t="n"/>
      <c r="AD38" s="388" t="n"/>
    </row>
    <row r="39">
      <c r="D39" s="1184" t="n"/>
      <c r="E39" s="392" t="n"/>
      <c r="F39" s="388" t="n"/>
      <c r="P39" s="1184" t="n"/>
      <c r="Q39" s="392" t="n"/>
      <c r="R39" s="388" t="n"/>
      <c r="AB39" s="1184" t="n"/>
      <c r="AC39" s="392" t="n"/>
      <c r="AD39" s="388" t="n"/>
    </row>
    <row r="40">
      <c r="D40" s="1184" t="n"/>
      <c r="E40" s="392" t="n"/>
      <c r="F40" s="388" t="n"/>
      <c r="P40" s="1184" t="n"/>
      <c r="Q40" s="392" t="n"/>
      <c r="R40" s="388" t="n"/>
      <c r="AB40" s="1184" t="n"/>
      <c r="AC40" s="392" t="n"/>
      <c r="AD40" s="388" t="n"/>
    </row>
    <row r="41">
      <c r="D41" s="1184" t="n"/>
      <c r="E41" s="392" t="n"/>
      <c r="F41" s="388" t="n"/>
      <c r="P41" s="1184" t="n"/>
      <c r="Q41" s="392" t="n"/>
      <c r="R41" s="388" t="n"/>
      <c r="AB41" s="1184" t="n"/>
      <c r="AC41" s="392" t="n"/>
      <c r="AD41" s="388" t="n"/>
    </row>
    <row r="42">
      <c r="D42" s="1184" t="n"/>
      <c r="E42" s="392" t="n"/>
      <c r="F42" s="388" t="n"/>
      <c r="P42" s="1184" t="n"/>
      <c r="Q42" s="392" t="n"/>
      <c r="R42" s="388" t="n"/>
      <c r="AB42" s="1184" t="n"/>
      <c r="AC42" s="392" t="n"/>
      <c r="AD42" s="388" t="n"/>
    </row>
    <row r="43">
      <c r="D43" s="1184" t="n"/>
      <c r="E43" s="392" t="n"/>
      <c r="F43" s="388" t="n"/>
      <c r="P43" s="1184" t="n"/>
      <c r="Q43" s="392" t="n"/>
      <c r="R43" s="388" t="n"/>
      <c r="AB43" s="1184" t="n"/>
      <c r="AC43" s="392" t="n"/>
      <c r="AD43" s="388" t="n"/>
    </row>
    <row r="44">
      <c r="D44" s="1184" t="n"/>
      <c r="E44" s="392" t="n"/>
      <c r="F44" s="388" t="n"/>
      <c r="P44" s="1184" t="n"/>
      <c r="Q44" s="392" t="n"/>
      <c r="R44" s="388" t="n"/>
      <c r="AB44" s="1184" t="n"/>
      <c r="AC44" s="392" t="n"/>
      <c r="AD44" s="388" t="n"/>
    </row>
    <row r="45">
      <c r="D45" s="1184" t="n"/>
      <c r="E45" s="392" t="n"/>
      <c r="F45" s="388" t="n"/>
      <c r="P45" s="1184" t="n"/>
      <c r="Q45" s="392" t="n"/>
      <c r="R45" s="388" t="n"/>
      <c r="AB45" s="1184" t="n"/>
      <c r="AC45" s="392" t="n"/>
      <c r="AD45" s="388" t="n"/>
    </row>
    <row r="46">
      <c r="D46" s="1184" t="n"/>
      <c r="E46" s="392" t="n"/>
      <c r="F46" s="388" t="n"/>
      <c r="P46" s="1184" t="n"/>
      <c r="Q46" s="392" t="n"/>
      <c r="R46" s="388" t="n"/>
      <c r="AB46" s="1184" t="n"/>
      <c r="AC46" s="392" t="n"/>
      <c r="AD46" s="388" t="n"/>
    </row>
    <row r="47">
      <c r="D47" s="1184" t="n"/>
      <c r="E47" s="392" t="n"/>
      <c r="F47" s="388" t="n"/>
      <c r="P47" s="1184" t="n"/>
      <c r="Q47" s="392" t="n"/>
      <c r="R47" s="388" t="n"/>
      <c r="AB47" s="1184" t="n"/>
      <c r="AC47" s="392" t="n"/>
      <c r="AD47" s="388" t="n"/>
    </row>
    <row r="48">
      <c r="D48" s="1184" t="n"/>
      <c r="E48" s="392" t="n"/>
      <c r="F48" s="388" t="n"/>
      <c r="P48" s="1184" t="n"/>
      <c r="Q48" s="392" t="n"/>
      <c r="R48" s="388" t="n"/>
      <c r="AB48" s="1184" t="n"/>
      <c r="AC48" s="392" t="n"/>
      <c r="AD48" s="388" t="n"/>
    </row>
    <row r="49">
      <c r="D49" s="1184" t="n"/>
      <c r="E49" s="392" t="n"/>
      <c r="F49" s="388" t="n"/>
      <c r="P49" s="1184" t="n"/>
      <c r="Q49" s="392" t="n"/>
      <c r="R49" s="388" t="n"/>
      <c r="AB49" s="1184" t="n"/>
      <c r="AC49" s="392" t="n"/>
      <c r="AD49" s="388" t="n"/>
    </row>
    <row r="50">
      <c r="D50" s="1184" t="n"/>
      <c r="E50" s="392" t="n"/>
      <c r="F50" s="388" t="n"/>
      <c r="P50" s="1184" t="n"/>
      <c r="Q50" s="392" t="n"/>
      <c r="R50" s="388" t="n"/>
      <c r="AB50" s="1184" t="n"/>
      <c r="AC50" s="392" t="n"/>
      <c r="AD50" s="388" t="n"/>
    </row>
    <row r="51">
      <c r="D51" s="1184" t="n"/>
      <c r="E51" s="392" t="n"/>
      <c r="F51" s="388" t="n"/>
      <c r="P51" s="1184" t="n"/>
      <c r="Q51" s="392" t="n"/>
      <c r="R51" s="388" t="n"/>
      <c r="AB51" s="1184" t="n"/>
      <c r="AC51" s="392" t="n"/>
      <c r="AD51" s="388" t="n"/>
    </row>
    <row r="52">
      <c r="D52" s="1184" t="n"/>
      <c r="E52" s="392" t="n"/>
      <c r="F52" s="388" t="n"/>
      <c r="P52" s="1184" t="n"/>
      <c r="Q52" s="392" t="n"/>
      <c r="R52" s="388" t="n"/>
      <c r="AB52" s="1184" t="n"/>
      <c r="AC52" s="392" t="n"/>
      <c r="AD52" s="388" t="n"/>
    </row>
    <row r="53">
      <c r="D53" s="1184" t="n"/>
      <c r="E53" s="392" t="n"/>
      <c r="F53" s="388" t="n"/>
      <c r="P53" s="1184" t="n"/>
      <c r="Q53" s="392" t="n"/>
      <c r="R53" s="388" t="n"/>
      <c r="AB53" s="1184" t="n"/>
      <c r="AC53" s="392" t="n"/>
      <c r="AD53" s="388" t="n"/>
    </row>
    <row r="54">
      <c r="D54" s="1184" t="n"/>
      <c r="E54" s="392" t="n"/>
      <c r="F54" s="388" t="n"/>
      <c r="P54" s="1184" t="n"/>
      <c r="Q54" s="392" t="n"/>
      <c r="R54" s="388" t="n"/>
      <c r="AB54" s="1184" t="n"/>
      <c r="AC54" s="392" t="n"/>
      <c r="AD54" s="388" t="n"/>
    </row>
    <row r="55">
      <c r="D55" s="1184" t="n"/>
      <c r="E55" s="392" t="n"/>
      <c r="F55" s="388" t="n"/>
      <c r="P55" s="1184" t="n"/>
      <c r="Q55" s="392" t="n"/>
      <c r="R55" s="388" t="n"/>
      <c r="AB55" s="1184" t="n"/>
      <c r="AC55" s="392" t="n"/>
      <c r="AD55" s="388" t="n"/>
    </row>
    <row r="56">
      <c r="D56" s="1184" t="n"/>
      <c r="E56" s="392" t="n"/>
      <c r="F56" s="388" t="n"/>
      <c r="P56" s="1184" t="n"/>
      <c r="Q56" s="392" t="n"/>
      <c r="R56" s="388" t="n"/>
      <c r="AB56" s="1184" t="n"/>
      <c r="AC56" s="392" t="n"/>
      <c r="AD56" s="388" t="n"/>
    </row>
    <row r="57">
      <c r="D57" s="1184" t="n"/>
      <c r="E57" s="392" t="n"/>
      <c r="F57" s="388" t="n"/>
      <c r="P57" s="1184" t="n"/>
      <c r="Q57" s="392" t="n"/>
      <c r="R57" s="388" t="n"/>
      <c r="AB57" s="1184" t="n"/>
      <c r="AC57" s="392" t="n"/>
      <c r="AD57" s="388" t="n"/>
    </row>
    <row r="58">
      <c r="D58" s="1184" t="n"/>
      <c r="E58" s="392" t="n"/>
      <c r="F58" s="388" t="n"/>
      <c r="P58" s="1184" t="n"/>
      <c r="Q58" s="392" t="n"/>
      <c r="R58" s="388" t="n"/>
      <c r="AB58" s="1184" t="n"/>
      <c r="AC58" s="392" t="n"/>
      <c r="AD58" s="388" t="n"/>
    </row>
    <row r="59">
      <c r="D59" s="1184" t="n"/>
      <c r="E59" s="392" t="n"/>
      <c r="F59" s="388" t="n"/>
      <c r="P59" s="1184" t="n"/>
      <c r="Q59" s="392" t="n"/>
      <c r="R59" s="388" t="n"/>
      <c r="AB59" s="1184" t="n"/>
      <c r="AC59" s="392" t="n"/>
      <c r="AD59" s="388" t="n"/>
    </row>
    <row r="60">
      <c r="D60" s="1184" t="n"/>
      <c r="E60" s="392" t="n"/>
      <c r="F60" s="388" t="n"/>
      <c r="P60" s="1184" t="n"/>
      <c r="Q60" s="392" t="n"/>
      <c r="R60" s="388" t="n"/>
      <c r="AB60" s="1184" t="n"/>
      <c r="AC60" s="392" t="n"/>
      <c r="AD60" s="388" t="n"/>
    </row>
    <row r="61">
      <c r="D61" s="1184" t="n"/>
      <c r="E61" s="392" t="n"/>
      <c r="F61" s="388" t="n"/>
      <c r="P61" s="1184" t="n"/>
      <c r="Q61" s="392" t="n"/>
      <c r="R61" s="388" t="n"/>
      <c r="AB61" s="1184" t="n"/>
      <c r="AC61" s="392" t="n"/>
      <c r="AD61" s="388" t="n"/>
    </row>
    <row r="62">
      <c r="D62" s="1184" t="n"/>
      <c r="E62" s="392" t="n"/>
      <c r="F62" s="388" t="n"/>
      <c r="P62" s="1184" t="n"/>
      <c r="Q62" s="392" t="n"/>
      <c r="R62" s="388" t="n"/>
      <c r="AB62" s="1184" t="n"/>
      <c r="AC62" s="392" t="n"/>
      <c r="AD62" s="388" t="n"/>
    </row>
    <row r="63">
      <c r="D63" s="1184" t="n"/>
      <c r="E63" s="392" t="n"/>
      <c r="F63" s="388" t="n"/>
      <c r="P63" s="1184" t="n"/>
      <c r="Q63" s="392" t="n"/>
      <c r="R63" s="388" t="n"/>
      <c r="AB63" s="1184" t="n"/>
      <c r="AC63" s="392" t="n"/>
      <c r="AD63" s="388" t="n"/>
    </row>
    <row r="64">
      <c r="D64" s="1184" t="n"/>
      <c r="E64" s="392" t="n"/>
      <c r="F64" s="388" t="n"/>
      <c r="P64" s="1184" t="n"/>
      <c r="Q64" s="392" t="n"/>
      <c r="R64" s="388" t="n"/>
      <c r="AB64" s="1184" t="n"/>
      <c r="AC64" s="392" t="n"/>
      <c r="AD64" s="388" t="n"/>
    </row>
    <row r="65">
      <c r="D65" s="1184" t="n"/>
      <c r="E65" s="392" t="n"/>
      <c r="F65" s="388" t="n"/>
      <c r="P65" s="1184" t="n"/>
      <c r="Q65" s="392" t="n"/>
      <c r="R65" s="388" t="n"/>
      <c r="AB65" s="1184" t="n"/>
      <c r="AC65" s="392" t="n"/>
      <c r="AD65" s="388" t="n"/>
    </row>
    <row r="66">
      <c r="D66" s="1184" t="n"/>
      <c r="E66" s="392" t="n"/>
      <c r="F66" s="388" t="n"/>
      <c r="P66" s="1184" t="n"/>
      <c r="Q66" s="392" t="n"/>
      <c r="R66" s="388" t="n"/>
      <c r="AB66" s="1184" t="n"/>
      <c r="AC66" s="392" t="n"/>
      <c r="AD66" s="388" t="n"/>
    </row>
    <row r="67">
      <c r="D67" s="1184" t="n"/>
      <c r="E67" s="392" t="n"/>
      <c r="F67" s="388" t="n"/>
      <c r="P67" s="1184" t="n"/>
      <c r="Q67" s="392" t="n"/>
      <c r="R67" s="388" t="n"/>
      <c r="AB67" s="1184" t="n"/>
      <c r="AC67" s="392" t="n"/>
      <c r="AD67" s="388" t="n"/>
    </row>
    <row r="68">
      <c r="D68" s="1184" t="n"/>
      <c r="E68" s="392" t="n"/>
      <c r="F68" s="388" t="n"/>
      <c r="P68" s="1184" t="n"/>
      <c r="Q68" s="392" t="n"/>
      <c r="R68" s="388" t="n"/>
      <c r="AB68" s="1184" t="n"/>
      <c r="AC68" s="392" t="n"/>
      <c r="AD68" s="388" t="n"/>
    </row>
    <row r="69">
      <c r="D69" s="1184" t="n"/>
      <c r="E69" s="392" t="n"/>
      <c r="F69" s="388" t="n"/>
      <c r="P69" s="1184" t="n"/>
      <c r="Q69" s="392" t="n"/>
      <c r="R69" s="388" t="n"/>
      <c r="AB69" s="1184" t="n"/>
      <c r="AC69" s="392" t="n"/>
      <c r="AD69" s="388" t="n"/>
    </row>
    <row r="70">
      <c r="D70" s="1184" t="n"/>
      <c r="E70" s="392" t="n"/>
      <c r="F70" s="388" t="n"/>
      <c r="P70" s="1184" t="n"/>
      <c r="Q70" s="392" t="n"/>
      <c r="R70" s="388" t="n"/>
      <c r="AB70" s="1184" t="n"/>
      <c r="AC70" s="392" t="n"/>
      <c r="AD70" s="388" t="n"/>
    </row>
    <row r="71">
      <c r="D71" s="1184" t="n"/>
      <c r="E71" s="392" t="n"/>
      <c r="F71" s="388" t="n"/>
      <c r="P71" s="1184" t="n"/>
      <c r="Q71" s="392" t="n"/>
      <c r="R71" s="388" t="n"/>
      <c r="AB71" s="1184" t="n"/>
      <c r="AC71" s="392" t="n"/>
      <c r="AD71" s="388" t="n"/>
    </row>
    <row r="72">
      <c r="D72" s="1184" t="n"/>
      <c r="E72" s="392" t="n"/>
      <c r="F72" s="388" t="n"/>
      <c r="P72" s="1184" t="n"/>
      <c r="Q72" s="392" t="n"/>
      <c r="R72" s="388" t="n"/>
      <c r="AB72" s="1184" t="n"/>
      <c r="AC72" s="392" t="n"/>
      <c r="AD72" s="388" t="n"/>
    </row>
    <row r="73">
      <c r="D73" s="1184" t="n"/>
      <c r="E73" s="392" t="n"/>
      <c r="F73" s="388" t="n"/>
      <c r="P73" s="1184" t="n"/>
      <c r="Q73" s="392" t="n"/>
      <c r="R73" s="388" t="n"/>
      <c r="AB73" s="1184" t="n"/>
      <c r="AC73" s="392" t="n"/>
      <c r="AD73" s="388" t="n"/>
    </row>
    <row r="74">
      <c r="D74" s="1184" t="n"/>
      <c r="E74" s="392" t="n"/>
      <c r="F74" s="388" t="n"/>
      <c r="P74" s="1184" t="n"/>
      <c r="Q74" s="392" t="n"/>
      <c r="R74" s="388" t="n"/>
      <c r="AB74" s="1184" t="n"/>
      <c r="AC74" s="392" t="n"/>
      <c r="AD74" s="388" t="n"/>
    </row>
    <row r="75">
      <c r="D75" s="1184" t="n"/>
      <c r="E75" s="392" t="n"/>
      <c r="F75" s="388" t="n"/>
      <c r="P75" s="1184" t="n"/>
      <c r="Q75" s="392" t="n"/>
      <c r="R75" s="388" t="n"/>
      <c r="AB75" s="1184" t="n"/>
      <c r="AC75" s="392" t="n"/>
      <c r="AD75" s="388" t="n"/>
    </row>
    <row r="76">
      <c r="D76" s="1184" t="n"/>
      <c r="E76" s="392" t="n"/>
      <c r="F76" s="388" t="n"/>
      <c r="P76" s="1184" t="n"/>
      <c r="Q76" s="392" t="n"/>
      <c r="R76" s="388" t="n"/>
      <c r="AB76" s="1184" t="n"/>
      <c r="AC76" s="392" t="n"/>
      <c r="AD76" s="388" t="n"/>
    </row>
    <row r="77">
      <c r="D77" s="1184" t="n"/>
      <c r="E77" s="392" t="n"/>
      <c r="F77" s="388" t="n"/>
      <c r="P77" s="1184" t="n"/>
      <c r="Q77" s="392" t="n"/>
      <c r="R77" s="388" t="n"/>
      <c r="AB77" s="1184" t="n"/>
      <c r="AC77" s="392" t="n"/>
      <c r="AD77" s="388" t="n"/>
    </row>
    <row r="78">
      <c r="D78" s="1184" t="n"/>
      <c r="E78" s="392" t="n"/>
      <c r="F78" s="388" t="n"/>
      <c r="P78" s="1184" t="n"/>
      <c r="Q78" s="392" t="n"/>
      <c r="R78" s="388" t="n"/>
      <c r="AB78" s="1184" t="n"/>
      <c r="AC78" s="392" t="n"/>
      <c r="AD78" s="388" t="n"/>
    </row>
    <row r="79">
      <c r="D79" s="1184" t="n"/>
      <c r="E79" s="392" t="n"/>
      <c r="F79" s="388" t="n"/>
      <c r="P79" s="1184" t="n"/>
      <c r="Q79" s="392" t="n"/>
      <c r="R79" s="388" t="n"/>
      <c r="AB79" s="1184" t="n"/>
      <c r="AC79" s="392" t="n"/>
      <c r="AD79" s="388" t="n"/>
    </row>
    <row r="80">
      <c r="D80" s="1184" t="n"/>
      <c r="E80" s="392" t="n"/>
      <c r="F80" s="388" t="n"/>
      <c r="P80" s="1184" t="n"/>
      <c r="Q80" s="392" t="n"/>
      <c r="R80" s="388" t="n"/>
      <c r="AB80" s="1184" t="n"/>
      <c r="AC80" s="392" t="n"/>
      <c r="AD80" s="388" t="n"/>
    </row>
    <row r="81">
      <c r="D81" s="1184" t="n"/>
      <c r="E81" s="392" t="n"/>
      <c r="F81" s="388" t="n"/>
      <c r="P81" s="1184" t="n"/>
      <c r="Q81" s="392" t="n"/>
      <c r="R81" s="388" t="n"/>
      <c r="AB81" s="1184" t="n"/>
      <c r="AC81" s="392" t="n"/>
      <c r="AD81" s="388" t="n"/>
    </row>
    <row r="82">
      <c r="D82" s="1184" t="n"/>
      <c r="E82" s="392" t="n"/>
      <c r="F82" s="388" t="n"/>
      <c r="P82" s="1184" t="n"/>
      <c r="Q82" s="392" t="n"/>
      <c r="R82" s="388" t="n"/>
      <c r="AB82" s="1184" t="n"/>
      <c r="AC82" s="392" t="n"/>
      <c r="AD82" s="388" t="n"/>
    </row>
    <row r="83">
      <c r="D83" s="1184" t="n"/>
      <c r="E83" s="392" t="n"/>
      <c r="F83" s="388" t="n"/>
      <c r="P83" s="1184" t="n"/>
      <c r="Q83" s="392" t="n"/>
      <c r="R83" s="388" t="n"/>
      <c r="AB83" s="1184" t="n"/>
      <c r="AC83" s="392" t="n"/>
      <c r="AD83" s="388" t="n"/>
    </row>
    <row r="84">
      <c r="D84" s="1184" t="n"/>
      <c r="E84" s="392" t="n"/>
      <c r="F84" s="388" t="n"/>
      <c r="P84" s="1184" t="n"/>
      <c r="Q84" s="392" t="n"/>
      <c r="R84" s="388" t="n"/>
      <c r="AB84" s="1184" t="n"/>
      <c r="AC84" s="392" t="n"/>
      <c r="AD84" s="388" t="n"/>
    </row>
    <row r="85">
      <c r="D85" s="1184" t="n"/>
      <c r="E85" s="392" t="n"/>
      <c r="F85" s="388" t="n"/>
      <c r="P85" s="1184" t="n"/>
      <c r="Q85" s="392" t="n"/>
      <c r="R85" s="388" t="n"/>
      <c r="AB85" s="1184" t="n"/>
      <c r="AC85" s="392" t="n"/>
      <c r="AD85" s="388" t="n"/>
    </row>
    <row r="86">
      <c r="D86" s="1184" t="n"/>
      <c r="E86" s="392" t="n"/>
      <c r="F86" s="388" t="n"/>
      <c r="P86" s="1184" t="n"/>
      <c r="Q86" s="392" t="n"/>
      <c r="R86" s="388" t="n"/>
      <c r="AB86" s="1184" t="n"/>
      <c r="AC86" s="392" t="n"/>
      <c r="AD86" s="388" t="n"/>
    </row>
    <row r="87">
      <c r="D87" s="1184" t="n"/>
      <c r="E87" s="392" t="n"/>
      <c r="F87" s="388" t="n"/>
      <c r="P87" s="1184" t="n"/>
      <c r="Q87" s="392" t="n"/>
      <c r="R87" s="388" t="n"/>
      <c r="AB87" s="1184" t="n"/>
      <c r="AC87" s="392" t="n"/>
      <c r="AD87" s="388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Centric Projects</dc:creator>
  <dcterms:created xmlns:dcterms="http://purl.org/dc/terms/" xmlns:xsi="http://www.w3.org/2001/XMLSchema-instance" xsi:type="dcterms:W3CDTF">2012-10-11T19:52:41Z</dcterms:created>
  <dcterms:modified xmlns:dcterms="http://purl.org/dc/terms/" xmlns:xsi="http://www.w3.org/2001/XMLSchema-instance" xsi:type="dcterms:W3CDTF">2026-08-25T16:25:39Z</dcterms:modified>
  <cp:lastModifiedBy>Hanz Uriel de la Cruz</cp:lastModifiedBy>
  <cp:lastPrinted>2019-03-25T16:39:46Z</cp:lastPrinted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ba57d591-cc02-458b-be32-e8b3b4e37a17</vt:lpwstr>
  </property>
</Properties>
</file>