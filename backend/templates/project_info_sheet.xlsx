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80" yWindow="500" windowWidth="30120" windowHeight="20000" tabRatio="500" firstSheet="0" activeTab="0" autoFilterDateGrouping="1"/>
  </bookViews>
  <sheets>
    <sheet xmlns:r="http://schemas.openxmlformats.org/officeDocument/2006/relationships" name="Info Sheet" sheetId="1" state="visible" r:id="rId1"/>
    <sheet xmlns:r="http://schemas.openxmlformats.org/officeDocument/2006/relationships" name="SOV" sheetId="2" state="visible" r:id="rId2"/>
    <sheet xmlns:r="http://schemas.openxmlformats.org/officeDocument/2006/relationships" name="Foundation Import" sheetId="3" state="visible" r:id="rId3"/>
    <sheet xmlns:r="http://schemas.openxmlformats.org/officeDocument/2006/relationships" name="Invoice" sheetId="4" state="visible" r:id="rId4"/>
    <sheet xmlns:r="http://schemas.openxmlformats.org/officeDocument/2006/relationships" name="Deposit" sheetId="5" state="visible" r:id="rId5"/>
    <sheet xmlns:r="http://schemas.openxmlformats.org/officeDocument/2006/relationships" name="Lists" sheetId="6" state="hidden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allow">[1]Pricing!$T$86</definedName>
    <definedName name="carpet">[1]Pricing!$T$604</definedName>
    <definedName name="caulking">[1]Pricing!$T$477</definedName>
    <definedName name="ccont">[2]Cover!$K$21</definedName>
    <definedName name="conveying">[1]Pricing!$T$769</definedName>
    <definedName name="COSTOFWORK">[3]Summary!$D$57</definedName>
    <definedName name="dcont">[2]Cover!$K$20</definedName>
    <definedName name="demo">[1]Pricing!$T$113</definedName>
    <definedName name="drywall">[1]Pricing!$T$581</definedName>
    <definedName name="elec">[1]Pricing!$T$861</definedName>
    <definedName name="equipment">[1]Pricing!$T$713</definedName>
    <definedName name="fee">[1]Cover!$F$25</definedName>
    <definedName name="finalclean">[1]Pricing!$T$68</definedName>
    <definedName name="fireprotect">[1]Pricing!$T$787</definedName>
    <definedName name="flatwork">[1]Pricing!$T$288</definedName>
    <definedName name="foundations">[1]Pricing!$T$268</definedName>
    <definedName name="furnishings">[1]Pricing!$T$731</definedName>
    <definedName name="glass">[1]Pricing!$T$531</definedName>
    <definedName name="hmdoorshdw">[1]Pricing!$T$506</definedName>
    <definedName name="hvac">[1]Pricing!$T$836</definedName>
    <definedName name="landscape">[1]Pricing!$T$242</definedName>
    <definedName name="masonry">[1]Pricing!$T$350</definedName>
    <definedName name="millwork">[1]Pricing!$T$416</definedName>
    <definedName name="PAGE2">#REF!</definedName>
    <definedName name="paint">[1]Pricing!$T$667</definedName>
    <definedName name="pctiltup">[1]Pricing!$T$325</definedName>
    <definedName name="permits">[1]Pricing!$T$40</definedName>
    <definedName name="piers">[1]Pricing!$T$223</definedName>
    <definedName name="plumb">[1]Pricing!$T$812</definedName>
    <definedName name="rcarp">[1]Pricing!$T$392</definedName>
    <definedName name="rebar">[1]Pricing!$T$307</definedName>
    <definedName name="roofing">[1]Pricing!$T$438</definedName>
    <definedName name="sheetmetal">[1]Pricing!$T$459</definedName>
    <definedName name="siteconc">[1]Pricing!$T$182</definedName>
    <definedName name="siteimprovements">[1]Pricing!$T$205</definedName>
    <definedName name="sitework">[1]Pricing!$T$139</definedName>
    <definedName name="specconst">[1]Pricing!$T$749</definedName>
    <definedName name="specialdoors">[1]Pricing!$T$549</definedName>
    <definedName name="specialties">[1]Pricing!$T$695</definedName>
    <definedName name="steel">[1]Pricing!$T$370</definedName>
    <definedName name="tgasqft">'[3]Building Area'!$H$47</definedName>
    <definedName name="tile">[1]Pricing!$T$622</definedName>
    <definedName name="units">'[3]Building Area'!$I$42</definedName>
    <definedName name="utilities">[1]Pricing!$T$163</definedName>
    <definedName name="MarketList">'Lists'!$A$4:$A$22</definedName>
    <definedName name="FloorList">'Lists'!$B$4:$B$14</definedName>
    <definedName name="StateList">'Lists'!$C$4:$C$10</definedName>
    <definedName name="TermsList">'Lists'!$D$4:$D$6</definedName>
    <definedName name="LeadSourceList">'Lists'!$E$4:$E$12</definedName>
    <definedName name="YNList">'Lists'!$F$4:$F$5</definedName>
    <definedName name="_xlnm.Print_Area" localSheetId="3">'Invoice'!$A$1:$H$35</definedName>
    <definedName name="_xlnm.Print_Area" localSheetId="4">'Deposit'!$A$1:$H$28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_(&quot;$&quot;* #,##0.00_);_(&quot;$&quot;* \(#,##0.00\);_(&quot;$&quot;* &quot;-&quot;??_);_(@_)"/>
    <numFmt numFmtId="166" formatCode="_(* #,##0_);_(* \(#,##0\);_(* &quot;-&quot;??_);_(@_)"/>
    <numFmt numFmtId="167" formatCode="&quot;$&quot;#,##0.00_);[Red]\(&quot;$&quot;#,##0.00\)"/>
    <numFmt numFmtId="168" formatCode="&quot;$&quot;#,##0.00_);\(&quot;$&quot;#,##0.00\)"/>
    <numFmt numFmtId="169" formatCode="0.0%"/>
    <numFmt numFmtId="170" formatCode="\$#,##0.00"/>
  </numFmts>
  <fonts count="53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sz val="8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b val="1"/>
      <color theme="1"/>
      <sz val="12"/>
      <u val="single"/>
      <scheme val="minor"/>
    </font>
    <font>
      <name val="Calibri"/>
      <charset val="238"/>
      <family val="2"/>
      <color rgb="FF000000"/>
      <sz val="9"/>
    </font>
    <font>
      <name val="Helvetica Neue"/>
      <family val="2"/>
      <color rgb="FF222222"/>
      <sz val="12"/>
    </font>
    <font>
      <name val="Calibri"/>
      <family val="2"/>
      <i val="1"/>
      <color theme="1"/>
      <sz val="12"/>
      <scheme val="minor"/>
    </font>
    <font>
      <name val="Calibri (Body)"/>
      <color theme="1"/>
      <sz val="10"/>
    </font>
    <font>
      <name val="Calibri (Body)"/>
      <color theme="1"/>
      <sz val="11"/>
    </font>
    <font>
      <name val="Calibri"/>
      <family val="2"/>
      <i val="1"/>
      <color rgb="FFFF0000"/>
      <sz val="14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b val="1"/>
      <i val="1"/>
      <color theme="1"/>
      <sz val="12"/>
      <u val="single"/>
      <scheme val="minor"/>
    </font>
    <font>
      <name val="Calibri (Body)"/>
      <b val="1"/>
      <i val="1"/>
      <color theme="1"/>
      <sz val="12"/>
    </font>
    <font>
      <name val="Calibri"/>
      <family val="2"/>
      <i val="1"/>
      <color theme="1"/>
      <sz val="11"/>
      <scheme val="minor"/>
    </font>
    <font>
      <name val="Calibri"/>
      <family val="2"/>
      <i val="1"/>
      <color theme="1"/>
      <sz val="12"/>
      <u val="single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i val="1"/>
      <color rgb="FFFF0000"/>
      <sz val="14"/>
      <u val="single"/>
      <scheme val="minor"/>
    </font>
    <font>
      <name val="SWISS"/>
      <sz val="8"/>
    </font>
    <font>
      <name val="Arial"/>
      <family val="2"/>
      <sz val="10"/>
    </font>
    <font>
      <name val="Helvetica Neue"/>
      <family val="2"/>
      <sz val="8"/>
    </font>
    <font>
      <name val="Helvetica Neue"/>
      <family val="2"/>
      <sz val="12"/>
    </font>
    <font>
      <name val="Helvetica Neue"/>
      <family val="2"/>
      <color rgb="FF000000"/>
      <sz val="8"/>
    </font>
    <font>
      <name val="Helvetica Neue"/>
      <family val="2"/>
      <b val="1"/>
      <color rgb="FF000000"/>
      <sz val="10"/>
    </font>
    <font>
      <name val="Helvetica Neue"/>
      <family val="2"/>
      <b val="1"/>
      <color rgb="FF000000"/>
      <sz val="8"/>
    </font>
    <font>
      <name val="Helvetica Neue"/>
      <family val="2"/>
      <color rgb="FF000000"/>
      <sz val="10"/>
    </font>
    <font>
      <name val="Helvetica Neue"/>
      <family val="2"/>
      <color rgb="FF000000"/>
      <sz val="12"/>
    </font>
    <font>
      <name val="Helvetica Neue"/>
      <family val="2"/>
      <b val="1"/>
      <color rgb="FFFF0000"/>
      <sz val="12"/>
    </font>
    <font>
      <name val="Helvetica Neue"/>
      <family val="2"/>
      <color rgb="FFFF0000"/>
      <sz val="12"/>
    </font>
    <font>
      <name val="Helvetica Neue"/>
      <family val="2"/>
      <color rgb="FFFF0000"/>
      <sz val="8"/>
    </font>
    <font>
      <name val="Helvetica Neue"/>
      <family val="2"/>
      <b val="1"/>
      <color rgb="FF000000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b val="1"/>
      <i val="1"/>
      <color rgb="FFFF0000"/>
      <sz val="14"/>
      <scheme val="minor"/>
    </font>
    <font>
      <name val="Calibri"/>
      <charset val="1"/>
      <family val="2"/>
      <color theme="1"/>
      <sz val="11"/>
    </font>
    <font>
      <name val="Calibri"/>
      <charset val="1"/>
      <family val="2"/>
      <color theme="1"/>
      <sz val="16"/>
    </font>
    <font>
      <name val="Calibri"/>
      <charset val="1"/>
      <family val="2"/>
      <color theme="1"/>
      <sz val="14"/>
    </font>
    <font>
      <name val="Arial"/>
      <family val="2"/>
      <b val="1"/>
      <color rgb="FFC00000"/>
      <sz val="28"/>
    </font>
    <font>
      <name val="Arial"/>
      <family val="2"/>
      <b val="1"/>
      <color rgb="FFCC2222"/>
      <sz val="16"/>
    </font>
    <font>
      <name val="Arial"/>
      <family val="2"/>
      <b val="1"/>
      <color rgb="FF1A1A1A"/>
      <sz val="14"/>
    </font>
    <font>
      <name val="Arial"/>
      <family val="2"/>
      <color rgb="FF1A1A1A"/>
      <sz val="14"/>
    </font>
    <font>
      <name val="Arial"/>
      <family val="2"/>
      <color rgb="FF666666"/>
      <sz val="14"/>
    </font>
    <font>
      <name val="Arial"/>
      <family val="2"/>
      <b val="1"/>
      <color rgb="FF1A1A1A"/>
      <sz val="16"/>
    </font>
    <font>
      <name val="Arial"/>
      <family val="2"/>
      <color rgb="FFAAAAAA"/>
      <sz val="16"/>
    </font>
    <font>
      <name val="Arial"/>
      <family val="2"/>
      <color rgb="FF1A1A1A"/>
      <sz val="16"/>
    </font>
    <font>
      <name val="Arial"/>
      <family val="2"/>
      <b val="1"/>
      <color rgb="FFFFFFFF"/>
      <sz val="16"/>
    </font>
    <font>
      <name val="Arial"/>
      <family val="2"/>
      <color rgb="FFC00000"/>
      <sz val="16"/>
    </font>
    <font>
      <name val="Arial"/>
      <family val="2"/>
      <i val="1"/>
      <color rgb="FF666666"/>
      <sz val="12"/>
    </font>
    <font>
      <name val="Calibri"/>
      <family val="2"/>
      <b val="1"/>
      <color rgb="FFFF0000"/>
      <sz val="14"/>
    </font>
    <font>
      <name val="Calibri"/>
      <family val="2"/>
      <color rgb="FFFF0000"/>
      <sz val="14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EBF0FA"/>
        <bgColor rgb="FFF5F5F5"/>
      </patternFill>
    </fill>
    <fill>
      <patternFill patternType="solid">
        <fgColor rgb="FFC00000"/>
        <bgColor rgb="FF3366FF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BF0FA"/>
      </patternFill>
    </fill>
    <fill>
      <patternFill patternType="solid">
        <fgColor theme="0" tint="-0.0499893185216834"/>
        <bgColor rgb="FFF5F5F5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medium">
        <color rgb="FF1A1A1A"/>
      </top>
      <bottom style="medium">
        <color rgb="FF1A1A1A"/>
      </bottom>
      <diagonal/>
    </border>
    <border>
      <left/>
      <right/>
      <top style="medium">
        <color rgb="FF1A1A1A"/>
      </top>
      <bottom/>
      <diagonal/>
    </border>
    <border>
      <left/>
      <right/>
      <top style="thin">
        <color rgb="FFE0E0E0"/>
      </top>
      <bottom/>
      <diagonal/>
    </border>
  </borders>
  <cellStyleXfs count="11">
    <xf numFmtId="0" fontId="1" fillId="0" borderId="0"/>
    <xf numFmtId="0" fontId="5" fillId="0" borderId="0"/>
    <xf numFmtId="0" fontId="6" fillId="0" borderId="0"/>
    <xf numFmtId="44" fontId="1" fillId="0" borderId="0"/>
    <xf numFmtId="43" fontId="1" fillId="0" borderId="0"/>
    <xf numFmtId="9" fontId="1" fillId="0" borderId="0"/>
    <xf numFmtId="0" fontId="21" fillId="0" borderId="0"/>
    <xf numFmtId="43" fontId="22" fillId="0" borderId="0"/>
    <xf numFmtId="9" fontId="22" fillId="0" borderId="0"/>
    <xf numFmtId="0" fontId="22" fillId="0" borderId="0"/>
    <xf numFmtId="0" fontId="37" fillId="0" borderId="0"/>
  </cellStyleXfs>
  <cellXfs count="213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top"/>
    </xf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vertical="top"/>
    </xf>
    <xf numFmtId="0" fontId="0" fillId="0" borderId="0" pivotButton="0" quotePrefix="1" xfId="0"/>
    <xf numFmtId="0" fontId="7" fillId="0" borderId="0" pivotButton="0" quotePrefix="0" xfId="0"/>
    <xf numFmtId="49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 vertical="top"/>
    </xf>
    <xf numFmtId="0" fontId="9" fillId="0" borderId="0" pivotButton="0" quotePrefix="0" xfId="0"/>
    <xf numFmtId="49" fontId="0" fillId="0" borderId="0" applyAlignment="1" pivotButton="0" quotePrefix="0" xfId="0">
      <alignment horizontal="right"/>
    </xf>
    <xf numFmtId="165" fontId="0" fillId="0" borderId="0" pivotButton="0" quotePrefix="0" xfId="0"/>
    <xf numFmtId="0" fontId="2" fillId="0" borderId="0" applyAlignment="1" pivotButton="0" quotePrefix="0" xfId="0">
      <alignment vertical="top"/>
    </xf>
    <xf numFmtId="43" fontId="0" fillId="0" borderId="0" pivotButton="0" quotePrefix="0" xfId="51"/>
    <xf numFmtId="0" fontId="10" fillId="0" borderId="0" applyAlignment="1" pivotButton="0" quotePrefix="0" xfId="0">
      <alignment horizontal="left" vertical="top"/>
    </xf>
    <xf numFmtId="166" fontId="0" fillId="0" borderId="0" applyAlignment="1" pivotButton="0" quotePrefix="0" xfId="51">
      <alignment vertical="top"/>
    </xf>
    <xf numFmtId="0" fontId="0" fillId="3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vertical="top"/>
    </xf>
    <xf numFmtId="0" fontId="0" fillId="5" borderId="0" pivotButton="0" quotePrefix="0" xfId="0"/>
    <xf numFmtId="0" fontId="0" fillId="6" borderId="0" pivotButton="0" quotePrefix="0" xfId="0"/>
    <xf numFmtId="0" fontId="2" fillId="6" borderId="0" pivotButton="0" quotePrefix="0" xfId="0"/>
    <xf numFmtId="0" fontId="0" fillId="7" borderId="0" pivotButton="0" quotePrefix="0" xfId="0"/>
    <xf numFmtId="0" fontId="0" fillId="4" borderId="0" pivotButton="0" quotePrefix="0" xfId="0"/>
    <xf numFmtId="0" fontId="2" fillId="7" borderId="0" pivotButton="0" quotePrefix="0" xfId="0"/>
    <xf numFmtId="0" fontId="5" fillId="0" borderId="0" applyAlignment="1" pivotButton="0" quotePrefix="0" xfId="52">
      <alignment vertical="top"/>
    </xf>
    <xf numFmtId="164" fontId="0" fillId="0" borderId="0" applyAlignment="1" pivotButton="0" quotePrefix="0" xfId="0">
      <alignment horizontal="right"/>
    </xf>
    <xf numFmtId="167" fontId="0" fillId="0" borderId="0" pivotButton="0" quotePrefix="0" xfId="42"/>
    <xf numFmtId="0" fontId="10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/>
    </xf>
    <xf numFmtId="2" fontId="0" fillId="0" borderId="0" pivotButton="0" quotePrefix="0" xfId="51"/>
    <xf numFmtId="164" fontId="15" fillId="9" borderId="1" applyAlignment="1" pivotButton="0" quotePrefix="0" xfId="0">
      <alignment vertical="top"/>
    </xf>
    <xf numFmtId="164" fontId="14" fillId="9" borderId="1" applyAlignment="1" pivotButton="0" quotePrefix="0" xfId="0">
      <alignment vertical="top"/>
    </xf>
    <xf numFmtId="0" fontId="2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left" vertical="top"/>
    </xf>
    <xf numFmtId="0" fontId="10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/>
    </xf>
    <xf numFmtId="0" fontId="23" fillId="0" borderId="0" pivotButton="0" quotePrefix="0" xfId="54"/>
    <xf numFmtId="0" fontId="24" fillId="0" borderId="2" pivotButton="0" quotePrefix="0" xfId="57"/>
    <xf numFmtId="167" fontId="24" fillId="0" borderId="2" pivotButton="0" quotePrefix="0" xfId="54"/>
    <xf numFmtId="0" fontId="24" fillId="0" borderId="2" pivotButton="0" quotePrefix="0" xfId="54"/>
    <xf numFmtId="49" fontId="27" fillId="0" borderId="7" applyAlignment="1" pivotButton="0" quotePrefix="0" xfId="54">
      <alignment horizontal="center"/>
    </xf>
    <xf numFmtId="0" fontId="27" fillId="0" borderId="8" applyAlignment="1" pivotButton="0" quotePrefix="0" xfId="54">
      <alignment horizontal="center"/>
    </xf>
    <xf numFmtId="168" fontId="27" fillId="0" borderId="8" applyAlignment="1" pivotButton="0" quotePrefix="0" xfId="54">
      <alignment horizontal="center"/>
    </xf>
    <xf numFmtId="168" fontId="27" fillId="0" borderId="9" applyAlignment="1" pivotButton="0" quotePrefix="0" xfId="54">
      <alignment horizontal="center"/>
    </xf>
    <xf numFmtId="168" fontId="27" fillId="0" borderId="2" applyAlignment="1" pivotButton="0" quotePrefix="0" xfId="54">
      <alignment horizontal="center"/>
    </xf>
    <xf numFmtId="168" fontId="27" fillId="0" borderId="10" applyAlignment="1" pivotButton="0" quotePrefix="0" xfId="54">
      <alignment horizontal="center"/>
    </xf>
    <xf numFmtId="0" fontId="27" fillId="0" borderId="9" applyAlignment="1" pivotButton="0" quotePrefix="0" xfId="54">
      <alignment horizontal="center"/>
    </xf>
    <xf numFmtId="10" fontId="27" fillId="0" borderId="8" applyAlignment="1" pivotButton="0" quotePrefix="0" xfId="54">
      <alignment horizontal="center"/>
    </xf>
    <xf numFmtId="0" fontId="27" fillId="0" borderId="7" applyAlignment="1" pivotButton="0" quotePrefix="0" xfId="54">
      <alignment horizontal="center"/>
    </xf>
    <xf numFmtId="49" fontId="28" fillId="0" borderId="11" applyAlignment="1" pivotButton="0" quotePrefix="0" xfId="54">
      <alignment horizontal="center"/>
    </xf>
    <xf numFmtId="0" fontId="28" fillId="0" borderId="12" applyAlignment="1" pivotButton="0" quotePrefix="0" xfId="54">
      <alignment horizontal="center"/>
    </xf>
    <xf numFmtId="168" fontId="28" fillId="0" borderId="12" applyAlignment="1" pivotButton="0" quotePrefix="0" xfId="54">
      <alignment horizontal="center"/>
    </xf>
    <xf numFmtId="168" fontId="28" fillId="0" borderId="13" applyAlignment="1" pivotButton="0" quotePrefix="0" xfId="54">
      <alignment horizontal="center"/>
    </xf>
    <xf numFmtId="168" fontId="28" fillId="0" borderId="3" applyAlignment="1" pivotButton="0" quotePrefix="0" xfId="54">
      <alignment horizontal="center"/>
    </xf>
    <xf numFmtId="168" fontId="28" fillId="0" borderId="4" applyAlignment="1" pivotButton="0" quotePrefix="0" xfId="54">
      <alignment horizontal="centerContinuous"/>
    </xf>
    <xf numFmtId="168" fontId="28" fillId="0" borderId="5" applyAlignment="1" pivotButton="0" quotePrefix="0" xfId="54">
      <alignment horizontal="centerContinuous"/>
    </xf>
    <xf numFmtId="10" fontId="28" fillId="0" borderId="12" applyAlignment="1" pivotButton="0" quotePrefix="0" xfId="54">
      <alignment horizontal="center"/>
    </xf>
    <xf numFmtId="0" fontId="28" fillId="0" borderId="14" applyAlignment="1" pivotButton="0" quotePrefix="0" xfId="54">
      <alignment horizontal="center"/>
    </xf>
    <xf numFmtId="0" fontId="28" fillId="0" borderId="12" pivotButton="0" quotePrefix="0" xfId="54"/>
    <xf numFmtId="0" fontId="28" fillId="0" borderId="11" pivotButton="0" quotePrefix="0" xfId="54"/>
    <xf numFmtId="168" fontId="28" fillId="0" borderId="12" pivotButton="0" quotePrefix="0" xfId="54"/>
    <xf numFmtId="9" fontId="28" fillId="0" borderId="11" applyAlignment="1" pivotButton="0" quotePrefix="0" xfId="54">
      <alignment horizontal="center"/>
    </xf>
    <xf numFmtId="49" fontId="25" fillId="0" borderId="11" applyAlignment="1" pivotButton="0" quotePrefix="0" xfId="54">
      <alignment horizontal="center"/>
    </xf>
    <xf numFmtId="0" fontId="25" fillId="0" borderId="12" pivotButton="0" quotePrefix="0" xfId="54"/>
    <xf numFmtId="168" fontId="25" fillId="0" borderId="12" pivotButton="0" quotePrefix="0" xfId="54"/>
    <xf numFmtId="168" fontId="25" fillId="0" borderId="12" applyAlignment="1" pivotButton="0" quotePrefix="0" xfId="54">
      <alignment horizontal="center"/>
    </xf>
    <xf numFmtId="0" fontId="25" fillId="0" borderId="12" applyAlignment="1" pivotButton="0" quotePrefix="0" xfId="54">
      <alignment horizontal="center"/>
    </xf>
    <xf numFmtId="10" fontId="25" fillId="0" borderId="12" pivotButton="0" quotePrefix="0" xfId="54"/>
    <xf numFmtId="0" fontId="25" fillId="0" borderId="11" pivotButton="0" quotePrefix="0" xfId="54"/>
    <xf numFmtId="49" fontId="28" fillId="0" borderId="15" applyAlignment="1" pivotButton="0" quotePrefix="1" xfId="54">
      <alignment horizontal="center"/>
    </xf>
    <xf numFmtId="0" fontId="26" fillId="0" borderId="16" pivotButton="0" quotePrefix="0" xfId="54"/>
    <xf numFmtId="166" fontId="28" fillId="0" borderId="16" applyAlignment="1" pivotButton="0" quotePrefix="0" xfId="55">
      <alignment horizontal="right"/>
    </xf>
    <xf numFmtId="168" fontId="28" fillId="0" borderId="16" pivotButton="0" quotePrefix="0" xfId="54"/>
    <xf numFmtId="0" fontId="28" fillId="0" borderId="16" applyAlignment="1" pivotButton="0" quotePrefix="0" xfId="54">
      <alignment horizontal="center"/>
    </xf>
    <xf numFmtId="10" fontId="28" fillId="0" borderId="16" pivotButton="0" quotePrefix="0" xfId="54"/>
    <xf numFmtId="0" fontId="28" fillId="0" borderId="16" pivotButton="0" quotePrefix="0" xfId="54"/>
    <xf numFmtId="0" fontId="28" fillId="0" borderId="17" pivotButton="0" quotePrefix="0" xfId="54"/>
    <xf numFmtId="49" fontId="29" fillId="0" borderId="14" applyAlignment="1" pivotButton="0" quotePrefix="0" xfId="54">
      <alignment horizontal="center"/>
    </xf>
    <xf numFmtId="0" fontId="29" fillId="0" borderId="18" pivotButton="0" quotePrefix="0" xfId="54"/>
    <xf numFmtId="167" fontId="24" fillId="0" borderId="14" pivotButton="0" quotePrefix="0" xfId="54"/>
    <xf numFmtId="167" fontId="24" fillId="0" borderId="7" pivotButton="0" quotePrefix="0" xfId="54"/>
    <xf numFmtId="167" fontId="30" fillId="0" borderId="6" pivotButton="0" quotePrefix="0" xfId="54"/>
    <xf numFmtId="167" fontId="29" fillId="0" borderId="19" pivotButton="0" quotePrefix="0" xfId="54"/>
    <xf numFmtId="167" fontId="30" fillId="0" borderId="14" pivotButton="0" quotePrefix="0" xfId="54"/>
    <xf numFmtId="167" fontId="29" fillId="0" borderId="14" pivotButton="0" quotePrefix="0" xfId="54"/>
    <xf numFmtId="169" fontId="29" fillId="0" borderId="14" pivotButton="0" quotePrefix="0" xfId="56"/>
    <xf numFmtId="167" fontId="30" fillId="0" borderId="7" pivotButton="0" quotePrefix="0" xfId="54"/>
    <xf numFmtId="49" fontId="29" fillId="0" borderId="2" applyAlignment="1" pivotButton="0" quotePrefix="0" xfId="54">
      <alignment horizontal="center"/>
    </xf>
    <xf numFmtId="167" fontId="24" fillId="10" borderId="2" pivotButton="0" quotePrefix="0" xfId="54"/>
    <xf numFmtId="167" fontId="24" fillId="0" borderId="8" pivotButton="0" quotePrefix="0" xfId="54"/>
    <xf numFmtId="167" fontId="24" fillId="0" borderId="20" pivotButton="0" quotePrefix="0" xfId="54"/>
    <xf numFmtId="49" fontId="29" fillId="0" borderId="2" applyAlignment="1" pivotButton="0" quotePrefix="0" xfId="54">
      <alignment horizontal="left"/>
    </xf>
    <xf numFmtId="167" fontId="30" fillId="0" borderId="2" pivotButton="0" quotePrefix="0" xfId="54"/>
    <xf numFmtId="167" fontId="29" fillId="0" borderId="21" pivotButton="0" quotePrefix="0" xfId="54"/>
    <xf numFmtId="167" fontId="31" fillId="0" borderId="2" pivotButton="0" quotePrefix="0" xfId="54"/>
    <xf numFmtId="167" fontId="29" fillId="0" borderId="8" pivotButton="0" quotePrefix="0" xfId="54"/>
    <xf numFmtId="167" fontId="29" fillId="0" borderId="7" pivotButton="0" quotePrefix="0" xfId="54"/>
    <xf numFmtId="169" fontId="29" fillId="0" borderId="7" pivotButton="0" quotePrefix="0" xfId="56"/>
    <xf numFmtId="49" fontId="29" fillId="0" borderId="0" applyAlignment="1" pivotButton="0" quotePrefix="0" xfId="54">
      <alignment horizontal="center"/>
    </xf>
    <xf numFmtId="167" fontId="32" fillId="0" borderId="0" pivotButton="0" quotePrefix="0" xfId="54"/>
    <xf numFmtId="167" fontId="29" fillId="0" borderId="0" pivotButton="0" quotePrefix="0" xfId="54"/>
    <xf numFmtId="167" fontId="30" fillId="0" borderId="0" pivotButton="0" quotePrefix="0" xfId="54"/>
    <xf numFmtId="169" fontId="29" fillId="0" borderId="0" pivotButton="0" quotePrefix="0" xfId="56"/>
    <xf numFmtId="49" fontId="29" fillId="0" borderId="22" applyAlignment="1" pivotButton="0" quotePrefix="0" xfId="54">
      <alignment horizontal="center"/>
    </xf>
    <xf numFmtId="49" fontId="29" fillId="0" borderId="22" applyAlignment="1" pivotButton="0" quotePrefix="0" xfId="54">
      <alignment horizontal="left"/>
    </xf>
    <xf numFmtId="167" fontId="33" fillId="0" borderId="23" pivotButton="0" quotePrefix="0" xfId="54"/>
    <xf numFmtId="0" fontId="0" fillId="0" borderId="0" applyAlignment="1" pivotButton="0" quotePrefix="0" xfId="51">
      <alignment horizontal="right"/>
    </xf>
    <xf numFmtId="0" fontId="0" fillId="0" borderId="0" applyAlignment="1" pivotButton="0" quotePrefix="0" xfId="0">
      <alignment horizontal="right"/>
    </xf>
    <xf numFmtId="167" fontId="2" fillId="0" borderId="0" pivotButton="0" quotePrefix="0" xfId="42"/>
    <xf numFmtId="0" fontId="10" fillId="11" borderId="0" pivotButton="0" quotePrefix="0" xfId="0"/>
    <xf numFmtId="166" fontId="0" fillId="11" borderId="0" applyAlignment="1" pivotButton="0" quotePrefix="0" xfId="51">
      <alignment vertical="top"/>
    </xf>
    <xf numFmtId="0" fontId="0" fillId="11" borderId="0" applyAlignment="1" pivotButton="0" quotePrefix="0" xfId="0">
      <alignment vertical="top"/>
    </xf>
    <xf numFmtId="0" fontId="0" fillId="11" borderId="0" pivotButton="0" quotePrefix="0" xfId="0"/>
    <xf numFmtId="0" fontId="2" fillId="2" borderId="0" applyAlignment="1" pivotButton="0" quotePrefix="0" xfId="0">
      <alignment horizontal="right"/>
    </xf>
    <xf numFmtId="0" fontId="10" fillId="2" borderId="0" pivotButton="0" quotePrefix="0" xfId="0"/>
    <xf numFmtId="9" fontId="10" fillId="0" borderId="0" applyAlignment="1" pivotButton="0" quotePrefix="0" xfId="53">
      <alignment horizontal="center"/>
    </xf>
    <xf numFmtId="166" fontId="2" fillId="0" borderId="0" applyAlignment="1" pivotButton="0" quotePrefix="0" xfId="51">
      <alignment vertical="top"/>
    </xf>
    <xf numFmtId="0" fontId="0" fillId="0" borderId="24" pivotButton="0" quotePrefix="0" xfId="0"/>
    <xf numFmtId="0" fontId="38" fillId="0" borderId="0" pivotButton="0" quotePrefix="0" xfId="58"/>
    <xf numFmtId="0" fontId="39" fillId="0" borderId="0" pivotButton="0" quotePrefix="0" xfId="58"/>
    <xf numFmtId="0" fontId="44" fillId="12" borderId="0" applyAlignment="1" pivotButton="0" quotePrefix="0" xfId="58">
      <alignment horizontal="left" vertical="center"/>
    </xf>
    <xf numFmtId="0" fontId="39" fillId="12" borderId="0" pivotButton="0" quotePrefix="0" xfId="58"/>
    <xf numFmtId="0" fontId="46" fillId="0" borderId="0" applyAlignment="1" pivotButton="0" quotePrefix="0" xfId="58">
      <alignment horizontal="left" vertical="center"/>
    </xf>
    <xf numFmtId="0" fontId="48" fillId="13" borderId="0" applyAlignment="1" pivotButton="0" quotePrefix="0" xfId="58">
      <alignment horizontal="center" vertical="center"/>
    </xf>
    <xf numFmtId="0" fontId="47" fillId="14" borderId="25" applyAlignment="1" pivotButton="0" quotePrefix="0" xfId="58">
      <alignment horizontal="center" vertical="center"/>
    </xf>
    <xf numFmtId="0" fontId="47" fillId="15" borderId="25" applyAlignment="1" pivotButton="0" quotePrefix="0" xfId="58">
      <alignment horizontal="center" vertical="center"/>
    </xf>
    <xf numFmtId="0" fontId="52" fillId="0" borderId="0" pivotButton="0" quotePrefix="0" xfId="58"/>
    <xf numFmtId="0" fontId="51" fillId="2" borderId="0" pivotButton="0" quotePrefix="0" xfId="58"/>
    <xf numFmtId="4" fontId="0" fillId="8" borderId="0" pivotButton="0" quotePrefix="0" xfId="51"/>
    <xf numFmtId="4" fontId="0" fillId="0" borderId="0" pivotButton="0" quotePrefix="0" xfId="51"/>
    <xf numFmtId="0" fontId="7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3" fillId="12" borderId="0" applyAlignment="1" pivotButton="0" quotePrefix="0" xfId="58">
      <alignment horizontal="left" vertical="center"/>
    </xf>
    <xf numFmtId="0" fontId="40" fillId="0" borderId="0" applyAlignment="1" pivotButton="0" quotePrefix="0" xfId="58">
      <alignment horizontal="left" vertical="center"/>
    </xf>
    <xf numFmtId="0" fontId="41" fillId="0" borderId="0" applyAlignment="1" pivotButton="0" quotePrefix="0" xfId="58">
      <alignment horizontal="right" vertical="center"/>
    </xf>
    <xf numFmtId="0" fontId="42" fillId="0" borderId="0" applyAlignment="1" pivotButton="0" quotePrefix="0" xfId="58">
      <alignment horizontal="left" vertical="center"/>
    </xf>
    <xf numFmtId="0" fontId="43" fillId="0" borderId="0" applyAlignment="1" pivotButton="0" quotePrefix="0" xfId="58">
      <alignment horizontal="left" vertical="center"/>
    </xf>
    <xf numFmtId="49" fontId="45" fillId="12" borderId="0" applyAlignment="1" pivotButton="0" quotePrefix="0" xfId="58">
      <alignment horizontal="left" vertical="center"/>
    </xf>
    <xf numFmtId="0" fontId="45" fillId="12" borderId="0" applyAlignment="1" pivotButton="0" quotePrefix="0" xfId="58">
      <alignment horizontal="left" vertical="center"/>
    </xf>
    <xf numFmtId="14" fontId="43" fillId="12" borderId="0" applyAlignment="1" pivotButton="0" quotePrefix="0" xfId="58">
      <alignment horizontal="left" vertical="center"/>
    </xf>
    <xf numFmtId="0" fontId="47" fillId="16" borderId="25" applyAlignment="1" pivotButton="0" quotePrefix="0" xfId="58">
      <alignment horizontal="left" vertical="center"/>
    </xf>
    <xf numFmtId="170" fontId="49" fillId="16" borderId="25" applyAlignment="1" pivotButton="0" quotePrefix="0" xfId="58">
      <alignment horizontal="right" vertical="center"/>
    </xf>
    <xf numFmtId="49" fontId="43" fillId="12" borderId="0" applyAlignment="1" pivotButton="0" quotePrefix="0" xfId="58">
      <alignment horizontal="left" vertical="center"/>
    </xf>
    <xf numFmtId="0" fontId="41" fillId="0" borderId="0" applyAlignment="1" pivotButton="0" quotePrefix="0" xfId="58">
      <alignment horizontal="left" vertical="center"/>
    </xf>
    <xf numFmtId="0" fontId="47" fillId="0" borderId="0" applyAlignment="1" pivotButton="0" quotePrefix="0" xfId="58">
      <alignment horizontal="left" vertical="center" wrapText="1"/>
    </xf>
    <xf numFmtId="0" fontId="48" fillId="13" borderId="0" applyAlignment="1" pivotButton="0" quotePrefix="0" xfId="58">
      <alignment horizontal="left" vertical="center"/>
    </xf>
    <xf numFmtId="0" fontId="48" fillId="13" borderId="0" applyAlignment="1" pivotButton="0" quotePrefix="0" xfId="58">
      <alignment horizontal="right" vertical="center"/>
    </xf>
    <xf numFmtId="0" fontId="47" fillId="14" borderId="25" applyAlignment="1" pivotButton="0" quotePrefix="0" xfId="58">
      <alignment horizontal="left" vertical="center"/>
    </xf>
    <xf numFmtId="170" fontId="49" fillId="14" borderId="25" applyAlignment="1" pivotButton="0" quotePrefix="0" xfId="58">
      <alignment horizontal="right" vertical="center"/>
    </xf>
    <xf numFmtId="0" fontId="45" fillId="0" borderId="26" applyAlignment="1" pivotButton="0" quotePrefix="0" xfId="58">
      <alignment horizontal="right" vertical="center"/>
    </xf>
    <xf numFmtId="170" fontId="45" fillId="0" borderId="26" applyAlignment="1" pivotButton="0" quotePrefix="0" xfId="58">
      <alignment horizontal="right" vertical="center"/>
    </xf>
    <xf numFmtId="0" fontId="50" fillId="0" borderId="0" applyAlignment="1" pivotButton="0" quotePrefix="0" xfId="58">
      <alignment horizontal="center" vertical="center"/>
    </xf>
    <xf numFmtId="0" fontId="47" fillId="0" borderId="0" applyAlignment="1" pivotButton="0" quotePrefix="0" xfId="58">
      <alignment horizontal="right" vertical="center"/>
    </xf>
    <xf numFmtId="170" fontId="47" fillId="0" borderId="0" applyAlignment="1" pivotButton="0" quotePrefix="0" xfId="58">
      <alignment horizontal="right" vertical="center"/>
    </xf>
    <xf numFmtId="166" fontId="2" fillId="0" borderId="0" applyAlignment="1" pivotButton="0" quotePrefix="0" xfId="51">
      <alignment vertical="top"/>
    </xf>
    <xf numFmtId="166" fontId="0" fillId="0" borderId="0" applyAlignment="1" pivotButton="0" quotePrefix="0" xfId="51">
      <alignment vertical="top"/>
    </xf>
    <xf numFmtId="166" fontId="0" fillId="11" borderId="0" applyAlignment="1" pivotButton="0" quotePrefix="0" xfId="51">
      <alignment vertical="top"/>
    </xf>
    <xf numFmtId="167" fontId="2" fillId="0" borderId="0" pivotButton="0" quotePrefix="0" xfId="42"/>
    <xf numFmtId="167" fontId="0" fillId="0" borderId="0" pivotButton="0" quotePrefix="0" xfId="42"/>
    <xf numFmtId="168" fontId="27" fillId="0" borderId="8" applyAlignment="1" pivotButton="0" quotePrefix="0" xfId="54">
      <alignment horizontal="center"/>
    </xf>
    <xf numFmtId="168" fontId="27" fillId="0" borderId="9" applyAlignment="1" pivotButton="0" quotePrefix="0" xfId="54">
      <alignment horizontal="center"/>
    </xf>
    <xf numFmtId="168" fontId="27" fillId="0" borderId="2" applyAlignment="1" pivotButton="0" quotePrefix="0" xfId="54">
      <alignment horizontal="center"/>
    </xf>
    <xf numFmtId="168" fontId="27" fillId="0" borderId="10" applyAlignment="1" pivotButton="0" quotePrefix="0" xfId="54">
      <alignment horizontal="center"/>
    </xf>
    <xf numFmtId="168" fontId="28" fillId="0" borderId="12" applyAlignment="1" pivotButton="0" quotePrefix="0" xfId="54">
      <alignment horizontal="center"/>
    </xf>
    <xf numFmtId="168" fontId="28" fillId="0" borderId="13" applyAlignment="1" pivotButton="0" quotePrefix="0" xfId="54">
      <alignment horizontal="center"/>
    </xf>
    <xf numFmtId="168" fontId="28" fillId="0" borderId="3" applyAlignment="1" pivotButton="0" quotePrefix="0" xfId="54">
      <alignment horizontal="center"/>
    </xf>
    <xf numFmtId="168" fontId="28" fillId="0" borderId="4" applyAlignment="1" pivotButton="0" quotePrefix="0" xfId="54">
      <alignment horizontal="centerContinuous"/>
    </xf>
    <xf numFmtId="168" fontId="28" fillId="0" borderId="5" applyAlignment="1" pivotButton="0" quotePrefix="0" xfId="54">
      <alignment horizontal="centerContinuous"/>
    </xf>
    <xf numFmtId="168" fontId="28" fillId="0" borderId="12" pivotButton="0" quotePrefix="0" xfId="54"/>
    <xf numFmtId="168" fontId="25" fillId="0" borderId="12" pivotButton="0" quotePrefix="0" xfId="54"/>
    <xf numFmtId="168" fontId="25" fillId="0" borderId="12" applyAlignment="1" pivotButton="0" quotePrefix="0" xfId="54">
      <alignment horizontal="center"/>
    </xf>
    <xf numFmtId="166" fontId="28" fillId="0" borderId="16" applyAlignment="1" pivotButton="0" quotePrefix="0" xfId="55">
      <alignment horizontal="right"/>
    </xf>
    <xf numFmtId="168" fontId="28" fillId="0" borderId="16" pivotButton="0" quotePrefix="0" xfId="54"/>
    <xf numFmtId="167" fontId="24" fillId="0" borderId="14" pivotButton="0" quotePrefix="0" xfId="54"/>
    <xf numFmtId="167" fontId="24" fillId="0" borderId="7" pivotButton="0" quotePrefix="0" xfId="54"/>
    <xf numFmtId="167" fontId="30" fillId="0" borderId="6" pivotButton="0" quotePrefix="0" xfId="54"/>
    <xf numFmtId="167" fontId="29" fillId="0" borderId="19" pivotButton="0" quotePrefix="0" xfId="54"/>
    <xf numFmtId="167" fontId="30" fillId="0" borderId="14" pivotButton="0" quotePrefix="0" xfId="54"/>
    <xf numFmtId="167" fontId="29" fillId="0" borderId="14" pivotButton="0" quotePrefix="0" xfId="54"/>
    <xf numFmtId="169" fontId="29" fillId="0" borderId="14" pivotButton="0" quotePrefix="0" xfId="56"/>
    <xf numFmtId="167" fontId="30" fillId="0" borderId="7" pivotButton="0" quotePrefix="0" xfId="54"/>
    <xf numFmtId="167" fontId="24" fillId="10" borderId="2" pivotButton="0" quotePrefix="0" xfId="54"/>
    <xf numFmtId="167" fontId="24" fillId="0" borderId="8" pivotButton="0" quotePrefix="0" xfId="54"/>
    <xf numFmtId="167" fontId="24" fillId="0" borderId="20" pivotButton="0" quotePrefix="0" xfId="54"/>
    <xf numFmtId="167" fontId="24" fillId="0" borderId="2" pivotButton="0" quotePrefix="0" xfId="54"/>
    <xf numFmtId="167" fontId="29" fillId="0" borderId="21" pivotButton="0" quotePrefix="0" xfId="54"/>
    <xf numFmtId="167" fontId="30" fillId="0" borderId="2" pivotButton="0" quotePrefix="0" xfId="54"/>
    <xf numFmtId="167" fontId="31" fillId="0" borderId="2" pivotButton="0" quotePrefix="0" xfId="54"/>
    <xf numFmtId="167" fontId="29" fillId="0" borderId="8" pivotButton="0" quotePrefix="0" xfId="54"/>
    <xf numFmtId="167" fontId="29" fillId="0" borderId="7" pivotButton="0" quotePrefix="0" xfId="54"/>
    <xf numFmtId="169" fontId="29" fillId="0" borderId="7" pivotButton="0" quotePrefix="0" xfId="56"/>
    <xf numFmtId="167" fontId="32" fillId="0" borderId="0" pivotButton="0" quotePrefix="0" xfId="54"/>
    <xf numFmtId="167" fontId="29" fillId="0" borderId="0" pivotButton="0" quotePrefix="0" xfId="54"/>
    <xf numFmtId="167" fontId="30" fillId="0" borderId="0" pivotButton="0" quotePrefix="0" xfId="54"/>
    <xf numFmtId="169" fontId="29" fillId="0" borderId="0" pivotButton="0" quotePrefix="0" xfId="56"/>
    <xf numFmtId="167" fontId="33" fillId="0" borderId="23" pivotButton="0" quotePrefix="0" xfId="54"/>
    <xf numFmtId="165" fontId="0" fillId="0" borderId="0" pivotButton="0" quotePrefix="0" xfId="0"/>
    <xf numFmtId="0" fontId="0" fillId="0" borderId="25" pivotButton="0" quotePrefix="0" xfId="0"/>
    <xf numFmtId="170" fontId="49" fillId="14" borderId="25" applyAlignment="1" pivotButton="0" quotePrefix="0" xfId="58">
      <alignment horizontal="right" vertical="center"/>
    </xf>
    <xf numFmtId="170" fontId="49" fillId="16" borderId="25" applyAlignment="1" pivotButton="0" quotePrefix="0" xfId="58">
      <alignment horizontal="right" vertical="center"/>
    </xf>
    <xf numFmtId="170" fontId="47" fillId="0" borderId="0" applyAlignment="1" pivotButton="0" quotePrefix="0" xfId="58">
      <alignment horizontal="right" vertical="center"/>
    </xf>
    <xf numFmtId="0" fontId="0" fillId="0" borderId="26" pivotButton="0" quotePrefix="0" xfId="0"/>
    <xf numFmtId="170" fontId="45" fillId="0" borderId="26" applyAlignment="1" pivotButton="0" quotePrefix="0" xfId="58">
      <alignment horizontal="right" vertical="center"/>
    </xf>
  </cellXfs>
  <cellStyles count="11">
    <cellStyle name="Normal" xfId="0" builtinId="0"/>
    <cellStyle name="Hyperlink" xfId="1" builtinId="8" hidden="1"/>
    <cellStyle name="Followed Hyperlink" xfId="2" builtinId="9" hidden="1"/>
    <cellStyle name="Currency" xfId="3" builtinId="4"/>
    <cellStyle name="Comma" xfId="4" builtinId="3"/>
    <cellStyle name="Percent" xfId="5" builtinId="5"/>
    <cellStyle name="Normal 2" xfId="6"/>
    <cellStyle name="Comma 2" xfId="7"/>
    <cellStyle name="Percent 2" xfId="8"/>
    <cellStyle name="Normal_Exhibit j - (6-30-06)" xfId="9"/>
    <cellStyle name="Normal 3" xfId="1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externalLink" Target="/xl/externalLinks/externalLink3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Greg Ingebretson</author>
    <author>Will Buchanan</author>
  </authors>
  <commentList>
    <comment ref="E33" authorId="0" shapeId="0">
      <text>
        <t>Note:
Textura, etc.?
GC Specific PayApp?
Standard AIA?
Treadwell Invoice?</t>
      </text>
    </comment>
    <comment ref="A40" authorId="1" shapeId="0">
      <text>
        <t xml:space="preserve">Use language similar to project historial data </t>
      </text>
    </comment>
    <comment ref="A41" authorId="1" shapeId="0">
      <text>
        <t xml:space="preserve">Use language similar to project historial data </t>
      </text>
    </comment>
    <comment ref="A46" authorId="1" shapeId="0">
      <text>
        <t xml:space="preserve">Use language similar to project historial data </t>
      </text>
    </comment>
    <comment ref="A47" authorId="1" shapeId="0">
      <text>
        <t xml:space="preserve">Use language similar to project historial data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0</col>
      <colOff>1544320</colOff>
      <row>8</row>
      <rowOff>170398</rowOff>
    </to>
    <pic>
      <nvPicPr>
        <cNvPr id="2" name="Picture 1" descr="TRE_Badge_RGB_ForScreen copy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544320" cy="18366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5</col>
      <colOff>393700</colOff>
      <row>0</row>
      <rowOff>76008</rowOff>
    </from>
    <to>
      <col>7</col>
      <colOff>900066</colOff>
      <row>8</row>
      <rowOff>50800</rowOff>
    </to>
    <pic>
      <nvPicPr>
        <cNvPr id="2" name="Picture 1" descr="A red and white logo&#10;&#10;Description automatically generated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3027" t="21232" r="14213" b="888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49900" y="76008"/>
          <a:ext cx="2792366" cy="1816292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393700</colOff>
      <row>0</row>
      <rowOff>76008</rowOff>
    </from>
    <to>
      <col>7</col>
      <colOff>900066</colOff>
      <row>8</row>
      <rowOff>50800</rowOff>
    </to>
    <pic>
      <nvPicPr>
        <cNvPr id="2" name="Picture 1" descr="A red and white logo&#10;&#10;Description automatically generated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3027" t="21232" r="14213" b="888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49900" y="76008"/>
          <a:ext cx="2792366" cy="1816292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gregingebretson/Treadwell%20Dropbox/2023%20Treadwell%20Team%20Folder/Projects/DISK_IMG/1Active%20Projects/07-236%20Interstate%20Brands%20Corporation/Estimates/IBC%20-%204.6.09%20-%20IBC%20Submission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gregingebretson/Treadwell%20Dropbox/2023%20Treadwell%20Team%20Folder/Projects/DISK_IMG/1Active%20Projects/06-374%20Gardner%20Public%20Safety%20Stn%20#2/Estimate/4 900K Budget 112906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/1Active%20Projects/02056%20City%20of%20Riverside/Pre-construction/Estimates/Short%20Estimat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uilding Area"/>
      <sheetName val="General Conditions"/>
      <sheetName val="Summary"/>
      <sheetName val="Pricing"/>
      <sheetName val="VE Recap"/>
      <sheetName val="VE Details"/>
      <sheetName val="Master Budget"/>
      <sheetName val="Labor Recap"/>
      <sheetName val="Finish Schedule"/>
      <sheetName val="Cell Names"/>
      <sheetName val="Bonding"/>
      <sheetName val="Pre Construction"/>
    </sheetNames>
    <sheetDataSet>
      <sheetData sheetId="0">
        <row r="25">
          <cell r="F25">
            <v>0.05</v>
          </cell>
        </row>
      </sheetData>
      <sheetData sheetId="1" refreshError="1"/>
      <sheetData sheetId="2"/>
      <sheetData sheetId="3" refreshError="1"/>
      <sheetData sheetId="4">
        <row r="40">
          <cell r="T40">
            <v>1259.2496548216786</v>
          </cell>
        </row>
        <row r="68">
          <cell r="T68">
            <v>3051.49126266045</v>
          </cell>
        </row>
        <row r="86">
          <cell r="T86">
            <v>0</v>
          </cell>
        </row>
        <row r="113">
          <cell r="T113">
            <v>26622.414591940025</v>
          </cell>
        </row>
        <row r="139">
          <cell r="T139">
            <v>0</v>
          </cell>
        </row>
        <row r="163">
          <cell r="T163">
            <v>0</v>
          </cell>
        </row>
        <row r="182">
          <cell r="T182">
            <v>0</v>
          </cell>
        </row>
        <row r="205">
          <cell r="T205">
            <v>0</v>
          </cell>
        </row>
        <row r="223">
          <cell r="T223">
            <v>0</v>
          </cell>
        </row>
        <row r="242">
          <cell r="T242">
            <v>0</v>
          </cell>
        </row>
        <row r="268">
          <cell r="T268">
            <v>0</v>
          </cell>
        </row>
        <row r="288">
          <cell r="T288">
            <v>2996.0280934329517</v>
          </cell>
        </row>
        <row r="307">
          <cell r="T307">
            <v>1334.5059119534155</v>
          </cell>
        </row>
        <row r="325">
          <cell r="T325">
            <v>0</v>
          </cell>
        </row>
        <row r="350">
          <cell r="T350">
            <v>8024.6561753431934</v>
          </cell>
        </row>
        <row r="370">
          <cell r="T370">
            <v>0</v>
          </cell>
        </row>
        <row r="392">
          <cell r="T392">
            <v>4467.6880270203637</v>
          </cell>
        </row>
        <row r="416">
          <cell r="T416">
            <v>0</v>
          </cell>
        </row>
        <row r="438">
          <cell r="T438">
            <v>0</v>
          </cell>
        </row>
        <row r="459">
          <cell r="T459">
            <v>0</v>
          </cell>
        </row>
        <row r="477">
          <cell r="T477">
            <v>0</v>
          </cell>
        </row>
        <row r="506">
          <cell r="T506">
            <v>11872.511455028613</v>
          </cell>
        </row>
        <row r="531">
          <cell r="T531">
            <v>7351.2819316485002</v>
          </cell>
        </row>
        <row r="549">
          <cell r="T549">
            <v>0</v>
          </cell>
        </row>
        <row r="581">
          <cell r="T581">
            <v>36911.25672499479</v>
          </cell>
        </row>
        <row r="604">
          <cell r="T604">
            <v>36624.961686415598</v>
          </cell>
        </row>
        <row r="622">
          <cell r="T622">
            <v>0</v>
          </cell>
        </row>
        <row r="667">
          <cell r="T667">
            <v>3478.5081217434376</v>
          </cell>
        </row>
        <row r="695">
          <cell r="T695">
            <v>61.01730888215625</v>
          </cell>
        </row>
        <row r="713">
          <cell r="T713">
            <v>0</v>
          </cell>
        </row>
        <row r="731">
          <cell r="T731">
            <v>1640.6876388313126</v>
          </cell>
        </row>
        <row r="749">
          <cell r="T749">
            <v>0</v>
          </cell>
        </row>
        <row r="769">
          <cell r="T769">
            <v>0</v>
          </cell>
        </row>
        <row r="787">
          <cell r="T787">
            <v>4346.309848067438</v>
          </cell>
        </row>
        <row r="812">
          <cell r="T812">
            <v>6151.7963724266247</v>
          </cell>
        </row>
        <row r="836">
          <cell r="T836">
            <v>57978.438293640655</v>
          </cell>
        </row>
        <row r="861">
          <cell r="T861">
            <v>72876.57045463688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ell Names"/>
      <sheetName val="Building Area"/>
      <sheetName val="Pre Construction"/>
      <sheetName val="General Conditions"/>
      <sheetName val="Summary"/>
      <sheetName val="Pricing"/>
      <sheetName val="Labor Recap"/>
      <sheetName val="Finish Schedule"/>
      <sheetName val="Site Options"/>
      <sheetName val="Bld Options"/>
      <sheetName val="VE Recap"/>
      <sheetName val="VE Details"/>
      <sheetName val="Master Budget"/>
      <sheetName val="Bonding"/>
    </sheetNames>
    <sheetDataSet>
      <sheetData sheetId="0" refreshError="1">
        <row r="20">
          <cell r="K20">
            <v>0</v>
          </cell>
        </row>
        <row r="21">
          <cell r="K21">
            <v>0.05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Building Area"/>
      <sheetName val="Summary"/>
      <sheetName val="General Conditions"/>
      <sheetName val="Pricing"/>
      <sheetName val="Bonding"/>
    </sheetNames>
    <sheetDataSet>
      <sheetData sheetId="0"/>
      <sheetData sheetId="1">
        <row r="42">
          <cell r="I42">
            <v>10</v>
          </cell>
        </row>
        <row r="47">
          <cell r="H47">
            <v>1000</v>
          </cell>
        </row>
      </sheetData>
      <sheetData sheetId="2">
        <row r="57">
          <cell r="D57">
            <v>3015.7745620793849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I76"/>
  <sheetViews>
    <sheetView tabSelected="1" topLeftCell="A4" zoomScaleNormal="100" workbookViewId="0">
      <pane ySplit="12" topLeftCell="A16" activePane="bottomLeft" state="frozen"/>
      <selection activeCell="A4" sqref="A4"/>
      <selection pane="bottomLeft" activeCell="F33" sqref="F33"/>
    </sheetView>
  </sheetViews>
  <sheetFormatPr baseColWidth="10" defaultRowHeight="16"/>
  <cols>
    <col width="31.33203125" customWidth="1" min="1" max="1"/>
    <col width="13.83203125" customWidth="1" min="2" max="2"/>
    <col width="11.33203125" customWidth="1" min="4" max="4"/>
    <col width="16.5" bestFit="1" customWidth="1" min="6" max="6"/>
    <col width="11.6640625" customWidth="1" min="9" max="9"/>
  </cols>
  <sheetData>
    <row r="2" ht="21" customHeight="1">
      <c r="G2" s="1" t="n"/>
    </row>
    <row r="3" customFormat="1" s="3">
      <c r="A3" s="2" t="inlineStr">
        <is>
          <t>Reference #:</t>
        </is>
      </c>
      <c r="B3" s="2" t="n"/>
      <c r="C3" s="2" t="n"/>
      <c r="D3" s="2" t="n"/>
      <c r="E3" s="2" t="n"/>
      <c r="F3" s="2" t="n"/>
      <c r="G3" s="2" t="n"/>
    </row>
    <row r="4" ht="21" customHeight="1">
      <c r="B4" s="140" t="inlineStr">
        <is>
          <t>New Project Info Sheet</t>
        </is>
      </c>
      <c r="H4" s="5" t="inlineStr">
        <is>
          <t>Foundation Tabs</t>
        </is>
      </c>
    </row>
    <row r="5">
      <c r="H5" s="21" t="inlineStr">
        <is>
          <t>General</t>
        </is>
      </c>
    </row>
    <row r="6">
      <c r="B6" s="139" t="inlineStr">
        <is>
          <t>Estimating / Sales Action Items</t>
        </is>
      </c>
      <c r="H6" s="26" t="inlineStr">
        <is>
          <t>A/R</t>
        </is>
      </c>
    </row>
    <row r="7">
      <c r="C7" t="inlineStr">
        <is>
          <t>1. Add to Project Status Sheet (*by xx).</t>
        </is>
      </c>
      <c r="H7" s="27" t="inlineStr">
        <is>
          <t>Payroll</t>
        </is>
      </c>
    </row>
    <row r="8">
      <c r="D8" t="inlineStr">
        <is>
          <t>a. Note Contract Status</t>
        </is>
      </c>
      <c r="H8" s="29" t="inlineStr">
        <is>
          <t>Division</t>
        </is>
      </c>
    </row>
    <row r="9">
      <c r="D9" t="inlineStr">
        <is>
          <t>b. Highlight Deposit Cell if Applicable</t>
        </is>
      </c>
      <c r="E9" s="4" t="n"/>
      <c r="H9" s="30" t="inlineStr">
        <is>
          <t>UDF</t>
        </is>
      </c>
    </row>
    <row r="10">
      <c r="C10" s="4" t="n"/>
      <c r="D10" s="4" t="inlineStr">
        <is>
          <t>c. Highlight Tax Exempt Cell if Applicable</t>
        </is>
      </c>
      <c r="F10" s="4" t="n"/>
    </row>
    <row r="11">
      <c r="C11" s="4" t="inlineStr">
        <is>
          <t>2. Request Accounts Payable Contact + (Deposit and Pre-Qual if Required)</t>
        </is>
      </c>
      <c r="D11" s="4" t="n"/>
      <c r="F11" s="13" t="n"/>
      <c r="G11" s="12" t="n"/>
      <c r="H11" s="12" t="n"/>
    </row>
    <row r="12">
      <c r="C12" s="4" t="inlineStr">
        <is>
          <t>3. Notify Project Coordinator/Sales Admin, if this is a CCIP or OCIP Project</t>
        </is>
      </c>
      <c r="D12" s="4" t="n"/>
      <c r="F12" s="13" t="n"/>
      <c r="G12" s="12" t="n"/>
      <c r="H12" s="12" t="n"/>
    </row>
    <row r="13">
      <c r="A13" s="122" t="inlineStr">
        <is>
          <t>Estimator / Sales Rep:</t>
        </is>
      </c>
      <c r="B13" s="123" t="n"/>
      <c r="C13" s="42" t="inlineStr">
        <is>
          <t>[Folders: Vanilla = Epoxy -- Blue = Polish/Sealed -- Yellow = Prevailing Wage -- Red = Gyp.]</t>
        </is>
      </c>
      <c r="D13" s="4" t="n"/>
      <c r="F13" s="4" t="n"/>
    </row>
    <row r="14" ht="19" customHeight="1">
      <c r="A14" s="22" t="inlineStr">
        <is>
          <t>Project # (Job Number):</t>
        </is>
      </c>
      <c r="B14" s="11" t="n"/>
      <c r="C14" s="6" t="n"/>
      <c r="D14" s="6" t="n"/>
      <c r="E14" s="36" t="inlineStr">
        <is>
          <t>Put "!" for Tax Exempt &amp; "$" for Remodel Tax.</t>
        </is>
      </c>
      <c r="F14" s="6" t="n"/>
    </row>
    <row r="15" ht="19" customHeight="1">
      <c r="A15" s="22" t="inlineStr">
        <is>
          <t>Project Name (Description):</t>
        </is>
      </c>
      <c r="C15" s="6" t="n"/>
      <c r="D15" s="6" t="n"/>
      <c r="E15" s="36" t="inlineStr">
        <is>
          <t>"#" for Multi-Scope</t>
        </is>
      </c>
      <c r="F15" s="6" t="n"/>
      <c r="G15" s="44" t="inlineStr">
        <is>
          <t>MUST INCLUDE ON JOB FOLDER NAME!</t>
        </is>
      </c>
    </row>
    <row r="16">
      <c r="A16" s="22" t="inlineStr">
        <is>
          <t>Market (Project Class):</t>
        </is>
      </c>
      <c r="B16" s="6" t="n"/>
      <c r="C16" s="6" t="n"/>
      <c r="D16" s="6" t="n"/>
      <c r="E16" s="6" t="n"/>
      <c r="F16" s="6" t="n"/>
    </row>
    <row r="17">
      <c r="A17" s="23" t="inlineStr">
        <is>
          <t>Primary Floor:</t>
        </is>
      </c>
      <c r="B17" s="6" t="n"/>
      <c r="C17" s="6" t="n"/>
      <c r="D17" s="6" t="n"/>
      <c r="E17" s="17" t="n"/>
      <c r="F17" s="17" t="n"/>
      <c r="G17" s="17" t="n"/>
    </row>
    <row r="18">
      <c r="A18" s="31" t="inlineStr">
        <is>
          <t>Division</t>
        </is>
      </c>
      <c r="B18" s="6">
        <f>IF(ISNUMBER(SEARCH("polish",B17)),"Polish - Commercial",IF(ISNUMBER(SEARCH("epoxy",B17)),"Epoxy - Commercial",IF(ISNUMBER(SEARCH("underlayment",B17)),"Underlayment","")))</f>
        <v/>
      </c>
      <c r="C18" s="6" t="n"/>
      <c r="D18" s="6" t="n"/>
      <c r="E18" s="6" t="n"/>
      <c r="F18" s="6" t="n"/>
    </row>
    <row r="19">
      <c r="A19" s="22" t="inlineStr">
        <is>
          <t>State (Geographic Area):</t>
        </is>
      </c>
      <c r="B19" s="6" t="n"/>
      <c r="C19" s="6" t="n"/>
      <c r="D19" s="6" t="n"/>
      <c r="E19" s="6" t="n"/>
      <c r="F19" s="6" t="n"/>
    </row>
    <row r="20">
      <c r="A20" s="24" t="inlineStr">
        <is>
          <t>Job Address:</t>
        </is>
      </c>
      <c r="B20" s="6" t="n"/>
      <c r="C20" s="6" t="n"/>
      <c r="D20" s="6" t="n"/>
      <c r="E20" s="6" t="n"/>
      <c r="F20" s="6" t="n"/>
    </row>
    <row r="21">
      <c r="A21" s="24" t="inlineStr">
        <is>
          <t>City:</t>
        </is>
      </c>
      <c r="B21" s="6" t="n"/>
      <c r="C21" s="25" t="inlineStr">
        <is>
          <t>Zip:</t>
        </is>
      </c>
      <c r="D21" s="6" t="n"/>
      <c r="E21" s="25" t="inlineStr">
        <is>
          <t>State:</t>
        </is>
      </c>
      <c r="F21" s="6">
        <f>B19</f>
        <v/>
      </c>
    </row>
    <row r="22">
      <c r="A22" s="5" t="n"/>
      <c r="B22" s="4" t="n"/>
      <c r="C22" s="4" t="n"/>
      <c r="D22" s="4" t="n"/>
      <c r="E22" s="4" t="n"/>
      <c r="F22" s="4" t="n"/>
    </row>
    <row r="23">
      <c r="A23" s="22" t="inlineStr">
        <is>
          <t>GC / Company/Customer Name:</t>
        </is>
      </c>
      <c r="B23" s="6" t="n"/>
      <c r="C23" s="6" t="n"/>
      <c r="D23" s="6" t="n"/>
      <c r="E23" s="40" t="inlineStr">
        <is>
          <t>Estimator:</t>
        </is>
      </c>
      <c r="F23" s="6" t="n"/>
    </row>
    <row r="24">
      <c r="A24" s="5" t="inlineStr">
        <is>
          <t>Address:</t>
        </is>
      </c>
      <c r="B24" s="6" t="n"/>
      <c r="C24" s="6" t="n"/>
      <c r="D24" s="6" t="n"/>
      <c r="E24" s="40" t="inlineStr">
        <is>
          <t>Phone:</t>
        </is>
      </c>
      <c r="F24" s="6" t="n"/>
    </row>
    <row r="25">
      <c r="A25" s="5" t="inlineStr">
        <is>
          <t>City, St, Zip:</t>
        </is>
      </c>
      <c r="B25" s="6" t="n"/>
      <c r="C25" s="6" t="n"/>
      <c r="D25" s="6" t="n"/>
      <c r="E25" s="40" t="inlineStr">
        <is>
          <t>Email:</t>
        </is>
      </c>
      <c r="F25" s="32" t="n"/>
    </row>
    <row r="26">
      <c r="A26" s="5" t="inlineStr">
        <is>
          <t>Phone:</t>
        </is>
      </c>
      <c r="B26" s="6" t="n"/>
      <c r="C26" s="6" t="n"/>
      <c r="D26" s="6" t="n"/>
      <c r="E26" s="6" t="n"/>
      <c r="F26" s="6" t="n"/>
    </row>
    <row r="27">
      <c r="A27" s="5" t="inlineStr">
        <is>
          <t>Reference #:</t>
        </is>
      </c>
      <c r="B27" s="6" t="n"/>
      <c r="C27" s="6" t="n"/>
      <c r="D27" s="6" t="n"/>
      <c r="E27" s="6" t="n"/>
      <c r="F27" s="6" t="n"/>
    </row>
    <row r="28">
      <c r="A28" s="5" t="n"/>
      <c r="B28" s="4" t="n"/>
      <c r="C28" s="4" t="n"/>
      <c r="D28" s="4" t="n"/>
      <c r="E28" s="40" t="inlineStr">
        <is>
          <t>Other:</t>
        </is>
      </c>
      <c r="F28" s="6" t="n"/>
    </row>
    <row r="29">
      <c r="A29" s="40" t="inlineStr">
        <is>
          <t>Contact (PM):</t>
        </is>
      </c>
      <c r="B29" s="4" t="n"/>
      <c r="C29" s="4" t="n"/>
      <c r="D29" s="4" t="n"/>
      <c r="E29" s="5" t="n"/>
      <c r="F29" s="6" t="n"/>
    </row>
    <row r="30">
      <c r="A30" s="40" t="inlineStr">
        <is>
          <t>Phone:</t>
        </is>
      </c>
      <c r="B30" s="6" t="n"/>
      <c r="C30" s="4" t="n"/>
      <c r="D30" s="4" t="n"/>
      <c r="E30" s="5" t="n"/>
      <c r="F30" s="32" t="n"/>
    </row>
    <row r="31">
      <c r="A31" s="40" t="inlineStr">
        <is>
          <t>Email:</t>
        </is>
      </c>
      <c r="B31" s="32" t="n"/>
      <c r="C31" s="6" t="n"/>
      <c r="D31" s="6" t="n"/>
      <c r="E31" s="5" t="n"/>
      <c r="F31" s="6" t="n"/>
    </row>
    <row r="32">
      <c r="A32" s="40" t="n"/>
      <c r="B32" s="6" t="n"/>
      <c r="C32" s="6" t="n"/>
      <c r="D32" s="4" t="n"/>
      <c r="E32" s="40" t="inlineStr">
        <is>
          <t>PA DEADLINE:</t>
        </is>
      </c>
      <c r="F32" s="6" t="n"/>
      <c r="G32" s="43" t="n"/>
    </row>
    <row r="33">
      <c r="A33" s="40" t="inlineStr">
        <is>
          <t>Superintendent:</t>
        </is>
      </c>
      <c r="B33" s="4" t="n"/>
      <c r="C33" s="6" t="n"/>
      <c r="D33" s="4" t="n"/>
      <c r="E33" s="40" t="inlineStr">
        <is>
          <t>Bill Platform/PayApp:</t>
        </is>
      </c>
      <c r="F33" s="126" t="inlineStr">
        <is>
          <t>Treadwell Pay App</t>
        </is>
      </c>
    </row>
    <row r="34">
      <c r="A34" s="40" t="inlineStr">
        <is>
          <t>Phone:</t>
        </is>
      </c>
      <c r="B34" s="4" t="n"/>
      <c r="C34" s="6" t="n"/>
      <c r="D34" s="4" t="n"/>
      <c r="E34" s="40" t="inlineStr">
        <is>
          <t>AP:</t>
        </is>
      </c>
      <c r="F34" s="4" t="n"/>
    </row>
    <row r="35">
      <c r="A35" s="40" t="inlineStr">
        <is>
          <t>Email:</t>
        </is>
      </c>
      <c r="B35" s="4" t="n"/>
      <c r="C35" s="6" t="n"/>
      <c r="D35" s="4" t="n"/>
      <c r="E35" s="40" t="inlineStr">
        <is>
          <t>Phone:</t>
        </is>
      </c>
      <c r="F35" s="6" t="n"/>
    </row>
    <row r="36">
      <c r="A36" s="5" t="n"/>
      <c r="B36" s="7" t="n"/>
      <c r="C36" s="7" t="n"/>
      <c r="D36" s="7" t="n"/>
      <c r="E36" s="40" t="inlineStr">
        <is>
          <t>Email:</t>
        </is>
      </c>
      <c r="F36" s="32" t="n"/>
    </row>
    <row r="37">
      <c r="A37" s="40" t="inlineStr">
        <is>
          <t>Status of Contract:</t>
        </is>
      </c>
      <c r="B37" s="35" t="n"/>
      <c r="C37" s="6" t="n"/>
      <c r="D37" s="6" t="n"/>
      <c r="E37" s="41" t="inlineStr">
        <is>
          <t>*Sales / Estimating - Send intro email asking for contact &amp; connecting Accounting</t>
        </is>
      </c>
      <c r="F37" s="6" t="n"/>
    </row>
    <row r="38">
      <c r="A38" s="5" t="n"/>
      <c r="B38" s="4" t="n"/>
      <c r="C38" s="4" t="n"/>
      <c r="D38" s="4" t="n"/>
      <c r="E38" s="41" t="inlineStr">
        <is>
          <t>*Accounting - If no contact listed when billing, call customer</t>
        </is>
      </c>
      <c r="F38" s="4" t="n"/>
    </row>
    <row r="39">
      <c r="A39" s="5" t="inlineStr">
        <is>
          <t>Manufacturer:</t>
        </is>
      </c>
      <c r="B39" s="4" t="n"/>
      <c r="C39" s="4" t="n"/>
      <c r="D39" s="4" t="n"/>
      <c r="E39" s="6" t="n"/>
      <c r="F39" s="4" t="n"/>
    </row>
    <row r="40">
      <c r="A40" s="5" t="inlineStr">
        <is>
          <t>System(s):</t>
        </is>
      </c>
      <c r="B40" s="6" t="n"/>
      <c r="C40" s="6" t="n"/>
      <c r="D40" s="6" t="n"/>
      <c r="E40" s="6" t="n"/>
      <c r="F40" s="6" t="n"/>
    </row>
    <row r="41">
      <c r="A41" s="5" t="inlineStr">
        <is>
          <t>Color / Blend:</t>
        </is>
      </c>
      <c r="B41" s="6" t="n"/>
      <c r="C41" s="6" t="n"/>
      <c r="D41" s="6" t="n"/>
      <c r="E41" s="6" t="n"/>
      <c r="F41" s="6" t="n"/>
    </row>
    <row r="42">
      <c r="A42" s="5" t="inlineStr">
        <is>
          <t>Square Feet                             [Floor]:</t>
        </is>
      </c>
      <c r="B42" s="164" t="n"/>
      <c r="C42" s="35" t="inlineStr">
        <is>
          <t>sf</t>
        </is>
      </c>
      <c r="D42" s="164" t="n"/>
      <c r="E42" s="35" t="inlineStr">
        <is>
          <t>lf</t>
        </is>
      </c>
      <c r="F42" s="17" t="n"/>
    </row>
    <row r="43">
      <c r="A43" s="42" t="inlineStr">
        <is>
          <t xml:space="preserve">  ** Special Transition Detail?</t>
        </is>
      </c>
      <c r="B43" s="165" t="n"/>
      <c r="C43" s="6" t="n"/>
      <c r="D43" s="165" t="n"/>
      <c r="E43" s="6" t="n"/>
      <c r="F43" s="6" t="n"/>
    </row>
    <row r="44" hidden="1" ht="4" customHeight="1">
      <c r="A44" s="118" t="n"/>
      <c r="B44" s="166" t="n"/>
      <c r="C44" s="120" t="n"/>
      <c r="D44" s="166" t="n"/>
      <c r="E44" s="120" t="n"/>
      <c r="F44" s="120" t="n"/>
      <c r="G44" s="121" t="n"/>
    </row>
    <row r="45" hidden="1">
      <c r="A45" s="5" t="inlineStr">
        <is>
          <t>Manufacturer:</t>
        </is>
      </c>
      <c r="B45" s="4" t="n"/>
      <c r="C45" s="4" t="n"/>
      <c r="D45" s="4" t="n"/>
      <c r="E45" s="6" t="n"/>
      <c r="F45" s="6" t="n"/>
    </row>
    <row r="46" hidden="1">
      <c r="A46" s="5" t="inlineStr">
        <is>
          <t>System(s):</t>
        </is>
      </c>
      <c r="B46" s="6" t="n"/>
      <c r="C46" s="6" t="n"/>
      <c r="D46" s="6" t="n"/>
      <c r="E46" s="6" t="n"/>
      <c r="F46" s="6" t="n"/>
    </row>
    <row r="47" hidden="1">
      <c r="A47" s="5" t="inlineStr">
        <is>
          <t>Color / Blend:</t>
        </is>
      </c>
      <c r="B47" s="6" t="n"/>
      <c r="C47" s="6" t="n"/>
      <c r="D47" s="6" t="n"/>
      <c r="E47" s="6" t="n"/>
      <c r="F47" s="6" t="n"/>
    </row>
    <row r="48" hidden="1">
      <c r="A48" s="5" t="inlineStr">
        <is>
          <t>Square Feet                             [Floor]:</t>
        </is>
      </c>
      <c r="B48" s="164" t="n"/>
      <c r="C48" s="35" t="inlineStr">
        <is>
          <t>sf</t>
        </is>
      </c>
      <c r="D48" s="164" t="n"/>
      <c r="E48" s="35" t="inlineStr">
        <is>
          <t>lf</t>
        </is>
      </c>
      <c r="F48" s="6" t="n"/>
    </row>
    <row r="49" hidden="1">
      <c r="A49" s="42" t="inlineStr">
        <is>
          <t xml:space="preserve">  ** Special Transition Detail?</t>
        </is>
      </c>
      <c r="B49" s="165" t="n"/>
      <c r="C49" s="6" t="n"/>
      <c r="D49" s="165" t="n"/>
      <c r="E49" s="6" t="n"/>
      <c r="F49" s="6" t="n"/>
    </row>
    <row r="50">
      <c r="A50" s="5" t="n"/>
      <c r="B50" s="4" t="n"/>
      <c r="C50" s="4" t="n"/>
      <c r="D50" s="4" t="n"/>
      <c r="E50" s="4" t="n"/>
      <c r="F50" s="4" t="n"/>
    </row>
    <row r="51">
      <c r="A51" s="40" t="inlineStr">
        <is>
          <t>Additional Scope of Work:</t>
        </is>
      </c>
      <c r="B51" s="4" t="n"/>
      <c r="C51" s="4" t="n"/>
      <c r="D51" s="4" t="n"/>
      <c r="E51" s="4" t="n"/>
      <c r="F51" s="4" t="n"/>
    </row>
    <row r="52">
      <c r="A52" s="5" t="n"/>
      <c r="B52" s="4" t="n"/>
      <c r="C52" s="4" t="n"/>
      <c r="D52" s="4" t="n"/>
      <c r="E52" s="4" t="n"/>
      <c r="F52" s="4" t="n"/>
    </row>
    <row r="53">
      <c r="A53" s="5" t="n"/>
      <c r="B53" s="4" t="n"/>
      <c r="C53" s="4" t="n"/>
      <c r="D53" s="4" t="n"/>
      <c r="E53" s="4" t="n"/>
      <c r="F53" s="4" t="n"/>
    </row>
    <row r="54">
      <c r="A54" s="40" t="inlineStr">
        <is>
          <t>Schedule:</t>
        </is>
      </c>
      <c r="B54" s="4" t="n"/>
      <c r="C54" s="4" t="n"/>
      <c r="D54" s="4" t="n"/>
      <c r="E54" s="4" t="n"/>
      <c r="F54" s="4" t="n"/>
    </row>
    <row r="55">
      <c r="A55" s="40" t="n"/>
      <c r="B55" s="4" t="n"/>
      <c r="C55" s="4" t="n"/>
      <c r="D55" s="4" t="n"/>
      <c r="E55" s="4" t="n"/>
      <c r="F55" s="4" t="n"/>
    </row>
    <row r="56">
      <c r="A56" s="5" t="n"/>
      <c r="B56" s="4" t="n"/>
      <c r="C56" s="4" t="n"/>
      <c r="D56" s="33" t="n"/>
      <c r="E56" s="4" t="n"/>
      <c r="F56" s="4" t="n"/>
    </row>
    <row r="57">
      <c r="A57" s="22" t="inlineStr">
        <is>
          <t>Treadwell Contract Amount:</t>
        </is>
      </c>
      <c r="B57" s="167" t="n"/>
      <c r="C57" s="8" t="n"/>
      <c r="D57" s="33" t="n"/>
      <c r="E57" s="4" t="n"/>
      <c r="F57" s="8" t="n"/>
      <c r="G57" s="8" t="n"/>
      <c r="H57" s="38" t="inlineStr">
        <is>
          <t>Raken Man Hour Budget:</t>
        </is>
      </c>
      <c r="I57" s="39" t="n"/>
    </row>
    <row r="58">
      <c r="A58" s="22" t="inlineStr">
        <is>
          <t>Estimated Costs:  [Including Taxes &amp; Fees]</t>
        </is>
      </c>
      <c r="B58" s="168" t="n"/>
      <c r="C58" s="8" t="n"/>
      <c r="D58" s="33" t="n"/>
      <c r="E58" s="4" t="n"/>
      <c r="G58" s="37" t="n"/>
      <c r="H58" s="115" t="n"/>
      <c r="I58" s="137" t="n"/>
    </row>
    <row r="59">
      <c r="A59" s="5" t="inlineStr">
        <is>
          <t>Deposit Required?</t>
        </is>
      </c>
      <c r="B59" t="inlineStr">
        <is>
          <t>N</t>
        </is>
      </c>
      <c r="C59">
        <f>IF(B59="Y","**PM / SALES NOTIFY Accounting TO SEND IMMEDIATE INVOICE**", "")</f>
        <v/>
      </c>
      <c r="D59" s="33" t="n"/>
      <c r="E59" s="4" t="n"/>
      <c r="H59" s="116" t="n"/>
      <c r="I59" s="138" t="n"/>
    </row>
    <row r="60">
      <c r="A60" s="24" t="inlineStr">
        <is>
          <t>Payment Terms (Terms):</t>
        </is>
      </c>
      <c r="B60" t="inlineStr">
        <is>
          <t>AIA (GC)</t>
        </is>
      </c>
      <c r="D60" s="33" t="n"/>
      <c r="E60" s="4" t="n"/>
      <c r="H60" s="116" t="n"/>
      <c r="I60" s="138" t="n"/>
    </row>
    <row r="61">
      <c r="A61" s="5" t="inlineStr">
        <is>
          <t>New Customer Over $10K?</t>
        </is>
      </c>
      <c r="B61" t="inlineStr">
        <is>
          <t>N</t>
        </is>
      </c>
      <c r="C61">
        <f>IF(B61="Y","**REQUEST CUSTOMER PRE-QUAL.  RUN CREDIT CHECK.  INFORM COO**", "")</f>
        <v/>
      </c>
      <c r="D61" s="33" t="n"/>
      <c r="E61" s="4" t="n"/>
    </row>
    <row r="62">
      <c r="A62" s="23" t="inlineStr">
        <is>
          <t>Lead Source (Sales Only)</t>
        </is>
      </c>
      <c r="B62" t="inlineStr">
        <is>
          <t>Repeat Customer</t>
        </is>
      </c>
      <c r="C62">
        <f>IF(B62=""," ","RECORD UNDER UDF TAB IN FOUNDATION ")</f>
        <v/>
      </c>
      <c r="D62" s="8" t="n"/>
    </row>
    <row r="63">
      <c r="A63" s="5" t="inlineStr">
        <is>
          <t>Prevailing Wage?</t>
        </is>
      </c>
      <c r="B63" t="inlineStr">
        <is>
          <t>N</t>
        </is>
      </c>
      <c r="D63">
        <f>IF(B61="Y","Link to Credit Check ($39 option)", "")</f>
        <v/>
      </c>
      <c r="G63">
        <f>IF(B61="Y","https://sbcr.experian.com/main.aspx?link=5502&amp;offercode=EXPSBpdpbcrmarquee", "")</f>
        <v/>
      </c>
    </row>
    <row r="64">
      <c r="A64" s="5" t="inlineStr">
        <is>
          <t>Bond?</t>
        </is>
      </c>
      <c r="B64" t="inlineStr">
        <is>
          <t>N</t>
        </is>
      </c>
    </row>
    <row r="65">
      <c r="A65" s="22" t="inlineStr">
        <is>
          <t>Payroll Tax Group</t>
        </is>
      </c>
      <c r="B65" s="42">
        <f>IF(
AND(
OR(B21="Kansas City", B21="KC"),
OR(F21="MO", F21="Missouri", F21="MO - Missouri")
),
"Kansas City Local Tax",
"None"
)</f>
        <v/>
      </c>
    </row>
    <row r="66">
      <c r="A66" s="22" t="inlineStr">
        <is>
          <t>Tax Exempt?</t>
        </is>
      </c>
      <c r="B66" t="inlineStr">
        <is>
          <t>N</t>
        </is>
      </c>
      <c r="C66">
        <f>IF(B66="Y","***GREG / SALES REQUEST TAX EXEMPT.  COPY Accounting TO SEND CERT TO SUPERIOR***"," ")</f>
        <v/>
      </c>
    </row>
    <row r="67">
      <c r="A67" s="23" t="inlineStr">
        <is>
          <t>KS Remodel Tax (code + %)?</t>
        </is>
      </c>
      <c r="B67" t="inlineStr">
        <is>
          <t>N</t>
        </is>
      </c>
      <c r="C67">
        <f>IF(B67="Y","***PM RECORD IN FOUNDATION Under UDF TAB***"," ")</f>
        <v/>
      </c>
    </row>
    <row r="68">
      <c r="A68" s="5" t="inlineStr">
        <is>
          <t>CCIP?</t>
        </is>
      </c>
      <c r="B68" t="inlineStr">
        <is>
          <t>N</t>
        </is>
      </c>
      <c r="C68">
        <f>IF(B68="Y","***RECORD IN FOUNDATION UNDER WORKER'S COMP MENU.  SAVE COI IN FOLDER***"," ")</f>
        <v/>
      </c>
    </row>
    <row r="69">
      <c r="A69" s="28" t="inlineStr">
        <is>
          <t>Workers' Comp State</t>
        </is>
      </c>
      <c r="B69">
        <f>IF(B68="N",B19,"XX CCIP")</f>
        <v/>
      </c>
    </row>
    <row r="70">
      <c r="A70" s="22" t="inlineStr">
        <is>
          <t>Retaininage %</t>
        </is>
      </c>
      <c r="B70" s="124" t="inlineStr">
        <is>
          <t>tbd</t>
        </is>
      </c>
    </row>
    <row r="71">
      <c r="A71" s="5" t="inlineStr">
        <is>
          <t>Risk Management Plan</t>
        </is>
      </c>
      <c r="B71">
        <f>IF(B57&gt;149000,"REQUIRED", "N/A")</f>
        <v/>
      </c>
    </row>
    <row r="73">
      <c r="A73" s="5" t="inlineStr">
        <is>
          <t>Manufacturer's Pricing Year:</t>
        </is>
      </c>
      <c r="B73" s="4" t="n"/>
      <c r="C73" s="4" t="n"/>
      <c r="D73" s="4" t="n"/>
      <c r="E73" s="4" t="n"/>
      <c r="F73" s="4" t="n"/>
      <c r="G73" s="19" t="inlineStr">
        <is>
          <t>*PM note in orders if for previous year*</t>
        </is>
      </c>
    </row>
    <row r="74">
      <c r="A74" s="5" t="n"/>
      <c r="B74" s="4" t="n"/>
      <c r="C74" s="4" t="n"/>
      <c r="D74" s="4" t="n"/>
      <c r="E74" s="4" t="n"/>
      <c r="F74" s="4" t="n"/>
    </row>
    <row r="75">
      <c r="A75" s="5" t="inlineStr">
        <is>
          <t>Hot Items/Notes:</t>
        </is>
      </c>
    </row>
    <row r="76">
      <c r="A76" s="5" t="n"/>
    </row>
  </sheetData>
  <mergeCells count="2">
    <mergeCell ref="B4:F4"/>
    <mergeCell ref="B6:F6"/>
  </mergeCells>
  <conditionalFormatting sqref="B59:B61 B63:B64 B66:B68">
    <cfRule type="containsText" priority="3" operator="containsText" dxfId="0" text="Y">
      <formula>NOT(ISERROR(SEARCH("Y",B59)))</formula>
    </cfRule>
  </conditionalFormatting>
  <conditionalFormatting sqref="B59:B64 B66:B68">
    <cfRule type="containsText" priority="4" operator="containsText" dxfId="0" text="Yes">
      <formula>NOT(ISERROR(SEARCH("Yes",B59)))</formula>
    </cfRule>
  </conditionalFormatting>
  <conditionalFormatting sqref="B60">
    <cfRule type="containsText" priority="1" operator="containsText" dxfId="0" text="Net">
      <formula>NOT(ISERROR(SEARCH("Net",B60)))</formula>
    </cfRule>
  </conditionalFormatting>
  <conditionalFormatting sqref="B62">
    <cfRule type="notContainsBlanks" priority="21" dxfId="0">
      <formula>LEN(TRIM(B62))&gt;0</formula>
    </cfRule>
  </conditionalFormatting>
  <conditionalFormatting sqref="B71">
    <cfRule type="containsText" priority="26" operator="containsText" dxfId="2" text="REQUIRED">
      <formula>NOT(ISERROR(SEARCH("REQUIRED",B71)))</formula>
    </cfRule>
  </conditionalFormatting>
  <conditionalFormatting sqref="C59">
    <cfRule type="containsText" priority="2" operator="containsText" dxfId="0" text="Send">
      <formula>NOT(ISERROR(SEARCH("Send",C59)))</formula>
    </cfRule>
  </conditionalFormatting>
  <conditionalFormatting sqref="C61:C62">
    <cfRule type="containsText" priority="24" operator="containsText" dxfId="0" text="Send">
      <formula>NOT(ISERROR(SEARCH("Send",C61)))</formula>
    </cfRule>
  </conditionalFormatting>
  <dataValidations count="7">
    <dataValidation sqref="F33" showDropDown="0" showInputMessage="1" showErrorMessage="1" allowBlank="1" type="list">
      <formula1>"Treadwell Pay App,Textura,Procore,GCPay,Premier,GC's Custom Pay APP,Other (List)"</formula1>
    </dataValidation>
    <dataValidation sqref="B16" showDropDown="0" showInputMessage="1" showErrorMessage="1" allowBlank="1" type="list">
      <formula1>MarketList</formula1>
    </dataValidation>
    <dataValidation sqref="B17" showDropDown="0" showInputMessage="1" showErrorMessage="1" allowBlank="1" type="list">
      <formula1>FloorList</formula1>
    </dataValidation>
    <dataValidation sqref="B19" showDropDown="0" showInputMessage="1" showErrorMessage="1" allowBlank="1" type="list">
      <formula1>StateList</formula1>
    </dataValidation>
    <dataValidation sqref="B60" showDropDown="0" showInputMessage="1" showErrorMessage="1" allowBlank="1" type="list">
      <formula1>TermsList</formula1>
    </dataValidation>
    <dataValidation sqref="B62" showDropDown="0" showInputMessage="1" showErrorMessage="1" allowBlank="1" type="list">
      <formula1>LeadSourceList</formula1>
    </dataValidation>
    <dataValidation sqref="B59 B61 B63:B64 B66:B68" showDropDown="0" showInputMessage="1" showErrorMessage="1" allowBlank="1" type="list">
      <formula1>YNList</formula1>
    </dataValidation>
  </dataValidations>
  <printOptions horizontalCentered="1"/>
  <pageMargins left="0.5" right="0.5" top="0.5" bottom="0.5" header="0.5" footer="0.5"/>
  <pageSetup orientation="portrait" scale="67" horizontalDpi="4294967292" verticalDpi="4294967292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O39" sqref="O39"/>
    </sheetView>
  </sheetViews>
  <sheetFormatPr baseColWidth="10" defaultRowHeight="16"/>
  <cols>
    <col width="21.6640625" bestFit="1" customWidth="1" min="2" max="2"/>
    <col width="13" customWidth="1" min="3" max="3"/>
  </cols>
  <sheetData>
    <row r="1">
      <c r="A1" s="49" t="inlineStr">
        <is>
          <t>A</t>
        </is>
      </c>
      <c r="B1" s="50" t="inlineStr">
        <is>
          <t>B</t>
        </is>
      </c>
      <c r="C1" s="169" t="inlineStr">
        <is>
          <t>C</t>
        </is>
      </c>
      <c r="D1" s="170" t="inlineStr">
        <is>
          <t>D</t>
        </is>
      </c>
      <c r="E1" s="171" t="inlineStr">
        <is>
          <t>E</t>
        </is>
      </c>
      <c r="F1" s="172" t="inlineStr">
        <is>
          <t>F</t>
        </is>
      </c>
      <c r="G1" s="172" t="inlineStr">
        <is>
          <t>G</t>
        </is>
      </c>
      <c r="H1" s="50" t="inlineStr">
        <is>
          <t>H</t>
        </is>
      </c>
      <c r="I1" s="55" t="inlineStr">
        <is>
          <t>I</t>
        </is>
      </c>
      <c r="J1" s="56" t="inlineStr">
        <is>
          <t>J</t>
        </is>
      </c>
      <c r="K1" s="50" t="inlineStr">
        <is>
          <t>K</t>
        </is>
      </c>
      <c r="L1" s="57" t="inlineStr">
        <is>
          <t>L</t>
        </is>
      </c>
    </row>
    <row r="2">
      <c r="A2" s="58" t="inlineStr">
        <is>
          <t>ITEM</t>
        </is>
      </c>
      <c r="B2" s="59" t="inlineStr">
        <is>
          <t>DESCRIPTION OF WORK</t>
        </is>
      </c>
      <c r="C2" s="173" t="inlineStr">
        <is>
          <t xml:space="preserve">SCHEDULED </t>
        </is>
      </c>
      <c r="D2" s="174" t="inlineStr">
        <is>
          <t>CHANGES</t>
        </is>
      </c>
      <c r="E2" s="175" t="inlineStr">
        <is>
          <t xml:space="preserve">TOTAL </t>
        </is>
      </c>
      <c r="F2" s="176" t="inlineStr">
        <is>
          <t>WORK COMPLETED</t>
        </is>
      </c>
      <c r="G2" s="177" t="n"/>
      <c r="H2" s="59" t="inlineStr">
        <is>
          <t>MATERIALS</t>
        </is>
      </c>
      <c r="I2" s="59" t="inlineStr">
        <is>
          <t>TOTAL</t>
        </is>
      </c>
      <c r="J2" s="65" t="inlineStr">
        <is>
          <t>%</t>
        </is>
      </c>
      <c r="K2" s="59" t="inlineStr">
        <is>
          <t>BALANCE</t>
        </is>
      </c>
      <c r="L2" s="66" t="inlineStr">
        <is>
          <t>RETAINAGE</t>
        </is>
      </c>
    </row>
    <row r="3">
      <c r="A3" s="58" t="inlineStr">
        <is>
          <t>NO.</t>
        </is>
      </c>
      <c r="B3" s="67" t="n"/>
      <c r="C3" s="173" t="inlineStr">
        <is>
          <t>VALUE</t>
        </is>
      </c>
      <c r="D3" s="173" t="n"/>
      <c r="E3" s="173" t="inlineStr">
        <is>
          <t xml:space="preserve">SCHEDULED </t>
        </is>
      </c>
      <c r="F3" s="173" t="inlineStr">
        <is>
          <t>FROM PREVIOUS</t>
        </is>
      </c>
      <c r="G3" s="173" t="inlineStr">
        <is>
          <t>THIS PERIOD</t>
        </is>
      </c>
      <c r="H3" s="59" t="inlineStr">
        <is>
          <t>PRESENTLY</t>
        </is>
      </c>
      <c r="I3" s="59" t="inlineStr">
        <is>
          <t xml:space="preserve">COMPLETED </t>
        </is>
      </c>
      <c r="J3" s="65" t="inlineStr">
        <is>
          <t>COMPLETE</t>
        </is>
      </c>
      <c r="K3" s="59" t="inlineStr">
        <is>
          <t>TO FINISH</t>
        </is>
      </c>
      <c r="L3" s="68" t="n"/>
    </row>
    <row r="4">
      <c r="A4" s="58" t="n"/>
      <c r="B4" s="67" t="n"/>
      <c r="C4" s="173" t="n"/>
      <c r="D4" s="178" t="n"/>
      <c r="E4" s="173" t="inlineStr">
        <is>
          <t>VALUE</t>
        </is>
      </c>
      <c r="F4" s="173" t="inlineStr">
        <is>
          <t>APPLICATION</t>
        </is>
      </c>
      <c r="G4" s="178" t="n"/>
      <c r="H4" s="59" t="inlineStr">
        <is>
          <t>STORED</t>
        </is>
      </c>
      <c r="I4" s="59" t="inlineStr">
        <is>
          <t>AND STORED</t>
        </is>
      </c>
      <c r="J4" s="65" t="n"/>
      <c r="K4" s="59" t="n"/>
      <c r="L4" s="70" t="n"/>
    </row>
    <row r="5" ht="17" customHeight="1" thickBot="1">
      <c r="A5" s="71" t="n"/>
      <c r="B5" s="72" t="n"/>
      <c r="C5" s="179" t="n"/>
      <c r="D5" s="179" t="n"/>
      <c r="E5" s="179" t="n"/>
      <c r="F5" s="180" t="n"/>
      <c r="G5" s="179" t="n"/>
      <c r="H5" s="75" t="n"/>
      <c r="I5" s="75" t="inlineStr">
        <is>
          <t>TO DATE</t>
        </is>
      </c>
      <c r="J5" s="76" t="n"/>
      <c r="K5" s="72" t="n"/>
      <c r="L5" s="77" t="n"/>
    </row>
    <row r="6" ht="17" customHeight="1" thickBot="1">
      <c r="A6" s="78" t="n"/>
      <c r="B6" s="79" t="n"/>
      <c r="C6" s="181" t="n"/>
      <c r="D6" s="181" t="n"/>
      <c r="E6" s="181" t="n"/>
      <c r="F6" s="182" t="n"/>
      <c r="G6" s="182" t="n"/>
      <c r="H6" s="82" t="n"/>
      <c r="I6" s="82" t="n"/>
      <c r="J6" s="83" t="n"/>
      <c r="K6" s="84" t="n"/>
      <c r="L6" s="85" t="n"/>
    </row>
    <row r="7">
      <c r="A7" s="86" t="inlineStr">
        <is>
          <t>01</t>
        </is>
      </c>
      <c r="B7" s="87" t="inlineStr">
        <is>
          <t>Submittals / Samples</t>
        </is>
      </c>
      <c r="C7" s="183" t="n"/>
      <c r="D7" s="184" t="n"/>
      <c r="E7" s="185">
        <f>C7+D7</f>
        <v/>
      </c>
      <c r="F7" s="186" t="n">
        <v>0</v>
      </c>
      <c r="G7" s="187" t="n">
        <v>0</v>
      </c>
      <c r="H7" s="188" t="n"/>
      <c r="I7" s="187" t="n">
        <v>0</v>
      </c>
      <c r="J7" s="189" t="n">
        <v>0</v>
      </c>
      <c r="K7" s="190" t="n">
        <v>0</v>
      </c>
      <c r="L7" s="190" t="n">
        <v>0</v>
      </c>
    </row>
    <row r="8">
      <c r="A8" s="96" t="inlineStr">
        <is>
          <t>02</t>
        </is>
      </c>
      <c r="B8" s="46" t="inlineStr">
        <is>
          <t>Insurance</t>
        </is>
      </c>
      <c r="C8" s="191" t="n"/>
      <c r="D8" s="192" t="n"/>
      <c r="E8" s="185">
        <f>C8+D8</f>
        <v/>
      </c>
      <c r="F8" s="186" t="n">
        <v>0</v>
      </c>
      <c r="G8" s="187" t="n">
        <v>0</v>
      </c>
      <c r="H8" s="188" t="n"/>
      <c r="I8" s="187" t="n">
        <v>0</v>
      </c>
      <c r="J8" s="189" t="n">
        <v>0</v>
      </c>
      <c r="K8" s="190" t="n">
        <v>0</v>
      </c>
      <c r="L8" s="190" t="n">
        <v>0</v>
      </c>
    </row>
    <row r="9">
      <c r="A9" s="96" t="inlineStr">
        <is>
          <t xml:space="preserve">03 </t>
        </is>
      </c>
      <c r="B9" s="46" t="inlineStr">
        <is>
          <t>Mobilization</t>
        </is>
      </c>
      <c r="C9" s="191" t="n"/>
      <c r="D9" s="192" t="n"/>
      <c r="E9" s="185">
        <f>C9+D9</f>
        <v/>
      </c>
      <c r="F9" s="186" t="n">
        <v>0</v>
      </c>
      <c r="G9" s="187" t="n">
        <v>0</v>
      </c>
      <c r="H9" s="188" t="n"/>
      <c r="I9" s="187" t="n">
        <v>0</v>
      </c>
      <c r="J9" s="189" t="n">
        <v>0</v>
      </c>
      <c r="K9" s="190" t="n">
        <v>0</v>
      </c>
      <c r="L9" s="190" t="n">
        <v>0</v>
      </c>
    </row>
    <row r="10">
      <c r="A10" s="96" t="inlineStr">
        <is>
          <t>04</t>
        </is>
      </c>
      <c r="B10" s="46" t="inlineStr">
        <is>
          <t>Bond (if applicable)</t>
        </is>
      </c>
      <c r="C10" s="191" t="n"/>
      <c r="D10" s="193" t="n"/>
      <c r="E10" s="185">
        <f>C10+D10</f>
        <v/>
      </c>
      <c r="F10" s="186" t="n">
        <v>0</v>
      </c>
      <c r="G10" s="187" t="n">
        <v>0</v>
      </c>
      <c r="H10" s="188" t="n"/>
      <c r="I10" s="187" t="n">
        <v>0</v>
      </c>
      <c r="J10" s="189" t="n">
        <v>0</v>
      </c>
      <c r="K10" s="190" t="n">
        <v>0</v>
      </c>
      <c r="L10" s="190" t="n">
        <v>0</v>
      </c>
    </row>
    <row r="11">
      <c r="A11" s="96" t="inlineStr">
        <is>
          <t>05</t>
        </is>
      </c>
      <c r="B11" s="100" t="inlineStr">
        <is>
          <t>Mock Up (if applicable)</t>
        </is>
      </c>
      <c r="C11" s="194" t="n"/>
      <c r="D11" s="194" t="n"/>
      <c r="E11" s="185">
        <f>C11+D11</f>
        <v/>
      </c>
      <c r="F11" s="195" t="n">
        <v>0</v>
      </c>
      <c r="G11" s="187" t="n">
        <v>0</v>
      </c>
      <c r="H11" s="188" t="n"/>
      <c r="I11" s="187" t="n">
        <v>0</v>
      </c>
      <c r="J11" s="189" t="n">
        <v>0</v>
      </c>
      <c r="K11" s="190" t="n">
        <v>0</v>
      </c>
      <c r="L11" s="190" t="n">
        <v>0</v>
      </c>
    </row>
    <row r="12">
      <c r="A12" s="96" t="n"/>
      <c r="B12" s="100" t="n"/>
      <c r="C12" s="194" t="n"/>
      <c r="D12" s="194" t="n"/>
      <c r="E12" s="185">
        <f>C12+D12</f>
        <v/>
      </c>
      <c r="F12" s="195" t="n">
        <v>0</v>
      </c>
      <c r="G12" s="187" t="n">
        <v>0</v>
      </c>
      <c r="H12" s="188" t="n"/>
      <c r="I12" s="187" t="n">
        <v>0</v>
      </c>
      <c r="J12" s="189" t="n">
        <v>0</v>
      </c>
      <c r="K12" s="190" t="n">
        <v>0</v>
      </c>
      <c r="L12" s="190" t="n">
        <v>0</v>
      </c>
    </row>
    <row r="13">
      <c r="A13" s="96" t="n"/>
      <c r="B13" s="46" t="n"/>
      <c r="C13" s="191" t="n"/>
      <c r="D13" s="194" t="n"/>
      <c r="E13" s="185">
        <f>C13+D13</f>
        <v/>
      </c>
      <c r="F13" s="195" t="n">
        <v>0</v>
      </c>
      <c r="G13" s="187" t="n">
        <v>0</v>
      </c>
      <c r="H13" s="188" t="n"/>
      <c r="I13" s="187" t="n">
        <v>0</v>
      </c>
      <c r="J13" s="189" t="n">
        <v>0</v>
      </c>
      <c r="K13" s="190" t="n">
        <v>0</v>
      </c>
      <c r="L13" s="190" t="n">
        <v>0</v>
      </c>
    </row>
    <row r="14">
      <c r="A14" s="96" t="n"/>
      <c r="B14" s="46" t="n"/>
      <c r="C14" s="191" t="n"/>
      <c r="D14" s="194" t="n"/>
      <c r="E14" s="185">
        <f>C14+D14</f>
        <v/>
      </c>
      <c r="F14" s="195" t="n">
        <v>0</v>
      </c>
      <c r="G14" s="187" t="n">
        <v>0</v>
      </c>
      <c r="H14" s="188" t="n"/>
      <c r="I14" s="187" t="n">
        <v>0</v>
      </c>
      <c r="J14" s="189" t="n">
        <v>0</v>
      </c>
      <c r="K14" s="190" t="n">
        <v>0</v>
      </c>
      <c r="L14" s="190" t="n">
        <v>0</v>
      </c>
    </row>
    <row r="15">
      <c r="A15" s="96" t="n"/>
      <c r="B15" s="46" t="n"/>
      <c r="C15" s="191" t="n"/>
      <c r="D15" s="194" t="n"/>
      <c r="E15" s="185">
        <f>C15+D15</f>
        <v/>
      </c>
      <c r="F15" s="195" t="n">
        <v>0</v>
      </c>
      <c r="G15" s="187" t="n">
        <v>0</v>
      </c>
      <c r="H15" s="188" t="n"/>
      <c r="I15" s="187" t="n">
        <v>0</v>
      </c>
      <c r="J15" s="189" t="n">
        <v>0</v>
      </c>
      <c r="K15" s="190" t="n">
        <v>0</v>
      </c>
      <c r="L15" s="190" t="n">
        <v>0</v>
      </c>
    </row>
    <row r="16">
      <c r="A16" s="96" t="n"/>
      <c r="B16" s="46" t="n"/>
      <c r="C16" s="191" t="n"/>
      <c r="D16" s="194" t="n"/>
      <c r="E16" s="185">
        <f>C16+D16</f>
        <v/>
      </c>
      <c r="F16" s="195" t="n">
        <v>0</v>
      </c>
      <c r="G16" s="187" t="n">
        <v>0</v>
      </c>
      <c r="H16" s="188" t="n"/>
      <c r="I16" s="187" t="n">
        <v>0</v>
      </c>
      <c r="J16" s="189" t="n">
        <v>0</v>
      </c>
      <c r="K16" s="190" t="n">
        <v>0</v>
      </c>
      <c r="L16" s="190" t="n">
        <v>0</v>
      </c>
    </row>
    <row r="17">
      <c r="A17" s="96" t="n"/>
      <c r="B17" s="100" t="n"/>
      <c r="C17" s="194" t="n"/>
      <c r="D17" s="194" t="n"/>
      <c r="E17" s="185">
        <f>C17+D17</f>
        <v/>
      </c>
      <c r="F17" s="195" t="n">
        <v>0</v>
      </c>
      <c r="G17" s="187" t="n">
        <v>0</v>
      </c>
      <c r="H17" s="188" t="n"/>
      <c r="I17" s="187" t="n">
        <v>0</v>
      </c>
      <c r="J17" s="189" t="n">
        <v>0</v>
      </c>
      <c r="K17" s="190" t="n">
        <v>0</v>
      </c>
      <c r="L17" s="190" t="n">
        <v>0</v>
      </c>
    </row>
    <row r="18">
      <c r="A18" s="96" t="n"/>
      <c r="B18" s="100" t="n"/>
      <c r="C18" s="194" t="n"/>
      <c r="D18" s="194" t="n"/>
      <c r="E18" s="185">
        <f>C18+D18</f>
        <v/>
      </c>
      <c r="F18" s="195" t="n">
        <v>0</v>
      </c>
      <c r="G18" s="187" t="n">
        <v>0</v>
      </c>
      <c r="H18" s="188" t="n"/>
      <c r="I18" s="187" t="n">
        <v>0</v>
      </c>
      <c r="J18" s="189" t="n">
        <v>0</v>
      </c>
      <c r="K18" s="190" t="n">
        <v>0</v>
      </c>
      <c r="L18" s="190" t="n">
        <v>0</v>
      </c>
    </row>
    <row r="19">
      <c r="A19" s="96" t="n"/>
      <c r="B19" s="46" t="n"/>
      <c r="C19" s="191" t="n"/>
      <c r="D19" s="194" t="n"/>
      <c r="E19" s="185">
        <f>C19+D19</f>
        <v/>
      </c>
      <c r="F19" s="195" t="n">
        <v>0</v>
      </c>
      <c r="G19" s="187" t="n">
        <v>0</v>
      </c>
      <c r="H19" s="188" t="n"/>
      <c r="I19" s="187" t="n">
        <v>0</v>
      </c>
      <c r="J19" s="189" t="n">
        <v>0</v>
      </c>
      <c r="K19" s="190" t="n">
        <v>0</v>
      </c>
      <c r="L19" s="190" t="n">
        <v>0</v>
      </c>
    </row>
    <row r="20">
      <c r="A20" s="96" t="n"/>
      <c r="B20" s="46" t="n"/>
      <c r="C20" s="191" t="n"/>
      <c r="D20" s="194" t="n"/>
      <c r="E20" s="185">
        <f>C20+D20</f>
        <v/>
      </c>
      <c r="F20" s="195" t="n">
        <v>0</v>
      </c>
      <c r="G20" s="187" t="n">
        <v>0</v>
      </c>
      <c r="H20" s="188" t="n"/>
      <c r="I20" s="187" t="n">
        <v>0</v>
      </c>
      <c r="J20" s="189" t="n">
        <v>0</v>
      </c>
      <c r="K20" s="190" t="n">
        <v>0</v>
      </c>
      <c r="L20" s="190" t="n">
        <v>0</v>
      </c>
    </row>
    <row r="21">
      <c r="A21" s="96" t="n"/>
      <c r="B21" s="46" t="n"/>
      <c r="C21" s="191" t="n"/>
      <c r="D21" s="194" t="n"/>
      <c r="E21" s="185">
        <f>C21+D21</f>
        <v/>
      </c>
      <c r="F21" s="195" t="n">
        <v>0</v>
      </c>
      <c r="G21" s="187" t="n">
        <v>0</v>
      </c>
      <c r="H21" s="188" t="n"/>
      <c r="I21" s="187" t="n">
        <v>0</v>
      </c>
      <c r="J21" s="189" t="n">
        <v>0</v>
      </c>
      <c r="K21" s="190" t="n">
        <v>0</v>
      </c>
      <c r="L21" s="190" t="n">
        <v>0</v>
      </c>
    </row>
    <row r="22">
      <c r="A22" s="96" t="n"/>
      <c r="B22" s="46" t="n"/>
      <c r="C22" s="191" t="n"/>
      <c r="D22" s="194" t="n"/>
      <c r="E22" s="185">
        <f>C22+D22</f>
        <v/>
      </c>
      <c r="F22" s="195" t="n">
        <v>0</v>
      </c>
      <c r="G22" s="187" t="n">
        <v>0</v>
      </c>
      <c r="H22" s="188" t="n"/>
      <c r="I22" s="187" t="n">
        <v>0</v>
      </c>
      <c r="J22" s="189" t="n">
        <v>0</v>
      </c>
      <c r="K22" s="190" t="n">
        <v>0</v>
      </c>
      <c r="L22" s="190" t="n">
        <v>0</v>
      </c>
    </row>
    <row r="23">
      <c r="A23" s="96" t="n"/>
      <c r="B23" s="46" t="n"/>
      <c r="C23" s="191" t="n"/>
      <c r="D23" s="194" t="n"/>
      <c r="E23" s="185">
        <f>C23+D23</f>
        <v/>
      </c>
      <c r="F23" s="195" t="n">
        <v>0</v>
      </c>
      <c r="G23" s="187" t="n">
        <v>0</v>
      </c>
      <c r="H23" s="188" t="n"/>
      <c r="I23" s="187" t="n">
        <v>0</v>
      </c>
      <c r="J23" s="189" t="n">
        <v>0</v>
      </c>
      <c r="K23" s="190" t="n">
        <v>0</v>
      </c>
      <c r="L23" s="190" t="n">
        <v>0</v>
      </c>
    </row>
    <row r="24">
      <c r="A24" s="96" t="n"/>
      <c r="B24" s="100" t="n"/>
      <c r="C24" s="194" t="n"/>
      <c r="D24" s="194" t="n"/>
      <c r="E24" s="185">
        <f>C24+D24</f>
        <v/>
      </c>
      <c r="F24" s="195" t="n">
        <v>0</v>
      </c>
      <c r="G24" s="187" t="n">
        <v>0</v>
      </c>
      <c r="H24" s="188" t="n"/>
      <c r="I24" s="187" t="n">
        <v>0</v>
      </c>
      <c r="J24" s="189" t="n">
        <v>0</v>
      </c>
      <c r="K24" s="190" t="n">
        <v>0</v>
      </c>
      <c r="L24" s="190" t="n">
        <v>0</v>
      </c>
    </row>
    <row r="25">
      <c r="A25" s="96" t="n"/>
      <c r="B25" s="100" t="n"/>
      <c r="C25" s="194" t="n"/>
      <c r="D25" s="194" t="n"/>
      <c r="E25" s="185">
        <f>C25+D25</f>
        <v/>
      </c>
      <c r="F25" s="195" t="n">
        <v>0</v>
      </c>
      <c r="G25" s="187" t="n">
        <v>0</v>
      </c>
      <c r="H25" s="188" t="n"/>
      <c r="I25" s="187" t="n">
        <v>0</v>
      </c>
      <c r="J25" s="189" t="n">
        <v>0</v>
      </c>
      <c r="K25" s="190" t="n">
        <v>0</v>
      </c>
      <c r="L25" s="190" t="n">
        <v>0</v>
      </c>
    </row>
    <row r="26">
      <c r="A26" s="96" t="n"/>
      <c r="B26" s="46" t="n"/>
      <c r="C26" s="191" t="n"/>
      <c r="D26" s="194" t="n"/>
      <c r="E26" s="185">
        <f>C26+D26</f>
        <v/>
      </c>
      <c r="F26" s="195" t="n">
        <v>0</v>
      </c>
      <c r="G26" s="187" t="n">
        <v>0</v>
      </c>
      <c r="H26" s="188" t="n"/>
      <c r="I26" s="187" t="n">
        <v>0</v>
      </c>
      <c r="J26" s="189" t="n">
        <v>0</v>
      </c>
      <c r="K26" s="190" t="n">
        <v>0</v>
      </c>
      <c r="L26" s="190" t="n">
        <v>0</v>
      </c>
    </row>
    <row r="27">
      <c r="A27" s="96" t="n"/>
      <c r="B27" s="46" t="n"/>
      <c r="C27" s="191" t="n"/>
      <c r="D27" s="194" t="n"/>
      <c r="E27" s="185">
        <f>C27+D27</f>
        <v/>
      </c>
      <c r="F27" s="195" t="n">
        <v>0</v>
      </c>
      <c r="G27" s="187" t="n">
        <v>0</v>
      </c>
      <c r="H27" s="188" t="n"/>
      <c r="I27" s="187" t="n">
        <v>0</v>
      </c>
      <c r="J27" s="189" t="n">
        <v>0</v>
      </c>
      <c r="K27" s="190" t="n">
        <v>0</v>
      </c>
      <c r="L27" s="190" t="n">
        <v>0</v>
      </c>
    </row>
    <row r="28">
      <c r="A28" s="96" t="n"/>
      <c r="B28" s="100" t="n"/>
      <c r="C28" s="194" t="n"/>
      <c r="D28" s="194" t="n"/>
      <c r="E28" s="185">
        <f>C28+D28</f>
        <v/>
      </c>
      <c r="F28" s="195" t="n">
        <v>0</v>
      </c>
      <c r="G28" s="187" t="n">
        <v>0</v>
      </c>
      <c r="H28" s="188" t="n"/>
      <c r="I28" s="187" t="n">
        <v>0</v>
      </c>
      <c r="J28" s="189" t="n">
        <v>0</v>
      </c>
      <c r="K28" s="190" t="n">
        <v>0</v>
      </c>
      <c r="L28" s="190" t="n">
        <v>0</v>
      </c>
    </row>
    <row r="29">
      <c r="A29" s="96" t="n"/>
      <c r="B29" s="100" t="n"/>
      <c r="C29" s="194" t="n"/>
      <c r="D29" s="194" t="n"/>
      <c r="E29" s="185">
        <f>C29+D29</f>
        <v/>
      </c>
      <c r="F29" s="195" t="n">
        <v>0</v>
      </c>
      <c r="G29" s="187" t="n">
        <v>0</v>
      </c>
      <c r="H29" s="188" t="n"/>
      <c r="I29" s="187" t="n">
        <v>0</v>
      </c>
      <c r="J29" s="189" t="n">
        <v>0</v>
      </c>
      <c r="K29" s="190" t="n">
        <v>0</v>
      </c>
      <c r="L29" s="190" t="n">
        <v>0</v>
      </c>
    </row>
    <row r="30">
      <c r="A30" s="96" t="n"/>
      <c r="B30" s="46" t="n"/>
      <c r="C30" s="191" t="n"/>
      <c r="D30" s="194" t="n"/>
      <c r="E30" s="185">
        <f>C30+D30</f>
        <v/>
      </c>
      <c r="F30" s="195" t="n">
        <v>0</v>
      </c>
      <c r="G30" s="187" t="n">
        <v>0</v>
      </c>
      <c r="H30" s="188" t="n"/>
      <c r="I30" s="187" t="n">
        <v>0</v>
      </c>
      <c r="J30" s="189" t="n">
        <v>0</v>
      </c>
      <c r="K30" s="190" t="n">
        <v>0</v>
      </c>
      <c r="L30" s="190" t="n">
        <v>0</v>
      </c>
    </row>
    <row r="31">
      <c r="A31" s="96" t="n"/>
      <c r="B31" s="46" t="n"/>
      <c r="C31" s="191" t="n"/>
      <c r="D31" s="194" t="n"/>
      <c r="E31" s="185">
        <f>C31+D31</f>
        <v/>
      </c>
      <c r="F31" s="195" t="n">
        <v>0</v>
      </c>
      <c r="G31" s="187" t="n">
        <v>0</v>
      </c>
      <c r="H31" s="188" t="n"/>
      <c r="I31" s="187" t="n">
        <v>0</v>
      </c>
      <c r="J31" s="189" t="n">
        <v>0</v>
      </c>
      <c r="K31" s="190" t="n">
        <v>0</v>
      </c>
      <c r="L31" s="190" t="n">
        <v>0</v>
      </c>
    </row>
    <row r="32">
      <c r="A32" s="96" t="n"/>
      <c r="B32" s="46" t="n"/>
      <c r="C32" s="191" t="n"/>
      <c r="D32" s="194" t="n"/>
      <c r="E32" s="185">
        <f>C32+D32</f>
        <v/>
      </c>
      <c r="F32" s="195" t="n">
        <v>0</v>
      </c>
      <c r="G32" s="187" t="n">
        <v>0</v>
      </c>
      <c r="H32" s="188" t="n"/>
      <c r="I32" s="187" t="n">
        <v>0</v>
      </c>
      <c r="J32" s="189" t="n">
        <v>0</v>
      </c>
      <c r="K32" s="190" t="n">
        <v>0</v>
      </c>
      <c r="L32" s="190" t="n">
        <v>0</v>
      </c>
    </row>
    <row r="33">
      <c r="A33" s="96" t="n"/>
      <c r="B33" s="46" t="n"/>
      <c r="C33" s="191" t="n"/>
      <c r="D33" s="194" t="n"/>
      <c r="E33" s="185">
        <f>C33+D33</f>
        <v/>
      </c>
      <c r="F33" s="195" t="n">
        <v>0</v>
      </c>
      <c r="G33" s="187" t="n">
        <v>0</v>
      </c>
      <c r="H33" s="188" t="n"/>
      <c r="I33" s="187" t="n">
        <v>0</v>
      </c>
      <c r="J33" s="189" t="n">
        <v>0</v>
      </c>
      <c r="K33" s="190" t="n">
        <v>0</v>
      </c>
      <c r="L33" s="190" t="n">
        <v>0</v>
      </c>
    </row>
    <row r="34">
      <c r="A34" s="96" t="n"/>
      <c r="B34" s="46" t="n"/>
      <c r="C34" s="191" t="n"/>
      <c r="D34" s="194" t="n"/>
      <c r="E34" s="196" t="n">
        <v>0</v>
      </c>
      <c r="F34" s="195" t="n">
        <v>0</v>
      </c>
      <c r="G34" s="187" t="n">
        <v>0</v>
      </c>
      <c r="H34" s="188" t="n"/>
      <c r="I34" s="187" t="n">
        <v>0</v>
      </c>
      <c r="J34" s="189" t="n">
        <v>0</v>
      </c>
      <c r="K34" s="190" t="n">
        <v>0</v>
      </c>
      <c r="L34" s="190" t="n">
        <v>0</v>
      </c>
    </row>
    <row r="35">
      <c r="A35" s="96" t="n"/>
      <c r="B35" s="46" t="n"/>
      <c r="C35" s="191" t="n"/>
      <c r="D35" s="194" t="n"/>
      <c r="E35" s="196" t="n">
        <v>0</v>
      </c>
      <c r="F35" s="195" t="n">
        <v>0</v>
      </c>
      <c r="G35" s="187" t="n">
        <v>0</v>
      </c>
      <c r="H35" s="188" t="n"/>
      <c r="I35" s="187" t="n">
        <v>0</v>
      </c>
      <c r="J35" s="189" t="n">
        <v>0</v>
      </c>
      <c r="K35" s="190" t="n">
        <v>0</v>
      </c>
      <c r="L35" s="190" t="n">
        <v>0</v>
      </c>
    </row>
    <row r="36">
      <c r="A36" s="96" t="n"/>
      <c r="B36" s="46" t="n"/>
      <c r="C36" s="191" t="n"/>
      <c r="D36" s="194" t="n"/>
      <c r="E36" s="196" t="n">
        <v>0</v>
      </c>
      <c r="F36" s="195" t="n">
        <v>0</v>
      </c>
      <c r="G36" s="187" t="n">
        <v>0</v>
      </c>
      <c r="H36" s="188" t="n"/>
      <c r="I36" s="187" t="n">
        <v>0</v>
      </c>
      <c r="J36" s="189" t="n">
        <v>0</v>
      </c>
      <c r="K36" s="190" t="n">
        <v>0</v>
      </c>
      <c r="L36" s="190" t="n">
        <v>0</v>
      </c>
    </row>
    <row r="37">
      <c r="A37" s="96" t="n"/>
      <c r="B37" s="46" t="n"/>
      <c r="C37" s="191" t="n"/>
      <c r="D37" s="194" t="n"/>
      <c r="E37" s="196" t="n">
        <v>0</v>
      </c>
      <c r="F37" s="195" t="n">
        <v>0</v>
      </c>
      <c r="G37" s="187" t="n">
        <v>0</v>
      </c>
      <c r="H37" s="188" t="n"/>
      <c r="I37" s="187" t="n">
        <v>0</v>
      </c>
      <c r="J37" s="189" t="n">
        <v>0</v>
      </c>
      <c r="K37" s="190" t="n">
        <v>0</v>
      </c>
      <c r="L37" s="190" t="n">
        <v>0</v>
      </c>
    </row>
    <row r="38">
      <c r="A38" s="96" t="n"/>
      <c r="B38" s="46" t="n"/>
      <c r="C38" s="191" t="n"/>
      <c r="D38" s="194" t="n"/>
      <c r="E38" s="196" t="n">
        <v>0</v>
      </c>
      <c r="F38" s="195" t="n">
        <v>0</v>
      </c>
      <c r="G38" s="187" t="n">
        <v>0</v>
      </c>
      <c r="H38" s="188" t="n"/>
      <c r="I38" s="187" t="n">
        <v>0</v>
      </c>
      <c r="J38" s="189" t="n">
        <v>0</v>
      </c>
      <c r="K38" s="190" t="n">
        <v>0</v>
      </c>
      <c r="L38" s="190" t="n">
        <v>0</v>
      </c>
    </row>
    <row r="39">
      <c r="A39" s="96" t="n"/>
      <c r="B39" s="46" t="n"/>
      <c r="C39" s="191" t="n"/>
      <c r="D39" s="194" t="n"/>
      <c r="E39" s="196" t="n">
        <v>0</v>
      </c>
      <c r="F39" s="195" t="n">
        <v>0</v>
      </c>
      <c r="G39" s="187" t="n">
        <v>0</v>
      </c>
      <c r="H39" s="188" t="n"/>
      <c r="I39" s="187" t="n">
        <v>0</v>
      </c>
      <c r="J39" s="189" t="n">
        <v>0</v>
      </c>
      <c r="K39" s="190" t="n">
        <v>0</v>
      </c>
      <c r="L39" s="190" t="n">
        <v>0</v>
      </c>
    </row>
    <row r="40">
      <c r="A40" s="96" t="n"/>
      <c r="B40" s="46" t="n"/>
      <c r="C40" s="191" t="n"/>
      <c r="D40" s="194" t="n"/>
      <c r="E40" s="196" t="n">
        <v>0</v>
      </c>
      <c r="F40" s="195" t="n">
        <v>0</v>
      </c>
      <c r="G40" s="187" t="n">
        <v>0</v>
      </c>
      <c r="H40" s="188" t="n"/>
      <c r="I40" s="187" t="n">
        <v>0</v>
      </c>
      <c r="J40" s="189" t="n">
        <v>0</v>
      </c>
      <c r="K40" s="190" t="n">
        <v>0</v>
      </c>
      <c r="L40" s="190" t="n">
        <v>0</v>
      </c>
    </row>
    <row r="41">
      <c r="A41" s="96" t="n"/>
      <c r="B41" s="46" t="n"/>
      <c r="C41" s="191" t="n"/>
      <c r="D41" s="194" t="n"/>
      <c r="E41" s="196" t="n">
        <v>0</v>
      </c>
      <c r="F41" s="195" t="n">
        <v>0</v>
      </c>
      <c r="G41" s="187" t="n">
        <v>0</v>
      </c>
      <c r="H41" s="188" t="n"/>
      <c r="I41" s="187" t="n">
        <v>0</v>
      </c>
      <c r="J41" s="189" t="n">
        <v>0</v>
      </c>
      <c r="K41" s="190" t="n">
        <v>0</v>
      </c>
      <c r="L41" s="190" t="n">
        <v>0</v>
      </c>
    </row>
    <row r="42">
      <c r="A42" s="96" t="n"/>
      <c r="B42" s="46" t="n"/>
      <c r="C42" s="191" t="n"/>
      <c r="D42" s="194" t="n"/>
      <c r="E42" s="196" t="n">
        <v>0</v>
      </c>
      <c r="F42" s="195" t="n">
        <v>0</v>
      </c>
      <c r="G42" s="187" t="n">
        <v>0</v>
      </c>
      <c r="H42" s="188" t="n"/>
      <c r="I42" s="187" t="n">
        <v>0</v>
      </c>
      <c r="J42" s="189" t="n">
        <v>0</v>
      </c>
      <c r="K42" s="190" t="n">
        <v>0</v>
      </c>
      <c r="L42" s="190" t="n">
        <v>0</v>
      </c>
    </row>
    <row r="43">
      <c r="A43" s="96" t="n"/>
      <c r="B43" s="48" t="n"/>
      <c r="C43" s="197" t="n"/>
      <c r="D43" s="198" t="n"/>
      <c r="E43" s="185" t="n">
        <v>0</v>
      </c>
      <c r="F43" s="186" t="n">
        <v>0</v>
      </c>
      <c r="G43" s="190" t="n">
        <v>0</v>
      </c>
      <c r="H43" s="199" t="n"/>
      <c r="I43" s="190" t="n">
        <v>0</v>
      </c>
      <c r="J43" s="200" t="n">
        <v>0</v>
      </c>
      <c r="K43" s="190" t="n">
        <v>0</v>
      </c>
      <c r="L43" s="190" t="n">
        <v>0</v>
      </c>
    </row>
    <row r="44" ht="17" customHeight="1" thickBot="1">
      <c r="A44" s="107" t="n"/>
      <c r="B44" s="45" t="n"/>
      <c r="C44" s="201" t="n"/>
      <c r="D44" s="202" t="n"/>
      <c r="E44" s="203" t="n"/>
      <c r="F44" s="202" t="n"/>
      <c r="G44" s="203" t="n"/>
      <c r="H44" s="202" t="n"/>
      <c r="I44" s="203" t="n"/>
      <c r="J44" s="204" t="n"/>
      <c r="K44" s="203" t="n"/>
      <c r="L44" s="203" t="n"/>
    </row>
    <row r="45" ht="17" customHeight="1" thickBot="1">
      <c r="A45" s="112" t="n"/>
      <c r="B45" s="113" t="inlineStr">
        <is>
          <t>Grand Total</t>
        </is>
      </c>
      <c r="C45" s="205">
        <f>SUM(C7:C44)</f>
        <v/>
      </c>
      <c r="D45" s="205">
        <f>SUM(D7:D44)</f>
        <v/>
      </c>
      <c r="E45" s="205">
        <f>SUM(E7:E44)</f>
        <v/>
      </c>
      <c r="F45" s="205">
        <f>SUM(F7:F44)</f>
        <v/>
      </c>
      <c r="G45" s="205">
        <f>SUM(G7:G44)</f>
        <v/>
      </c>
      <c r="H45" s="205">
        <f>SUM(H7:H44)</f>
        <v/>
      </c>
      <c r="I45" s="205">
        <f>SUM(I7:I44)</f>
        <v/>
      </c>
      <c r="J45" s="205">
        <f>SUM(J7:J44)</f>
        <v/>
      </c>
      <c r="K45" s="205">
        <f>SUM(K7:K44)</f>
        <v/>
      </c>
      <c r="L45" s="205">
        <f>SUM(L7:L44)</f>
        <v/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D1" sqref="D1"/>
    </sheetView>
  </sheetViews>
  <sheetFormatPr baseColWidth="10" defaultRowHeight="16"/>
  <cols>
    <col width="33.33203125" bestFit="1" customWidth="1" min="3" max="3"/>
  </cols>
  <sheetData>
    <row r="1">
      <c r="A1" s="11">
        <f>'Info Sheet'!B14</f>
        <v/>
      </c>
      <c r="B1">
        <f>'Info Sheet'!B15</f>
        <v/>
      </c>
      <c r="C1" t="inlineStr">
        <is>
          <t>Misc</t>
        </is>
      </c>
      <c r="D1">
        <f>'Info Sheet'!D21</f>
        <v/>
      </c>
      <c r="E1" s="18">
        <f>'Info Sheet'!B57</f>
        <v/>
      </c>
      <c r="F1">
        <f>'Info Sheet'!B66</f>
        <v/>
      </c>
      <c r="G1">
        <f>'Info Sheet'!B19</f>
        <v/>
      </c>
      <c r="H1">
        <f>'Info Sheet'!B21</f>
        <v/>
      </c>
      <c r="I1">
        <f>'Info Sheet'!D21</f>
        <v/>
      </c>
      <c r="J1">
        <f>'Info Sheet'!F21</f>
        <v/>
      </c>
    </row>
    <row r="2">
      <c r="B2" s="10" t="n"/>
    </row>
    <row r="3">
      <c r="A3" t="inlineStr">
        <is>
          <t>Job Number</t>
        </is>
      </c>
      <c r="B3" t="inlineStr">
        <is>
          <t>Description</t>
        </is>
      </c>
      <c r="C3" t="inlineStr">
        <is>
          <t>Customer Number</t>
        </is>
      </c>
      <c r="D3" t="inlineStr">
        <is>
          <t>Geographical Area</t>
        </is>
      </c>
      <c r="E3" t="inlineStr">
        <is>
          <t>Original Contract</t>
        </is>
      </c>
      <c r="F3" t="inlineStr">
        <is>
          <t>A/P Tax Exempt</t>
        </is>
      </c>
      <c r="G3" t="inlineStr">
        <is>
          <t>Address Line 1</t>
        </is>
      </c>
      <c r="H3" t="inlineStr">
        <is>
          <t>City</t>
        </is>
      </c>
      <c r="I3" t="inlineStr">
        <is>
          <t>State</t>
        </is>
      </c>
      <c r="J3" t="inlineStr">
        <is>
          <t>Zip</t>
        </is>
      </c>
    </row>
    <row r="4">
      <c r="B4" s="5" t="n"/>
    </row>
    <row r="5">
      <c r="D5" s="15" t="n"/>
    </row>
    <row r="6">
      <c r="D6" s="11" t="n"/>
    </row>
    <row r="11">
      <c r="D11" s="206" t="n"/>
    </row>
    <row r="15">
      <c r="B15" s="5" t="n"/>
    </row>
    <row r="17">
      <c r="B17" s="5" t="n"/>
    </row>
    <row r="18">
      <c r="D18" s="11" t="n"/>
    </row>
    <row r="19">
      <c r="D19" s="11" t="n"/>
    </row>
  </sheetData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L37"/>
  <sheetViews>
    <sheetView topLeftCell="A2" zoomScaleNormal="100" workbookViewId="0">
      <selection activeCell="C10" sqref="C10:D10"/>
    </sheetView>
  </sheetViews>
  <sheetFormatPr baseColWidth="10" defaultColWidth="8.6640625" defaultRowHeight="19"/>
  <cols>
    <col width="4" customWidth="1" style="128" min="1" max="1"/>
    <col width="18" customWidth="1" style="128" min="2" max="2"/>
    <col width="17.83203125" customWidth="1" style="128" min="3" max="3"/>
    <col width="15" customWidth="1" style="128" min="4" max="4"/>
    <col width="12.83203125" customWidth="1" style="128" min="5" max="5"/>
    <col width="16" customWidth="1" style="128" min="6" max="6"/>
    <col width="14" customWidth="1" style="128" min="7" max="8"/>
    <col width="8.6640625" customWidth="1" style="128" min="9" max="16384"/>
  </cols>
  <sheetData>
    <row r="1" ht="6" customHeight="1">
      <c r="B1" s="127" t="n"/>
      <c r="C1" s="127" t="n"/>
      <c r="D1" s="127" t="n"/>
      <c r="E1" s="127" t="n"/>
      <c r="F1" s="127" t="n"/>
      <c r="G1" s="127" t="n"/>
      <c r="H1" s="127" t="n"/>
    </row>
    <row r="2" ht="27.75" customHeight="1">
      <c r="B2" s="143" t="inlineStr">
        <is>
          <t>Invoice</t>
        </is>
      </c>
      <c r="F2" s="144" t="n"/>
    </row>
    <row r="3" ht="13.5" customHeight="1">
      <c r="B3" s="127" t="n"/>
      <c r="C3" s="127" t="n"/>
      <c r="D3" s="127" t="n"/>
      <c r="E3" s="127" t="n"/>
      <c r="F3" s="127" t="n"/>
      <c r="G3" s="127" t="n"/>
      <c r="H3" s="127" t="n"/>
    </row>
    <row r="4" ht="23" customHeight="1">
      <c r="B4" s="145" t="inlineStr">
        <is>
          <t>Treadwell</t>
        </is>
      </c>
      <c r="F4" s="127" t="n"/>
      <c r="G4" s="127" t="n"/>
      <c r="H4" s="127" t="n"/>
    </row>
    <row r="5" ht="23" customHeight="1">
      <c r="B5" s="146" t="inlineStr">
        <is>
          <t>1707 East 123rd Terrace</t>
        </is>
      </c>
      <c r="F5" s="127" t="n"/>
      <c r="G5" s="127" t="n"/>
      <c r="H5" s="127" t="n"/>
    </row>
    <row r="6" ht="23" customHeight="1">
      <c r="B6" s="146" t="inlineStr">
        <is>
          <t>Olathe Kansas, 66061</t>
        </is>
      </c>
      <c r="F6" s="127" t="n"/>
      <c r="G6" s="127" t="n"/>
      <c r="H6" s="127" t="n"/>
    </row>
    <row r="7" ht="23" customHeight="1">
      <c r="B7" s="146" t="inlineStr">
        <is>
          <t>accounting@wetreadwell.com</t>
        </is>
      </c>
      <c r="F7" s="127" t="n"/>
      <c r="G7" s="127" t="n"/>
      <c r="H7" s="127" t="n"/>
    </row>
    <row r="8" ht="7.5" customHeight="1">
      <c r="B8" s="127" t="n"/>
      <c r="C8" s="127" t="n"/>
      <c r="D8" s="127" t="n"/>
      <c r="E8" s="127" t="n"/>
      <c r="F8" s="127" t="n"/>
      <c r="G8" s="127" t="n"/>
      <c r="H8" s="127" t="n"/>
    </row>
    <row r="9" ht="23" customHeight="1">
      <c r="B9" s="129" t="inlineStr">
        <is>
          <t>Invoice #</t>
        </is>
      </c>
      <c r="C9" s="147" t="inlineStr">
        <is>
          <t>26.000-01</t>
        </is>
      </c>
      <c r="E9" s="130" t="n"/>
      <c r="F9" s="148">
        <f>'Info Sheet'!B23</f>
        <v/>
      </c>
      <c r="L9" s="136" t="inlineStr">
        <is>
          <t>DOUBLE CHECK CUSTOMER NAME/ADDRESS, PAY TERMS, INVOICE #, PROJECT NO/NAME AND INVOICE/DUE DATE</t>
        </is>
      </c>
    </row>
    <row r="10" ht="23" customHeight="1">
      <c r="B10" s="129" t="inlineStr">
        <is>
          <t>Date:</t>
        </is>
      </c>
      <c r="C10" s="149" t="n"/>
      <c r="E10" s="130" t="n"/>
      <c r="F10" s="142">
        <f>'Info Sheet'!B24</f>
        <v/>
      </c>
      <c r="L10" s="135" t="n"/>
    </row>
    <row r="11" ht="23" customHeight="1">
      <c r="B11" s="129" t="inlineStr">
        <is>
          <t>Terms:</t>
        </is>
      </c>
      <c r="C11" s="142">
        <f>'Info Sheet'!B60</f>
        <v/>
      </c>
      <c r="E11" s="130" t="n"/>
      <c r="F11" s="142">
        <f>'Info Sheet'!B25</f>
        <v/>
      </c>
      <c r="L11" s="135" t="n"/>
    </row>
    <row r="12" ht="23" customHeight="1">
      <c r="B12" s="129" t="inlineStr">
        <is>
          <t>Due Date:</t>
        </is>
      </c>
      <c r="C12" s="149">
        <f>IF(C11="Net 10",C10+10,IF(C11="PO (Net 30)",C10+30,""))</f>
        <v/>
      </c>
      <c r="E12" s="130" t="n"/>
      <c r="F12" s="142" t="n"/>
      <c r="L12" s="135" t="n"/>
    </row>
    <row r="13" ht="23" customHeight="1">
      <c r="B13" s="129" t="inlineStr">
        <is>
          <t>Project/PO No.:</t>
        </is>
      </c>
      <c r="C13" s="152">
        <f>'Info Sheet'!B14</f>
        <v/>
      </c>
      <c r="E13" s="130" t="n"/>
      <c r="F13" s="142" t="n"/>
      <c r="L13" s="135" t="n"/>
    </row>
    <row r="14" ht="23" customHeight="1">
      <c r="B14" s="129" t="inlineStr">
        <is>
          <t>Project:</t>
        </is>
      </c>
      <c r="C14" s="142">
        <f>'Info Sheet'!B15</f>
        <v/>
      </c>
      <c r="E14" s="130" t="n"/>
      <c r="F14" s="130" t="n"/>
      <c r="G14" s="130" t="n"/>
      <c r="H14" s="130" t="n"/>
      <c r="L14" s="135" t="n"/>
    </row>
    <row r="15" ht="7.5" customHeight="1">
      <c r="B15" s="127" t="n"/>
      <c r="C15" s="127" t="n"/>
      <c r="D15" s="127" t="n"/>
      <c r="E15" s="127" t="n"/>
      <c r="F15" s="127" t="n"/>
      <c r="G15" s="127" t="n"/>
      <c r="H15" s="127" t="n"/>
      <c r="L15" s="135" t="n"/>
    </row>
    <row r="16" ht="20" customHeight="1">
      <c r="B16" s="131" t="inlineStr">
        <is>
          <t>Memo</t>
        </is>
      </c>
      <c r="C16" s="127" t="n"/>
      <c r="D16" s="127" t="n"/>
      <c r="E16" s="127" t="n"/>
      <c r="F16" s="127" t="n"/>
      <c r="G16" s="127" t="n"/>
      <c r="H16" s="127" t="n"/>
      <c r="L16" s="135" t="n"/>
    </row>
    <row r="17" ht="25" customHeight="1">
      <c r="B17" s="153" t="inlineStr">
        <is>
          <t>Payment due 30/10 days from invoice date</t>
        </is>
      </c>
      <c r="L17" s="136" t="inlineStr">
        <is>
          <t>CHANGE NET TERMS</t>
        </is>
      </c>
    </row>
    <row r="18" ht="68" customHeight="1">
      <c r="B18" s="154" t="inlineStr">
        <is>
          <t>We accept ACH payments and paper checks. If paying by check, make it payable to Treadwell. Overdue payments subject to 1.5% monthly interest. Contact Accounting@WeTreadwell.com or 913.396.6216.</t>
        </is>
      </c>
    </row>
    <row r="19" ht="6" customHeight="1">
      <c r="B19" s="127" t="n"/>
      <c r="C19" s="127" t="n"/>
      <c r="D19" s="127" t="n"/>
      <c r="E19" s="127" t="n"/>
      <c r="F19" s="127" t="n"/>
      <c r="G19" s="127" t="n"/>
      <c r="H19" s="127" t="n"/>
    </row>
    <row r="20" ht="23" customHeight="1">
      <c r="B20" s="132" t="inlineStr">
        <is>
          <t>SI No.</t>
        </is>
      </c>
      <c r="C20" s="155" t="inlineStr">
        <is>
          <t>Description</t>
        </is>
      </c>
      <c r="G20" s="156" t="inlineStr">
        <is>
          <t>Amount</t>
        </is>
      </c>
    </row>
    <row r="21" ht="20" customHeight="1">
      <c r="B21" s="133" t="n">
        <v>1</v>
      </c>
      <c r="C21" s="157">
        <f>SOV!B7</f>
        <v/>
      </c>
      <c r="D21" s="207" t="n"/>
      <c r="E21" s="207" t="n"/>
      <c r="F21" s="207" t="n"/>
      <c r="G21" s="208">
        <f>SOV!E7</f>
        <v/>
      </c>
      <c r="H21" s="207" t="n"/>
    </row>
    <row r="22" ht="20" customHeight="1">
      <c r="B22" s="134" t="n">
        <v>2</v>
      </c>
      <c r="C22" s="150">
        <f>SOV!B8</f>
        <v/>
      </c>
      <c r="D22" s="207" t="n"/>
      <c r="E22" s="207" t="n"/>
      <c r="F22" s="207" t="n"/>
      <c r="G22" s="209">
        <f>SOV!E8</f>
        <v/>
      </c>
      <c r="H22" s="207" t="n"/>
    </row>
    <row r="23" ht="20" customHeight="1">
      <c r="B23" s="133" t="n">
        <v>3</v>
      </c>
      <c r="C23" s="157">
        <f>SOV!B9</f>
        <v/>
      </c>
      <c r="D23" s="207" t="n"/>
      <c r="E23" s="207" t="n"/>
      <c r="F23" s="207" t="n"/>
      <c r="G23" s="208">
        <f>SOV!E9</f>
        <v/>
      </c>
      <c r="H23" s="207" t="n"/>
    </row>
    <row r="24" ht="20" customHeight="1">
      <c r="B24" s="134" t="n">
        <v>4</v>
      </c>
      <c r="C24" s="150">
        <f>SOV!B10</f>
        <v/>
      </c>
      <c r="D24" s="207" t="n"/>
      <c r="E24" s="207" t="n"/>
      <c r="F24" s="207" t="n"/>
      <c r="G24" s="209">
        <f>SOV!E10</f>
        <v/>
      </c>
      <c r="H24" s="207" t="n"/>
    </row>
    <row r="25" ht="20" customHeight="1">
      <c r="B25" s="133" t="n">
        <v>5</v>
      </c>
      <c r="C25" s="157">
        <f>SOV!B11</f>
        <v/>
      </c>
      <c r="D25" s="207" t="n"/>
      <c r="E25" s="207" t="n"/>
      <c r="F25" s="207" t="n"/>
      <c r="G25" s="208">
        <f>SOV!E11</f>
        <v/>
      </c>
      <c r="H25" s="207" t="n"/>
    </row>
    <row r="26" ht="20" customHeight="1">
      <c r="B26" s="134" t="n">
        <v>6</v>
      </c>
      <c r="C26" s="150">
        <f>SOV!B12</f>
        <v/>
      </c>
      <c r="D26" s="207" t="n"/>
      <c r="E26" s="207" t="n"/>
      <c r="F26" s="207" t="n"/>
      <c r="G26" s="209">
        <f>SOV!E12</f>
        <v/>
      </c>
      <c r="H26" s="207" t="n"/>
    </row>
    <row r="27" ht="20" customHeight="1">
      <c r="B27" s="133" t="n">
        <v>7</v>
      </c>
      <c r="C27" s="157">
        <f>SOV!B13</f>
        <v/>
      </c>
      <c r="D27" s="207" t="n"/>
      <c r="E27" s="207" t="n"/>
      <c r="F27" s="207" t="n"/>
      <c r="G27" s="208">
        <f>SOV!E13</f>
        <v/>
      </c>
      <c r="H27" s="207" t="n"/>
    </row>
    <row r="28" ht="20" customHeight="1">
      <c r="B28" s="134" t="n">
        <v>8</v>
      </c>
      <c r="C28" s="150">
        <f>SOV!B14</f>
        <v/>
      </c>
      <c r="D28" s="207" t="n"/>
      <c r="E28" s="207" t="n"/>
      <c r="F28" s="207" t="n"/>
      <c r="G28" s="209">
        <f>SOV!E14</f>
        <v/>
      </c>
      <c r="H28" s="207" t="n"/>
    </row>
    <row r="29" ht="20" customHeight="1">
      <c r="B29" s="133" t="n">
        <v>9</v>
      </c>
      <c r="C29" s="157">
        <f>SOV!B15</f>
        <v/>
      </c>
      <c r="D29" s="207" t="n"/>
      <c r="E29" s="207" t="n"/>
      <c r="F29" s="207" t="n"/>
      <c r="G29" s="208">
        <f>SOV!E15</f>
        <v/>
      </c>
      <c r="H29" s="207" t="n"/>
    </row>
    <row r="30" ht="20" customHeight="1">
      <c r="B30" s="134" t="n">
        <v>10</v>
      </c>
      <c r="C30" s="150">
        <f>SOV!B16</f>
        <v/>
      </c>
      <c r="D30" s="207" t="n"/>
      <c r="E30" s="207" t="n"/>
      <c r="F30" s="207" t="n"/>
      <c r="G30" s="209">
        <f>SOV!E16</f>
        <v/>
      </c>
      <c r="H30" s="207" t="n"/>
    </row>
    <row r="31" ht="23" customHeight="1">
      <c r="B31" s="162" t="inlineStr">
        <is>
          <t>Sub-Total:</t>
        </is>
      </c>
      <c r="G31" s="210">
        <f>SUM(G21:G30)</f>
        <v/>
      </c>
    </row>
    <row r="32" ht="7.5" customHeight="1" thickBot="1">
      <c r="B32" s="127" t="n"/>
      <c r="C32" s="127" t="n"/>
      <c r="D32" s="127" t="n"/>
      <c r="E32" s="127" t="n"/>
      <c r="F32" s="127" t="n"/>
      <c r="G32" s="127" t="n"/>
      <c r="H32" s="127" t="n"/>
    </row>
    <row r="33" ht="23" customHeight="1" thickBot="1">
      <c r="B33" s="159" t="inlineStr">
        <is>
          <t>Total Amount:</t>
        </is>
      </c>
      <c r="C33" s="211" t="n"/>
      <c r="D33" s="211" t="n"/>
      <c r="E33" s="211" t="n"/>
      <c r="F33" s="211" t="n"/>
      <c r="G33" s="212">
        <f>G31</f>
        <v/>
      </c>
      <c r="H33" s="211" t="n"/>
    </row>
    <row r="34" ht="16" customHeight="1">
      <c r="B34" s="127" t="n"/>
      <c r="C34" s="127" t="n"/>
      <c r="D34" s="127" t="n"/>
      <c r="E34" s="127" t="n"/>
      <c r="F34" s="127" t="n"/>
      <c r="G34" s="127" t="n"/>
      <c r="H34" s="127" t="n"/>
    </row>
    <row r="35" ht="17" customHeight="1">
      <c r="B35" s="161" t="inlineStr">
        <is>
          <t>Thank you for your business!</t>
        </is>
      </c>
    </row>
    <row r="36" ht="21" customHeight="1">
      <c r="B36" s="127" t="n"/>
      <c r="C36" s="127" t="n"/>
      <c r="D36" s="127" t="n"/>
      <c r="E36" s="127" t="n"/>
      <c r="F36" s="127" t="n"/>
      <c r="G36" s="127" t="n"/>
      <c r="H36" s="127" t="n"/>
    </row>
    <row r="37" ht="21" customHeight="1">
      <c r="B37" s="127" t="n"/>
      <c r="C37" s="127" t="n"/>
      <c r="D37" s="127" t="n"/>
      <c r="E37" s="127" t="n"/>
      <c r="F37" s="127" t="n"/>
      <c r="G37" s="127" t="n"/>
      <c r="H37" s="127" t="n"/>
    </row>
  </sheetData>
  <mergeCells count="46">
    <mergeCell ref="G21:H21"/>
    <mergeCell ref="C23:F23"/>
    <mergeCell ref="B6:E6"/>
    <mergeCell ref="G27:H27"/>
    <mergeCell ref="C14:D14"/>
    <mergeCell ref="B31:F31"/>
    <mergeCell ref="F2:H2"/>
    <mergeCell ref="G23:H23"/>
    <mergeCell ref="B5:E5"/>
    <mergeCell ref="C28:F28"/>
    <mergeCell ref="C10:D10"/>
    <mergeCell ref="B4:E4"/>
    <mergeCell ref="F13:H13"/>
    <mergeCell ref="B35:H35"/>
    <mergeCell ref="C30:F30"/>
    <mergeCell ref="B7:E7"/>
    <mergeCell ref="G28:H28"/>
    <mergeCell ref="F9:H9"/>
    <mergeCell ref="C9:D9"/>
    <mergeCell ref="C24:F24"/>
    <mergeCell ref="C12:D12"/>
    <mergeCell ref="B18:H18"/>
    <mergeCell ref="G30:H30"/>
    <mergeCell ref="G24:H24"/>
    <mergeCell ref="C11:D11"/>
    <mergeCell ref="G33:H33"/>
    <mergeCell ref="C26:F26"/>
    <mergeCell ref="C20:F20"/>
    <mergeCell ref="C29:F29"/>
    <mergeCell ref="C25:F25"/>
    <mergeCell ref="B2:E2"/>
    <mergeCell ref="G26:H26"/>
    <mergeCell ref="F11:H11"/>
    <mergeCell ref="G29:H29"/>
    <mergeCell ref="C22:F22"/>
    <mergeCell ref="F10:H10"/>
    <mergeCell ref="G20:H20"/>
    <mergeCell ref="B17:H17"/>
    <mergeCell ref="B33:F33"/>
    <mergeCell ref="G25:H25"/>
    <mergeCell ref="C21:F21"/>
    <mergeCell ref="G31:H31"/>
    <mergeCell ref="C13:D13"/>
    <mergeCell ref="F12:H12"/>
    <mergeCell ref="G22:H22"/>
    <mergeCell ref="C27:F27"/>
  </mergeCells>
  <pageMargins left="0.5" right="0.5" top="0.5" bottom="0.5" header="0.511811023622047" footer="0.511811023622047"/>
  <pageSetup orientation="portrait" paperSize="9" scale="77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L30"/>
  <sheetViews>
    <sheetView zoomScaleNormal="100" workbookViewId="0">
      <selection activeCell="F13" sqref="F13:H13"/>
    </sheetView>
  </sheetViews>
  <sheetFormatPr baseColWidth="10" defaultColWidth="8.6640625" defaultRowHeight="19"/>
  <cols>
    <col width="4" customWidth="1" style="128" min="1" max="1"/>
    <col width="18" customWidth="1" style="128" min="2" max="2"/>
    <col width="17.83203125" customWidth="1" style="128" min="3" max="3"/>
    <col width="15" customWidth="1" style="128" min="4" max="4"/>
    <col width="12.83203125" customWidth="1" style="128" min="5" max="5"/>
    <col width="16" customWidth="1" style="128" min="6" max="6"/>
    <col width="14" customWidth="1" style="128" min="7" max="8"/>
    <col width="8.6640625" customWidth="1" style="128" min="9" max="16384"/>
  </cols>
  <sheetData>
    <row r="1" ht="6" customHeight="1">
      <c r="B1" s="127" t="n"/>
      <c r="C1" s="127" t="n"/>
      <c r="D1" s="127" t="n"/>
      <c r="E1" s="127" t="n"/>
      <c r="F1" s="127" t="n"/>
      <c r="G1" s="127" t="n"/>
      <c r="H1" s="127" t="n"/>
    </row>
    <row r="2" ht="27.75" customHeight="1">
      <c r="B2" s="143" t="inlineStr">
        <is>
          <t>Invoice</t>
        </is>
      </c>
      <c r="F2" s="144" t="n"/>
    </row>
    <row r="3" ht="13.5" customHeight="1">
      <c r="B3" s="127" t="n"/>
      <c r="C3" s="127" t="n"/>
      <c r="D3" s="127" t="n"/>
      <c r="E3" s="127" t="n"/>
      <c r="F3" s="127" t="n"/>
      <c r="G3" s="127" t="n"/>
      <c r="H3" s="127" t="n"/>
    </row>
    <row r="4" ht="23" customHeight="1">
      <c r="B4" s="145" t="inlineStr">
        <is>
          <t>Treadwell</t>
        </is>
      </c>
      <c r="F4" s="127" t="n"/>
      <c r="G4" s="127" t="n"/>
      <c r="H4" s="127" t="n"/>
    </row>
    <row r="5" ht="23" customHeight="1">
      <c r="B5" s="146" t="inlineStr">
        <is>
          <t>1707 East 123rd Terrace</t>
        </is>
      </c>
      <c r="F5" s="127" t="n"/>
      <c r="G5" s="127" t="n"/>
      <c r="H5" s="127" t="n"/>
    </row>
    <row r="6" ht="23" customHeight="1">
      <c r="B6" s="146" t="inlineStr">
        <is>
          <t>Olathe Kansas, 66061</t>
        </is>
      </c>
      <c r="F6" s="127" t="n"/>
      <c r="G6" s="127" t="n"/>
      <c r="H6" s="127" t="n"/>
    </row>
    <row r="7" ht="23" customHeight="1">
      <c r="B7" s="146" t="inlineStr">
        <is>
          <t>accounting@wetreadwell.com</t>
        </is>
      </c>
      <c r="F7" s="127" t="n"/>
      <c r="G7" s="127" t="n"/>
      <c r="H7" s="127" t="n"/>
    </row>
    <row r="8" ht="7.5" customHeight="1">
      <c r="B8" s="127" t="n"/>
      <c r="C8" s="127" t="n"/>
      <c r="D8" s="127" t="n"/>
      <c r="E8" s="127" t="n"/>
      <c r="F8" s="127" t="n"/>
      <c r="G8" s="127" t="n"/>
      <c r="H8" s="127" t="n"/>
    </row>
    <row r="9" ht="23" customHeight="1">
      <c r="B9" s="129" t="inlineStr">
        <is>
          <t>Invoice #</t>
        </is>
      </c>
      <c r="C9" s="147" t="inlineStr">
        <is>
          <t>26.000-01</t>
        </is>
      </c>
      <c r="E9" s="130" t="n"/>
      <c r="F9" s="148">
        <f>'Info Sheet'!B23</f>
        <v/>
      </c>
      <c r="L9" s="136" t="inlineStr">
        <is>
          <t>DOUBLE CHECK CUSTOMER NAME/ADDRESS, PAY TERMS, INVOICE #, PROJECT NO/NAME AND INVOICE/DUE DATE</t>
        </is>
      </c>
    </row>
    <row r="10" ht="23" customHeight="1">
      <c r="B10" s="129" t="inlineStr">
        <is>
          <t>Date:</t>
        </is>
      </c>
      <c r="C10" s="149" t="n"/>
      <c r="E10" s="130" t="n"/>
      <c r="F10" s="142">
        <f>'Info Sheet'!B24</f>
        <v/>
      </c>
      <c r="L10" s="135" t="n"/>
    </row>
    <row r="11" ht="23" customHeight="1">
      <c r="B11" s="129" t="inlineStr">
        <is>
          <t>Terms:</t>
        </is>
      </c>
      <c r="C11" s="142">
        <f>'Info Sheet'!B60</f>
        <v/>
      </c>
      <c r="E11" s="130" t="n"/>
      <c r="F11" s="142">
        <f>'Info Sheet'!B25</f>
        <v/>
      </c>
      <c r="L11" s="135" t="n"/>
    </row>
    <row r="12" ht="23" customHeight="1">
      <c r="B12" s="129" t="inlineStr">
        <is>
          <t>Due Date:</t>
        </is>
      </c>
      <c r="C12" s="149">
        <f>IF(C11="Net 10",C10+10,IF(C11="PO (Net 30)",C10+30,""))</f>
        <v/>
      </c>
      <c r="E12" s="130" t="n"/>
      <c r="F12" s="142" t="n"/>
      <c r="L12" s="135" t="n"/>
    </row>
    <row r="13" ht="23" customHeight="1">
      <c r="B13" s="129" t="inlineStr">
        <is>
          <t>Project/PO No.:</t>
        </is>
      </c>
      <c r="C13" s="152">
        <f>'Info Sheet'!B14</f>
        <v/>
      </c>
      <c r="E13" s="130" t="n"/>
      <c r="F13" s="142" t="n"/>
      <c r="L13" s="135" t="n"/>
    </row>
    <row r="14" ht="23" customHeight="1">
      <c r="B14" s="129" t="inlineStr">
        <is>
          <t>Project:</t>
        </is>
      </c>
      <c r="C14" s="142">
        <f>'Info Sheet'!B15</f>
        <v/>
      </c>
      <c r="E14" s="130" t="n"/>
      <c r="F14" s="130" t="n"/>
      <c r="G14" s="130" t="n"/>
      <c r="H14" s="130" t="n"/>
      <c r="L14" s="135" t="n"/>
    </row>
    <row r="15" ht="7.5" customHeight="1">
      <c r="B15" s="127" t="n"/>
      <c r="C15" s="127" t="n"/>
      <c r="D15" s="127" t="n"/>
      <c r="E15" s="127" t="n"/>
      <c r="F15" s="127" t="n"/>
      <c r="G15" s="127" t="n"/>
      <c r="H15" s="127" t="n"/>
      <c r="L15" s="135" t="n"/>
    </row>
    <row r="16" ht="20" customHeight="1">
      <c r="B16" s="131" t="inlineStr">
        <is>
          <t>Memo</t>
        </is>
      </c>
      <c r="C16" s="127" t="n"/>
      <c r="D16" s="127" t="n"/>
      <c r="E16" s="127" t="n"/>
      <c r="F16" s="127" t="n"/>
      <c r="G16" s="127" t="n"/>
      <c r="H16" s="127" t="n"/>
      <c r="L16" s="135" t="n"/>
    </row>
    <row r="17" ht="25" customHeight="1">
      <c r="B17" s="153" t="inlineStr">
        <is>
          <t>Payment due 30/10 days from invoice date</t>
        </is>
      </c>
      <c r="L17" s="136" t="inlineStr">
        <is>
          <t>CHANGE NET TERMS</t>
        </is>
      </c>
    </row>
    <row r="18" ht="68" customHeight="1">
      <c r="B18" s="154" t="inlineStr">
        <is>
          <t>We accept ACH payments and paper checks. If paying by check, make it payable to Treadwell. Overdue payments subject to 1.5% monthly interest. Contact Accounting@WeTreadwell.com or 913.396.6216.</t>
        </is>
      </c>
    </row>
    <row r="19" ht="6" customHeight="1">
      <c r="B19" s="127" t="n"/>
      <c r="C19" s="127" t="n"/>
      <c r="D19" s="127" t="n"/>
      <c r="E19" s="127" t="n"/>
      <c r="F19" s="127" t="n"/>
      <c r="G19" s="127" t="n"/>
      <c r="H19" s="127" t="n"/>
    </row>
    <row r="20" ht="23" customHeight="1">
      <c r="B20" s="132" t="inlineStr">
        <is>
          <t>SI No.</t>
        </is>
      </c>
      <c r="C20" s="155" t="inlineStr">
        <is>
          <t>Description</t>
        </is>
      </c>
      <c r="G20" s="156" t="inlineStr">
        <is>
          <t>Amount</t>
        </is>
      </c>
    </row>
    <row r="21" ht="20" customHeight="1">
      <c r="B21" s="133" t="n">
        <v>1</v>
      </c>
      <c r="C21" s="157" t="inlineStr">
        <is>
          <t>Deposit (25% of contract Amount)</t>
        </is>
      </c>
      <c r="D21" s="207" t="n"/>
      <c r="E21" s="207" t="n"/>
      <c r="F21" s="207" t="n"/>
      <c r="G21" s="208">
        <f>'Info Sheet'!B57*0.25</f>
        <v/>
      </c>
      <c r="H21" s="207" t="n"/>
    </row>
    <row r="22" ht="20" customHeight="1">
      <c r="B22" s="134" t="n">
        <v>2</v>
      </c>
      <c r="C22" s="150" t="n"/>
      <c r="D22" s="207" t="n"/>
      <c r="E22" s="207" t="n"/>
      <c r="F22" s="207" t="n"/>
      <c r="G22" s="209" t="n"/>
      <c r="H22" s="207" t="n"/>
    </row>
    <row r="23" ht="20" customHeight="1">
      <c r="B23" s="133" t="n">
        <v>3</v>
      </c>
      <c r="C23" s="157" t="n"/>
      <c r="D23" s="207" t="n"/>
      <c r="E23" s="207" t="n"/>
      <c r="F23" s="207" t="n"/>
      <c r="G23" s="208" t="n"/>
      <c r="H23" s="207" t="n"/>
    </row>
    <row r="24" ht="23" customHeight="1">
      <c r="B24" s="162" t="inlineStr">
        <is>
          <t>Sub-Total:</t>
        </is>
      </c>
      <c r="G24" s="210">
        <f>SUM(G21:G23)</f>
        <v/>
      </c>
    </row>
    <row r="25" ht="7.5" customHeight="1" thickBot="1">
      <c r="B25" s="127" t="n"/>
      <c r="C25" s="127" t="n"/>
      <c r="D25" s="127" t="n"/>
      <c r="E25" s="127" t="n"/>
      <c r="F25" s="127" t="n"/>
      <c r="G25" s="127" t="n"/>
      <c r="H25" s="127" t="n"/>
    </row>
    <row r="26" ht="23" customHeight="1" thickBot="1">
      <c r="B26" s="159" t="inlineStr">
        <is>
          <t>Total Amount:</t>
        </is>
      </c>
      <c r="C26" s="211" t="n"/>
      <c r="D26" s="211" t="n"/>
      <c r="E26" s="211" t="n"/>
      <c r="F26" s="211" t="n"/>
      <c r="G26" s="212">
        <f>G24</f>
        <v/>
      </c>
      <c r="H26" s="211" t="n"/>
    </row>
    <row r="27" ht="16" customHeight="1">
      <c r="B27" s="127" t="n"/>
      <c r="C27" s="127" t="n"/>
      <c r="D27" s="127" t="n"/>
      <c r="E27" s="127" t="n"/>
      <c r="F27" s="127" t="n"/>
      <c r="G27" s="127" t="n"/>
      <c r="H27" s="127" t="n"/>
    </row>
    <row r="28" ht="17" customHeight="1">
      <c r="B28" s="161" t="inlineStr">
        <is>
          <t>Thank you for your business!</t>
        </is>
      </c>
    </row>
    <row r="29" ht="21" customHeight="1">
      <c r="B29" s="127" t="n"/>
      <c r="C29" s="127" t="n"/>
      <c r="D29" s="127" t="n"/>
      <c r="E29" s="127" t="n"/>
      <c r="F29" s="127" t="n"/>
      <c r="G29" s="127" t="n"/>
      <c r="H29" s="127" t="n"/>
    </row>
    <row r="30" ht="21" customHeight="1">
      <c r="B30" s="127" t="n"/>
      <c r="C30" s="127" t="n"/>
      <c r="D30" s="127" t="n"/>
      <c r="E30" s="127" t="n"/>
      <c r="F30" s="127" t="n"/>
      <c r="G30" s="127" t="n"/>
      <c r="H30" s="127" t="n"/>
    </row>
  </sheetData>
  <mergeCells count="32">
    <mergeCell ref="G21:H21"/>
    <mergeCell ref="C23:F23"/>
    <mergeCell ref="B6:E6"/>
    <mergeCell ref="C14:D14"/>
    <mergeCell ref="F2:H2"/>
    <mergeCell ref="G23:H23"/>
    <mergeCell ref="B5:E5"/>
    <mergeCell ref="C10:D10"/>
    <mergeCell ref="B4:E4"/>
    <mergeCell ref="F13:H13"/>
    <mergeCell ref="B7:E7"/>
    <mergeCell ref="F9:H9"/>
    <mergeCell ref="C9:D9"/>
    <mergeCell ref="C12:D12"/>
    <mergeCell ref="B18:H18"/>
    <mergeCell ref="G24:H24"/>
    <mergeCell ref="C11:D11"/>
    <mergeCell ref="C20:F20"/>
    <mergeCell ref="B2:E2"/>
    <mergeCell ref="F11:H11"/>
    <mergeCell ref="G26:H26"/>
    <mergeCell ref="C22:F22"/>
    <mergeCell ref="F10:H10"/>
    <mergeCell ref="G20:H20"/>
    <mergeCell ref="B17:H17"/>
    <mergeCell ref="B24:F24"/>
    <mergeCell ref="C21:F21"/>
    <mergeCell ref="C13:D13"/>
    <mergeCell ref="F12:H12"/>
    <mergeCell ref="G22:H22"/>
    <mergeCell ref="B26:F26"/>
    <mergeCell ref="B28:H28"/>
  </mergeCells>
  <pageMargins left="0.5" right="0.5" top="0.5" bottom="0.5" header="0.511811023622047" footer="0.511811023622047"/>
  <pageSetup orientation="portrait" paperSize="9" scale="77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Dropdown sources — copied from the master's 'Packet' tab.</t>
        </is>
      </c>
    </row>
    <row r="2">
      <c r="A2" t="inlineStr">
        <is>
          <t>Do not edit here; edit the master and re-run prepare_info_sheet_template.py.</t>
        </is>
      </c>
    </row>
    <row r="4">
      <c r="A4" t="inlineStr">
        <is>
          <t>-Select-</t>
        </is>
      </c>
      <c r="B4" t="inlineStr">
        <is>
          <t>-Select-</t>
        </is>
      </c>
      <c r="C4" t="inlineStr">
        <is>
          <t>KS - Kansas</t>
        </is>
      </c>
      <c r="D4" t="inlineStr">
        <is>
          <t>Net 10</t>
        </is>
      </c>
      <c r="E4" t="inlineStr">
        <is>
          <t>Repeat Customer</t>
        </is>
      </c>
      <c r="F4" t="inlineStr">
        <is>
          <t>N</t>
        </is>
      </c>
    </row>
    <row r="5">
      <c r="A5" t="inlineStr">
        <is>
          <t>Animal Care</t>
        </is>
      </c>
      <c r="B5" t="inlineStr">
        <is>
          <t>Gypsum Cement Underlayment</t>
        </is>
      </c>
      <c r="C5" t="inlineStr">
        <is>
          <t>MO - Missouri</t>
        </is>
      </c>
      <c r="D5" t="inlineStr">
        <is>
          <t>AIA (GC)</t>
        </is>
      </c>
      <c r="E5" t="inlineStr">
        <is>
          <t>Online</t>
        </is>
      </c>
      <c r="F5" t="inlineStr">
        <is>
          <t>Y</t>
        </is>
      </c>
    </row>
    <row r="6">
      <c r="A6" t="inlineStr">
        <is>
          <t>Automotive</t>
        </is>
      </c>
      <c r="B6" t="inlineStr">
        <is>
          <t>Self Leveling Underlayment</t>
        </is>
      </c>
      <c r="C6" t="inlineStr">
        <is>
          <t>OK - Oklahoma</t>
        </is>
      </c>
      <c r="D6" t="inlineStr">
        <is>
          <t>PO (Net 30)</t>
        </is>
      </c>
      <c r="E6" t="inlineStr">
        <is>
          <t>Referral - Partner</t>
        </is>
      </c>
    </row>
    <row r="7">
      <c r="A7" t="inlineStr">
        <is>
          <t>Aviation</t>
        </is>
      </c>
      <c r="B7" t="inlineStr">
        <is>
          <t>Topping</t>
        </is>
      </c>
      <c r="C7" t="inlineStr">
        <is>
          <t>NE - Nebraska</t>
        </is>
      </c>
      <c r="E7" t="inlineStr">
        <is>
          <t>Referral - Past Customer</t>
        </is>
      </c>
    </row>
    <row r="8">
      <c r="A8" t="inlineStr">
        <is>
          <t>Correctional</t>
        </is>
      </c>
      <c r="B8" t="inlineStr">
        <is>
          <t>Polish - Cream</t>
        </is>
      </c>
      <c r="C8" t="inlineStr">
        <is>
          <t>IA - Iowa</t>
        </is>
      </c>
      <c r="E8" t="inlineStr">
        <is>
          <t>Referral - Supplier</t>
        </is>
      </c>
    </row>
    <row r="9">
      <c r="A9" t="inlineStr">
        <is>
          <t>Education</t>
        </is>
      </c>
      <c r="B9" t="inlineStr">
        <is>
          <t>Polish - S&amp;P</t>
        </is>
      </c>
      <c r="C9" t="inlineStr">
        <is>
          <t>AR - Arkansas</t>
        </is>
      </c>
      <c r="E9" t="inlineStr">
        <is>
          <t>Referral - Other</t>
        </is>
      </c>
    </row>
    <row r="10">
      <c r="A10" t="inlineStr">
        <is>
          <t>Food &amp; Bev Manufacturing</t>
        </is>
      </c>
      <c r="B10" t="inlineStr">
        <is>
          <t>Polish - Large Aggregate</t>
        </is>
      </c>
      <c r="C10" t="inlineStr">
        <is>
          <t>IL - Illinois</t>
        </is>
      </c>
      <c r="E10" t="inlineStr">
        <is>
          <t>Sapper</t>
        </is>
      </c>
    </row>
    <row r="11">
      <c r="A11" t="inlineStr">
        <is>
          <t>Government</t>
        </is>
      </c>
      <c r="B11" t="inlineStr">
        <is>
          <t>Epoxy - Flake</t>
        </is>
      </c>
      <c r="E11" t="inlineStr">
        <is>
          <t>Prospecting / Biz Dev</t>
        </is>
      </c>
    </row>
    <row r="12">
      <c r="A12" t="inlineStr">
        <is>
          <t>Healthcare</t>
        </is>
      </c>
      <c r="B12" t="inlineStr">
        <is>
          <t>Epoxy - Quartz</t>
        </is>
      </c>
      <c r="E12" t="inlineStr">
        <is>
          <t>Other</t>
        </is>
      </c>
    </row>
    <row r="13">
      <c r="A13" t="inlineStr">
        <is>
          <t>Industial &amp; Manufacturing</t>
        </is>
      </c>
      <c r="B13" t="inlineStr">
        <is>
          <t>Epoxy - Urethane Cement</t>
        </is>
      </c>
    </row>
    <row r="14">
      <c r="A14" t="inlineStr">
        <is>
          <t>Labs</t>
        </is>
      </c>
      <c r="B14" t="inlineStr">
        <is>
          <t>Other</t>
        </is>
      </c>
    </row>
    <row r="15">
      <c r="A15" t="inlineStr">
        <is>
          <t>Multifamily &amp; Sr. Living</t>
        </is>
      </c>
    </row>
    <row r="16">
      <c r="A16" t="inlineStr">
        <is>
          <t>Office Space</t>
        </is>
      </c>
    </row>
    <row r="17">
      <c r="A17" t="inlineStr">
        <is>
          <t>Pharmaceuticals</t>
        </is>
      </c>
    </row>
    <row r="18">
      <c r="A18" t="inlineStr">
        <is>
          <t>Recreation &amp; Entertainment</t>
        </is>
      </c>
    </row>
    <row r="19">
      <c r="A19" t="inlineStr">
        <is>
          <t>Religious</t>
        </is>
      </c>
    </row>
    <row r="20">
      <c r="A20" t="inlineStr">
        <is>
          <t>Restaurant</t>
        </is>
      </c>
    </row>
    <row r="21">
      <c r="A21" t="inlineStr">
        <is>
          <t>Retail</t>
        </is>
      </c>
    </row>
    <row r="22">
      <c r="A22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Libby Tullis</dc:creator>
  <dcterms:created xmlns:dcterms="http://purl.org/dc/terms/" xmlns:xsi="http://www.w3.org/2001/XMLSchema-instance" xsi:type="dcterms:W3CDTF">2015-05-13T19:08:44Z</dcterms:created>
  <dcterms:modified xmlns:dcterms="http://purl.org/dc/terms/" xmlns:xsi="http://www.w3.org/2001/XMLSchema-instance" xsi:type="dcterms:W3CDTF">2026-07-29T18:26:21Z</dcterms:modified>
  <cp:lastModifiedBy>Kylene Kimberlig</cp:lastModifiedBy>
  <cp:lastPrinted>2025-02-26T16:34:53Z</cp:lastPrinted>
</cp:coreProperties>
</file>